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daniel.pereira\Documents\Strwmelit Treinamento\treinamentoScript\"/>
    </mc:Choice>
  </mc:AlternateContent>
  <xr:revisionPtr revIDLastSave="0" documentId="13_ncr:1_{AA372462-74BA-4533-AE2F-5D08D8FB5B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 de Treinamentos" sheetId="1" r:id="rId1"/>
    <sheet name="Colaboradores" sheetId="2" r:id="rId2"/>
    <sheet name="Procedimentos" sheetId="3" r:id="rId3"/>
    <sheet name="Aplicabilidade" sheetId="4" r:id="rId4"/>
    <sheet name="Lista suspensa" sheetId="5" r:id="rId5"/>
    <sheet name="apoio" sheetId="6" r:id="rId6"/>
  </sheets>
  <definedNames>
    <definedName name="_xlnm._FilterDatabase" localSheetId="3" hidden="1">Aplicabilidade!$A$1:$Z$1773</definedName>
    <definedName name="_xlnm._FilterDatabase" localSheetId="0" hidden="1">'Base de Treinamentos'!$A$1:$T$2741</definedName>
    <definedName name="_xlnm._FilterDatabase" localSheetId="1" hidden="1">Colaboradores!$A$1:$D$78</definedName>
  </definedNames>
  <calcPr calcId="191029"/>
</workbook>
</file>

<file path=xl/calcChain.xml><?xml version="1.0" encoding="utf-8"?>
<calcChain xmlns="http://schemas.openxmlformats.org/spreadsheetml/2006/main">
  <c r="G1859" i="1" l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K19" i="1"/>
  <c r="K20" i="1"/>
  <c r="K21" i="1"/>
  <c r="K22" i="1"/>
  <c r="K23" i="1"/>
  <c r="L23" i="1" s="1"/>
  <c r="K24" i="1"/>
  <c r="K25" i="1"/>
  <c r="K26" i="1"/>
  <c r="K27" i="1"/>
  <c r="K28" i="1"/>
  <c r="K29" i="1"/>
  <c r="K30" i="1"/>
  <c r="K31" i="1"/>
  <c r="L31" i="1" s="1"/>
  <c r="K32" i="1"/>
  <c r="K33" i="1"/>
  <c r="K34" i="1"/>
  <c r="K35" i="1"/>
  <c r="K36" i="1"/>
  <c r="K37" i="1"/>
  <c r="K38" i="1"/>
  <c r="K39" i="1"/>
  <c r="L39" i="1" s="1"/>
  <c r="K40" i="1"/>
  <c r="K41" i="1"/>
  <c r="K42" i="1"/>
  <c r="K43" i="1"/>
  <c r="K44" i="1"/>
  <c r="K45" i="1"/>
  <c r="K46" i="1"/>
  <c r="K47" i="1"/>
  <c r="L47" i="1" s="1"/>
  <c r="K48" i="1"/>
  <c r="K49" i="1"/>
  <c r="K50" i="1"/>
  <c r="K51" i="1"/>
  <c r="K52" i="1"/>
  <c r="K53" i="1"/>
  <c r="K54" i="1"/>
  <c r="K55" i="1"/>
  <c r="L55" i="1" s="1"/>
  <c r="K56" i="1"/>
  <c r="K57" i="1"/>
  <c r="K58" i="1"/>
  <c r="K59" i="1"/>
  <c r="K60" i="1"/>
  <c r="K61" i="1"/>
  <c r="K62" i="1"/>
  <c r="K63" i="1"/>
  <c r="L63" i="1" s="1"/>
  <c r="K64" i="1"/>
  <c r="K65" i="1"/>
  <c r="K66" i="1"/>
  <c r="K67" i="1"/>
  <c r="K68" i="1"/>
  <c r="K69" i="1"/>
  <c r="K70" i="1"/>
  <c r="K71" i="1"/>
  <c r="L71" i="1" s="1"/>
  <c r="K72" i="1"/>
  <c r="K73" i="1"/>
  <c r="K74" i="1"/>
  <c r="K75" i="1"/>
  <c r="K76" i="1"/>
  <c r="K77" i="1"/>
  <c r="K78" i="1"/>
  <c r="K79" i="1"/>
  <c r="L79" i="1" s="1"/>
  <c r="K80" i="1"/>
  <c r="K81" i="1"/>
  <c r="K82" i="1"/>
  <c r="K83" i="1"/>
  <c r="K84" i="1"/>
  <c r="K85" i="1"/>
  <c r="K86" i="1"/>
  <c r="K87" i="1"/>
  <c r="L87" i="1" s="1"/>
  <c r="K88" i="1"/>
  <c r="K89" i="1"/>
  <c r="K90" i="1"/>
  <c r="K91" i="1"/>
  <c r="K92" i="1"/>
  <c r="K93" i="1"/>
  <c r="K94" i="1"/>
  <c r="K95" i="1"/>
  <c r="L95" i="1" s="1"/>
  <c r="K96" i="1"/>
  <c r="K97" i="1"/>
  <c r="K98" i="1"/>
  <c r="K99" i="1"/>
  <c r="K100" i="1"/>
  <c r="K101" i="1"/>
  <c r="K102" i="1"/>
  <c r="K103" i="1"/>
  <c r="L103" i="1" s="1"/>
  <c r="K104" i="1"/>
  <c r="K105" i="1"/>
  <c r="K106" i="1"/>
  <c r="K107" i="1"/>
  <c r="K108" i="1"/>
  <c r="K109" i="1"/>
  <c r="K110" i="1"/>
  <c r="K111" i="1"/>
  <c r="L111" i="1" s="1"/>
  <c r="K112" i="1"/>
  <c r="K113" i="1"/>
  <c r="K114" i="1"/>
  <c r="K115" i="1"/>
  <c r="K116" i="1"/>
  <c r="K117" i="1"/>
  <c r="K118" i="1"/>
  <c r="K119" i="1"/>
  <c r="L119" i="1" s="1"/>
  <c r="K120" i="1"/>
  <c r="K121" i="1"/>
  <c r="K122" i="1"/>
  <c r="K123" i="1"/>
  <c r="K124" i="1"/>
  <c r="K125" i="1"/>
  <c r="K126" i="1"/>
  <c r="K127" i="1"/>
  <c r="L127" i="1" s="1"/>
  <c r="K128" i="1"/>
  <c r="K129" i="1"/>
  <c r="K130" i="1"/>
  <c r="K131" i="1"/>
  <c r="K132" i="1"/>
  <c r="K133" i="1"/>
  <c r="K134" i="1"/>
  <c r="K135" i="1"/>
  <c r="L135" i="1" s="1"/>
  <c r="K136" i="1"/>
  <c r="K137" i="1"/>
  <c r="K138" i="1"/>
  <c r="K139" i="1"/>
  <c r="K140" i="1"/>
  <c r="K141" i="1"/>
  <c r="K142" i="1"/>
  <c r="K143" i="1"/>
  <c r="L143" i="1" s="1"/>
  <c r="K144" i="1"/>
  <c r="K145" i="1"/>
  <c r="K146" i="1"/>
  <c r="K147" i="1"/>
  <c r="K148" i="1"/>
  <c r="K149" i="1"/>
  <c r="K150" i="1"/>
  <c r="K151" i="1"/>
  <c r="L151" i="1" s="1"/>
  <c r="K152" i="1"/>
  <c r="K153" i="1"/>
  <c r="K154" i="1"/>
  <c r="K155" i="1"/>
  <c r="K156" i="1"/>
  <c r="K157" i="1"/>
  <c r="K158" i="1"/>
  <c r="K159" i="1"/>
  <c r="L159" i="1" s="1"/>
  <c r="K160" i="1"/>
  <c r="K161" i="1"/>
  <c r="K162" i="1"/>
  <c r="K163" i="1"/>
  <c r="K164" i="1"/>
  <c r="K165" i="1"/>
  <c r="K166" i="1"/>
  <c r="K167" i="1"/>
  <c r="L167" i="1" s="1"/>
  <c r="K168" i="1"/>
  <c r="K169" i="1"/>
  <c r="K170" i="1"/>
  <c r="K171" i="1"/>
  <c r="K172" i="1"/>
  <c r="K173" i="1"/>
  <c r="K174" i="1"/>
  <c r="K175" i="1"/>
  <c r="L175" i="1" s="1"/>
  <c r="K176" i="1"/>
  <c r="K177" i="1"/>
  <c r="K178" i="1"/>
  <c r="K179" i="1"/>
  <c r="K180" i="1"/>
  <c r="K181" i="1"/>
  <c r="K182" i="1"/>
  <c r="K183" i="1"/>
  <c r="L183" i="1" s="1"/>
  <c r="K184" i="1"/>
  <c r="K185" i="1"/>
  <c r="K186" i="1"/>
  <c r="K187" i="1"/>
  <c r="K188" i="1"/>
  <c r="K189" i="1"/>
  <c r="K190" i="1"/>
  <c r="K191" i="1"/>
  <c r="L191" i="1" s="1"/>
  <c r="K192" i="1"/>
  <c r="K193" i="1"/>
  <c r="K194" i="1"/>
  <c r="K195" i="1"/>
  <c r="K196" i="1"/>
  <c r="K197" i="1"/>
  <c r="K198" i="1"/>
  <c r="K199" i="1"/>
  <c r="L199" i="1" s="1"/>
  <c r="K200" i="1"/>
  <c r="K201" i="1"/>
  <c r="K202" i="1"/>
  <c r="K203" i="1"/>
  <c r="K204" i="1"/>
  <c r="K205" i="1"/>
  <c r="K206" i="1"/>
  <c r="K207" i="1"/>
  <c r="L207" i="1" s="1"/>
  <c r="K208" i="1"/>
  <c r="K209" i="1"/>
  <c r="K210" i="1"/>
  <c r="K211" i="1"/>
  <c r="K212" i="1"/>
  <c r="K213" i="1"/>
  <c r="K214" i="1"/>
  <c r="K215" i="1"/>
  <c r="L215" i="1" s="1"/>
  <c r="K216" i="1"/>
  <c r="K217" i="1"/>
  <c r="K218" i="1"/>
  <c r="K219" i="1"/>
  <c r="K220" i="1"/>
  <c r="K221" i="1"/>
  <c r="K222" i="1"/>
  <c r="K223" i="1"/>
  <c r="L223" i="1" s="1"/>
  <c r="K224" i="1"/>
  <c r="K225" i="1"/>
  <c r="K226" i="1"/>
  <c r="K227" i="1"/>
  <c r="K228" i="1"/>
  <c r="K229" i="1"/>
  <c r="K230" i="1"/>
  <c r="K231" i="1"/>
  <c r="L231" i="1" s="1"/>
  <c r="K232" i="1"/>
  <c r="K233" i="1"/>
  <c r="K234" i="1"/>
  <c r="L234" i="1" s="1"/>
  <c r="K235" i="1"/>
  <c r="K236" i="1"/>
  <c r="K237" i="1"/>
  <c r="K238" i="1"/>
  <c r="K239" i="1"/>
  <c r="L239" i="1" s="1"/>
  <c r="K240" i="1"/>
  <c r="K241" i="1"/>
  <c r="K242" i="1"/>
  <c r="L242" i="1" s="1"/>
  <c r="K243" i="1"/>
  <c r="K244" i="1"/>
  <c r="K245" i="1"/>
  <c r="K246" i="1"/>
  <c r="K247" i="1"/>
  <c r="K248" i="1"/>
  <c r="K249" i="1"/>
  <c r="K250" i="1"/>
  <c r="L250" i="1" s="1"/>
  <c r="K251" i="1"/>
  <c r="K252" i="1"/>
  <c r="K253" i="1"/>
  <c r="K254" i="1"/>
  <c r="K255" i="1"/>
  <c r="K256" i="1"/>
  <c r="K257" i="1"/>
  <c r="L257" i="1" s="1"/>
  <c r="K258" i="1"/>
  <c r="L258" i="1" s="1"/>
  <c r="K259" i="1"/>
  <c r="K260" i="1"/>
  <c r="K261" i="1"/>
  <c r="K262" i="1"/>
  <c r="K263" i="1"/>
  <c r="K264" i="1"/>
  <c r="K265" i="1"/>
  <c r="L265" i="1" s="1"/>
  <c r="K266" i="1"/>
  <c r="L266" i="1" s="1"/>
  <c r="K267" i="1"/>
  <c r="K268" i="1"/>
  <c r="K269" i="1"/>
  <c r="K270" i="1"/>
  <c r="K271" i="1"/>
  <c r="L271" i="1" s="1"/>
  <c r="K272" i="1"/>
  <c r="K273" i="1"/>
  <c r="K274" i="1"/>
  <c r="L274" i="1" s="1"/>
  <c r="K275" i="1"/>
  <c r="K276" i="1"/>
  <c r="K277" i="1"/>
  <c r="K278" i="1"/>
  <c r="K279" i="1"/>
  <c r="L279" i="1" s="1"/>
  <c r="K280" i="1"/>
  <c r="K281" i="1"/>
  <c r="L281" i="1" s="1"/>
  <c r="K282" i="1"/>
  <c r="L282" i="1" s="1"/>
  <c r="K283" i="1"/>
  <c r="K284" i="1"/>
  <c r="K285" i="1"/>
  <c r="K286" i="1"/>
  <c r="K287" i="1"/>
  <c r="K288" i="1"/>
  <c r="K289" i="1"/>
  <c r="L289" i="1" s="1"/>
  <c r="K290" i="1"/>
  <c r="L290" i="1" s="1"/>
  <c r="K291" i="1"/>
  <c r="K292" i="1"/>
  <c r="K293" i="1"/>
  <c r="K294" i="1"/>
  <c r="K295" i="1"/>
  <c r="K296" i="1"/>
  <c r="K297" i="1"/>
  <c r="K298" i="1"/>
  <c r="L298" i="1" s="1"/>
  <c r="K299" i="1"/>
  <c r="K300" i="1"/>
  <c r="K301" i="1"/>
  <c r="K302" i="1"/>
  <c r="K303" i="1"/>
  <c r="K304" i="1"/>
  <c r="K305" i="1"/>
  <c r="K306" i="1"/>
  <c r="L306" i="1" s="1"/>
  <c r="K307" i="1"/>
  <c r="K308" i="1"/>
  <c r="K309" i="1"/>
  <c r="K310" i="1"/>
  <c r="K311" i="1"/>
  <c r="L311" i="1" s="1"/>
  <c r="K312" i="1"/>
  <c r="K313" i="1"/>
  <c r="L313" i="1" s="1"/>
  <c r="K314" i="1"/>
  <c r="L314" i="1" s="1"/>
  <c r="K315" i="1"/>
  <c r="K316" i="1"/>
  <c r="K317" i="1"/>
  <c r="K318" i="1"/>
  <c r="K319" i="1"/>
  <c r="L319" i="1" s="1"/>
  <c r="K320" i="1"/>
  <c r="K321" i="1"/>
  <c r="L321" i="1" s="1"/>
  <c r="K322" i="1"/>
  <c r="L322" i="1" s="1"/>
  <c r="K323" i="1"/>
  <c r="K324" i="1"/>
  <c r="K325" i="1"/>
  <c r="K326" i="1"/>
  <c r="K327" i="1"/>
  <c r="K328" i="1"/>
  <c r="K329" i="1"/>
  <c r="K330" i="1"/>
  <c r="L330" i="1" s="1"/>
  <c r="K331" i="1"/>
  <c r="K332" i="1"/>
  <c r="K333" i="1"/>
  <c r="K334" i="1"/>
  <c r="K335" i="1"/>
  <c r="K336" i="1"/>
  <c r="K337" i="1"/>
  <c r="K338" i="1"/>
  <c r="L338" i="1" s="1"/>
  <c r="K339" i="1"/>
  <c r="K340" i="1"/>
  <c r="K341" i="1"/>
  <c r="K342" i="1"/>
  <c r="K343" i="1"/>
  <c r="K344" i="1"/>
  <c r="K345" i="1"/>
  <c r="L345" i="1" s="1"/>
  <c r="K346" i="1"/>
  <c r="K347" i="1"/>
  <c r="K348" i="1"/>
  <c r="K349" i="1"/>
  <c r="K350" i="1"/>
  <c r="K351" i="1"/>
  <c r="K352" i="1"/>
  <c r="K353" i="1"/>
  <c r="L353" i="1" s="1"/>
  <c r="K354" i="1"/>
  <c r="K355" i="1"/>
  <c r="K356" i="1"/>
  <c r="K357" i="1"/>
  <c r="K358" i="1"/>
  <c r="K359" i="1"/>
  <c r="L359" i="1" s="1"/>
  <c r="K360" i="1"/>
  <c r="K361" i="1"/>
  <c r="L361" i="1" s="1"/>
  <c r="K362" i="1"/>
  <c r="L362" i="1" s="1"/>
  <c r="K363" i="1"/>
  <c r="K364" i="1"/>
  <c r="K365" i="1"/>
  <c r="K366" i="1"/>
  <c r="K367" i="1"/>
  <c r="L367" i="1" s="1"/>
  <c r="K368" i="1"/>
  <c r="K369" i="1"/>
  <c r="L369" i="1" s="1"/>
  <c r="K370" i="1"/>
  <c r="L370" i="1" s="1"/>
  <c r="K371" i="1"/>
  <c r="K372" i="1"/>
  <c r="K373" i="1"/>
  <c r="K374" i="1"/>
  <c r="K375" i="1"/>
  <c r="K376" i="1"/>
  <c r="K377" i="1"/>
  <c r="L377" i="1" s="1"/>
  <c r="K378" i="1"/>
  <c r="L378" i="1" s="1"/>
  <c r="K379" i="1"/>
  <c r="K380" i="1"/>
  <c r="K381" i="1"/>
  <c r="K382" i="1"/>
  <c r="K383" i="1"/>
  <c r="K384" i="1"/>
  <c r="K385" i="1"/>
  <c r="K386" i="1"/>
  <c r="L386" i="1" s="1"/>
  <c r="K387" i="1"/>
  <c r="K388" i="1"/>
  <c r="K389" i="1"/>
  <c r="K390" i="1"/>
  <c r="K391" i="1"/>
  <c r="K392" i="1"/>
  <c r="K393" i="1"/>
  <c r="L393" i="1" s="1"/>
  <c r="K394" i="1"/>
  <c r="L394" i="1" s="1"/>
  <c r="K395" i="1"/>
  <c r="K396" i="1"/>
  <c r="K397" i="1"/>
  <c r="K398" i="1"/>
  <c r="K399" i="1"/>
  <c r="L399" i="1" s="1"/>
  <c r="K400" i="1"/>
  <c r="K401" i="1"/>
  <c r="L401" i="1" s="1"/>
  <c r="K402" i="1"/>
  <c r="L402" i="1" s="1"/>
  <c r="K403" i="1"/>
  <c r="K404" i="1"/>
  <c r="K405" i="1"/>
  <c r="K406" i="1"/>
  <c r="K407" i="1"/>
  <c r="L407" i="1" s="1"/>
  <c r="K408" i="1"/>
  <c r="K409" i="1"/>
  <c r="L409" i="1" s="1"/>
  <c r="K410" i="1"/>
  <c r="L410" i="1" s="1"/>
  <c r="K411" i="1"/>
  <c r="K412" i="1"/>
  <c r="K413" i="1"/>
  <c r="K414" i="1"/>
  <c r="K415" i="1"/>
  <c r="K416" i="1"/>
  <c r="K417" i="1"/>
  <c r="K418" i="1"/>
  <c r="L418" i="1" s="1"/>
  <c r="K419" i="1"/>
  <c r="K420" i="1"/>
  <c r="K421" i="1"/>
  <c r="K422" i="1"/>
  <c r="K423" i="1"/>
  <c r="K424" i="1"/>
  <c r="K425" i="1"/>
  <c r="L425" i="1" s="1"/>
  <c r="K426" i="1"/>
  <c r="L426" i="1" s="1"/>
  <c r="K427" i="1"/>
  <c r="K428" i="1"/>
  <c r="K429" i="1"/>
  <c r="K430" i="1"/>
  <c r="K431" i="1"/>
  <c r="L431" i="1" s="1"/>
  <c r="K432" i="1"/>
  <c r="K433" i="1"/>
  <c r="L433" i="1" s="1"/>
  <c r="K434" i="1"/>
  <c r="L434" i="1" s="1"/>
  <c r="K435" i="1"/>
  <c r="K436" i="1"/>
  <c r="K437" i="1"/>
  <c r="K438" i="1"/>
  <c r="K439" i="1"/>
  <c r="L439" i="1" s="1"/>
  <c r="K440" i="1"/>
  <c r="K441" i="1"/>
  <c r="L441" i="1" s="1"/>
  <c r="K442" i="1"/>
  <c r="L442" i="1" s="1"/>
  <c r="K443" i="1"/>
  <c r="K444" i="1"/>
  <c r="K445" i="1"/>
  <c r="K446" i="1"/>
  <c r="K447" i="1"/>
  <c r="K448" i="1"/>
  <c r="K449" i="1"/>
  <c r="L449" i="1" s="1"/>
  <c r="K450" i="1"/>
  <c r="L450" i="1" s="1"/>
  <c r="K451" i="1"/>
  <c r="K452" i="1"/>
  <c r="K453" i="1"/>
  <c r="K454" i="1"/>
  <c r="K455" i="1"/>
  <c r="K456" i="1"/>
  <c r="K457" i="1"/>
  <c r="L457" i="1" s="1"/>
  <c r="K458" i="1"/>
  <c r="L458" i="1" s="1"/>
  <c r="K459" i="1"/>
  <c r="K460" i="1"/>
  <c r="K461" i="1"/>
  <c r="K462" i="1"/>
  <c r="K463" i="1"/>
  <c r="L463" i="1" s="1"/>
  <c r="K464" i="1"/>
  <c r="K465" i="1"/>
  <c r="L465" i="1" s="1"/>
  <c r="K466" i="1"/>
  <c r="L466" i="1" s="1"/>
  <c r="K467" i="1"/>
  <c r="K468" i="1"/>
  <c r="K469" i="1"/>
  <c r="K470" i="1"/>
  <c r="L470" i="1" s="1"/>
  <c r="K471" i="1"/>
  <c r="L471" i="1" s="1"/>
  <c r="K472" i="1"/>
  <c r="K473" i="1"/>
  <c r="L473" i="1" s="1"/>
  <c r="K474" i="1"/>
  <c r="L474" i="1" s="1"/>
  <c r="K475" i="1"/>
  <c r="K476" i="1"/>
  <c r="K477" i="1"/>
  <c r="K478" i="1"/>
  <c r="L478" i="1" s="1"/>
  <c r="K479" i="1"/>
  <c r="K480" i="1"/>
  <c r="K481" i="1"/>
  <c r="L481" i="1" s="1"/>
  <c r="K482" i="1"/>
  <c r="L482" i="1" s="1"/>
  <c r="K483" i="1"/>
  <c r="K484" i="1"/>
  <c r="K485" i="1"/>
  <c r="K486" i="1"/>
  <c r="L486" i="1" s="1"/>
  <c r="K487" i="1"/>
  <c r="L487" i="1" s="1"/>
  <c r="K488" i="1"/>
  <c r="K489" i="1"/>
  <c r="K490" i="1"/>
  <c r="L490" i="1" s="1"/>
  <c r="K491" i="1"/>
  <c r="K492" i="1"/>
  <c r="K493" i="1"/>
  <c r="K494" i="1"/>
  <c r="L494" i="1" s="1"/>
  <c r="K495" i="1"/>
  <c r="L495" i="1" s="1"/>
  <c r="K496" i="1"/>
  <c r="K497" i="1"/>
  <c r="L497" i="1" s="1"/>
  <c r="K498" i="1"/>
  <c r="L498" i="1" s="1"/>
  <c r="K499" i="1"/>
  <c r="K500" i="1"/>
  <c r="K501" i="1"/>
  <c r="K502" i="1"/>
  <c r="L502" i="1" s="1"/>
  <c r="K503" i="1"/>
  <c r="K504" i="1"/>
  <c r="K505" i="1"/>
  <c r="L505" i="1" s="1"/>
  <c r="K506" i="1"/>
  <c r="L506" i="1" s="1"/>
  <c r="K507" i="1"/>
  <c r="K508" i="1"/>
  <c r="K509" i="1"/>
  <c r="K510" i="1"/>
  <c r="L510" i="1" s="1"/>
  <c r="K511" i="1"/>
  <c r="L511" i="1" s="1"/>
  <c r="K512" i="1"/>
  <c r="K513" i="1"/>
  <c r="L513" i="1" s="1"/>
  <c r="K514" i="1"/>
  <c r="L514" i="1" s="1"/>
  <c r="K515" i="1"/>
  <c r="K516" i="1"/>
  <c r="K517" i="1"/>
  <c r="K518" i="1"/>
  <c r="L518" i="1" s="1"/>
  <c r="K519" i="1"/>
  <c r="K520" i="1"/>
  <c r="K521" i="1"/>
  <c r="L521" i="1" s="1"/>
  <c r="K522" i="1"/>
  <c r="L522" i="1" s="1"/>
  <c r="K523" i="1"/>
  <c r="K524" i="1"/>
  <c r="K525" i="1"/>
  <c r="K526" i="1"/>
  <c r="L526" i="1" s="1"/>
  <c r="K527" i="1"/>
  <c r="K528" i="1"/>
  <c r="K529" i="1"/>
  <c r="L529" i="1" s="1"/>
  <c r="K530" i="1"/>
  <c r="L530" i="1" s="1"/>
  <c r="K531" i="1"/>
  <c r="K532" i="1"/>
  <c r="K533" i="1"/>
  <c r="K534" i="1"/>
  <c r="L534" i="1" s="1"/>
  <c r="K535" i="1"/>
  <c r="L535" i="1" s="1"/>
  <c r="K536" i="1"/>
  <c r="K537" i="1"/>
  <c r="L537" i="1" s="1"/>
  <c r="K538" i="1"/>
  <c r="L538" i="1" s="1"/>
  <c r="K539" i="1"/>
  <c r="K540" i="1"/>
  <c r="K541" i="1"/>
  <c r="K542" i="1"/>
  <c r="L542" i="1" s="1"/>
  <c r="K543" i="1"/>
  <c r="K544" i="1"/>
  <c r="K545" i="1"/>
  <c r="L545" i="1" s="1"/>
  <c r="K546" i="1"/>
  <c r="L546" i="1" s="1"/>
  <c r="K547" i="1"/>
  <c r="K548" i="1"/>
  <c r="K549" i="1"/>
  <c r="K550" i="1"/>
  <c r="L550" i="1" s="1"/>
  <c r="K551" i="1"/>
  <c r="L551" i="1" s="1"/>
  <c r="K552" i="1"/>
  <c r="K553" i="1"/>
  <c r="K554" i="1"/>
  <c r="L554" i="1" s="1"/>
  <c r="K555" i="1"/>
  <c r="K556" i="1"/>
  <c r="K557" i="1"/>
  <c r="K558" i="1"/>
  <c r="L558" i="1" s="1"/>
  <c r="K559" i="1"/>
  <c r="L559" i="1" s="1"/>
  <c r="K560" i="1"/>
  <c r="K561" i="1"/>
  <c r="L561" i="1" s="1"/>
  <c r="K562" i="1"/>
  <c r="L562" i="1" s="1"/>
  <c r="K563" i="1"/>
  <c r="K564" i="1"/>
  <c r="K565" i="1"/>
  <c r="K566" i="1"/>
  <c r="L566" i="1" s="1"/>
  <c r="K567" i="1"/>
  <c r="K568" i="1"/>
  <c r="K569" i="1"/>
  <c r="L569" i="1" s="1"/>
  <c r="K570" i="1"/>
  <c r="L570" i="1" s="1"/>
  <c r="K571" i="1"/>
  <c r="K572" i="1"/>
  <c r="K573" i="1"/>
  <c r="K574" i="1"/>
  <c r="L574" i="1" s="1"/>
  <c r="K575" i="1"/>
  <c r="L575" i="1" s="1"/>
  <c r="K576" i="1"/>
  <c r="K577" i="1"/>
  <c r="L577" i="1" s="1"/>
  <c r="K578" i="1"/>
  <c r="L578" i="1" s="1"/>
  <c r="K579" i="1"/>
  <c r="K580" i="1"/>
  <c r="K581" i="1"/>
  <c r="K582" i="1"/>
  <c r="L582" i="1" s="1"/>
  <c r="K583" i="1"/>
  <c r="L583" i="1" s="1"/>
  <c r="K584" i="1"/>
  <c r="K585" i="1"/>
  <c r="L585" i="1" s="1"/>
  <c r="K586" i="1"/>
  <c r="L586" i="1" s="1"/>
  <c r="K587" i="1"/>
  <c r="K588" i="1"/>
  <c r="K589" i="1"/>
  <c r="K590" i="1"/>
  <c r="L590" i="1" s="1"/>
  <c r="K591" i="1"/>
  <c r="K592" i="1"/>
  <c r="K593" i="1"/>
  <c r="L593" i="1" s="1"/>
  <c r="K594" i="1"/>
  <c r="L594" i="1" s="1"/>
  <c r="K595" i="1"/>
  <c r="K596" i="1"/>
  <c r="K597" i="1"/>
  <c r="K598" i="1"/>
  <c r="L598" i="1" s="1"/>
  <c r="K599" i="1"/>
  <c r="L599" i="1" s="1"/>
  <c r="K600" i="1"/>
  <c r="K601" i="1"/>
  <c r="L601" i="1" s="1"/>
  <c r="K602" i="1"/>
  <c r="L602" i="1" s="1"/>
  <c r="K603" i="1"/>
  <c r="K604" i="1"/>
  <c r="K605" i="1"/>
  <c r="K606" i="1"/>
  <c r="L606" i="1" s="1"/>
  <c r="K607" i="1"/>
  <c r="K608" i="1"/>
  <c r="K609" i="1"/>
  <c r="L609" i="1" s="1"/>
  <c r="K610" i="1"/>
  <c r="L610" i="1" s="1"/>
  <c r="K611" i="1"/>
  <c r="K612" i="1"/>
  <c r="K613" i="1"/>
  <c r="K614" i="1"/>
  <c r="L614" i="1" s="1"/>
  <c r="K615" i="1"/>
  <c r="K616" i="1"/>
  <c r="K617" i="1"/>
  <c r="L617" i="1" s="1"/>
  <c r="K618" i="1"/>
  <c r="L618" i="1" s="1"/>
  <c r="K619" i="1"/>
  <c r="K620" i="1"/>
  <c r="K621" i="1"/>
  <c r="K622" i="1"/>
  <c r="L622" i="1" s="1"/>
  <c r="K623" i="1"/>
  <c r="L623" i="1" s="1"/>
  <c r="K624" i="1"/>
  <c r="K625" i="1"/>
  <c r="L625" i="1" s="1"/>
  <c r="K626" i="1"/>
  <c r="L626" i="1" s="1"/>
  <c r="K627" i="1"/>
  <c r="K628" i="1"/>
  <c r="K629" i="1"/>
  <c r="K630" i="1"/>
  <c r="L630" i="1" s="1"/>
  <c r="K631" i="1"/>
  <c r="K632" i="1"/>
  <c r="K633" i="1"/>
  <c r="L633" i="1" s="1"/>
  <c r="K634" i="1"/>
  <c r="K635" i="1"/>
  <c r="K636" i="1"/>
  <c r="K637" i="1"/>
  <c r="K638" i="1"/>
  <c r="K639" i="1"/>
  <c r="L639" i="1" s="1"/>
  <c r="K640" i="1"/>
  <c r="K641" i="1"/>
  <c r="L641" i="1" s="1"/>
  <c r="K642" i="1"/>
  <c r="K643" i="1"/>
  <c r="K644" i="1"/>
  <c r="K645" i="1"/>
  <c r="K646" i="1"/>
  <c r="K647" i="1"/>
  <c r="L647" i="1" s="1"/>
  <c r="K648" i="1"/>
  <c r="K649" i="1"/>
  <c r="L649" i="1" s="1"/>
  <c r="K650" i="1"/>
  <c r="K651" i="1"/>
  <c r="K652" i="1"/>
  <c r="K653" i="1"/>
  <c r="K654" i="1"/>
  <c r="K655" i="1"/>
  <c r="L655" i="1" s="1"/>
  <c r="K656" i="1"/>
  <c r="K657" i="1"/>
  <c r="L657" i="1" s="1"/>
  <c r="K658" i="1"/>
  <c r="K659" i="1"/>
  <c r="K660" i="1"/>
  <c r="K661" i="1"/>
  <c r="K662" i="1"/>
  <c r="K663" i="1"/>
  <c r="K664" i="1"/>
  <c r="K665" i="1"/>
  <c r="L665" i="1" s="1"/>
  <c r="K666" i="1"/>
  <c r="K667" i="1"/>
  <c r="K668" i="1"/>
  <c r="K669" i="1"/>
  <c r="K670" i="1"/>
  <c r="K671" i="1"/>
  <c r="K672" i="1"/>
  <c r="K673" i="1"/>
  <c r="L673" i="1" s="1"/>
  <c r="K674" i="1"/>
  <c r="K675" i="1"/>
  <c r="K676" i="1"/>
  <c r="K677" i="1"/>
  <c r="K678" i="1"/>
  <c r="K679" i="1"/>
  <c r="K680" i="1"/>
  <c r="K681" i="1"/>
  <c r="L681" i="1" s="1"/>
  <c r="K682" i="1"/>
  <c r="K683" i="1"/>
  <c r="K684" i="1"/>
  <c r="K685" i="1"/>
  <c r="K686" i="1"/>
  <c r="K687" i="1"/>
  <c r="L687" i="1" s="1"/>
  <c r="K688" i="1"/>
  <c r="K689" i="1"/>
  <c r="L689" i="1" s="1"/>
  <c r="K690" i="1"/>
  <c r="K691" i="1"/>
  <c r="K692" i="1"/>
  <c r="K693" i="1"/>
  <c r="K694" i="1"/>
  <c r="K695" i="1"/>
  <c r="L695" i="1" s="1"/>
  <c r="K696" i="1"/>
  <c r="K697" i="1"/>
  <c r="L697" i="1" s="1"/>
  <c r="K698" i="1"/>
  <c r="K699" i="1"/>
  <c r="K700" i="1"/>
  <c r="K701" i="1"/>
  <c r="K702" i="1"/>
  <c r="K703" i="1"/>
  <c r="L703" i="1" s="1"/>
  <c r="K704" i="1"/>
  <c r="K705" i="1"/>
  <c r="L705" i="1" s="1"/>
  <c r="K706" i="1"/>
  <c r="K707" i="1"/>
  <c r="K708" i="1"/>
  <c r="K709" i="1"/>
  <c r="K710" i="1"/>
  <c r="K711" i="1"/>
  <c r="L711" i="1" s="1"/>
  <c r="K712" i="1"/>
  <c r="K713" i="1"/>
  <c r="L713" i="1" s="1"/>
  <c r="K714" i="1"/>
  <c r="K715" i="1"/>
  <c r="K716" i="1"/>
  <c r="K717" i="1"/>
  <c r="K718" i="1"/>
  <c r="K719" i="1"/>
  <c r="K720" i="1"/>
  <c r="K721" i="1"/>
  <c r="L721" i="1" s="1"/>
  <c r="K722" i="1"/>
  <c r="K723" i="1"/>
  <c r="K724" i="1"/>
  <c r="K725" i="1"/>
  <c r="K726" i="1"/>
  <c r="K727" i="1"/>
  <c r="K728" i="1"/>
  <c r="K729" i="1"/>
  <c r="L729" i="1" s="1"/>
  <c r="K730" i="1"/>
  <c r="K731" i="1"/>
  <c r="K732" i="1"/>
  <c r="K733" i="1"/>
  <c r="K734" i="1"/>
  <c r="K735" i="1"/>
  <c r="L735" i="1" s="1"/>
  <c r="K736" i="1"/>
  <c r="K737" i="1"/>
  <c r="L737" i="1" s="1"/>
  <c r="K738" i="1"/>
  <c r="K739" i="1"/>
  <c r="K740" i="1"/>
  <c r="K741" i="1"/>
  <c r="K742" i="1"/>
  <c r="K743" i="1"/>
  <c r="L743" i="1" s="1"/>
  <c r="K744" i="1"/>
  <c r="K745" i="1"/>
  <c r="L745" i="1" s="1"/>
  <c r="K746" i="1"/>
  <c r="K747" i="1"/>
  <c r="K748" i="1"/>
  <c r="K749" i="1"/>
  <c r="K750" i="1"/>
  <c r="K751" i="1"/>
  <c r="L751" i="1" s="1"/>
  <c r="K752" i="1"/>
  <c r="K753" i="1"/>
  <c r="L753" i="1" s="1"/>
  <c r="K754" i="1"/>
  <c r="K755" i="1"/>
  <c r="K756" i="1"/>
  <c r="K757" i="1"/>
  <c r="K758" i="1"/>
  <c r="K759" i="1"/>
  <c r="L759" i="1" s="1"/>
  <c r="K760" i="1"/>
  <c r="K761" i="1"/>
  <c r="L761" i="1" s="1"/>
  <c r="K762" i="1"/>
  <c r="K763" i="1"/>
  <c r="K764" i="1"/>
  <c r="K765" i="1"/>
  <c r="K766" i="1"/>
  <c r="K767" i="1"/>
  <c r="K768" i="1"/>
  <c r="K769" i="1"/>
  <c r="L769" i="1" s="1"/>
  <c r="K770" i="1"/>
  <c r="K771" i="1"/>
  <c r="K772" i="1"/>
  <c r="K773" i="1"/>
  <c r="K774" i="1"/>
  <c r="L774" i="1" s="1"/>
  <c r="K775" i="1"/>
  <c r="K776" i="1"/>
  <c r="K777" i="1"/>
  <c r="L777" i="1" s="1"/>
  <c r="K778" i="1"/>
  <c r="L778" i="1" s="1"/>
  <c r="K779" i="1"/>
  <c r="K780" i="1"/>
  <c r="K781" i="1"/>
  <c r="K782" i="1"/>
  <c r="L782" i="1" s="1"/>
  <c r="K783" i="1"/>
  <c r="K784" i="1"/>
  <c r="K785" i="1"/>
  <c r="L785" i="1" s="1"/>
  <c r="K786" i="1"/>
  <c r="L786" i="1" s="1"/>
  <c r="K787" i="1"/>
  <c r="K788" i="1"/>
  <c r="K789" i="1"/>
  <c r="K790" i="1"/>
  <c r="L790" i="1" s="1"/>
  <c r="K791" i="1"/>
  <c r="K792" i="1"/>
  <c r="K793" i="1"/>
  <c r="L793" i="1" s="1"/>
  <c r="K794" i="1"/>
  <c r="L794" i="1" s="1"/>
  <c r="K795" i="1"/>
  <c r="K796" i="1"/>
  <c r="L796" i="1" s="1"/>
  <c r="K797" i="1"/>
  <c r="K798" i="1"/>
  <c r="L798" i="1" s="1"/>
  <c r="K799" i="1"/>
  <c r="K800" i="1"/>
  <c r="K801" i="1"/>
  <c r="L801" i="1" s="1"/>
  <c r="K802" i="1"/>
  <c r="K803" i="1"/>
  <c r="K804" i="1"/>
  <c r="K805" i="1"/>
  <c r="K806" i="1"/>
  <c r="K807" i="1"/>
  <c r="L807" i="1" s="1"/>
  <c r="K808" i="1"/>
  <c r="K809" i="1"/>
  <c r="L809" i="1" s="1"/>
  <c r="K810" i="1"/>
  <c r="L810" i="1" s="1"/>
  <c r="K811" i="1"/>
  <c r="K812" i="1"/>
  <c r="K813" i="1"/>
  <c r="K814" i="1"/>
  <c r="L814" i="1" s="1"/>
  <c r="K815" i="1"/>
  <c r="K816" i="1"/>
  <c r="K817" i="1"/>
  <c r="L817" i="1" s="1"/>
  <c r="K818" i="1"/>
  <c r="L818" i="1" s="1"/>
  <c r="K819" i="1"/>
  <c r="K820" i="1"/>
  <c r="K821" i="1"/>
  <c r="K822" i="1"/>
  <c r="L822" i="1" s="1"/>
  <c r="K823" i="1"/>
  <c r="L823" i="1" s="1"/>
  <c r="K824" i="1"/>
  <c r="K825" i="1"/>
  <c r="L825" i="1" s="1"/>
  <c r="K826" i="1"/>
  <c r="L826" i="1" s="1"/>
  <c r="K827" i="1"/>
  <c r="K828" i="1"/>
  <c r="K829" i="1"/>
  <c r="K830" i="1"/>
  <c r="K831" i="1"/>
  <c r="K832" i="1"/>
  <c r="K833" i="1"/>
  <c r="L833" i="1" s="1"/>
  <c r="K834" i="1"/>
  <c r="K835" i="1"/>
  <c r="K836" i="1"/>
  <c r="K837" i="1"/>
  <c r="K838" i="1"/>
  <c r="K839" i="1"/>
  <c r="K840" i="1"/>
  <c r="K841" i="1"/>
  <c r="L841" i="1" s="1"/>
  <c r="K842" i="1"/>
  <c r="K843" i="1"/>
  <c r="K844" i="1"/>
  <c r="K845" i="1"/>
  <c r="K846" i="1"/>
  <c r="K847" i="1"/>
  <c r="L847" i="1" s="1"/>
  <c r="K848" i="1"/>
  <c r="K849" i="1"/>
  <c r="L849" i="1" s="1"/>
  <c r="K850" i="1"/>
  <c r="K851" i="1"/>
  <c r="K852" i="1"/>
  <c r="K853" i="1"/>
  <c r="K854" i="1"/>
  <c r="K855" i="1"/>
  <c r="L855" i="1" s="1"/>
  <c r="K856" i="1"/>
  <c r="K857" i="1"/>
  <c r="L857" i="1" s="1"/>
  <c r="K858" i="1"/>
  <c r="K859" i="1"/>
  <c r="K860" i="1"/>
  <c r="K861" i="1"/>
  <c r="K862" i="1"/>
  <c r="K863" i="1"/>
  <c r="L863" i="1" s="1"/>
  <c r="K864" i="1"/>
  <c r="K865" i="1"/>
  <c r="L865" i="1" s="1"/>
  <c r="K866" i="1"/>
  <c r="K867" i="1"/>
  <c r="K868" i="1"/>
  <c r="K869" i="1"/>
  <c r="K870" i="1"/>
  <c r="L870" i="1" s="1"/>
  <c r="K871" i="1"/>
  <c r="K872" i="1"/>
  <c r="K873" i="1"/>
  <c r="L873" i="1" s="1"/>
  <c r="K874" i="1"/>
  <c r="L874" i="1" s="1"/>
  <c r="K875" i="1"/>
  <c r="K876" i="1"/>
  <c r="K877" i="1"/>
  <c r="K878" i="1"/>
  <c r="L878" i="1" s="1"/>
  <c r="K879" i="1"/>
  <c r="L879" i="1" s="1"/>
  <c r="K880" i="1"/>
  <c r="K881" i="1"/>
  <c r="L881" i="1" s="1"/>
  <c r="K882" i="1"/>
  <c r="L882" i="1" s="1"/>
  <c r="K883" i="1"/>
  <c r="K884" i="1"/>
  <c r="K885" i="1"/>
  <c r="K886" i="1"/>
  <c r="L886" i="1" s="1"/>
  <c r="K887" i="1"/>
  <c r="K888" i="1"/>
  <c r="K889" i="1"/>
  <c r="L889" i="1" s="1"/>
  <c r="K890" i="1"/>
  <c r="L890" i="1" s="1"/>
  <c r="K891" i="1"/>
  <c r="K892" i="1"/>
  <c r="K893" i="1"/>
  <c r="K894" i="1"/>
  <c r="L894" i="1" s="1"/>
  <c r="K895" i="1"/>
  <c r="L895" i="1" s="1"/>
  <c r="K896" i="1"/>
  <c r="K897" i="1"/>
  <c r="L897" i="1" s="1"/>
  <c r="K898" i="1"/>
  <c r="L898" i="1" s="1"/>
  <c r="K899" i="1"/>
  <c r="K900" i="1"/>
  <c r="K901" i="1"/>
  <c r="K902" i="1"/>
  <c r="L902" i="1" s="1"/>
  <c r="K903" i="1"/>
  <c r="L903" i="1" s="1"/>
  <c r="K904" i="1"/>
  <c r="K905" i="1"/>
  <c r="L905" i="1" s="1"/>
  <c r="K906" i="1"/>
  <c r="L906" i="1" s="1"/>
  <c r="K907" i="1"/>
  <c r="K908" i="1"/>
  <c r="K909" i="1"/>
  <c r="K910" i="1"/>
  <c r="L910" i="1" s="1"/>
  <c r="K911" i="1"/>
  <c r="L911" i="1" s="1"/>
  <c r="K912" i="1"/>
  <c r="K913" i="1"/>
  <c r="L913" i="1" s="1"/>
  <c r="K914" i="1"/>
  <c r="L914" i="1" s="1"/>
  <c r="K915" i="1"/>
  <c r="K916" i="1"/>
  <c r="K917" i="1"/>
  <c r="K918" i="1"/>
  <c r="L918" i="1" s="1"/>
  <c r="K919" i="1"/>
  <c r="L919" i="1" s="1"/>
  <c r="K920" i="1"/>
  <c r="K921" i="1"/>
  <c r="L921" i="1" s="1"/>
  <c r="K922" i="1"/>
  <c r="L922" i="1" s="1"/>
  <c r="K923" i="1"/>
  <c r="K924" i="1"/>
  <c r="K925" i="1"/>
  <c r="K926" i="1"/>
  <c r="L926" i="1" s="1"/>
  <c r="K927" i="1"/>
  <c r="L927" i="1" s="1"/>
  <c r="K928" i="1"/>
  <c r="K929" i="1"/>
  <c r="L929" i="1" s="1"/>
  <c r="K930" i="1"/>
  <c r="L930" i="1" s="1"/>
  <c r="K931" i="1"/>
  <c r="K932" i="1"/>
  <c r="K933" i="1"/>
  <c r="K934" i="1"/>
  <c r="L934" i="1" s="1"/>
  <c r="K935" i="1"/>
  <c r="L935" i="1" s="1"/>
  <c r="K936" i="1"/>
  <c r="K937" i="1"/>
  <c r="L937" i="1" s="1"/>
  <c r="K938" i="1"/>
  <c r="L938" i="1" s="1"/>
  <c r="K939" i="1"/>
  <c r="K940" i="1"/>
  <c r="K941" i="1"/>
  <c r="K942" i="1"/>
  <c r="L942" i="1" s="1"/>
  <c r="K943" i="1"/>
  <c r="L943" i="1" s="1"/>
  <c r="K944" i="1"/>
  <c r="K945" i="1"/>
  <c r="L945" i="1" s="1"/>
  <c r="K946" i="1"/>
  <c r="L946" i="1" s="1"/>
  <c r="K947" i="1"/>
  <c r="K948" i="1"/>
  <c r="K949" i="1"/>
  <c r="K950" i="1"/>
  <c r="L950" i="1" s="1"/>
  <c r="K951" i="1"/>
  <c r="L951" i="1" s="1"/>
  <c r="K952" i="1"/>
  <c r="K953" i="1"/>
  <c r="L953" i="1" s="1"/>
  <c r="K954" i="1"/>
  <c r="L954" i="1" s="1"/>
  <c r="K955" i="1"/>
  <c r="K956" i="1"/>
  <c r="K957" i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K964" i="1"/>
  <c r="K965" i="1"/>
  <c r="K966" i="1"/>
  <c r="L966" i="1" s="1"/>
  <c r="K967" i="1"/>
  <c r="L967" i="1" s="1"/>
  <c r="K968" i="1"/>
  <c r="L968" i="1" s="1"/>
  <c r="K969" i="1"/>
  <c r="L969" i="1" s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3" i="1"/>
  <c r="K4" i="1"/>
  <c r="K5" i="1"/>
  <c r="K6" i="1"/>
  <c r="L6" i="1" s="1"/>
  <c r="K7" i="1"/>
  <c r="K8" i="1"/>
  <c r="K9" i="1"/>
  <c r="K10" i="1"/>
  <c r="L10" i="1" s="1"/>
  <c r="K11" i="1"/>
  <c r="K12" i="1"/>
  <c r="L12" i="1" s="1"/>
  <c r="K13" i="1"/>
  <c r="K14" i="1"/>
  <c r="L14" i="1" s="1"/>
  <c r="K15" i="1"/>
  <c r="K16" i="1"/>
  <c r="K17" i="1"/>
  <c r="K18" i="1"/>
  <c r="L18" i="1" s="1"/>
  <c r="K2" i="1"/>
  <c r="P5" i="1"/>
  <c r="C2596" i="1"/>
  <c r="D2596" i="1"/>
  <c r="E2596" i="1"/>
  <c r="C2597" i="1"/>
  <c r="D2597" i="1"/>
  <c r="E2597" i="1"/>
  <c r="C2598" i="1"/>
  <c r="D2598" i="1"/>
  <c r="E2598" i="1"/>
  <c r="C2599" i="1"/>
  <c r="D2599" i="1"/>
  <c r="E2599" i="1"/>
  <c r="C2577" i="1"/>
  <c r="D2577" i="1"/>
  <c r="E2577" i="1"/>
  <c r="C2578" i="1"/>
  <c r="D2578" i="1"/>
  <c r="E2578" i="1"/>
  <c r="C2579" i="1"/>
  <c r="D2579" i="1"/>
  <c r="E2579" i="1"/>
  <c r="C2580" i="1"/>
  <c r="D2580" i="1"/>
  <c r="E2580" i="1"/>
  <c r="C2581" i="1"/>
  <c r="D2581" i="1"/>
  <c r="E2581" i="1"/>
  <c r="C2582" i="1"/>
  <c r="D2582" i="1"/>
  <c r="E2582" i="1"/>
  <c r="C2583" i="1"/>
  <c r="D2583" i="1"/>
  <c r="E2583" i="1"/>
  <c r="C2584" i="1"/>
  <c r="D2584" i="1"/>
  <c r="E2584" i="1"/>
  <c r="C2585" i="1"/>
  <c r="D2585" i="1"/>
  <c r="E2585" i="1"/>
  <c r="C2586" i="1"/>
  <c r="D2586" i="1"/>
  <c r="E2586" i="1"/>
  <c r="C2587" i="1"/>
  <c r="D2587" i="1"/>
  <c r="E2587" i="1"/>
  <c r="C2588" i="1"/>
  <c r="D2588" i="1"/>
  <c r="E2588" i="1"/>
  <c r="C2589" i="1"/>
  <c r="D2589" i="1"/>
  <c r="E2589" i="1"/>
  <c r="C2590" i="1"/>
  <c r="D2590" i="1"/>
  <c r="E2590" i="1"/>
  <c r="C2591" i="1"/>
  <c r="D2591" i="1"/>
  <c r="E2591" i="1"/>
  <c r="C2592" i="1"/>
  <c r="D2592" i="1"/>
  <c r="E2592" i="1"/>
  <c r="C2593" i="1"/>
  <c r="D2593" i="1"/>
  <c r="E2593" i="1"/>
  <c r="C2594" i="1"/>
  <c r="D2594" i="1"/>
  <c r="E2594" i="1"/>
  <c r="C2595" i="1"/>
  <c r="D2595" i="1"/>
  <c r="E2595" i="1"/>
  <c r="C2541" i="1"/>
  <c r="D2541" i="1"/>
  <c r="E2541" i="1"/>
  <c r="C2542" i="1"/>
  <c r="D2542" i="1"/>
  <c r="E2542" i="1"/>
  <c r="C2543" i="1"/>
  <c r="D2543" i="1"/>
  <c r="E2543" i="1"/>
  <c r="C2544" i="1"/>
  <c r="D2544" i="1"/>
  <c r="E2544" i="1"/>
  <c r="C2545" i="1"/>
  <c r="D2545" i="1"/>
  <c r="E2545" i="1"/>
  <c r="C2546" i="1"/>
  <c r="D2546" i="1"/>
  <c r="E2546" i="1"/>
  <c r="C2547" i="1"/>
  <c r="D2547" i="1"/>
  <c r="E2547" i="1"/>
  <c r="C2548" i="1"/>
  <c r="D2548" i="1"/>
  <c r="E2548" i="1"/>
  <c r="C2549" i="1"/>
  <c r="D2549" i="1"/>
  <c r="E2549" i="1"/>
  <c r="C2550" i="1"/>
  <c r="D2550" i="1"/>
  <c r="E2550" i="1"/>
  <c r="C2551" i="1"/>
  <c r="D2551" i="1"/>
  <c r="E2551" i="1"/>
  <c r="C2552" i="1"/>
  <c r="D2552" i="1"/>
  <c r="E2552" i="1"/>
  <c r="C2553" i="1"/>
  <c r="D2553" i="1"/>
  <c r="E2553" i="1"/>
  <c r="C2554" i="1"/>
  <c r="D2554" i="1"/>
  <c r="E2554" i="1"/>
  <c r="C2555" i="1"/>
  <c r="D2555" i="1"/>
  <c r="E2555" i="1"/>
  <c r="C2556" i="1"/>
  <c r="D2556" i="1"/>
  <c r="E2556" i="1"/>
  <c r="C2557" i="1"/>
  <c r="D2557" i="1"/>
  <c r="E2557" i="1"/>
  <c r="C2558" i="1"/>
  <c r="D2558" i="1"/>
  <c r="E2558" i="1"/>
  <c r="C2559" i="1"/>
  <c r="D2559" i="1"/>
  <c r="E2559" i="1"/>
  <c r="C2560" i="1"/>
  <c r="D2560" i="1"/>
  <c r="E2560" i="1"/>
  <c r="C2561" i="1"/>
  <c r="D2561" i="1"/>
  <c r="E2561" i="1"/>
  <c r="C2562" i="1"/>
  <c r="D2562" i="1"/>
  <c r="E2562" i="1"/>
  <c r="C2563" i="1"/>
  <c r="D2563" i="1"/>
  <c r="E2563" i="1"/>
  <c r="C2564" i="1"/>
  <c r="D2564" i="1"/>
  <c r="E2564" i="1"/>
  <c r="C2565" i="1"/>
  <c r="D2565" i="1"/>
  <c r="E2565" i="1"/>
  <c r="C2566" i="1"/>
  <c r="D2566" i="1"/>
  <c r="E2566" i="1"/>
  <c r="C2567" i="1"/>
  <c r="D2567" i="1"/>
  <c r="E2567" i="1"/>
  <c r="C2568" i="1"/>
  <c r="D2568" i="1"/>
  <c r="E2568" i="1"/>
  <c r="C2569" i="1"/>
  <c r="D2569" i="1"/>
  <c r="E2569" i="1"/>
  <c r="C2570" i="1"/>
  <c r="D2570" i="1"/>
  <c r="E2570" i="1"/>
  <c r="C2571" i="1"/>
  <c r="D2571" i="1"/>
  <c r="E2571" i="1"/>
  <c r="C2572" i="1"/>
  <c r="D2572" i="1"/>
  <c r="E2572" i="1"/>
  <c r="C2573" i="1"/>
  <c r="D2573" i="1"/>
  <c r="E2573" i="1"/>
  <c r="C2574" i="1"/>
  <c r="D2574" i="1"/>
  <c r="E2574" i="1"/>
  <c r="C2575" i="1"/>
  <c r="D2575" i="1"/>
  <c r="E2575" i="1"/>
  <c r="C2576" i="1"/>
  <c r="D2576" i="1"/>
  <c r="E2576" i="1"/>
  <c r="E2531" i="1"/>
  <c r="C2521" i="1"/>
  <c r="D2521" i="1"/>
  <c r="E2521" i="1"/>
  <c r="C2522" i="1"/>
  <c r="D2522" i="1"/>
  <c r="E2522" i="1"/>
  <c r="C2523" i="1"/>
  <c r="D2523" i="1"/>
  <c r="E2523" i="1"/>
  <c r="C2524" i="1"/>
  <c r="D2524" i="1"/>
  <c r="E2524" i="1"/>
  <c r="C2525" i="1"/>
  <c r="D2525" i="1"/>
  <c r="E2525" i="1"/>
  <c r="C2526" i="1"/>
  <c r="D2526" i="1"/>
  <c r="E2526" i="1"/>
  <c r="C2527" i="1"/>
  <c r="D2527" i="1"/>
  <c r="E2527" i="1"/>
  <c r="C2528" i="1"/>
  <c r="D2528" i="1"/>
  <c r="E2528" i="1"/>
  <c r="C2529" i="1"/>
  <c r="D2529" i="1"/>
  <c r="E2529" i="1"/>
  <c r="C2530" i="1"/>
  <c r="D2530" i="1"/>
  <c r="E2530" i="1"/>
  <c r="C2531" i="1"/>
  <c r="D2531" i="1"/>
  <c r="C2532" i="1"/>
  <c r="D2532" i="1"/>
  <c r="E2532" i="1"/>
  <c r="C2533" i="1"/>
  <c r="D2533" i="1"/>
  <c r="E2533" i="1"/>
  <c r="C2534" i="1"/>
  <c r="D2534" i="1"/>
  <c r="E2534" i="1"/>
  <c r="C2535" i="1"/>
  <c r="D2535" i="1"/>
  <c r="E2535" i="1"/>
  <c r="C2536" i="1"/>
  <c r="D2536" i="1"/>
  <c r="E2536" i="1"/>
  <c r="C2537" i="1"/>
  <c r="D2537" i="1"/>
  <c r="E2537" i="1"/>
  <c r="C2538" i="1"/>
  <c r="D2538" i="1"/>
  <c r="E2538" i="1"/>
  <c r="C2539" i="1"/>
  <c r="D2539" i="1"/>
  <c r="E2539" i="1"/>
  <c r="C2540" i="1"/>
  <c r="D2540" i="1"/>
  <c r="E2540" i="1"/>
  <c r="C2509" i="1"/>
  <c r="D2509" i="1"/>
  <c r="E2509" i="1"/>
  <c r="C2510" i="1"/>
  <c r="D2510" i="1"/>
  <c r="E2510" i="1"/>
  <c r="C2511" i="1"/>
  <c r="D2511" i="1"/>
  <c r="E2511" i="1"/>
  <c r="C2512" i="1"/>
  <c r="D2512" i="1"/>
  <c r="E2512" i="1"/>
  <c r="C2513" i="1"/>
  <c r="D2513" i="1"/>
  <c r="E2513" i="1"/>
  <c r="C2514" i="1"/>
  <c r="D2514" i="1"/>
  <c r="E2514" i="1"/>
  <c r="C2515" i="1"/>
  <c r="D2515" i="1"/>
  <c r="E2515" i="1"/>
  <c r="C2516" i="1"/>
  <c r="D2516" i="1"/>
  <c r="E2516" i="1"/>
  <c r="C2517" i="1"/>
  <c r="D2517" i="1"/>
  <c r="E2517" i="1"/>
  <c r="C2518" i="1"/>
  <c r="D2518" i="1"/>
  <c r="E2518" i="1"/>
  <c r="C2519" i="1"/>
  <c r="D2519" i="1"/>
  <c r="E2519" i="1"/>
  <c r="C2520" i="1"/>
  <c r="D2520" i="1"/>
  <c r="E2520" i="1"/>
  <c r="C2463" i="1"/>
  <c r="D2463" i="1"/>
  <c r="E2463" i="1"/>
  <c r="C2464" i="1"/>
  <c r="D2464" i="1"/>
  <c r="E2464" i="1"/>
  <c r="C2465" i="1"/>
  <c r="D2465" i="1"/>
  <c r="E2465" i="1"/>
  <c r="C2466" i="1"/>
  <c r="D2466" i="1"/>
  <c r="E2466" i="1"/>
  <c r="C2467" i="1"/>
  <c r="D2467" i="1"/>
  <c r="E2467" i="1"/>
  <c r="C2468" i="1"/>
  <c r="D2468" i="1"/>
  <c r="E2468" i="1"/>
  <c r="C2469" i="1"/>
  <c r="D2469" i="1"/>
  <c r="E2469" i="1"/>
  <c r="C2470" i="1"/>
  <c r="D2470" i="1"/>
  <c r="E2470" i="1"/>
  <c r="C2471" i="1"/>
  <c r="D2471" i="1"/>
  <c r="E2471" i="1"/>
  <c r="C2472" i="1"/>
  <c r="D2472" i="1"/>
  <c r="E2472" i="1"/>
  <c r="C2473" i="1"/>
  <c r="D2473" i="1"/>
  <c r="E2473" i="1"/>
  <c r="C2474" i="1"/>
  <c r="D2474" i="1"/>
  <c r="E2474" i="1"/>
  <c r="C2475" i="1"/>
  <c r="D2475" i="1"/>
  <c r="E2475" i="1"/>
  <c r="C2476" i="1"/>
  <c r="D2476" i="1"/>
  <c r="E2476" i="1"/>
  <c r="C2477" i="1"/>
  <c r="D2477" i="1"/>
  <c r="E2477" i="1"/>
  <c r="C2478" i="1"/>
  <c r="D2478" i="1"/>
  <c r="E2478" i="1"/>
  <c r="C2479" i="1"/>
  <c r="D2479" i="1"/>
  <c r="E2479" i="1"/>
  <c r="C2480" i="1"/>
  <c r="D2480" i="1"/>
  <c r="E2480" i="1"/>
  <c r="C2481" i="1"/>
  <c r="D2481" i="1"/>
  <c r="E2481" i="1"/>
  <c r="C2482" i="1"/>
  <c r="D2482" i="1"/>
  <c r="E2482" i="1"/>
  <c r="C2483" i="1"/>
  <c r="D2483" i="1"/>
  <c r="E2483" i="1"/>
  <c r="C2484" i="1"/>
  <c r="D2484" i="1"/>
  <c r="E2484" i="1"/>
  <c r="C2485" i="1"/>
  <c r="D2485" i="1"/>
  <c r="E2485" i="1"/>
  <c r="C2486" i="1"/>
  <c r="D2486" i="1"/>
  <c r="E2486" i="1"/>
  <c r="C2487" i="1"/>
  <c r="D2487" i="1"/>
  <c r="E2487" i="1"/>
  <c r="C2488" i="1"/>
  <c r="D2488" i="1"/>
  <c r="E2488" i="1"/>
  <c r="C2489" i="1"/>
  <c r="D2489" i="1"/>
  <c r="E2489" i="1"/>
  <c r="C2490" i="1"/>
  <c r="D2490" i="1"/>
  <c r="E2490" i="1"/>
  <c r="C2491" i="1"/>
  <c r="D2491" i="1"/>
  <c r="E2491" i="1"/>
  <c r="C2492" i="1"/>
  <c r="D2492" i="1"/>
  <c r="E2492" i="1"/>
  <c r="C2493" i="1"/>
  <c r="D2493" i="1"/>
  <c r="E2493" i="1"/>
  <c r="C2494" i="1"/>
  <c r="D2494" i="1"/>
  <c r="E2494" i="1"/>
  <c r="C2495" i="1"/>
  <c r="D2495" i="1"/>
  <c r="E2495" i="1"/>
  <c r="C2496" i="1"/>
  <c r="D2496" i="1"/>
  <c r="E2496" i="1"/>
  <c r="C2497" i="1"/>
  <c r="D2497" i="1"/>
  <c r="E2497" i="1"/>
  <c r="C2498" i="1"/>
  <c r="D2498" i="1"/>
  <c r="E2498" i="1"/>
  <c r="C2499" i="1"/>
  <c r="D2499" i="1"/>
  <c r="E2499" i="1"/>
  <c r="C2500" i="1"/>
  <c r="D2500" i="1"/>
  <c r="E2500" i="1"/>
  <c r="C2501" i="1"/>
  <c r="D2501" i="1"/>
  <c r="E2501" i="1"/>
  <c r="C2502" i="1"/>
  <c r="D2502" i="1"/>
  <c r="E2502" i="1"/>
  <c r="C2503" i="1"/>
  <c r="D2503" i="1"/>
  <c r="E2503" i="1"/>
  <c r="C2504" i="1"/>
  <c r="D2504" i="1"/>
  <c r="E2504" i="1"/>
  <c r="C2505" i="1"/>
  <c r="D2505" i="1"/>
  <c r="E2505" i="1"/>
  <c r="C2506" i="1"/>
  <c r="D2506" i="1"/>
  <c r="E2506" i="1"/>
  <c r="C2507" i="1"/>
  <c r="D2507" i="1"/>
  <c r="E2507" i="1"/>
  <c r="C2508" i="1"/>
  <c r="D2508" i="1"/>
  <c r="E2508" i="1"/>
  <c r="C2455" i="1"/>
  <c r="D2455" i="1"/>
  <c r="E2455" i="1"/>
  <c r="C2456" i="1"/>
  <c r="D2456" i="1"/>
  <c r="E2456" i="1"/>
  <c r="C2457" i="1"/>
  <c r="D2457" i="1"/>
  <c r="E2457" i="1"/>
  <c r="C2458" i="1"/>
  <c r="D2458" i="1"/>
  <c r="E2458" i="1"/>
  <c r="C2459" i="1"/>
  <c r="D2459" i="1"/>
  <c r="E2459" i="1"/>
  <c r="C2460" i="1"/>
  <c r="D2460" i="1"/>
  <c r="E2460" i="1"/>
  <c r="C2461" i="1"/>
  <c r="D2461" i="1"/>
  <c r="E2461" i="1"/>
  <c r="C2462" i="1"/>
  <c r="D2462" i="1"/>
  <c r="E2462" i="1"/>
  <c r="C2440" i="1"/>
  <c r="D2440" i="1"/>
  <c r="E2440" i="1"/>
  <c r="C2441" i="1"/>
  <c r="D2441" i="1"/>
  <c r="E2441" i="1"/>
  <c r="C2442" i="1"/>
  <c r="D2442" i="1"/>
  <c r="E2442" i="1"/>
  <c r="C2443" i="1"/>
  <c r="D2443" i="1"/>
  <c r="E2443" i="1"/>
  <c r="C2444" i="1"/>
  <c r="D2444" i="1"/>
  <c r="E2444" i="1"/>
  <c r="C2445" i="1"/>
  <c r="D2445" i="1"/>
  <c r="E2445" i="1"/>
  <c r="C2446" i="1"/>
  <c r="D2446" i="1"/>
  <c r="E2446" i="1"/>
  <c r="C2447" i="1"/>
  <c r="D2447" i="1"/>
  <c r="E2447" i="1"/>
  <c r="C2448" i="1"/>
  <c r="D2448" i="1"/>
  <c r="E2448" i="1"/>
  <c r="C2449" i="1"/>
  <c r="D2449" i="1"/>
  <c r="E2449" i="1"/>
  <c r="C2450" i="1"/>
  <c r="D2450" i="1"/>
  <c r="E2450" i="1"/>
  <c r="C2451" i="1"/>
  <c r="D2451" i="1"/>
  <c r="E2451" i="1"/>
  <c r="C2452" i="1"/>
  <c r="D2452" i="1"/>
  <c r="E2452" i="1"/>
  <c r="C2453" i="1"/>
  <c r="D2453" i="1"/>
  <c r="E2453" i="1"/>
  <c r="C2454" i="1"/>
  <c r="D2454" i="1"/>
  <c r="E2454" i="1"/>
  <c r="C2432" i="1"/>
  <c r="D2432" i="1"/>
  <c r="E2432" i="1"/>
  <c r="C2433" i="1"/>
  <c r="D2433" i="1"/>
  <c r="E2433" i="1"/>
  <c r="C2434" i="1"/>
  <c r="D2434" i="1"/>
  <c r="E2434" i="1"/>
  <c r="C2435" i="1"/>
  <c r="D2435" i="1"/>
  <c r="E2435" i="1"/>
  <c r="C2436" i="1"/>
  <c r="D2436" i="1"/>
  <c r="E2436" i="1"/>
  <c r="C2437" i="1"/>
  <c r="D2437" i="1"/>
  <c r="E2437" i="1"/>
  <c r="C2438" i="1"/>
  <c r="D2438" i="1"/>
  <c r="E2438" i="1"/>
  <c r="C2439" i="1"/>
  <c r="D2439" i="1"/>
  <c r="E2439" i="1"/>
  <c r="C2424" i="1"/>
  <c r="D2424" i="1"/>
  <c r="E2424" i="1"/>
  <c r="C2425" i="1"/>
  <c r="D2425" i="1"/>
  <c r="E2425" i="1"/>
  <c r="C2426" i="1"/>
  <c r="D2426" i="1"/>
  <c r="E2426" i="1"/>
  <c r="C2427" i="1"/>
  <c r="D2427" i="1"/>
  <c r="E2427" i="1"/>
  <c r="C2428" i="1"/>
  <c r="D2428" i="1"/>
  <c r="E2428" i="1"/>
  <c r="C2429" i="1"/>
  <c r="D2429" i="1"/>
  <c r="E2429" i="1"/>
  <c r="C2430" i="1"/>
  <c r="D2430" i="1"/>
  <c r="E2430" i="1"/>
  <c r="C2431" i="1"/>
  <c r="D2431" i="1"/>
  <c r="E2431" i="1"/>
  <c r="F1773" i="4"/>
  <c r="D1773" i="4"/>
  <c r="C1773" i="4"/>
  <c r="B1773" i="4"/>
  <c r="F1772" i="4"/>
  <c r="D1772" i="4"/>
  <c r="C1772" i="4"/>
  <c r="B1772" i="4"/>
  <c r="F1771" i="4"/>
  <c r="D1771" i="4"/>
  <c r="C1771" i="4"/>
  <c r="B1771" i="4"/>
  <c r="F1770" i="4"/>
  <c r="D1770" i="4"/>
  <c r="C1770" i="4"/>
  <c r="B1770" i="4"/>
  <c r="F1769" i="4"/>
  <c r="D1769" i="4"/>
  <c r="C1769" i="4"/>
  <c r="B1769" i="4"/>
  <c r="F1768" i="4"/>
  <c r="D1768" i="4"/>
  <c r="C1768" i="4"/>
  <c r="B1768" i="4"/>
  <c r="F1767" i="4"/>
  <c r="D1767" i="4"/>
  <c r="C1767" i="4"/>
  <c r="B1767" i="4"/>
  <c r="F1766" i="4"/>
  <c r="D1766" i="4"/>
  <c r="C1766" i="4"/>
  <c r="B1766" i="4"/>
  <c r="F1765" i="4"/>
  <c r="D1765" i="4"/>
  <c r="C1765" i="4"/>
  <c r="B1765" i="4"/>
  <c r="F1764" i="4"/>
  <c r="D1764" i="4"/>
  <c r="C1764" i="4"/>
  <c r="B1764" i="4"/>
  <c r="F1763" i="4"/>
  <c r="D1763" i="4"/>
  <c r="C1763" i="4"/>
  <c r="B1763" i="4"/>
  <c r="F1762" i="4"/>
  <c r="D1762" i="4"/>
  <c r="C1762" i="4"/>
  <c r="B1762" i="4"/>
  <c r="F1761" i="4"/>
  <c r="D1761" i="4"/>
  <c r="C1761" i="4"/>
  <c r="B1761" i="4"/>
  <c r="F1760" i="4"/>
  <c r="D1760" i="4"/>
  <c r="C1760" i="4"/>
  <c r="B1760" i="4"/>
  <c r="F1759" i="4"/>
  <c r="D1759" i="4"/>
  <c r="C1759" i="4"/>
  <c r="B1759" i="4"/>
  <c r="F1758" i="4"/>
  <c r="D1758" i="4"/>
  <c r="C1758" i="4"/>
  <c r="B1758" i="4"/>
  <c r="F1757" i="4"/>
  <c r="D1757" i="4"/>
  <c r="C1757" i="4"/>
  <c r="B1757" i="4"/>
  <c r="F1756" i="4"/>
  <c r="D1756" i="4"/>
  <c r="C1756" i="4"/>
  <c r="B1756" i="4"/>
  <c r="F1755" i="4"/>
  <c r="D1755" i="4"/>
  <c r="C1755" i="4"/>
  <c r="B1755" i="4"/>
  <c r="F1754" i="4"/>
  <c r="D1754" i="4"/>
  <c r="C1754" i="4"/>
  <c r="B1754" i="4"/>
  <c r="F1753" i="4"/>
  <c r="D1753" i="4"/>
  <c r="C1753" i="4"/>
  <c r="B1753" i="4"/>
  <c r="F1752" i="4"/>
  <c r="D1752" i="4"/>
  <c r="C1752" i="4"/>
  <c r="B1752" i="4"/>
  <c r="F1751" i="4"/>
  <c r="D1751" i="4"/>
  <c r="C1751" i="4"/>
  <c r="B1751" i="4"/>
  <c r="F1750" i="4"/>
  <c r="D1750" i="4"/>
  <c r="C1750" i="4"/>
  <c r="B1750" i="4"/>
  <c r="F1749" i="4"/>
  <c r="D1749" i="4"/>
  <c r="C1749" i="4"/>
  <c r="B1749" i="4"/>
  <c r="F1748" i="4"/>
  <c r="D1748" i="4"/>
  <c r="C1748" i="4"/>
  <c r="B1748" i="4"/>
  <c r="F1747" i="4"/>
  <c r="D1747" i="4"/>
  <c r="C1747" i="4"/>
  <c r="B1747" i="4"/>
  <c r="F1746" i="4"/>
  <c r="D1746" i="4"/>
  <c r="C1746" i="4"/>
  <c r="B1746" i="4"/>
  <c r="F1745" i="4"/>
  <c r="D1745" i="4"/>
  <c r="C1745" i="4"/>
  <c r="B1745" i="4"/>
  <c r="F1744" i="4"/>
  <c r="D1744" i="4"/>
  <c r="C1744" i="4"/>
  <c r="B1744" i="4"/>
  <c r="F1743" i="4"/>
  <c r="D1743" i="4"/>
  <c r="C1743" i="4"/>
  <c r="B1743" i="4"/>
  <c r="F1742" i="4"/>
  <c r="D1742" i="4"/>
  <c r="C1742" i="4"/>
  <c r="B1742" i="4"/>
  <c r="F1741" i="4"/>
  <c r="D1741" i="4"/>
  <c r="C1741" i="4"/>
  <c r="B1741" i="4"/>
  <c r="F1740" i="4"/>
  <c r="D1740" i="4"/>
  <c r="C1740" i="4"/>
  <c r="B1740" i="4"/>
  <c r="F1739" i="4"/>
  <c r="D1739" i="4"/>
  <c r="C1739" i="4"/>
  <c r="B1739" i="4"/>
  <c r="F1738" i="4"/>
  <c r="D1738" i="4"/>
  <c r="C1738" i="4"/>
  <c r="B1738" i="4"/>
  <c r="F1737" i="4"/>
  <c r="D1737" i="4"/>
  <c r="C1737" i="4"/>
  <c r="B1737" i="4"/>
  <c r="F1736" i="4"/>
  <c r="D1736" i="4"/>
  <c r="C1736" i="4"/>
  <c r="B1736" i="4"/>
  <c r="F1735" i="4"/>
  <c r="D1735" i="4"/>
  <c r="C1735" i="4"/>
  <c r="B1735" i="4"/>
  <c r="F1734" i="4"/>
  <c r="D1734" i="4"/>
  <c r="C1734" i="4"/>
  <c r="B1734" i="4"/>
  <c r="F1733" i="4"/>
  <c r="D1733" i="4"/>
  <c r="C1733" i="4"/>
  <c r="B1733" i="4"/>
  <c r="F1732" i="4"/>
  <c r="D1732" i="4"/>
  <c r="C1732" i="4"/>
  <c r="B1732" i="4"/>
  <c r="F1731" i="4"/>
  <c r="D1731" i="4"/>
  <c r="C1731" i="4"/>
  <c r="B1731" i="4"/>
  <c r="F1730" i="4"/>
  <c r="D1730" i="4"/>
  <c r="C1730" i="4"/>
  <c r="B1730" i="4"/>
  <c r="F1729" i="4"/>
  <c r="D1729" i="4"/>
  <c r="C1729" i="4"/>
  <c r="B1729" i="4"/>
  <c r="F1728" i="4"/>
  <c r="D1728" i="4"/>
  <c r="C1728" i="4"/>
  <c r="B1728" i="4"/>
  <c r="F1727" i="4"/>
  <c r="D1727" i="4"/>
  <c r="C1727" i="4"/>
  <c r="B1727" i="4"/>
  <c r="F1726" i="4"/>
  <c r="D1726" i="4"/>
  <c r="C1726" i="4"/>
  <c r="B1726" i="4"/>
  <c r="F1725" i="4"/>
  <c r="D1725" i="4"/>
  <c r="C1725" i="4"/>
  <c r="B1725" i="4"/>
  <c r="F1724" i="4"/>
  <c r="D1724" i="4"/>
  <c r="C1724" i="4"/>
  <c r="B1724" i="4"/>
  <c r="F1723" i="4"/>
  <c r="D1723" i="4"/>
  <c r="C1723" i="4"/>
  <c r="B1723" i="4"/>
  <c r="F1722" i="4"/>
  <c r="D1722" i="4"/>
  <c r="C1722" i="4"/>
  <c r="B1722" i="4"/>
  <c r="F1721" i="4"/>
  <c r="D1721" i="4"/>
  <c r="C1721" i="4"/>
  <c r="B1721" i="4"/>
  <c r="F1720" i="4"/>
  <c r="D1720" i="4"/>
  <c r="C1720" i="4"/>
  <c r="B1720" i="4"/>
  <c r="F1719" i="4"/>
  <c r="D1719" i="4"/>
  <c r="C1719" i="4"/>
  <c r="B1719" i="4"/>
  <c r="F1718" i="4"/>
  <c r="D1718" i="4"/>
  <c r="C1718" i="4"/>
  <c r="B1718" i="4"/>
  <c r="F1717" i="4"/>
  <c r="D1717" i="4"/>
  <c r="C1717" i="4"/>
  <c r="B1717" i="4"/>
  <c r="F1716" i="4"/>
  <c r="D1716" i="4"/>
  <c r="C1716" i="4"/>
  <c r="B1716" i="4"/>
  <c r="F1715" i="4"/>
  <c r="D1715" i="4"/>
  <c r="C1715" i="4"/>
  <c r="B1715" i="4"/>
  <c r="F1714" i="4"/>
  <c r="D1714" i="4"/>
  <c r="C1714" i="4"/>
  <c r="B1714" i="4"/>
  <c r="F1713" i="4"/>
  <c r="D1713" i="4"/>
  <c r="C1713" i="4"/>
  <c r="B1713" i="4"/>
  <c r="F1712" i="4"/>
  <c r="D1712" i="4"/>
  <c r="C1712" i="4"/>
  <c r="B1712" i="4"/>
  <c r="F1711" i="4"/>
  <c r="D1711" i="4"/>
  <c r="C1711" i="4"/>
  <c r="B1711" i="4"/>
  <c r="F1710" i="4"/>
  <c r="D1710" i="4"/>
  <c r="C1710" i="4"/>
  <c r="B1710" i="4"/>
  <c r="F1709" i="4"/>
  <c r="D1709" i="4"/>
  <c r="C1709" i="4"/>
  <c r="B1709" i="4"/>
  <c r="F1708" i="4"/>
  <c r="D1708" i="4"/>
  <c r="C1708" i="4"/>
  <c r="B1708" i="4"/>
  <c r="F1707" i="4"/>
  <c r="D1707" i="4"/>
  <c r="C1707" i="4"/>
  <c r="B1707" i="4"/>
  <c r="F1706" i="4"/>
  <c r="D1706" i="4"/>
  <c r="C1706" i="4"/>
  <c r="B1706" i="4"/>
  <c r="F1705" i="4"/>
  <c r="D1705" i="4"/>
  <c r="C1705" i="4"/>
  <c r="B1705" i="4"/>
  <c r="F1704" i="4"/>
  <c r="D1704" i="4"/>
  <c r="C1704" i="4"/>
  <c r="B1704" i="4"/>
  <c r="F1703" i="4"/>
  <c r="D1703" i="4"/>
  <c r="C1703" i="4"/>
  <c r="B1703" i="4"/>
  <c r="F1702" i="4"/>
  <c r="D1702" i="4"/>
  <c r="C1702" i="4"/>
  <c r="B1702" i="4"/>
  <c r="F1701" i="4"/>
  <c r="D1701" i="4"/>
  <c r="C1701" i="4"/>
  <c r="B1701" i="4"/>
  <c r="F1700" i="4"/>
  <c r="D1700" i="4"/>
  <c r="C1700" i="4"/>
  <c r="B1700" i="4"/>
  <c r="F1699" i="4"/>
  <c r="D1699" i="4"/>
  <c r="C1699" i="4"/>
  <c r="B1699" i="4"/>
  <c r="F1698" i="4"/>
  <c r="D1698" i="4"/>
  <c r="C1698" i="4"/>
  <c r="B1698" i="4"/>
  <c r="F1697" i="4"/>
  <c r="D1697" i="4"/>
  <c r="C1697" i="4"/>
  <c r="B1697" i="4"/>
  <c r="F1696" i="4"/>
  <c r="D1696" i="4"/>
  <c r="C1696" i="4"/>
  <c r="B1696" i="4"/>
  <c r="F1695" i="4"/>
  <c r="D1695" i="4"/>
  <c r="C1695" i="4"/>
  <c r="B1695" i="4"/>
  <c r="F1694" i="4"/>
  <c r="D1694" i="4"/>
  <c r="C1694" i="4"/>
  <c r="B1694" i="4"/>
  <c r="F1693" i="4"/>
  <c r="D1693" i="4"/>
  <c r="C1693" i="4"/>
  <c r="B1693" i="4"/>
  <c r="F1692" i="4"/>
  <c r="D1692" i="4"/>
  <c r="C1692" i="4"/>
  <c r="B1692" i="4"/>
  <c r="F1691" i="4"/>
  <c r="D1691" i="4"/>
  <c r="C1691" i="4"/>
  <c r="B1691" i="4"/>
  <c r="F1690" i="4"/>
  <c r="D1690" i="4"/>
  <c r="C1690" i="4"/>
  <c r="B1690" i="4"/>
  <c r="F1689" i="4"/>
  <c r="D1689" i="4"/>
  <c r="C1689" i="4"/>
  <c r="B1689" i="4"/>
  <c r="F1688" i="4"/>
  <c r="D1688" i="4"/>
  <c r="C1688" i="4"/>
  <c r="B1688" i="4"/>
  <c r="F1687" i="4"/>
  <c r="D1687" i="4"/>
  <c r="C1687" i="4"/>
  <c r="B1687" i="4"/>
  <c r="F1686" i="4"/>
  <c r="D1686" i="4"/>
  <c r="C1686" i="4"/>
  <c r="B1686" i="4"/>
  <c r="F1685" i="4"/>
  <c r="D1685" i="4"/>
  <c r="C1685" i="4"/>
  <c r="B1685" i="4"/>
  <c r="F1684" i="4"/>
  <c r="D1684" i="4"/>
  <c r="C1684" i="4"/>
  <c r="B1684" i="4"/>
  <c r="F1683" i="4"/>
  <c r="D1683" i="4"/>
  <c r="C1683" i="4"/>
  <c r="B1683" i="4"/>
  <c r="F1682" i="4"/>
  <c r="D1682" i="4"/>
  <c r="C1682" i="4"/>
  <c r="B1682" i="4"/>
  <c r="F1681" i="4"/>
  <c r="D1681" i="4"/>
  <c r="C1681" i="4"/>
  <c r="B1681" i="4"/>
  <c r="F1680" i="4"/>
  <c r="D1680" i="4"/>
  <c r="C1680" i="4"/>
  <c r="B1680" i="4"/>
  <c r="F1679" i="4"/>
  <c r="D1679" i="4"/>
  <c r="C1679" i="4"/>
  <c r="B1679" i="4"/>
  <c r="F1678" i="4"/>
  <c r="D1678" i="4"/>
  <c r="C1678" i="4"/>
  <c r="B1678" i="4"/>
  <c r="F1677" i="4"/>
  <c r="D1677" i="4"/>
  <c r="C1677" i="4"/>
  <c r="B1677" i="4"/>
  <c r="F1676" i="4"/>
  <c r="D1676" i="4"/>
  <c r="C1676" i="4"/>
  <c r="B1676" i="4"/>
  <c r="F1675" i="4"/>
  <c r="D1675" i="4"/>
  <c r="C1675" i="4"/>
  <c r="B1675" i="4"/>
  <c r="F1674" i="4"/>
  <c r="D1674" i="4"/>
  <c r="C1674" i="4"/>
  <c r="B1674" i="4"/>
  <c r="F1673" i="4"/>
  <c r="D1673" i="4"/>
  <c r="C1673" i="4"/>
  <c r="B1673" i="4"/>
  <c r="F1672" i="4"/>
  <c r="D1672" i="4"/>
  <c r="C1672" i="4"/>
  <c r="B1672" i="4"/>
  <c r="F1671" i="4"/>
  <c r="D1671" i="4"/>
  <c r="C1671" i="4"/>
  <c r="B1671" i="4"/>
  <c r="F1670" i="4"/>
  <c r="D1670" i="4"/>
  <c r="C1670" i="4"/>
  <c r="B1670" i="4"/>
  <c r="F1669" i="4"/>
  <c r="D1669" i="4"/>
  <c r="C1669" i="4"/>
  <c r="B1669" i="4"/>
  <c r="F1668" i="4"/>
  <c r="D1668" i="4"/>
  <c r="C1668" i="4"/>
  <c r="B1668" i="4"/>
  <c r="F1667" i="4"/>
  <c r="D1667" i="4"/>
  <c r="C1667" i="4"/>
  <c r="B1667" i="4"/>
  <c r="F1666" i="4"/>
  <c r="D1666" i="4"/>
  <c r="C1666" i="4"/>
  <c r="B1666" i="4"/>
  <c r="F1665" i="4"/>
  <c r="D1665" i="4"/>
  <c r="C1665" i="4"/>
  <c r="B1665" i="4"/>
  <c r="F1664" i="4"/>
  <c r="D1664" i="4"/>
  <c r="C1664" i="4"/>
  <c r="B1664" i="4"/>
  <c r="F1663" i="4"/>
  <c r="D1663" i="4"/>
  <c r="C1663" i="4"/>
  <c r="B1663" i="4"/>
  <c r="F1662" i="4"/>
  <c r="D1662" i="4"/>
  <c r="C1662" i="4"/>
  <c r="B1662" i="4"/>
  <c r="F1661" i="4"/>
  <c r="D1661" i="4"/>
  <c r="C1661" i="4"/>
  <c r="B1661" i="4"/>
  <c r="F1660" i="4"/>
  <c r="D1660" i="4"/>
  <c r="C1660" i="4"/>
  <c r="B1660" i="4"/>
  <c r="F1659" i="4"/>
  <c r="D1659" i="4"/>
  <c r="C1659" i="4"/>
  <c r="B1659" i="4"/>
  <c r="F1658" i="4"/>
  <c r="D1658" i="4"/>
  <c r="C1658" i="4"/>
  <c r="B1658" i="4"/>
  <c r="F1657" i="4"/>
  <c r="D1657" i="4"/>
  <c r="C1657" i="4"/>
  <c r="B1657" i="4"/>
  <c r="F1656" i="4"/>
  <c r="D1656" i="4"/>
  <c r="C1656" i="4"/>
  <c r="B1656" i="4"/>
  <c r="F1655" i="4"/>
  <c r="D1655" i="4"/>
  <c r="C1655" i="4"/>
  <c r="B1655" i="4"/>
  <c r="F1654" i="4"/>
  <c r="D1654" i="4"/>
  <c r="C1654" i="4"/>
  <c r="B1654" i="4"/>
  <c r="F1653" i="4"/>
  <c r="D1653" i="4"/>
  <c r="C1653" i="4"/>
  <c r="B1653" i="4"/>
  <c r="F1652" i="4"/>
  <c r="D1652" i="4"/>
  <c r="C1652" i="4"/>
  <c r="B1652" i="4"/>
  <c r="F1651" i="4"/>
  <c r="D1651" i="4"/>
  <c r="C1651" i="4"/>
  <c r="B1651" i="4"/>
  <c r="F1650" i="4"/>
  <c r="D1650" i="4"/>
  <c r="C1650" i="4"/>
  <c r="B1650" i="4"/>
  <c r="F1649" i="4"/>
  <c r="D1649" i="4"/>
  <c r="C1649" i="4"/>
  <c r="B1649" i="4"/>
  <c r="F1648" i="4"/>
  <c r="D1648" i="4"/>
  <c r="C1648" i="4"/>
  <c r="B1648" i="4"/>
  <c r="F1647" i="4"/>
  <c r="D1647" i="4"/>
  <c r="C1647" i="4"/>
  <c r="B1647" i="4"/>
  <c r="F1646" i="4"/>
  <c r="D1646" i="4"/>
  <c r="C1646" i="4"/>
  <c r="B1646" i="4"/>
  <c r="F1645" i="4"/>
  <c r="D1645" i="4"/>
  <c r="C1645" i="4"/>
  <c r="B1645" i="4"/>
  <c r="F1644" i="4"/>
  <c r="D1644" i="4"/>
  <c r="C1644" i="4"/>
  <c r="B1644" i="4"/>
  <c r="F1643" i="4"/>
  <c r="D1643" i="4"/>
  <c r="C1643" i="4"/>
  <c r="B1643" i="4"/>
  <c r="F1642" i="4"/>
  <c r="D1642" i="4"/>
  <c r="C1642" i="4"/>
  <c r="B1642" i="4"/>
  <c r="F1641" i="4"/>
  <c r="D1641" i="4"/>
  <c r="C1641" i="4"/>
  <c r="B1641" i="4"/>
  <c r="F1640" i="4"/>
  <c r="D1640" i="4"/>
  <c r="C1640" i="4"/>
  <c r="B1640" i="4"/>
  <c r="F1639" i="4"/>
  <c r="D1639" i="4"/>
  <c r="C1639" i="4"/>
  <c r="B1639" i="4"/>
  <c r="F1638" i="4"/>
  <c r="D1638" i="4"/>
  <c r="C1638" i="4"/>
  <c r="B1638" i="4"/>
  <c r="F1637" i="4"/>
  <c r="D1637" i="4"/>
  <c r="C1637" i="4"/>
  <c r="B1637" i="4"/>
  <c r="F1636" i="4"/>
  <c r="D1636" i="4"/>
  <c r="C1636" i="4"/>
  <c r="B1636" i="4"/>
  <c r="F1635" i="4"/>
  <c r="D1635" i="4"/>
  <c r="C1635" i="4"/>
  <c r="B1635" i="4"/>
  <c r="F1634" i="4"/>
  <c r="D1634" i="4"/>
  <c r="C1634" i="4"/>
  <c r="B1634" i="4"/>
  <c r="F1633" i="4"/>
  <c r="D1633" i="4"/>
  <c r="C1633" i="4"/>
  <c r="B1633" i="4"/>
  <c r="F1632" i="4"/>
  <c r="D1632" i="4"/>
  <c r="C1632" i="4"/>
  <c r="B1632" i="4"/>
  <c r="F1631" i="4"/>
  <c r="D1631" i="4"/>
  <c r="C1631" i="4"/>
  <c r="B1631" i="4"/>
  <c r="F1630" i="4"/>
  <c r="D1630" i="4"/>
  <c r="C1630" i="4"/>
  <c r="B1630" i="4"/>
  <c r="F1629" i="4"/>
  <c r="D1629" i="4"/>
  <c r="C1629" i="4"/>
  <c r="B1629" i="4"/>
  <c r="F1628" i="4"/>
  <c r="D1628" i="4"/>
  <c r="C1628" i="4"/>
  <c r="B1628" i="4"/>
  <c r="F1627" i="4"/>
  <c r="D1627" i="4"/>
  <c r="C1627" i="4"/>
  <c r="B1627" i="4"/>
  <c r="F1626" i="4"/>
  <c r="D1626" i="4"/>
  <c r="C1626" i="4"/>
  <c r="B1626" i="4"/>
  <c r="F1625" i="4"/>
  <c r="D1625" i="4"/>
  <c r="C1625" i="4"/>
  <c r="B1625" i="4"/>
  <c r="F1624" i="4"/>
  <c r="D1624" i="4"/>
  <c r="C1624" i="4"/>
  <c r="B1624" i="4"/>
  <c r="F1623" i="4"/>
  <c r="D1623" i="4"/>
  <c r="C1623" i="4"/>
  <c r="B1623" i="4"/>
  <c r="F1622" i="4"/>
  <c r="D1622" i="4"/>
  <c r="C1622" i="4"/>
  <c r="B1622" i="4"/>
  <c r="F1621" i="4"/>
  <c r="D1621" i="4"/>
  <c r="C1621" i="4"/>
  <c r="B1621" i="4"/>
  <c r="F1620" i="4"/>
  <c r="D1620" i="4"/>
  <c r="C1620" i="4"/>
  <c r="B1620" i="4"/>
  <c r="F1619" i="4"/>
  <c r="D1619" i="4"/>
  <c r="C1619" i="4"/>
  <c r="B1619" i="4"/>
  <c r="F1618" i="4"/>
  <c r="D1618" i="4"/>
  <c r="C1618" i="4"/>
  <c r="B1618" i="4"/>
  <c r="F1617" i="4"/>
  <c r="D1617" i="4"/>
  <c r="C1617" i="4"/>
  <c r="B1617" i="4"/>
  <c r="F1616" i="4"/>
  <c r="D1616" i="4"/>
  <c r="C1616" i="4"/>
  <c r="B1616" i="4"/>
  <c r="F1615" i="4"/>
  <c r="D1615" i="4"/>
  <c r="C1615" i="4"/>
  <c r="B1615" i="4"/>
  <c r="F1614" i="4"/>
  <c r="D1614" i="4"/>
  <c r="C1614" i="4"/>
  <c r="B1614" i="4"/>
  <c r="F1613" i="4"/>
  <c r="D1613" i="4"/>
  <c r="C1613" i="4"/>
  <c r="B1613" i="4"/>
  <c r="F1612" i="4"/>
  <c r="D1612" i="4"/>
  <c r="C1612" i="4"/>
  <c r="B1612" i="4"/>
  <c r="F1611" i="4"/>
  <c r="D1611" i="4"/>
  <c r="C1611" i="4"/>
  <c r="B1611" i="4"/>
  <c r="F1610" i="4"/>
  <c r="D1610" i="4"/>
  <c r="C1610" i="4"/>
  <c r="B1610" i="4"/>
  <c r="F1609" i="4"/>
  <c r="D1609" i="4"/>
  <c r="C1609" i="4"/>
  <c r="B1609" i="4"/>
  <c r="F1608" i="4"/>
  <c r="D1608" i="4"/>
  <c r="C1608" i="4"/>
  <c r="B1608" i="4"/>
  <c r="F1607" i="4"/>
  <c r="D1607" i="4"/>
  <c r="C1607" i="4"/>
  <c r="B1607" i="4"/>
  <c r="F1606" i="4"/>
  <c r="D1606" i="4"/>
  <c r="C1606" i="4"/>
  <c r="B1606" i="4"/>
  <c r="F1605" i="4"/>
  <c r="D1605" i="4"/>
  <c r="C1605" i="4"/>
  <c r="B1605" i="4"/>
  <c r="F1604" i="4"/>
  <c r="D1604" i="4"/>
  <c r="C1604" i="4"/>
  <c r="B1604" i="4"/>
  <c r="F1603" i="4"/>
  <c r="D1603" i="4"/>
  <c r="C1603" i="4"/>
  <c r="B1603" i="4"/>
  <c r="F1602" i="4"/>
  <c r="D1602" i="4"/>
  <c r="C1602" i="4"/>
  <c r="B1602" i="4"/>
  <c r="F1601" i="4"/>
  <c r="D1601" i="4"/>
  <c r="C1601" i="4"/>
  <c r="B1601" i="4"/>
  <c r="F1600" i="4"/>
  <c r="D1600" i="4"/>
  <c r="C1600" i="4"/>
  <c r="B1600" i="4"/>
  <c r="F1599" i="4"/>
  <c r="D1599" i="4"/>
  <c r="C1599" i="4"/>
  <c r="B1599" i="4"/>
  <c r="F1598" i="4"/>
  <c r="D1598" i="4"/>
  <c r="C1598" i="4"/>
  <c r="B1598" i="4"/>
  <c r="F1597" i="4"/>
  <c r="D1597" i="4"/>
  <c r="C1597" i="4"/>
  <c r="B1597" i="4"/>
  <c r="F1596" i="4"/>
  <c r="D1596" i="4"/>
  <c r="C1596" i="4"/>
  <c r="B1596" i="4"/>
  <c r="F1595" i="4"/>
  <c r="D1595" i="4"/>
  <c r="C1595" i="4"/>
  <c r="B1595" i="4"/>
  <c r="F1594" i="4"/>
  <c r="D1594" i="4"/>
  <c r="C1594" i="4"/>
  <c r="B1594" i="4"/>
  <c r="F1593" i="4"/>
  <c r="D1593" i="4"/>
  <c r="C1593" i="4"/>
  <c r="B1593" i="4"/>
  <c r="F1592" i="4"/>
  <c r="D1592" i="4"/>
  <c r="C1592" i="4"/>
  <c r="B1592" i="4"/>
  <c r="F1591" i="4"/>
  <c r="D1591" i="4"/>
  <c r="C1591" i="4"/>
  <c r="B1591" i="4"/>
  <c r="F1590" i="4"/>
  <c r="D1590" i="4"/>
  <c r="C1590" i="4"/>
  <c r="B1590" i="4"/>
  <c r="F1589" i="4"/>
  <c r="D1589" i="4"/>
  <c r="C1589" i="4"/>
  <c r="B1589" i="4"/>
  <c r="F1588" i="4"/>
  <c r="D1588" i="4"/>
  <c r="C1588" i="4"/>
  <c r="B1588" i="4"/>
  <c r="F1587" i="4"/>
  <c r="D1587" i="4"/>
  <c r="C1587" i="4"/>
  <c r="B1587" i="4"/>
  <c r="F1586" i="4"/>
  <c r="D1586" i="4"/>
  <c r="C1586" i="4"/>
  <c r="B1586" i="4"/>
  <c r="F1585" i="4"/>
  <c r="D1585" i="4"/>
  <c r="C1585" i="4"/>
  <c r="B1585" i="4"/>
  <c r="F1584" i="4"/>
  <c r="D1584" i="4"/>
  <c r="C1584" i="4"/>
  <c r="B1584" i="4"/>
  <c r="F1583" i="4"/>
  <c r="D1583" i="4"/>
  <c r="C1583" i="4"/>
  <c r="B1583" i="4"/>
  <c r="F1582" i="4"/>
  <c r="D1582" i="4"/>
  <c r="C1582" i="4"/>
  <c r="B1582" i="4"/>
  <c r="F1581" i="4"/>
  <c r="D1581" i="4"/>
  <c r="C1581" i="4"/>
  <c r="B1581" i="4"/>
  <c r="F1580" i="4"/>
  <c r="D1580" i="4"/>
  <c r="C1580" i="4"/>
  <c r="B1580" i="4"/>
  <c r="F1579" i="4"/>
  <c r="D1579" i="4"/>
  <c r="C1579" i="4"/>
  <c r="B1579" i="4"/>
  <c r="F1578" i="4"/>
  <c r="D1578" i="4"/>
  <c r="C1578" i="4"/>
  <c r="B1578" i="4"/>
  <c r="F1577" i="4"/>
  <c r="D1577" i="4"/>
  <c r="C1577" i="4"/>
  <c r="B1577" i="4"/>
  <c r="F1576" i="4"/>
  <c r="D1576" i="4"/>
  <c r="C1576" i="4"/>
  <c r="B1576" i="4"/>
  <c r="F1575" i="4"/>
  <c r="D1575" i="4"/>
  <c r="C1575" i="4"/>
  <c r="B1575" i="4"/>
  <c r="F1574" i="4"/>
  <c r="D1574" i="4"/>
  <c r="C1574" i="4"/>
  <c r="B1574" i="4"/>
  <c r="F1573" i="4"/>
  <c r="D1573" i="4"/>
  <c r="C1573" i="4"/>
  <c r="B1573" i="4"/>
  <c r="F1572" i="4"/>
  <c r="D1572" i="4"/>
  <c r="C1572" i="4"/>
  <c r="B1572" i="4"/>
  <c r="F1571" i="4"/>
  <c r="D1571" i="4"/>
  <c r="C1571" i="4"/>
  <c r="B1571" i="4"/>
  <c r="F1570" i="4"/>
  <c r="D1570" i="4"/>
  <c r="C1570" i="4"/>
  <c r="B1570" i="4"/>
  <c r="F1569" i="4"/>
  <c r="D1569" i="4"/>
  <c r="C1569" i="4"/>
  <c r="B1569" i="4"/>
  <c r="F1568" i="4"/>
  <c r="D1568" i="4"/>
  <c r="C1568" i="4"/>
  <c r="B1568" i="4"/>
  <c r="F1567" i="4"/>
  <c r="D1567" i="4"/>
  <c r="C1567" i="4"/>
  <c r="B1567" i="4"/>
  <c r="F1566" i="4"/>
  <c r="D1566" i="4"/>
  <c r="C1566" i="4"/>
  <c r="B1566" i="4"/>
  <c r="F1565" i="4"/>
  <c r="D1565" i="4"/>
  <c r="C1565" i="4"/>
  <c r="B1565" i="4"/>
  <c r="F1564" i="4"/>
  <c r="D1564" i="4"/>
  <c r="C1564" i="4"/>
  <c r="B1564" i="4"/>
  <c r="F1563" i="4"/>
  <c r="D1563" i="4"/>
  <c r="C1563" i="4"/>
  <c r="B1563" i="4"/>
  <c r="F1562" i="4"/>
  <c r="D1562" i="4"/>
  <c r="C1562" i="4"/>
  <c r="B1562" i="4"/>
  <c r="F1561" i="4"/>
  <c r="D1561" i="4"/>
  <c r="C1561" i="4"/>
  <c r="B1561" i="4"/>
  <c r="F1560" i="4"/>
  <c r="D1560" i="4"/>
  <c r="C1560" i="4"/>
  <c r="B1560" i="4"/>
  <c r="F1559" i="4"/>
  <c r="D1559" i="4"/>
  <c r="C1559" i="4"/>
  <c r="B1559" i="4"/>
  <c r="F1558" i="4"/>
  <c r="D1558" i="4"/>
  <c r="C1558" i="4"/>
  <c r="B1558" i="4"/>
  <c r="F1557" i="4"/>
  <c r="D1557" i="4"/>
  <c r="C1557" i="4"/>
  <c r="B1557" i="4"/>
  <c r="F1556" i="4"/>
  <c r="D1556" i="4"/>
  <c r="C1556" i="4"/>
  <c r="B1556" i="4"/>
  <c r="F1555" i="4"/>
  <c r="D1555" i="4"/>
  <c r="C1555" i="4"/>
  <c r="B1555" i="4"/>
  <c r="F1554" i="4"/>
  <c r="D1554" i="4"/>
  <c r="C1554" i="4"/>
  <c r="B1554" i="4"/>
  <c r="F1553" i="4"/>
  <c r="D1553" i="4"/>
  <c r="C1553" i="4"/>
  <c r="B1553" i="4"/>
  <c r="F1552" i="4"/>
  <c r="D1552" i="4"/>
  <c r="C1552" i="4"/>
  <c r="B1552" i="4"/>
  <c r="F1551" i="4"/>
  <c r="D1551" i="4"/>
  <c r="C1551" i="4"/>
  <c r="B1551" i="4"/>
  <c r="F1550" i="4"/>
  <c r="D1550" i="4"/>
  <c r="C1550" i="4"/>
  <c r="B1550" i="4"/>
  <c r="F1549" i="4"/>
  <c r="D1549" i="4"/>
  <c r="C1549" i="4"/>
  <c r="B1549" i="4"/>
  <c r="F1548" i="4"/>
  <c r="D1548" i="4"/>
  <c r="C1548" i="4"/>
  <c r="B1548" i="4"/>
  <c r="F1547" i="4"/>
  <c r="D1547" i="4"/>
  <c r="C1547" i="4"/>
  <c r="B1547" i="4"/>
  <c r="F1546" i="4"/>
  <c r="D1546" i="4"/>
  <c r="C1546" i="4"/>
  <c r="B1546" i="4"/>
  <c r="F1545" i="4"/>
  <c r="D1545" i="4"/>
  <c r="C1545" i="4"/>
  <c r="B1545" i="4"/>
  <c r="F1544" i="4"/>
  <c r="D1544" i="4"/>
  <c r="C1544" i="4"/>
  <c r="B1544" i="4"/>
  <c r="F1543" i="4"/>
  <c r="D1543" i="4"/>
  <c r="C1543" i="4"/>
  <c r="B1543" i="4"/>
  <c r="F1542" i="4"/>
  <c r="D1542" i="4"/>
  <c r="C1542" i="4"/>
  <c r="B1542" i="4"/>
  <c r="F1541" i="4"/>
  <c r="D1541" i="4"/>
  <c r="C1541" i="4"/>
  <c r="B1541" i="4"/>
  <c r="F1540" i="4"/>
  <c r="D1540" i="4"/>
  <c r="C1540" i="4"/>
  <c r="B1540" i="4"/>
  <c r="F1539" i="4"/>
  <c r="D1539" i="4"/>
  <c r="C1539" i="4"/>
  <c r="B1539" i="4"/>
  <c r="F1538" i="4"/>
  <c r="D1538" i="4"/>
  <c r="C1538" i="4"/>
  <c r="B1538" i="4"/>
  <c r="F1537" i="4"/>
  <c r="D1537" i="4"/>
  <c r="C1537" i="4"/>
  <c r="B1537" i="4"/>
  <c r="F1536" i="4"/>
  <c r="D1536" i="4"/>
  <c r="C1536" i="4"/>
  <c r="B1536" i="4"/>
  <c r="F1535" i="4"/>
  <c r="D1535" i="4"/>
  <c r="C1535" i="4"/>
  <c r="B1535" i="4"/>
  <c r="F1534" i="4"/>
  <c r="D1534" i="4"/>
  <c r="C1534" i="4"/>
  <c r="B1534" i="4"/>
  <c r="F1533" i="4"/>
  <c r="D1533" i="4"/>
  <c r="C1533" i="4"/>
  <c r="B1533" i="4"/>
  <c r="F1532" i="4"/>
  <c r="D1532" i="4"/>
  <c r="C1532" i="4"/>
  <c r="B1532" i="4"/>
  <c r="F1531" i="4"/>
  <c r="D1531" i="4"/>
  <c r="C1531" i="4"/>
  <c r="B1531" i="4"/>
  <c r="F1530" i="4"/>
  <c r="D1530" i="4"/>
  <c r="C1530" i="4"/>
  <c r="B1530" i="4"/>
  <c r="F1529" i="4"/>
  <c r="D1529" i="4"/>
  <c r="C1529" i="4"/>
  <c r="B1529" i="4"/>
  <c r="F1528" i="4"/>
  <c r="D1528" i="4"/>
  <c r="C1528" i="4"/>
  <c r="B1528" i="4"/>
  <c r="F1527" i="4"/>
  <c r="D1527" i="4"/>
  <c r="C1527" i="4"/>
  <c r="B1527" i="4"/>
  <c r="F1526" i="4"/>
  <c r="D1526" i="4"/>
  <c r="C1526" i="4"/>
  <c r="B1526" i="4"/>
  <c r="F1525" i="4"/>
  <c r="D1525" i="4"/>
  <c r="C1525" i="4"/>
  <c r="B1525" i="4"/>
  <c r="F1524" i="4"/>
  <c r="D1524" i="4"/>
  <c r="C1524" i="4"/>
  <c r="B1524" i="4"/>
  <c r="F1523" i="4"/>
  <c r="D1523" i="4"/>
  <c r="C1523" i="4"/>
  <c r="B1523" i="4"/>
  <c r="F1522" i="4"/>
  <c r="D1522" i="4"/>
  <c r="C1522" i="4"/>
  <c r="B1522" i="4"/>
  <c r="F1521" i="4"/>
  <c r="D1521" i="4"/>
  <c r="C1521" i="4"/>
  <c r="B1521" i="4"/>
  <c r="F1520" i="4"/>
  <c r="D1520" i="4"/>
  <c r="C1520" i="4"/>
  <c r="B1520" i="4"/>
  <c r="F1519" i="4"/>
  <c r="D1519" i="4"/>
  <c r="C1519" i="4"/>
  <c r="B1519" i="4"/>
  <c r="F1518" i="4"/>
  <c r="D1518" i="4"/>
  <c r="C1518" i="4"/>
  <c r="B1518" i="4"/>
  <c r="F1517" i="4"/>
  <c r="D1517" i="4"/>
  <c r="C1517" i="4"/>
  <c r="B1517" i="4"/>
  <c r="F1516" i="4"/>
  <c r="D1516" i="4"/>
  <c r="C1516" i="4"/>
  <c r="B1516" i="4"/>
  <c r="F1515" i="4"/>
  <c r="D1515" i="4"/>
  <c r="C1515" i="4"/>
  <c r="B1515" i="4"/>
  <c r="F1514" i="4"/>
  <c r="D1514" i="4"/>
  <c r="C1514" i="4"/>
  <c r="B1514" i="4"/>
  <c r="F1513" i="4"/>
  <c r="D1513" i="4"/>
  <c r="C1513" i="4"/>
  <c r="B1513" i="4"/>
  <c r="F1512" i="4"/>
  <c r="D1512" i="4"/>
  <c r="C1512" i="4"/>
  <c r="B1512" i="4"/>
  <c r="F1511" i="4"/>
  <c r="D1511" i="4"/>
  <c r="C1511" i="4"/>
  <c r="B1511" i="4"/>
  <c r="F1510" i="4"/>
  <c r="D1510" i="4"/>
  <c r="C1510" i="4"/>
  <c r="B1510" i="4"/>
  <c r="F1509" i="4"/>
  <c r="D1509" i="4"/>
  <c r="C1509" i="4"/>
  <c r="B1509" i="4"/>
  <c r="F1508" i="4"/>
  <c r="D1508" i="4"/>
  <c r="C1508" i="4"/>
  <c r="B1508" i="4"/>
  <c r="F1507" i="4"/>
  <c r="D1507" i="4"/>
  <c r="C1507" i="4"/>
  <c r="B1507" i="4"/>
  <c r="F1506" i="4"/>
  <c r="D1506" i="4"/>
  <c r="C1506" i="4"/>
  <c r="B1506" i="4"/>
  <c r="F1505" i="4"/>
  <c r="D1505" i="4"/>
  <c r="C1505" i="4"/>
  <c r="B1505" i="4"/>
  <c r="F1504" i="4"/>
  <c r="D1504" i="4"/>
  <c r="C1504" i="4"/>
  <c r="B1504" i="4"/>
  <c r="F1503" i="4"/>
  <c r="D1503" i="4"/>
  <c r="C1503" i="4"/>
  <c r="B1503" i="4"/>
  <c r="F1502" i="4"/>
  <c r="D1502" i="4"/>
  <c r="C1502" i="4"/>
  <c r="B1502" i="4"/>
  <c r="F1501" i="4"/>
  <c r="D1501" i="4"/>
  <c r="C1501" i="4"/>
  <c r="B1501" i="4"/>
  <c r="F1500" i="4"/>
  <c r="D1500" i="4"/>
  <c r="C1500" i="4"/>
  <c r="B1500" i="4"/>
  <c r="F1499" i="4"/>
  <c r="D1499" i="4"/>
  <c r="C1499" i="4"/>
  <c r="B1499" i="4"/>
  <c r="F1498" i="4"/>
  <c r="D1498" i="4"/>
  <c r="C1498" i="4"/>
  <c r="B1498" i="4"/>
  <c r="F1497" i="4"/>
  <c r="D1497" i="4"/>
  <c r="C1497" i="4"/>
  <c r="B1497" i="4"/>
  <c r="F1496" i="4"/>
  <c r="D1496" i="4"/>
  <c r="C1496" i="4"/>
  <c r="B1496" i="4"/>
  <c r="F1495" i="4"/>
  <c r="D1495" i="4"/>
  <c r="C1495" i="4"/>
  <c r="B1495" i="4"/>
  <c r="F1494" i="4"/>
  <c r="D1494" i="4"/>
  <c r="C1494" i="4"/>
  <c r="B1494" i="4"/>
  <c r="F1493" i="4"/>
  <c r="D1493" i="4"/>
  <c r="C1493" i="4"/>
  <c r="B1493" i="4"/>
  <c r="F1492" i="4"/>
  <c r="D1492" i="4"/>
  <c r="C1492" i="4"/>
  <c r="B1492" i="4"/>
  <c r="F1491" i="4"/>
  <c r="D1491" i="4"/>
  <c r="C1491" i="4"/>
  <c r="B1491" i="4"/>
  <c r="F1490" i="4"/>
  <c r="D1490" i="4"/>
  <c r="C1490" i="4"/>
  <c r="B1490" i="4"/>
  <c r="F1489" i="4"/>
  <c r="D1489" i="4"/>
  <c r="C1489" i="4"/>
  <c r="B1489" i="4"/>
  <c r="F1488" i="4"/>
  <c r="D1488" i="4"/>
  <c r="C1488" i="4"/>
  <c r="B1488" i="4"/>
  <c r="F1487" i="4"/>
  <c r="D1487" i="4"/>
  <c r="C1487" i="4"/>
  <c r="B1487" i="4"/>
  <c r="F1486" i="4"/>
  <c r="D1486" i="4"/>
  <c r="C1486" i="4"/>
  <c r="B1486" i="4"/>
  <c r="F1485" i="4"/>
  <c r="D1485" i="4"/>
  <c r="C1485" i="4"/>
  <c r="B1485" i="4"/>
  <c r="F1484" i="4"/>
  <c r="D1484" i="4"/>
  <c r="C1484" i="4"/>
  <c r="B1484" i="4"/>
  <c r="F1483" i="4"/>
  <c r="D1483" i="4"/>
  <c r="C1483" i="4"/>
  <c r="B1483" i="4"/>
  <c r="F1482" i="4"/>
  <c r="D1482" i="4"/>
  <c r="C1482" i="4"/>
  <c r="B1482" i="4"/>
  <c r="F1481" i="4"/>
  <c r="D1481" i="4"/>
  <c r="C1481" i="4"/>
  <c r="B1481" i="4"/>
  <c r="F1480" i="4"/>
  <c r="D1480" i="4"/>
  <c r="C1480" i="4"/>
  <c r="B1480" i="4"/>
  <c r="F1479" i="4"/>
  <c r="D1479" i="4"/>
  <c r="C1479" i="4"/>
  <c r="B1479" i="4"/>
  <c r="F1478" i="4"/>
  <c r="D1478" i="4"/>
  <c r="C1478" i="4"/>
  <c r="B1478" i="4"/>
  <c r="F1477" i="4"/>
  <c r="D1477" i="4"/>
  <c r="C1477" i="4"/>
  <c r="B1477" i="4"/>
  <c r="F1476" i="4"/>
  <c r="D1476" i="4"/>
  <c r="C1476" i="4"/>
  <c r="B1476" i="4"/>
  <c r="F1475" i="4"/>
  <c r="D1475" i="4"/>
  <c r="C1475" i="4"/>
  <c r="B1475" i="4"/>
  <c r="F1474" i="4"/>
  <c r="D1474" i="4"/>
  <c r="C1474" i="4"/>
  <c r="B1474" i="4"/>
  <c r="F1473" i="4"/>
  <c r="D1473" i="4"/>
  <c r="C1473" i="4"/>
  <c r="B1473" i="4"/>
  <c r="F1472" i="4"/>
  <c r="D1472" i="4"/>
  <c r="C1472" i="4"/>
  <c r="B1472" i="4"/>
  <c r="F1471" i="4"/>
  <c r="D1471" i="4"/>
  <c r="C1471" i="4"/>
  <c r="B1471" i="4"/>
  <c r="F1470" i="4"/>
  <c r="D1470" i="4"/>
  <c r="C1470" i="4"/>
  <c r="B1470" i="4"/>
  <c r="F1469" i="4"/>
  <c r="D1469" i="4"/>
  <c r="C1469" i="4"/>
  <c r="B1469" i="4"/>
  <c r="F1468" i="4"/>
  <c r="D1468" i="4"/>
  <c r="C1468" i="4"/>
  <c r="B1468" i="4"/>
  <c r="F1467" i="4"/>
  <c r="D1467" i="4"/>
  <c r="C1467" i="4"/>
  <c r="B1467" i="4"/>
  <c r="F1466" i="4"/>
  <c r="D1466" i="4"/>
  <c r="C1466" i="4"/>
  <c r="B1466" i="4"/>
  <c r="F1465" i="4"/>
  <c r="D1465" i="4"/>
  <c r="C1465" i="4"/>
  <c r="B1465" i="4"/>
  <c r="F1464" i="4"/>
  <c r="D1464" i="4"/>
  <c r="C1464" i="4"/>
  <c r="B1464" i="4"/>
  <c r="F1463" i="4"/>
  <c r="D1463" i="4"/>
  <c r="C1463" i="4"/>
  <c r="B1463" i="4"/>
  <c r="F1462" i="4"/>
  <c r="D1462" i="4"/>
  <c r="C1462" i="4"/>
  <c r="B1462" i="4"/>
  <c r="F1461" i="4"/>
  <c r="D1461" i="4"/>
  <c r="C1461" i="4"/>
  <c r="B1461" i="4"/>
  <c r="F1460" i="4"/>
  <c r="D1460" i="4"/>
  <c r="C1460" i="4"/>
  <c r="B1460" i="4"/>
  <c r="F1459" i="4"/>
  <c r="D1459" i="4"/>
  <c r="C1459" i="4"/>
  <c r="B1459" i="4"/>
  <c r="F1458" i="4"/>
  <c r="D1458" i="4"/>
  <c r="C1458" i="4"/>
  <c r="B1458" i="4"/>
  <c r="F1457" i="4"/>
  <c r="D1457" i="4"/>
  <c r="C1457" i="4"/>
  <c r="B1457" i="4"/>
  <c r="F1456" i="4"/>
  <c r="D1456" i="4"/>
  <c r="C1456" i="4"/>
  <c r="B1456" i="4"/>
  <c r="F1455" i="4"/>
  <c r="D1455" i="4"/>
  <c r="C1455" i="4"/>
  <c r="B1455" i="4"/>
  <c r="F1454" i="4"/>
  <c r="D1454" i="4"/>
  <c r="C1454" i="4"/>
  <c r="B1454" i="4"/>
  <c r="F1453" i="4"/>
  <c r="D1453" i="4"/>
  <c r="C1453" i="4"/>
  <c r="B1453" i="4"/>
  <c r="F1452" i="4"/>
  <c r="D1452" i="4"/>
  <c r="C1452" i="4"/>
  <c r="B1452" i="4"/>
  <c r="F1451" i="4"/>
  <c r="D1451" i="4"/>
  <c r="C1451" i="4"/>
  <c r="B1451" i="4"/>
  <c r="F1450" i="4"/>
  <c r="D1450" i="4"/>
  <c r="C1450" i="4"/>
  <c r="B1450" i="4"/>
  <c r="F1449" i="4"/>
  <c r="D1449" i="4"/>
  <c r="C1449" i="4"/>
  <c r="B1449" i="4"/>
  <c r="F1448" i="4"/>
  <c r="D1448" i="4"/>
  <c r="C1448" i="4"/>
  <c r="B1448" i="4"/>
  <c r="F1447" i="4"/>
  <c r="D1447" i="4"/>
  <c r="C1447" i="4"/>
  <c r="B1447" i="4"/>
  <c r="F1446" i="4"/>
  <c r="D1446" i="4"/>
  <c r="C1446" i="4"/>
  <c r="B1446" i="4"/>
  <c r="F1445" i="4"/>
  <c r="D1445" i="4"/>
  <c r="C1445" i="4"/>
  <c r="B1445" i="4"/>
  <c r="F1444" i="4"/>
  <c r="D1444" i="4"/>
  <c r="C1444" i="4"/>
  <c r="B1444" i="4"/>
  <c r="F1443" i="4"/>
  <c r="D1443" i="4"/>
  <c r="C1443" i="4"/>
  <c r="B1443" i="4"/>
  <c r="F1442" i="4"/>
  <c r="D1442" i="4"/>
  <c r="C1442" i="4"/>
  <c r="B1442" i="4"/>
  <c r="F1441" i="4"/>
  <c r="D1441" i="4"/>
  <c r="C1441" i="4"/>
  <c r="B1441" i="4"/>
  <c r="F1440" i="4"/>
  <c r="C1440" i="4"/>
  <c r="F1439" i="4"/>
  <c r="C1439" i="4"/>
  <c r="F1438" i="4"/>
  <c r="C1438" i="4"/>
  <c r="F1437" i="4"/>
  <c r="C1437" i="4"/>
  <c r="F1436" i="4"/>
  <c r="C1436" i="4"/>
  <c r="F1435" i="4"/>
  <c r="C1435" i="4"/>
  <c r="F1434" i="4"/>
  <c r="C1434" i="4"/>
  <c r="F1433" i="4"/>
  <c r="C1433" i="4"/>
  <c r="F1432" i="4"/>
  <c r="C1432" i="4"/>
  <c r="F1431" i="4"/>
  <c r="C1431" i="4"/>
  <c r="F1430" i="4"/>
  <c r="C1430" i="4"/>
  <c r="F1429" i="4"/>
  <c r="C1429" i="4"/>
  <c r="F1428" i="4"/>
  <c r="C1428" i="4"/>
  <c r="F1427" i="4"/>
  <c r="C1427" i="4"/>
  <c r="F1426" i="4"/>
  <c r="F1425" i="4"/>
  <c r="C1425" i="4"/>
  <c r="F1424" i="4"/>
  <c r="C1424" i="4"/>
  <c r="F1423" i="4"/>
  <c r="D1423" i="4"/>
  <c r="C1423" i="4"/>
  <c r="B1423" i="4"/>
  <c r="F1422" i="4"/>
  <c r="C1422" i="4"/>
  <c r="F1421" i="4"/>
  <c r="C1421" i="4"/>
  <c r="F1420" i="4"/>
  <c r="C1420" i="4"/>
  <c r="F1419" i="4"/>
  <c r="C1419" i="4"/>
  <c r="F1418" i="4"/>
  <c r="C1418" i="4"/>
  <c r="F1417" i="4"/>
  <c r="D1417" i="4"/>
  <c r="C1417" i="4"/>
  <c r="B1417" i="4"/>
  <c r="F1416" i="4"/>
  <c r="D1416" i="4"/>
  <c r="C1416" i="4"/>
  <c r="B1416" i="4"/>
  <c r="F1415" i="4"/>
  <c r="D1415" i="4"/>
  <c r="C1415" i="4"/>
  <c r="B1415" i="4"/>
  <c r="F1414" i="4"/>
  <c r="D1414" i="4"/>
  <c r="C1414" i="4"/>
  <c r="B1414" i="4"/>
  <c r="F1413" i="4"/>
  <c r="D1413" i="4"/>
  <c r="C1413" i="4"/>
  <c r="B1413" i="4"/>
  <c r="F1412" i="4"/>
  <c r="D1412" i="4"/>
  <c r="C1412" i="4"/>
  <c r="B1412" i="4"/>
  <c r="F1411" i="4"/>
  <c r="D1411" i="4"/>
  <c r="C1411" i="4"/>
  <c r="B1411" i="4"/>
  <c r="F1410" i="4"/>
  <c r="D1410" i="4"/>
  <c r="C1410" i="4"/>
  <c r="B1410" i="4"/>
  <c r="F1409" i="4"/>
  <c r="D1409" i="4"/>
  <c r="C1409" i="4"/>
  <c r="B1409" i="4"/>
  <c r="F1408" i="4"/>
  <c r="D1408" i="4"/>
  <c r="C1408" i="4"/>
  <c r="B1408" i="4"/>
  <c r="F1407" i="4"/>
  <c r="D1407" i="4"/>
  <c r="C1407" i="4"/>
  <c r="B1407" i="4"/>
  <c r="F1406" i="4"/>
  <c r="D1406" i="4"/>
  <c r="C1406" i="4"/>
  <c r="B1406" i="4"/>
  <c r="F1405" i="4"/>
  <c r="D1405" i="4"/>
  <c r="C1405" i="4"/>
  <c r="B1405" i="4"/>
  <c r="F1404" i="4"/>
  <c r="D1404" i="4"/>
  <c r="C1404" i="4"/>
  <c r="B1404" i="4"/>
  <c r="F1403" i="4"/>
  <c r="D1403" i="4"/>
  <c r="C1403" i="4"/>
  <c r="B1403" i="4"/>
  <c r="F1402" i="4"/>
  <c r="D1402" i="4"/>
  <c r="C1402" i="4"/>
  <c r="B1402" i="4"/>
  <c r="F1401" i="4"/>
  <c r="D1401" i="4"/>
  <c r="C1401" i="4"/>
  <c r="B1401" i="4"/>
  <c r="F1400" i="4"/>
  <c r="C1400" i="4"/>
  <c r="B1400" i="4"/>
  <c r="F1399" i="4"/>
  <c r="C1399" i="4"/>
  <c r="B1399" i="4"/>
  <c r="F1398" i="4"/>
  <c r="D1398" i="4"/>
  <c r="C1398" i="4"/>
  <c r="B1398" i="4"/>
  <c r="F1397" i="4"/>
  <c r="C1397" i="4"/>
  <c r="B1397" i="4"/>
  <c r="F1396" i="4"/>
  <c r="D1396" i="4"/>
  <c r="C1396" i="4"/>
  <c r="B1396" i="4"/>
  <c r="F1395" i="4"/>
  <c r="C1395" i="4"/>
  <c r="B1395" i="4"/>
  <c r="F1394" i="4"/>
  <c r="D1394" i="4"/>
  <c r="C1394" i="4"/>
  <c r="B1394" i="4"/>
  <c r="F1393" i="4"/>
  <c r="D1393" i="4"/>
  <c r="C1393" i="4"/>
  <c r="B1393" i="4"/>
  <c r="F1392" i="4"/>
  <c r="D1392" i="4"/>
  <c r="C1392" i="4"/>
  <c r="B1392" i="4"/>
  <c r="F1391" i="4"/>
  <c r="D1391" i="4"/>
  <c r="C1391" i="4"/>
  <c r="B1391" i="4"/>
  <c r="F1390" i="4"/>
  <c r="D1390" i="4"/>
  <c r="C1390" i="4"/>
  <c r="B1390" i="4"/>
  <c r="F1389" i="4"/>
  <c r="D1389" i="4"/>
  <c r="C1389" i="4"/>
  <c r="B1389" i="4"/>
  <c r="F1388" i="4"/>
  <c r="D1388" i="4"/>
  <c r="C1388" i="4"/>
  <c r="B1388" i="4"/>
  <c r="F1387" i="4"/>
  <c r="D1387" i="4"/>
  <c r="C1387" i="4"/>
  <c r="B1387" i="4"/>
  <c r="F1386" i="4"/>
  <c r="D1386" i="4"/>
  <c r="C1386" i="4"/>
  <c r="B1386" i="4"/>
  <c r="F1385" i="4"/>
  <c r="D1385" i="4"/>
  <c r="C1385" i="4"/>
  <c r="B1385" i="4"/>
  <c r="F1384" i="4"/>
  <c r="D1384" i="4"/>
  <c r="C1384" i="4"/>
  <c r="B1384" i="4"/>
  <c r="F1383" i="4"/>
  <c r="D1383" i="4"/>
  <c r="C1383" i="4"/>
  <c r="B1383" i="4"/>
  <c r="F1382" i="4"/>
  <c r="D1382" i="4"/>
  <c r="C1382" i="4"/>
  <c r="B1382" i="4"/>
  <c r="F1381" i="4"/>
  <c r="D1381" i="4"/>
  <c r="C1381" i="4"/>
  <c r="B1381" i="4"/>
  <c r="F1380" i="4"/>
  <c r="D1380" i="4"/>
  <c r="C1380" i="4"/>
  <c r="B1380" i="4"/>
  <c r="F1379" i="4"/>
  <c r="D1379" i="4"/>
  <c r="C1379" i="4"/>
  <c r="B1379" i="4"/>
  <c r="F1378" i="4"/>
  <c r="D1378" i="4"/>
  <c r="C1378" i="4"/>
  <c r="B1378" i="4"/>
  <c r="F1377" i="4"/>
  <c r="D1377" i="4"/>
  <c r="C1377" i="4"/>
  <c r="B1377" i="4"/>
  <c r="F1376" i="4"/>
  <c r="D1376" i="4"/>
  <c r="C1376" i="4"/>
  <c r="B1376" i="4"/>
  <c r="F1375" i="4"/>
  <c r="D1375" i="4"/>
  <c r="C1375" i="4"/>
  <c r="B1375" i="4"/>
  <c r="F1374" i="4"/>
  <c r="D1374" i="4"/>
  <c r="C1374" i="4"/>
  <c r="B1374" i="4"/>
  <c r="F1373" i="4"/>
  <c r="D1373" i="4"/>
  <c r="C1373" i="4"/>
  <c r="B1373" i="4"/>
  <c r="F1372" i="4"/>
  <c r="D1372" i="4"/>
  <c r="C1372" i="4"/>
  <c r="B1372" i="4"/>
  <c r="F1371" i="4"/>
  <c r="D1371" i="4"/>
  <c r="C1371" i="4"/>
  <c r="B1371" i="4"/>
  <c r="F1370" i="4"/>
  <c r="D1370" i="4"/>
  <c r="C1370" i="4"/>
  <c r="B1370" i="4"/>
  <c r="F1369" i="4"/>
  <c r="D1369" i="4"/>
  <c r="C1369" i="4"/>
  <c r="B1369" i="4"/>
  <c r="F1368" i="4"/>
  <c r="D1368" i="4"/>
  <c r="C1368" i="4"/>
  <c r="B1368" i="4"/>
  <c r="F1367" i="4"/>
  <c r="D1367" i="4"/>
  <c r="C1367" i="4"/>
  <c r="B1367" i="4"/>
  <c r="F1366" i="4"/>
  <c r="D1366" i="4"/>
  <c r="C1366" i="4"/>
  <c r="B1366" i="4"/>
  <c r="F1365" i="4"/>
  <c r="D1365" i="4"/>
  <c r="C1365" i="4"/>
  <c r="B1365" i="4"/>
  <c r="F1364" i="4"/>
  <c r="D1364" i="4"/>
  <c r="C1364" i="4"/>
  <c r="B1364" i="4"/>
  <c r="F1363" i="4"/>
  <c r="D1363" i="4"/>
  <c r="C1363" i="4"/>
  <c r="B1363" i="4"/>
  <c r="F1362" i="4"/>
  <c r="D1362" i="4"/>
  <c r="C1362" i="4"/>
  <c r="B1362" i="4"/>
  <c r="F1361" i="4"/>
  <c r="D1361" i="4"/>
  <c r="C1361" i="4"/>
  <c r="B1361" i="4"/>
  <c r="F1360" i="4"/>
  <c r="D1360" i="4"/>
  <c r="C1360" i="4"/>
  <c r="B1360" i="4"/>
  <c r="F1359" i="4"/>
  <c r="D1359" i="4"/>
  <c r="C1359" i="4"/>
  <c r="B1359" i="4"/>
  <c r="F1358" i="4"/>
  <c r="D1358" i="4"/>
  <c r="C1358" i="4"/>
  <c r="B1358" i="4"/>
  <c r="F1357" i="4"/>
  <c r="D1357" i="4"/>
  <c r="C1357" i="4"/>
  <c r="B1357" i="4"/>
  <c r="F1356" i="4"/>
  <c r="D1356" i="4"/>
  <c r="C1356" i="4"/>
  <c r="B1356" i="4"/>
  <c r="F1355" i="4"/>
  <c r="D1355" i="4"/>
  <c r="C1355" i="4"/>
  <c r="B1355" i="4"/>
  <c r="F1354" i="4"/>
  <c r="D1354" i="4"/>
  <c r="C1354" i="4"/>
  <c r="B1354" i="4"/>
  <c r="F1353" i="4"/>
  <c r="D1353" i="4"/>
  <c r="C1353" i="4"/>
  <c r="B1353" i="4"/>
  <c r="F1352" i="4"/>
  <c r="D1352" i="4"/>
  <c r="C1352" i="4"/>
  <c r="B1352" i="4"/>
  <c r="F1351" i="4"/>
  <c r="D1351" i="4"/>
  <c r="C1351" i="4"/>
  <c r="B1351" i="4"/>
  <c r="F1350" i="4"/>
  <c r="D1350" i="4"/>
  <c r="C1350" i="4"/>
  <c r="B1350" i="4"/>
  <c r="F1349" i="4"/>
  <c r="D1349" i="4"/>
  <c r="C1349" i="4"/>
  <c r="B1349" i="4"/>
  <c r="F1348" i="4"/>
  <c r="D1348" i="4"/>
  <c r="C1348" i="4"/>
  <c r="B1348" i="4"/>
  <c r="F1347" i="4"/>
  <c r="D1347" i="4"/>
  <c r="C1347" i="4"/>
  <c r="B1347" i="4"/>
  <c r="F1346" i="4"/>
  <c r="D1346" i="4"/>
  <c r="C1346" i="4"/>
  <c r="B1346" i="4"/>
  <c r="F1345" i="4"/>
  <c r="D1345" i="4"/>
  <c r="C1345" i="4"/>
  <c r="B1345" i="4"/>
  <c r="F1344" i="4"/>
  <c r="D1344" i="4"/>
  <c r="C1344" i="4"/>
  <c r="B1344" i="4"/>
  <c r="F1343" i="4"/>
  <c r="D1343" i="4"/>
  <c r="C1343" i="4"/>
  <c r="B1343" i="4"/>
  <c r="F1342" i="4"/>
  <c r="D1342" i="4"/>
  <c r="C1342" i="4"/>
  <c r="B1342" i="4"/>
  <c r="F1341" i="4"/>
  <c r="D1341" i="4"/>
  <c r="C1341" i="4"/>
  <c r="B1341" i="4"/>
  <c r="F1340" i="4"/>
  <c r="D1340" i="4"/>
  <c r="C1340" i="4"/>
  <c r="B1340" i="4"/>
  <c r="F1339" i="4"/>
  <c r="D1339" i="4"/>
  <c r="C1339" i="4"/>
  <c r="B1339" i="4"/>
  <c r="F1338" i="4"/>
  <c r="D1338" i="4"/>
  <c r="C1338" i="4"/>
  <c r="B1338" i="4"/>
  <c r="F1337" i="4"/>
  <c r="D1337" i="4"/>
  <c r="C1337" i="4"/>
  <c r="B1337" i="4"/>
  <c r="F1336" i="4"/>
  <c r="D1336" i="4"/>
  <c r="C1336" i="4"/>
  <c r="B1336" i="4"/>
  <c r="F1335" i="4"/>
  <c r="D1335" i="4"/>
  <c r="C1335" i="4"/>
  <c r="B1335" i="4"/>
  <c r="F1334" i="4"/>
  <c r="D1334" i="4"/>
  <c r="C1334" i="4"/>
  <c r="B1334" i="4"/>
  <c r="F1333" i="4"/>
  <c r="D1333" i="4"/>
  <c r="C1333" i="4"/>
  <c r="B1333" i="4"/>
  <c r="F1332" i="4"/>
  <c r="D1332" i="4"/>
  <c r="C1332" i="4"/>
  <c r="B1332" i="4"/>
  <c r="F1331" i="4"/>
  <c r="D1331" i="4"/>
  <c r="C1331" i="4"/>
  <c r="B1331" i="4"/>
  <c r="F1330" i="4"/>
  <c r="D1330" i="4"/>
  <c r="C1330" i="4"/>
  <c r="B1330" i="4"/>
  <c r="F1329" i="4"/>
  <c r="D1329" i="4"/>
  <c r="C1329" i="4"/>
  <c r="B1329" i="4"/>
  <c r="F1328" i="4"/>
  <c r="D1328" i="4"/>
  <c r="C1328" i="4"/>
  <c r="B1328" i="4"/>
  <c r="F1327" i="4"/>
  <c r="D1327" i="4"/>
  <c r="C1327" i="4"/>
  <c r="B1327" i="4"/>
  <c r="F1326" i="4"/>
  <c r="D1326" i="4"/>
  <c r="C1326" i="4"/>
  <c r="B1326" i="4"/>
  <c r="F1325" i="4"/>
  <c r="D1325" i="4"/>
  <c r="C1325" i="4"/>
  <c r="B1325" i="4"/>
  <c r="F1324" i="4"/>
  <c r="D1324" i="4"/>
  <c r="C1324" i="4"/>
  <c r="B1324" i="4"/>
  <c r="F1323" i="4"/>
  <c r="D1323" i="4"/>
  <c r="C1323" i="4"/>
  <c r="B1323" i="4"/>
  <c r="F1322" i="4"/>
  <c r="D1322" i="4"/>
  <c r="C1322" i="4"/>
  <c r="B1322" i="4"/>
  <c r="F1321" i="4"/>
  <c r="D1321" i="4"/>
  <c r="C1321" i="4"/>
  <c r="B1321" i="4"/>
  <c r="F1320" i="4"/>
  <c r="D1320" i="4"/>
  <c r="C1320" i="4"/>
  <c r="B1320" i="4"/>
  <c r="F1319" i="4"/>
  <c r="D1319" i="4"/>
  <c r="C1319" i="4"/>
  <c r="B1319" i="4"/>
  <c r="F1318" i="4"/>
  <c r="D1318" i="4"/>
  <c r="C1318" i="4"/>
  <c r="B1318" i="4"/>
  <c r="F1317" i="4"/>
  <c r="D1317" i="4"/>
  <c r="C1317" i="4"/>
  <c r="B1317" i="4"/>
  <c r="F1316" i="4"/>
  <c r="D1316" i="4"/>
  <c r="C1316" i="4"/>
  <c r="B1316" i="4"/>
  <c r="F1315" i="4"/>
  <c r="D1315" i="4"/>
  <c r="C1315" i="4"/>
  <c r="B1315" i="4"/>
  <c r="F1314" i="4"/>
  <c r="D1314" i="4"/>
  <c r="C1314" i="4"/>
  <c r="B1314" i="4"/>
  <c r="F1313" i="4"/>
  <c r="D1313" i="4"/>
  <c r="C1313" i="4"/>
  <c r="B1313" i="4"/>
  <c r="F1312" i="4"/>
  <c r="D1312" i="4"/>
  <c r="C1312" i="4"/>
  <c r="B1312" i="4"/>
  <c r="F1311" i="4"/>
  <c r="D1311" i="4"/>
  <c r="C1311" i="4"/>
  <c r="B1311" i="4"/>
  <c r="F1310" i="4"/>
  <c r="D1310" i="4"/>
  <c r="C1310" i="4"/>
  <c r="B1310" i="4"/>
  <c r="F1309" i="4"/>
  <c r="D1309" i="4"/>
  <c r="C1309" i="4"/>
  <c r="B1309" i="4"/>
  <c r="F1308" i="4"/>
  <c r="D1308" i="4"/>
  <c r="C1308" i="4"/>
  <c r="B1308" i="4"/>
  <c r="F1307" i="4"/>
  <c r="D1307" i="4"/>
  <c r="C1307" i="4"/>
  <c r="B1307" i="4"/>
  <c r="F1306" i="4"/>
  <c r="D1306" i="4"/>
  <c r="C1306" i="4"/>
  <c r="B1306" i="4"/>
  <c r="F1305" i="4"/>
  <c r="D1305" i="4"/>
  <c r="C1305" i="4"/>
  <c r="B1305" i="4"/>
  <c r="F1304" i="4"/>
  <c r="D1304" i="4"/>
  <c r="C1304" i="4"/>
  <c r="B1304" i="4"/>
  <c r="F1303" i="4"/>
  <c r="D1303" i="4"/>
  <c r="C1303" i="4"/>
  <c r="B1303" i="4"/>
  <c r="F1302" i="4"/>
  <c r="D1302" i="4"/>
  <c r="C1302" i="4"/>
  <c r="B1302" i="4"/>
  <c r="F1301" i="4"/>
  <c r="D1301" i="4"/>
  <c r="C1301" i="4"/>
  <c r="B1301" i="4"/>
  <c r="F1300" i="4"/>
  <c r="D1300" i="4"/>
  <c r="C1300" i="4"/>
  <c r="B1300" i="4"/>
  <c r="F1299" i="4"/>
  <c r="D1299" i="4"/>
  <c r="C1299" i="4"/>
  <c r="B1299" i="4"/>
  <c r="F1298" i="4"/>
  <c r="D1298" i="4"/>
  <c r="C1298" i="4"/>
  <c r="B1298" i="4"/>
  <c r="F1297" i="4"/>
  <c r="D1297" i="4"/>
  <c r="C1297" i="4"/>
  <c r="B1297" i="4"/>
  <c r="F1296" i="4"/>
  <c r="D1296" i="4"/>
  <c r="C1296" i="4"/>
  <c r="B1296" i="4"/>
  <c r="F1295" i="4"/>
  <c r="D1295" i="4"/>
  <c r="C1295" i="4"/>
  <c r="B1295" i="4"/>
  <c r="F1294" i="4"/>
  <c r="D1294" i="4"/>
  <c r="C1294" i="4"/>
  <c r="B1294" i="4"/>
  <c r="F1293" i="4"/>
  <c r="D1293" i="4"/>
  <c r="C1293" i="4"/>
  <c r="B1293" i="4"/>
  <c r="F1292" i="4"/>
  <c r="D1292" i="4"/>
  <c r="C1292" i="4"/>
  <c r="B1292" i="4"/>
  <c r="F1291" i="4"/>
  <c r="D1291" i="4"/>
  <c r="C1291" i="4"/>
  <c r="B1291" i="4"/>
  <c r="F1290" i="4"/>
  <c r="D1290" i="4"/>
  <c r="C1290" i="4"/>
  <c r="B1290" i="4"/>
  <c r="F1289" i="4"/>
  <c r="D1289" i="4"/>
  <c r="C1289" i="4"/>
  <c r="B1289" i="4"/>
  <c r="F1288" i="4"/>
  <c r="D1288" i="4"/>
  <c r="C1288" i="4"/>
  <c r="B1288" i="4"/>
  <c r="F1287" i="4"/>
  <c r="D1287" i="4"/>
  <c r="C1287" i="4"/>
  <c r="B1287" i="4"/>
  <c r="F1286" i="4"/>
  <c r="D1286" i="4"/>
  <c r="C1286" i="4"/>
  <c r="B1286" i="4"/>
  <c r="F1285" i="4"/>
  <c r="D1285" i="4"/>
  <c r="C1285" i="4"/>
  <c r="B1285" i="4"/>
  <c r="F1284" i="4"/>
  <c r="D1284" i="4"/>
  <c r="C1284" i="4"/>
  <c r="B1284" i="4"/>
  <c r="F1283" i="4"/>
  <c r="D1283" i="4"/>
  <c r="C1283" i="4"/>
  <c r="B1283" i="4"/>
  <c r="F1282" i="4"/>
  <c r="D1282" i="4"/>
  <c r="C1282" i="4"/>
  <c r="B1282" i="4"/>
  <c r="F1281" i="4"/>
  <c r="D1281" i="4"/>
  <c r="C1281" i="4"/>
  <c r="B1281" i="4"/>
  <c r="F1280" i="4"/>
  <c r="D1280" i="4"/>
  <c r="C1280" i="4"/>
  <c r="B1280" i="4"/>
  <c r="F1279" i="4"/>
  <c r="D1279" i="4"/>
  <c r="C1279" i="4"/>
  <c r="B1279" i="4"/>
  <c r="F1278" i="4"/>
  <c r="D1278" i="4"/>
  <c r="C1278" i="4"/>
  <c r="B1278" i="4"/>
  <c r="F1277" i="4"/>
  <c r="D1277" i="4"/>
  <c r="C1277" i="4"/>
  <c r="B1277" i="4"/>
  <c r="F1276" i="4"/>
  <c r="D1276" i="4"/>
  <c r="C1276" i="4"/>
  <c r="B1276" i="4"/>
  <c r="F1275" i="4"/>
  <c r="D1275" i="4"/>
  <c r="C1275" i="4"/>
  <c r="B1275" i="4"/>
  <c r="F1274" i="4"/>
  <c r="D1274" i="4"/>
  <c r="C1274" i="4"/>
  <c r="B1274" i="4"/>
  <c r="F1273" i="4"/>
  <c r="D1273" i="4"/>
  <c r="C1273" i="4"/>
  <c r="B1273" i="4"/>
  <c r="F1272" i="4"/>
  <c r="D1272" i="4"/>
  <c r="C1272" i="4"/>
  <c r="B1272" i="4"/>
  <c r="F1271" i="4"/>
  <c r="D1271" i="4"/>
  <c r="C1271" i="4"/>
  <c r="B1271" i="4"/>
  <c r="F1270" i="4"/>
  <c r="D1270" i="4"/>
  <c r="C1270" i="4"/>
  <c r="B1270" i="4"/>
  <c r="F1269" i="4"/>
  <c r="D1269" i="4"/>
  <c r="C1269" i="4"/>
  <c r="B1269" i="4"/>
  <c r="F1268" i="4"/>
  <c r="D1268" i="4"/>
  <c r="C1268" i="4"/>
  <c r="B1268" i="4"/>
  <c r="F1267" i="4"/>
  <c r="D1267" i="4"/>
  <c r="C1267" i="4"/>
  <c r="B1267" i="4"/>
  <c r="F1266" i="4"/>
  <c r="D1266" i="4"/>
  <c r="C1266" i="4"/>
  <c r="B1266" i="4"/>
  <c r="F1265" i="4"/>
  <c r="D1265" i="4"/>
  <c r="C1265" i="4"/>
  <c r="B1265" i="4"/>
  <c r="F1264" i="4"/>
  <c r="D1264" i="4"/>
  <c r="C1264" i="4"/>
  <c r="B1264" i="4"/>
  <c r="F1263" i="4"/>
  <c r="D1263" i="4"/>
  <c r="C1263" i="4"/>
  <c r="B1263" i="4"/>
  <c r="F1262" i="4"/>
  <c r="D1262" i="4"/>
  <c r="C1262" i="4"/>
  <c r="B1262" i="4"/>
  <c r="F1261" i="4"/>
  <c r="D1261" i="4"/>
  <c r="C1261" i="4"/>
  <c r="B1261" i="4"/>
  <c r="F1260" i="4"/>
  <c r="D1260" i="4"/>
  <c r="C1260" i="4"/>
  <c r="B1260" i="4"/>
  <c r="F1259" i="4"/>
  <c r="D1259" i="4"/>
  <c r="C1259" i="4"/>
  <c r="B1259" i="4"/>
  <c r="F1258" i="4"/>
  <c r="D1258" i="4"/>
  <c r="C1258" i="4"/>
  <c r="B1258" i="4"/>
  <c r="F1257" i="4"/>
  <c r="D1257" i="4"/>
  <c r="C1257" i="4"/>
  <c r="B1257" i="4"/>
  <c r="F1256" i="4"/>
  <c r="D1256" i="4"/>
  <c r="C1256" i="4"/>
  <c r="B1256" i="4"/>
  <c r="F1255" i="4"/>
  <c r="D1255" i="4"/>
  <c r="C1255" i="4"/>
  <c r="B1255" i="4"/>
  <c r="F1254" i="4"/>
  <c r="D1254" i="4"/>
  <c r="C1254" i="4"/>
  <c r="B1254" i="4"/>
  <c r="F1253" i="4"/>
  <c r="D1253" i="4"/>
  <c r="C1253" i="4"/>
  <c r="B1253" i="4"/>
  <c r="F1252" i="4"/>
  <c r="D1252" i="4"/>
  <c r="C1252" i="4"/>
  <c r="B1252" i="4"/>
  <c r="F1251" i="4"/>
  <c r="D1251" i="4"/>
  <c r="C1251" i="4"/>
  <c r="B1251" i="4"/>
  <c r="F1250" i="4"/>
  <c r="D1250" i="4"/>
  <c r="C1250" i="4"/>
  <c r="B1250" i="4"/>
  <c r="F1249" i="4"/>
  <c r="D1249" i="4"/>
  <c r="C1249" i="4"/>
  <c r="B1249" i="4"/>
  <c r="F1248" i="4"/>
  <c r="D1248" i="4"/>
  <c r="C1248" i="4"/>
  <c r="B1248" i="4"/>
  <c r="F1247" i="4"/>
  <c r="D1247" i="4"/>
  <c r="C1247" i="4"/>
  <c r="B1247" i="4"/>
  <c r="F1246" i="4"/>
  <c r="D1246" i="4"/>
  <c r="C1246" i="4"/>
  <c r="B1246" i="4"/>
  <c r="F1245" i="4"/>
  <c r="D1245" i="4"/>
  <c r="C1245" i="4"/>
  <c r="B1245" i="4"/>
  <c r="F1244" i="4"/>
  <c r="D1244" i="4"/>
  <c r="C1244" i="4"/>
  <c r="B1244" i="4"/>
  <c r="F1243" i="4"/>
  <c r="D1243" i="4"/>
  <c r="C1243" i="4"/>
  <c r="B1243" i="4"/>
  <c r="F1242" i="4"/>
  <c r="D1242" i="4"/>
  <c r="C1242" i="4"/>
  <c r="B1242" i="4"/>
  <c r="F1241" i="4"/>
  <c r="D1241" i="4"/>
  <c r="C1241" i="4"/>
  <c r="B1241" i="4"/>
  <c r="F1240" i="4"/>
  <c r="D1240" i="4"/>
  <c r="C1240" i="4"/>
  <c r="B1240" i="4"/>
  <c r="F1239" i="4"/>
  <c r="D1239" i="4"/>
  <c r="C1239" i="4"/>
  <c r="B1239" i="4"/>
  <c r="F1238" i="4"/>
  <c r="D1238" i="4"/>
  <c r="C1238" i="4"/>
  <c r="B1238" i="4"/>
  <c r="F1237" i="4"/>
  <c r="D1237" i="4"/>
  <c r="C1237" i="4"/>
  <c r="B1237" i="4"/>
  <c r="F1236" i="4"/>
  <c r="D1236" i="4"/>
  <c r="C1236" i="4"/>
  <c r="B1236" i="4"/>
  <c r="F1235" i="4"/>
  <c r="D1235" i="4"/>
  <c r="C1235" i="4"/>
  <c r="B1235" i="4"/>
  <c r="F1234" i="4"/>
  <c r="D1234" i="4"/>
  <c r="C1234" i="4"/>
  <c r="B1234" i="4"/>
  <c r="F1233" i="4"/>
  <c r="D1233" i="4"/>
  <c r="C1233" i="4"/>
  <c r="B1233" i="4"/>
  <c r="F1232" i="4"/>
  <c r="D1232" i="4"/>
  <c r="C1232" i="4"/>
  <c r="B1232" i="4"/>
  <c r="F1231" i="4"/>
  <c r="D1231" i="4"/>
  <c r="C1231" i="4"/>
  <c r="B1231" i="4"/>
  <c r="F1230" i="4"/>
  <c r="D1230" i="4"/>
  <c r="C1230" i="4"/>
  <c r="B1230" i="4"/>
  <c r="F1229" i="4"/>
  <c r="D1229" i="4"/>
  <c r="C1229" i="4"/>
  <c r="B1229" i="4"/>
  <c r="F1228" i="4"/>
  <c r="C1228" i="4"/>
  <c r="F1227" i="4"/>
  <c r="C1227" i="4"/>
  <c r="F1226" i="4"/>
  <c r="C1226" i="4"/>
  <c r="F1225" i="4"/>
  <c r="C1225" i="4"/>
  <c r="F1224" i="4"/>
  <c r="C1224" i="4"/>
  <c r="F1223" i="4"/>
  <c r="C1223" i="4"/>
  <c r="F1222" i="4"/>
  <c r="C1222" i="4"/>
  <c r="F1221" i="4"/>
  <c r="C1221" i="4"/>
  <c r="F1220" i="4"/>
  <c r="C1220" i="4"/>
  <c r="F1219" i="4"/>
  <c r="C1219" i="4"/>
  <c r="F1218" i="4"/>
  <c r="C1218" i="4"/>
  <c r="F1217" i="4"/>
  <c r="C1217" i="4"/>
  <c r="F1216" i="4"/>
  <c r="C1216" i="4"/>
  <c r="F1215" i="4"/>
  <c r="C1215" i="4"/>
  <c r="F1214" i="4"/>
  <c r="C1214" i="4"/>
  <c r="F1213" i="4"/>
  <c r="C1213" i="4"/>
  <c r="F1212" i="4"/>
  <c r="C1212" i="4"/>
  <c r="F1211" i="4"/>
  <c r="C1211" i="4"/>
  <c r="F1210" i="4"/>
  <c r="C1210" i="4"/>
  <c r="F1209" i="4"/>
  <c r="C1209" i="4"/>
  <c r="F1208" i="4"/>
  <c r="C1208" i="4"/>
  <c r="F1207" i="4"/>
  <c r="C1207" i="4"/>
  <c r="F1206" i="4"/>
  <c r="C1206" i="4"/>
  <c r="F1205" i="4"/>
  <c r="C1205" i="4"/>
  <c r="F1204" i="4"/>
  <c r="C1204" i="4"/>
  <c r="F1203" i="4"/>
  <c r="C1203" i="4"/>
  <c r="F1202" i="4"/>
  <c r="C1202" i="4"/>
  <c r="F1201" i="4"/>
  <c r="C1201" i="4"/>
  <c r="F1200" i="4"/>
  <c r="C1200" i="4"/>
  <c r="F1199" i="4"/>
  <c r="C1199" i="4"/>
  <c r="F1198" i="4"/>
  <c r="C1198" i="4"/>
  <c r="F1197" i="4"/>
  <c r="C1197" i="4"/>
  <c r="F1196" i="4"/>
  <c r="C1196" i="4"/>
  <c r="F1195" i="4"/>
  <c r="C1195" i="4"/>
  <c r="F1194" i="4"/>
  <c r="C1194" i="4"/>
  <c r="F1193" i="4"/>
  <c r="C1193" i="4"/>
  <c r="F1192" i="4"/>
  <c r="D1192" i="4"/>
  <c r="C1192" i="4"/>
  <c r="B1192" i="4"/>
  <c r="F1191" i="4"/>
  <c r="D1191" i="4"/>
  <c r="C1191" i="4"/>
  <c r="B1191" i="4"/>
  <c r="F1190" i="4"/>
  <c r="D1190" i="4"/>
  <c r="C1190" i="4"/>
  <c r="B1190" i="4"/>
  <c r="F1189" i="4"/>
  <c r="D1189" i="4"/>
  <c r="C1189" i="4"/>
  <c r="B1189" i="4"/>
  <c r="F1188" i="4"/>
  <c r="D1188" i="4"/>
  <c r="C1188" i="4"/>
  <c r="B1188" i="4"/>
  <c r="F1187" i="4"/>
  <c r="D1187" i="4"/>
  <c r="C1187" i="4"/>
  <c r="B1187" i="4"/>
  <c r="F1186" i="4"/>
  <c r="D1186" i="4"/>
  <c r="C1186" i="4"/>
  <c r="B1186" i="4"/>
  <c r="F1185" i="4"/>
  <c r="D1185" i="4"/>
  <c r="C1185" i="4"/>
  <c r="B1185" i="4"/>
  <c r="F1184" i="4"/>
  <c r="D1184" i="4"/>
  <c r="C1184" i="4"/>
  <c r="B1184" i="4"/>
  <c r="F1183" i="4"/>
  <c r="D1183" i="4"/>
  <c r="C1183" i="4"/>
  <c r="B1183" i="4"/>
  <c r="F1182" i="4"/>
  <c r="D1182" i="4"/>
  <c r="C1182" i="4"/>
  <c r="B1182" i="4"/>
  <c r="F1181" i="4"/>
  <c r="D1181" i="4"/>
  <c r="C1181" i="4"/>
  <c r="B1181" i="4"/>
  <c r="F1180" i="4"/>
  <c r="D1180" i="4"/>
  <c r="C1180" i="4"/>
  <c r="B1180" i="4"/>
  <c r="F1179" i="4"/>
  <c r="D1179" i="4"/>
  <c r="C1179" i="4"/>
  <c r="B1179" i="4"/>
  <c r="F1178" i="4"/>
  <c r="D1178" i="4"/>
  <c r="C1178" i="4"/>
  <c r="B1178" i="4"/>
  <c r="F1177" i="4"/>
  <c r="D1177" i="4"/>
  <c r="C1177" i="4"/>
  <c r="B1177" i="4"/>
  <c r="F1176" i="4"/>
  <c r="D1176" i="4"/>
  <c r="C1176" i="4"/>
  <c r="B1176" i="4"/>
  <c r="F1175" i="4"/>
  <c r="D1175" i="4"/>
  <c r="C1175" i="4"/>
  <c r="B1175" i="4"/>
  <c r="F1174" i="4"/>
  <c r="D1174" i="4"/>
  <c r="C1174" i="4"/>
  <c r="B1174" i="4"/>
  <c r="F1173" i="4"/>
  <c r="D1173" i="4"/>
  <c r="C1173" i="4"/>
  <c r="B1173" i="4"/>
  <c r="F1172" i="4"/>
  <c r="D1172" i="4"/>
  <c r="C1172" i="4"/>
  <c r="B1172" i="4"/>
  <c r="F1171" i="4"/>
  <c r="D1171" i="4"/>
  <c r="C1171" i="4"/>
  <c r="B1171" i="4"/>
  <c r="F1170" i="4"/>
  <c r="D1170" i="4"/>
  <c r="C1170" i="4"/>
  <c r="B1170" i="4"/>
  <c r="F1169" i="4"/>
  <c r="D1169" i="4"/>
  <c r="C1169" i="4"/>
  <c r="B1169" i="4"/>
  <c r="F1168" i="4"/>
  <c r="D1168" i="4"/>
  <c r="C1168" i="4"/>
  <c r="B1168" i="4"/>
  <c r="F1167" i="4"/>
  <c r="D1167" i="4"/>
  <c r="C1167" i="4"/>
  <c r="B1167" i="4"/>
  <c r="F1166" i="4"/>
  <c r="D1166" i="4"/>
  <c r="C1166" i="4"/>
  <c r="B1166" i="4"/>
  <c r="F1165" i="4"/>
  <c r="D1165" i="4"/>
  <c r="C1165" i="4"/>
  <c r="B1165" i="4"/>
  <c r="F1164" i="4"/>
  <c r="D1164" i="4"/>
  <c r="C1164" i="4"/>
  <c r="B1164" i="4"/>
  <c r="F1163" i="4"/>
  <c r="D1163" i="4"/>
  <c r="C1163" i="4"/>
  <c r="B1163" i="4"/>
  <c r="F1162" i="4"/>
  <c r="D1162" i="4"/>
  <c r="C1162" i="4"/>
  <c r="B1162" i="4"/>
  <c r="F1161" i="4"/>
  <c r="D1161" i="4"/>
  <c r="C1161" i="4"/>
  <c r="B1161" i="4"/>
  <c r="F1160" i="4"/>
  <c r="D1160" i="4"/>
  <c r="C1160" i="4"/>
  <c r="B1160" i="4"/>
  <c r="F1159" i="4"/>
  <c r="D1159" i="4"/>
  <c r="C1159" i="4"/>
  <c r="B1159" i="4"/>
  <c r="F1158" i="4"/>
  <c r="D1158" i="4"/>
  <c r="C1158" i="4"/>
  <c r="B1158" i="4"/>
  <c r="F1157" i="4"/>
  <c r="D1157" i="4"/>
  <c r="C1157" i="4"/>
  <c r="B1157" i="4"/>
  <c r="F1156" i="4"/>
  <c r="D1156" i="4"/>
  <c r="C1156" i="4"/>
  <c r="B1156" i="4"/>
  <c r="F1155" i="4"/>
  <c r="D1155" i="4"/>
  <c r="C1155" i="4"/>
  <c r="B1155" i="4"/>
  <c r="F1154" i="4"/>
  <c r="D1154" i="4"/>
  <c r="C1154" i="4"/>
  <c r="B1154" i="4"/>
  <c r="F1153" i="4"/>
  <c r="D1153" i="4"/>
  <c r="C1153" i="4"/>
  <c r="B1153" i="4"/>
  <c r="F1152" i="4"/>
  <c r="D1152" i="4"/>
  <c r="C1152" i="4"/>
  <c r="B1152" i="4"/>
  <c r="F1151" i="4"/>
  <c r="D1151" i="4"/>
  <c r="C1151" i="4"/>
  <c r="B1151" i="4"/>
  <c r="F1150" i="4"/>
  <c r="D1150" i="4"/>
  <c r="C1150" i="4"/>
  <c r="B1150" i="4"/>
  <c r="F1149" i="4"/>
  <c r="D1149" i="4"/>
  <c r="C1149" i="4"/>
  <c r="B1149" i="4"/>
  <c r="F1148" i="4"/>
  <c r="D1148" i="4"/>
  <c r="C1148" i="4"/>
  <c r="B1148" i="4"/>
  <c r="F1147" i="4"/>
  <c r="D1147" i="4"/>
  <c r="C1147" i="4"/>
  <c r="B1147" i="4"/>
  <c r="F1146" i="4"/>
  <c r="D1146" i="4"/>
  <c r="C1146" i="4"/>
  <c r="B1146" i="4"/>
  <c r="F1145" i="4"/>
  <c r="D1145" i="4"/>
  <c r="C1145" i="4"/>
  <c r="B1145" i="4"/>
  <c r="F1144" i="4"/>
  <c r="D1144" i="4"/>
  <c r="C1144" i="4"/>
  <c r="B1144" i="4"/>
  <c r="F1143" i="4"/>
  <c r="D1143" i="4"/>
  <c r="C1143" i="4"/>
  <c r="B1143" i="4"/>
  <c r="F1142" i="4"/>
  <c r="D1142" i="4"/>
  <c r="C1142" i="4"/>
  <c r="B1142" i="4"/>
  <c r="F1141" i="4"/>
  <c r="D1141" i="4"/>
  <c r="C1141" i="4"/>
  <c r="B1141" i="4"/>
  <c r="F1140" i="4"/>
  <c r="D1140" i="4"/>
  <c r="C1140" i="4"/>
  <c r="B1140" i="4"/>
  <c r="F1139" i="4"/>
  <c r="D1139" i="4"/>
  <c r="C1139" i="4"/>
  <c r="B1139" i="4"/>
  <c r="F1138" i="4"/>
  <c r="D1138" i="4"/>
  <c r="C1138" i="4"/>
  <c r="B1138" i="4"/>
  <c r="F1137" i="4"/>
  <c r="D1137" i="4"/>
  <c r="C1137" i="4"/>
  <c r="B1137" i="4"/>
  <c r="F1136" i="4"/>
  <c r="D1136" i="4"/>
  <c r="C1136" i="4"/>
  <c r="B1136" i="4"/>
  <c r="F1135" i="4"/>
  <c r="D1135" i="4"/>
  <c r="C1135" i="4"/>
  <c r="B1135" i="4"/>
  <c r="F1134" i="4"/>
  <c r="D1134" i="4"/>
  <c r="C1134" i="4"/>
  <c r="B1134" i="4"/>
  <c r="F1133" i="4"/>
  <c r="D1133" i="4"/>
  <c r="C1133" i="4"/>
  <c r="B1133" i="4"/>
  <c r="F1132" i="4"/>
  <c r="D1132" i="4"/>
  <c r="C1132" i="4"/>
  <c r="B1132" i="4"/>
  <c r="F1131" i="4"/>
  <c r="D1131" i="4"/>
  <c r="C1131" i="4"/>
  <c r="B1131" i="4"/>
  <c r="F1130" i="4"/>
  <c r="D1130" i="4"/>
  <c r="C1130" i="4"/>
  <c r="B1130" i="4"/>
  <c r="F1129" i="4"/>
  <c r="D1129" i="4"/>
  <c r="C1129" i="4"/>
  <c r="B1129" i="4"/>
  <c r="F1128" i="4"/>
  <c r="D1128" i="4"/>
  <c r="C1128" i="4"/>
  <c r="B1128" i="4"/>
  <c r="F1127" i="4"/>
  <c r="D1127" i="4"/>
  <c r="C1127" i="4"/>
  <c r="B1127" i="4"/>
  <c r="F1126" i="4"/>
  <c r="D1126" i="4"/>
  <c r="C1126" i="4"/>
  <c r="B1126" i="4"/>
  <c r="F1125" i="4"/>
  <c r="D1125" i="4"/>
  <c r="C1125" i="4"/>
  <c r="B1125" i="4"/>
  <c r="F1124" i="4"/>
  <c r="D1124" i="4"/>
  <c r="C1124" i="4"/>
  <c r="B1124" i="4"/>
  <c r="F1123" i="4"/>
  <c r="D1123" i="4"/>
  <c r="C1123" i="4"/>
  <c r="B1123" i="4"/>
  <c r="F1122" i="4"/>
  <c r="D1122" i="4"/>
  <c r="C1122" i="4"/>
  <c r="B1122" i="4"/>
  <c r="F1121" i="4"/>
  <c r="D1121" i="4"/>
  <c r="C1121" i="4"/>
  <c r="B1121" i="4"/>
  <c r="F1120" i="4"/>
  <c r="D1120" i="4"/>
  <c r="C1120" i="4"/>
  <c r="B1120" i="4"/>
  <c r="F1119" i="4"/>
  <c r="D1119" i="4"/>
  <c r="C1119" i="4"/>
  <c r="B1119" i="4"/>
  <c r="F1118" i="4"/>
  <c r="D1118" i="4"/>
  <c r="C1118" i="4"/>
  <c r="B1118" i="4"/>
  <c r="F1117" i="4"/>
  <c r="D1117" i="4"/>
  <c r="C1117" i="4"/>
  <c r="B1117" i="4"/>
  <c r="F1116" i="4"/>
  <c r="D1116" i="4"/>
  <c r="C1116" i="4"/>
  <c r="B1116" i="4"/>
  <c r="F1115" i="4"/>
  <c r="D1115" i="4"/>
  <c r="C1115" i="4"/>
  <c r="B1115" i="4"/>
  <c r="F1114" i="4"/>
  <c r="D1114" i="4"/>
  <c r="C1114" i="4"/>
  <c r="B1114" i="4"/>
  <c r="F1113" i="4"/>
  <c r="D1113" i="4"/>
  <c r="C1113" i="4"/>
  <c r="B1113" i="4"/>
  <c r="F1112" i="4"/>
  <c r="D1112" i="4"/>
  <c r="C1112" i="4"/>
  <c r="B1112" i="4"/>
  <c r="F1111" i="4"/>
  <c r="D1111" i="4"/>
  <c r="C1111" i="4"/>
  <c r="B1111" i="4"/>
  <c r="F1110" i="4"/>
  <c r="D1110" i="4"/>
  <c r="C1110" i="4"/>
  <c r="B1110" i="4"/>
  <c r="F1109" i="4"/>
  <c r="D1109" i="4"/>
  <c r="C1109" i="4"/>
  <c r="B1109" i="4"/>
  <c r="F1108" i="4"/>
  <c r="D1108" i="4"/>
  <c r="C1108" i="4"/>
  <c r="B1108" i="4"/>
  <c r="F1107" i="4"/>
  <c r="D1107" i="4"/>
  <c r="C1107" i="4"/>
  <c r="B1107" i="4"/>
  <c r="F1106" i="4"/>
  <c r="D1106" i="4"/>
  <c r="C1106" i="4"/>
  <c r="B1106" i="4"/>
  <c r="F1105" i="4"/>
  <c r="D1105" i="4"/>
  <c r="C1105" i="4"/>
  <c r="B1105" i="4"/>
  <c r="F1104" i="4"/>
  <c r="D1104" i="4"/>
  <c r="C1104" i="4"/>
  <c r="B1104" i="4"/>
  <c r="F1103" i="4"/>
  <c r="D1103" i="4"/>
  <c r="C1103" i="4"/>
  <c r="B1103" i="4"/>
  <c r="F1102" i="4"/>
  <c r="D1102" i="4"/>
  <c r="C1102" i="4"/>
  <c r="B1102" i="4"/>
  <c r="F1101" i="4"/>
  <c r="D1101" i="4"/>
  <c r="C1101" i="4"/>
  <c r="B1101" i="4"/>
  <c r="F1100" i="4"/>
  <c r="D1100" i="4"/>
  <c r="C1100" i="4"/>
  <c r="B1100" i="4"/>
  <c r="F1099" i="4"/>
  <c r="D1099" i="4"/>
  <c r="C1099" i="4"/>
  <c r="B1099" i="4"/>
  <c r="F1098" i="4"/>
  <c r="D1098" i="4"/>
  <c r="C1098" i="4"/>
  <c r="B1098" i="4"/>
  <c r="F1097" i="4"/>
  <c r="D1097" i="4"/>
  <c r="C1097" i="4"/>
  <c r="B1097" i="4"/>
  <c r="F1096" i="4"/>
  <c r="D1096" i="4"/>
  <c r="C1096" i="4"/>
  <c r="B1096" i="4"/>
  <c r="F1095" i="4"/>
  <c r="D1095" i="4"/>
  <c r="C1095" i="4"/>
  <c r="B1095" i="4"/>
  <c r="F1094" i="4"/>
  <c r="D1094" i="4"/>
  <c r="C1094" i="4"/>
  <c r="B1094" i="4"/>
  <c r="F1093" i="4"/>
  <c r="D1093" i="4"/>
  <c r="C1093" i="4"/>
  <c r="B1093" i="4"/>
  <c r="F1092" i="4"/>
  <c r="D1092" i="4"/>
  <c r="C1092" i="4"/>
  <c r="B1092" i="4"/>
  <c r="F1091" i="4"/>
  <c r="D1091" i="4"/>
  <c r="C1091" i="4"/>
  <c r="B1091" i="4"/>
  <c r="F1090" i="4"/>
  <c r="D1090" i="4"/>
  <c r="C1090" i="4"/>
  <c r="B1090" i="4"/>
  <c r="F1089" i="4"/>
  <c r="D1089" i="4"/>
  <c r="C1089" i="4"/>
  <c r="B1089" i="4"/>
  <c r="F1088" i="4"/>
  <c r="D1088" i="4"/>
  <c r="C1088" i="4"/>
  <c r="B1088" i="4"/>
  <c r="F1087" i="4"/>
  <c r="D1087" i="4"/>
  <c r="C1087" i="4"/>
  <c r="B1087" i="4"/>
  <c r="F1086" i="4"/>
  <c r="D1086" i="4"/>
  <c r="C1086" i="4"/>
  <c r="B1086" i="4"/>
  <c r="F1085" i="4"/>
  <c r="D1085" i="4"/>
  <c r="C1085" i="4"/>
  <c r="B1085" i="4"/>
  <c r="F1084" i="4"/>
  <c r="D1084" i="4"/>
  <c r="C1084" i="4"/>
  <c r="B1084" i="4"/>
  <c r="F1083" i="4"/>
  <c r="D1083" i="4"/>
  <c r="C1083" i="4"/>
  <c r="B1083" i="4"/>
  <c r="F1082" i="4"/>
  <c r="D1082" i="4"/>
  <c r="C1082" i="4"/>
  <c r="B1082" i="4"/>
  <c r="F1081" i="4"/>
  <c r="D1081" i="4"/>
  <c r="C1081" i="4"/>
  <c r="B1081" i="4"/>
  <c r="F1080" i="4"/>
  <c r="D1080" i="4"/>
  <c r="C1080" i="4"/>
  <c r="B1080" i="4"/>
  <c r="F1079" i="4"/>
  <c r="D1079" i="4"/>
  <c r="C1079" i="4"/>
  <c r="B1079" i="4"/>
  <c r="F1078" i="4"/>
  <c r="D1078" i="4"/>
  <c r="C1078" i="4"/>
  <c r="B1078" i="4"/>
  <c r="F1077" i="4"/>
  <c r="D1077" i="4"/>
  <c r="C1077" i="4"/>
  <c r="B1077" i="4"/>
  <c r="F1076" i="4"/>
  <c r="D1076" i="4"/>
  <c r="C1076" i="4"/>
  <c r="B1076" i="4"/>
  <c r="F1075" i="4"/>
  <c r="D1075" i="4"/>
  <c r="C1075" i="4"/>
  <c r="B1075" i="4"/>
  <c r="F1074" i="4"/>
  <c r="D1074" i="4"/>
  <c r="C1074" i="4"/>
  <c r="B1074" i="4"/>
  <c r="F1073" i="4"/>
  <c r="D1073" i="4"/>
  <c r="C1073" i="4"/>
  <c r="B1073" i="4"/>
  <c r="F1072" i="4"/>
  <c r="D1072" i="4"/>
  <c r="C1072" i="4"/>
  <c r="B1072" i="4"/>
  <c r="F1071" i="4"/>
  <c r="D1071" i="4"/>
  <c r="C1071" i="4"/>
  <c r="B1071" i="4"/>
  <c r="F1070" i="4"/>
  <c r="D1070" i="4"/>
  <c r="C1070" i="4"/>
  <c r="B1070" i="4"/>
  <c r="F1069" i="4"/>
  <c r="D1069" i="4"/>
  <c r="C1069" i="4"/>
  <c r="B1069" i="4"/>
  <c r="F1068" i="4"/>
  <c r="D1068" i="4"/>
  <c r="C1068" i="4"/>
  <c r="B1068" i="4"/>
  <c r="F1067" i="4"/>
  <c r="D1067" i="4"/>
  <c r="C1067" i="4"/>
  <c r="B1067" i="4"/>
  <c r="F1066" i="4"/>
  <c r="D1066" i="4"/>
  <c r="C1066" i="4"/>
  <c r="B1066" i="4"/>
  <c r="F1065" i="4"/>
  <c r="D1065" i="4"/>
  <c r="C1065" i="4"/>
  <c r="B1065" i="4"/>
  <c r="F1064" i="4"/>
  <c r="D1064" i="4"/>
  <c r="C1064" i="4"/>
  <c r="B1064" i="4"/>
  <c r="F1063" i="4"/>
  <c r="D1063" i="4"/>
  <c r="C1063" i="4"/>
  <c r="B1063" i="4"/>
  <c r="F1062" i="4"/>
  <c r="D1062" i="4"/>
  <c r="C1062" i="4"/>
  <c r="B1062" i="4"/>
  <c r="F1061" i="4"/>
  <c r="D1061" i="4"/>
  <c r="C1061" i="4"/>
  <c r="B1061" i="4"/>
  <c r="F1060" i="4"/>
  <c r="D1060" i="4"/>
  <c r="C1060" i="4"/>
  <c r="B1060" i="4"/>
  <c r="F1059" i="4"/>
  <c r="D1059" i="4"/>
  <c r="C1059" i="4"/>
  <c r="B1059" i="4"/>
  <c r="F1058" i="4"/>
  <c r="D1058" i="4"/>
  <c r="C1058" i="4"/>
  <c r="B1058" i="4"/>
  <c r="F1057" i="4"/>
  <c r="D1057" i="4"/>
  <c r="C1057" i="4"/>
  <c r="B1057" i="4"/>
  <c r="F1056" i="4"/>
  <c r="D1056" i="4"/>
  <c r="C1056" i="4"/>
  <c r="B1056" i="4"/>
  <c r="F1055" i="4"/>
  <c r="D1055" i="4"/>
  <c r="C1055" i="4"/>
  <c r="B1055" i="4"/>
  <c r="F1054" i="4"/>
  <c r="D1054" i="4"/>
  <c r="C1054" i="4"/>
  <c r="B1054" i="4"/>
  <c r="F1053" i="4"/>
  <c r="D1053" i="4"/>
  <c r="C1053" i="4"/>
  <c r="B1053" i="4"/>
  <c r="F1052" i="4"/>
  <c r="D1052" i="4"/>
  <c r="C1052" i="4"/>
  <c r="B1052" i="4"/>
  <c r="F1051" i="4"/>
  <c r="D1051" i="4"/>
  <c r="C1051" i="4"/>
  <c r="B1051" i="4"/>
  <c r="F1050" i="4"/>
  <c r="D1050" i="4"/>
  <c r="C1050" i="4"/>
  <c r="B1050" i="4"/>
  <c r="F1049" i="4"/>
  <c r="D1049" i="4"/>
  <c r="C1049" i="4"/>
  <c r="B1049" i="4"/>
  <c r="F1048" i="4"/>
  <c r="D1048" i="4"/>
  <c r="C1048" i="4"/>
  <c r="B1048" i="4"/>
  <c r="F1047" i="4"/>
  <c r="D1047" i="4"/>
  <c r="C1047" i="4"/>
  <c r="B1047" i="4"/>
  <c r="F1046" i="4"/>
  <c r="D1046" i="4"/>
  <c r="C1046" i="4"/>
  <c r="B1046" i="4"/>
  <c r="F1045" i="4"/>
  <c r="D1045" i="4"/>
  <c r="C1045" i="4"/>
  <c r="B1045" i="4"/>
  <c r="F1044" i="4"/>
  <c r="D1044" i="4"/>
  <c r="C1044" i="4"/>
  <c r="B1044" i="4"/>
  <c r="F1043" i="4"/>
  <c r="D1043" i="4"/>
  <c r="C1043" i="4"/>
  <c r="B1043" i="4"/>
  <c r="F1042" i="4"/>
  <c r="D1042" i="4"/>
  <c r="C1042" i="4"/>
  <c r="B1042" i="4"/>
  <c r="F1041" i="4"/>
  <c r="D1041" i="4"/>
  <c r="C1041" i="4"/>
  <c r="B1041" i="4"/>
  <c r="F1040" i="4"/>
  <c r="D1040" i="4"/>
  <c r="C1040" i="4"/>
  <c r="B1040" i="4"/>
  <c r="F1039" i="4"/>
  <c r="D1039" i="4"/>
  <c r="C1039" i="4"/>
  <c r="B1039" i="4"/>
  <c r="F1038" i="4"/>
  <c r="D1038" i="4"/>
  <c r="C1038" i="4"/>
  <c r="B1038" i="4"/>
  <c r="F1037" i="4"/>
  <c r="D1037" i="4"/>
  <c r="C1037" i="4"/>
  <c r="B1037" i="4"/>
  <c r="F1036" i="4"/>
  <c r="D1036" i="4"/>
  <c r="C1036" i="4"/>
  <c r="B1036" i="4"/>
  <c r="F1035" i="4"/>
  <c r="D1035" i="4"/>
  <c r="C1035" i="4"/>
  <c r="B1035" i="4"/>
  <c r="F1034" i="4"/>
  <c r="D1034" i="4"/>
  <c r="C1034" i="4"/>
  <c r="B1034" i="4"/>
  <c r="F1033" i="4"/>
  <c r="D1033" i="4"/>
  <c r="C1033" i="4"/>
  <c r="B1033" i="4"/>
  <c r="F1032" i="4"/>
  <c r="D1032" i="4"/>
  <c r="C1032" i="4"/>
  <c r="B1032" i="4"/>
  <c r="F1031" i="4"/>
  <c r="D1031" i="4"/>
  <c r="C1031" i="4"/>
  <c r="B1031" i="4"/>
  <c r="F1030" i="4"/>
  <c r="D1030" i="4"/>
  <c r="C1030" i="4"/>
  <c r="B1030" i="4"/>
  <c r="F1029" i="4"/>
  <c r="D1029" i="4"/>
  <c r="C1029" i="4"/>
  <c r="B1029" i="4"/>
  <c r="F1028" i="4"/>
  <c r="D1028" i="4"/>
  <c r="C1028" i="4"/>
  <c r="B1028" i="4"/>
  <c r="F1027" i="4"/>
  <c r="D1027" i="4"/>
  <c r="C1027" i="4"/>
  <c r="B1027" i="4"/>
  <c r="F1026" i="4"/>
  <c r="D1026" i="4"/>
  <c r="C1026" i="4"/>
  <c r="B1026" i="4"/>
  <c r="F1025" i="4"/>
  <c r="D1025" i="4"/>
  <c r="C1025" i="4"/>
  <c r="B1025" i="4"/>
  <c r="F1024" i="4"/>
  <c r="D1024" i="4"/>
  <c r="C1024" i="4"/>
  <c r="B1024" i="4"/>
  <c r="F1023" i="4"/>
  <c r="D1023" i="4"/>
  <c r="C1023" i="4"/>
  <c r="B1023" i="4"/>
  <c r="F1022" i="4"/>
  <c r="D1022" i="4"/>
  <c r="C1022" i="4"/>
  <c r="B1022" i="4"/>
  <c r="F1021" i="4"/>
  <c r="D1021" i="4"/>
  <c r="C1021" i="4"/>
  <c r="B1021" i="4"/>
  <c r="F1020" i="4"/>
  <c r="D1020" i="4"/>
  <c r="C1020" i="4"/>
  <c r="B1020" i="4"/>
  <c r="F1019" i="4"/>
  <c r="D1019" i="4"/>
  <c r="C1019" i="4"/>
  <c r="B1019" i="4"/>
  <c r="F1018" i="4"/>
  <c r="D1018" i="4"/>
  <c r="C1018" i="4"/>
  <c r="B1018" i="4"/>
  <c r="F1017" i="4"/>
  <c r="D1017" i="4"/>
  <c r="C1017" i="4"/>
  <c r="B1017" i="4"/>
  <c r="F1016" i="4"/>
  <c r="D1016" i="4"/>
  <c r="C1016" i="4"/>
  <c r="B1016" i="4"/>
  <c r="F1015" i="4"/>
  <c r="D1015" i="4"/>
  <c r="C1015" i="4"/>
  <c r="B1015" i="4"/>
  <c r="F1014" i="4"/>
  <c r="D1014" i="4"/>
  <c r="C1014" i="4"/>
  <c r="B1014" i="4"/>
  <c r="F1013" i="4"/>
  <c r="D1013" i="4"/>
  <c r="C1013" i="4"/>
  <c r="B1013" i="4"/>
  <c r="F1012" i="4"/>
  <c r="D1012" i="4"/>
  <c r="C1012" i="4"/>
  <c r="B1012" i="4"/>
  <c r="F1011" i="4"/>
  <c r="D1011" i="4"/>
  <c r="C1011" i="4"/>
  <c r="B1011" i="4"/>
  <c r="F1010" i="4"/>
  <c r="D1010" i="4"/>
  <c r="C1010" i="4"/>
  <c r="B1010" i="4"/>
  <c r="F1009" i="4"/>
  <c r="D1009" i="4"/>
  <c r="C1009" i="4"/>
  <c r="B1009" i="4"/>
  <c r="F1008" i="4"/>
  <c r="D1008" i="4"/>
  <c r="C1008" i="4"/>
  <c r="B1008" i="4"/>
  <c r="F1007" i="4"/>
  <c r="D1007" i="4"/>
  <c r="C1007" i="4"/>
  <c r="B1007" i="4"/>
  <c r="F1006" i="4"/>
  <c r="D1006" i="4"/>
  <c r="C1006" i="4"/>
  <c r="B1006" i="4"/>
  <c r="F1005" i="4"/>
  <c r="D1005" i="4"/>
  <c r="C1005" i="4"/>
  <c r="B1005" i="4"/>
  <c r="F1004" i="4"/>
  <c r="D1004" i="4"/>
  <c r="C1004" i="4"/>
  <c r="B1004" i="4"/>
  <c r="F1003" i="4"/>
  <c r="D1003" i="4"/>
  <c r="C1003" i="4"/>
  <c r="B1003" i="4"/>
  <c r="F1002" i="4"/>
  <c r="D1002" i="4"/>
  <c r="C1002" i="4"/>
  <c r="B1002" i="4"/>
  <c r="F1001" i="4"/>
  <c r="D1001" i="4"/>
  <c r="C1001" i="4"/>
  <c r="B1001" i="4"/>
  <c r="F1000" i="4"/>
  <c r="D1000" i="4"/>
  <c r="C1000" i="4"/>
  <c r="B1000" i="4"/>
  <c r="F999" i="4"/>
  <c r="D999" i="4"/>
  <c r="C999" i="4"/>
  <c r="B999" i="4"/>
  <c r="F998" i="4"/>
  <c r="D998" i="4"/>
  <c r="C998" i="4"/>
  <c r="B998" i="4"/>
  <c r="F997" i="4"/>
  <c r="D997" i="4"/>
  <c r="C997" i="4"/>
  <c r="B997" i="4"/>
  <c r="F996" i="4"/>
  <c r="D996" i="4"/>
  <c r="C996" i="4"/>
  <c r="B996" i="4"/>
  <c r="F995" i="4"/>
  <c r="D995" i="4"/>
  <c r="C995" i="4"/>
  <c r="B995" i="4"/>
  <c r="F994" i="4"/>
  <c r="D994" i="4"/>
  <c r="C994" i="4"/>
  <c r="B994" i="4"/>
  <c r="F993" i="4"/>
  <c r="D993" i="4"/>
  <c r="C993" i="4"/>
  <c r="B993" i="4"/>
  <c r="F992" i="4"/>
  <c r="D992" i="4"/>
  <c r="C992" i="4"/>
  <c r="B992" i="4"/>
  <c r="F991" i="4"/>
  <c r="D991" i="4"/>
  <c r="C991" i="4"/>
  <c r="B991" i="4"/>
  <c r="F990" i="4"/>
  <c r="D990" i="4"/>
  <c r="C990" i="4"/>
  <c r="B990" i="4"/>
  <c r="F989" i="4"/>
  <c r="D989" i="4"/>
  <c r="C989" i="4"/>
  <c r="B989" i="4"/>
  <c r="F988" i="4"/>
  <c r="D988" i="4"/>
  <c r="C988" i="4"/>
  <c r="B988" i="4"/>
  <c r="F987" i="4"/>
  <c r="D987" i="4"/>
  <c r="C987" i="4"/>
  <c r="B987" i="4"/>
  <c r="F986" i="4"/>
  <c r="D986" i="4"/>
  <c r="C986" i="4"/>
  <c r="B986" i="4"/>
  <c r="F985" i="4"/>
  <c r="D985" i="4"/>
  <c r="C985" i="4"/>
  <c r="B985" i="4"/>
  <c r="F984" i="4"/>
  <c r="D984" i="4"/>
  <c r="C984" i="4"/>
  <c r="B984" i="4"/>
  <c r="F983" i="4"/>
  <c r="D983" i="4"/>
  <c r="C983" i="4"/>
  <c r="B983" i="4"/>
  <c r="F982" i="4"/>
  <c r="D982" i="4"/>
  <c r="C982" i="4"/>
  <c r="B982" i="4"/>
  <c r="F981" i="4"/>
  <c r="D981" i="4"/>
  <c r="C981" i="4"/>
  <c r="B981" i="4"/>
  <c r="F980" i="4"/>
  <c r="D980" i="4"/>
  <c r="C980" i="4"/>
  <c r="B980" i="4"/>
  <c r="F979" i="4"/>
  <c r="D979" i="4"/>
  <c r="C979" i="4"/>
  <c r="B979" i="4"/>
  <c r="F978" i="4"/>
  <c r="D978" i="4"/>
  <c r="C978" i="4"/>
  <c r="B978" i="4"/>
  <c r="F977" i="4"/>
  <c r="D977" i="4"/>
  <c r="C977" i="4"/>
  <c r="B977" i="4"/>
  <c r="F976" i="4"/>
  <c r="D976" i="4"/>
  <c r="C976" i="4"/>
  <c r="B976" i="4"/>
  <c r="F975" i="4"/>
  <c r="D975" i="4"/>
  <c r="C975" i="4"/>
  <c r="B975" i="4"/>
  <c r="F974" i="4"/>
  <c r="D974" i="4"/>
  <c r="C974" i="4"/>
  <c r="B974" i="4"/>
  <c r="F973" i="4"/>
  <c r="D973" i="4"/>
  <c r="C973" i="4"/>
  <c r="B973" i="4"/>
  <c r="F972" i="4"/>
  <c r="D972" i="4"/>
  <c r="C972" i="4"/>
  <c r="B972" i="4"/>
  <c r="F971" i="4"/>
  <c r="D971" i="4"/>
  <c r="C971" i="4"/>
  <c r="B971" i="4"/>
  <c r="F970" i="4"/>
  <c r="D970" i="4"/>
  <c r="C970" i="4"/>
  <c r="B970" i="4"/>
  <c r="F969" i="4"/>
  <c r="D969" i="4"/>
  <c r="C969" i="4"/>
  <c r="B969" i="4"/>
  <c r="F968" i="4"/>
  <c r="D968" i="4"/>
  <c r="C968" i="4"/>
  <c r="B968" i="4"/>
  <c r="F967" i="4"/>
  <c r="D967" i="4"/>
  <c r="C967" i="4"/>
  <c r="B967" i="4"/>
  <c r="F966" i="4"/>
  <c r="D966" i="4"/>
  <c r="C966" i="4"/>
  <c r="B966" i="4"/>
  <c r="F965" i="4"/>
  <c r="D965" i="4"/>
  <c r="C965" i="4"/>
  <c r="B965" i="4"/>
  <c r="F964" i="4"/>
  <c r="D964" i="4"/>
  <c r="C964" i="4"/>
  <c r="B964" i="4"/>
  <c r="F963" i="4"/>
  <c r="D963" i="4"/>
  <c r="C963" i="4"/>
  <c r="B963" i="4"/>
  <c r="F962" i="4"/>
  <c r="D962" i="4"/>
  <c r="C962" i="4"/>
  <c r="B962" i="4"/>
  <c r="F961" i="4"/>
  <c r="D961" i="4"/>
  <c r="C961" i="4"/>
  <c r="B961" i="4"/>
  <c r="F960" i="4"/>
  <c r="D960" i="4"/>
  <c r="C960" i="4"/>
  <c r="B960" i="4"/>
  <c r="F959" i="4"/>
  <c r="D959" i="4"/>
  <c r="C959" i="4"/>
  <c r="B959" i="4"/>
  <c r="F958" i="4"/>
  <c r="D958" i="4"/>
  <c r="C958" i="4"/>
  <c r="B958" i="4"/>
  <c r="F957" i="4"/>
  <c r="D957" i="4"/>
  <c r="C957" i="4"/>
  <c r="B957" i="4"/>
  <c r="F956" i="4"/>
  <c r="D956" i="4"/>
  <c r="C956" i="4"/>
  <c r="B956" i="4"/>
  <c r="F955" i="4"/>
  <c r="D955" i="4"/>
  <c r="C955" i="4"/>
  <c r="B955" i="4"/>
  <c r="F954" i="4"/>
  <c r="D954" i="4"/>
  <c r="C954" i="4"/>
  <c r="B954" i="4"/>
  <c r="F953" i="4"/>
  <c r="D953" i="4"/>
  <c r="C953" i="4"/>
  <c r="B953" i="4"/>
  <c r="F952" i="4"/>
  <c r="D952" i="4"/>
  <c r="C952" i="4"/>
  <c r="B952" i="4"/>
  <c r="F951" i="4"/>
  <c r="D951" i="4"/>
  <c r="C951" i="4"/>
  <c r="B951" i="4"/>
  <c r="F950" i="4"/>
  <c r="D950" i="4"/>
  <c r="C950" i="4"/>
  <c r="B950" i="4"/>
  <c r="F949" i="4"/>
  <c r="D949" i="4"/>
  <c r="C949" i="4"/>
  <c r="B949" i="4"/>
  <c r="F948" i="4"/>
  <c r="D948" i="4"/>
  <c r="C948" i="4"/>
  <c r="B948" i="4"/>
  <c r="F947" i="4"/>
  <c r="D947" i="4"/>
  <c r="C947" i="4"/>
  <c r="B947" i="4"/>
  <c r="F946" i="4"/>
  <c r="D946" i="4"/>
  <c r="C946" i="4"/>
  <c r="B946" i="4"/>
  <c r="F945" i="4"/>
  <c r="D945" i="4"/>
  <c r="C945" i="4"/>
  <c r="B945" i="4"/>
  <c r="F944" i="4"/>
  <c r="D944" i="4"/>
  <c r="C944" i="4"/>
  <c r="B944" i="4"/>
  <c r="F943" i="4"/>
  <c r="D943" i="4"/>
  <c r="C943" i="4"/>
  <c r="B943" i="4"/>
  <c r="F942" i="4"/>
  <c r="D942" i="4"/>
  <c r="C942" i="4"/>
  <c r="B942" i="4"/>
  <c r="F941" i="4"/>
  <c r="D941" i="4"/>
  <c r="C941" i="4"/>
  <c r="B941" i="4"/>
  <c r="F940" i="4"/>
  <c r="D940" i="4"/>
  <c r="C940" i="4"/>
  <c r="B940" i="4"/>
  <c r="F939" i="4"/>
  <c r="D939" i="4"/>
  <c r="C939" i="4"/>
  <c r="B939" i="4"/>
  <c r="F938" i="4"/>
  <c r="D938" i="4"/>
  <c r="C938" i="4"/>
  <c r="B938" i="4"/>
  <c r="F937" i="4"/>
  <c r="D937" i="4"/>
  <c r="C937" i="4"/>
  <c r="B937" i="4"/>
  <c r="F936" i="4"/>
  <c r="D936" i="4"/>
  <c r="C936" i="4"/>
  <c r="B936" i="4"/>
  <c r="F935" i="4"/>
  <c r="D935" i="4"/>
  <c r="C935" i="4"/>
  <c r="B935" i="4"/>
  <c r="F934" i="4"/>
  <c r="D934" i="4"/>
  <c r="C934" i="4"/>
  <c r="B934" i="4"/>
  <c r="F933" i="4"/>
  <c r="D933" i="4"/>
  <c r="C933" i="4"/>
  <c r="B933" i="4"/>
  <c r="F932" i="4"/>
  <c r="D932" i="4"/>
  <c r="C932" i="4"/>
  <c r="B932" i="4"/>
  <c r="F931" i="4"/>
  <c r="D931" i="4"/>
  <c r="C931" i="4"/>
  <c r="B931" i="4"/>
  <c r="F930" i="4"/>
  <c r="D930" i="4"/>
  <c r="C930" i="4"/>
  <c r="B930" i="4"/>
  <c r="F929" i="4"/>
  <c r="D929" i="4"/>
  <c r="C929" i="4"/>
  <c r="B929" i="4"/>
  <c r="F928" i="4"/>
  <c r="D928" i="4"/>
  <c r="C928" i="4"/>
  <c r="B928" i="4"/>
  <c r="F927" i="4"/>
  <c r="D927" i="4"/>
  <c r="C927" i="4"/>
  <c r="B927" i="4"/>
  <c r="F926" i="4"/>
  <c r="D926" i="4"/>
  <c r="C926" i="4"/>
  <c r="B926" i="4"/>
  <c r="F925" i="4"/>
  <c r="D925" i="4"/>
  <c r="C925" i="4"/>
  <c r="B925" i="4"/>
  <c r="F924" i="4"/>
  <c r="D924" i="4"/>
  <c r="C924" i="4"/>
  <c r="B924" i="4"/>
  <c r="F923" i="4"/>
  <c r="D923" i="4"/>
  <c r="C923" i="4"/>
  <c r="B923" i="4"/>
  <c r="F922" i="4"/>
  <c r="D922" i="4"/>
  <c r="C922" i="4"/>
  <c r="B922" i="4"/>
  <c r="F921" i="4"/>
  <c r="D921" i="4"/>
  <c r="C921" i="4"/>
  <c r="B921" i="4"/>
  <c r="F920" i="4"/>
  <c r="D920" i="4"/>
  <c r="C920" i="4"/>
  <c r="B920" i="4"/>
  <c r="F919" i="4"/>
  <c r="D919" i="4"/>
  <c r="C919" i="4"/>
  <c r="B919" i="4"/>
  <c r="F918" i="4"/>
  <c r="D918" i="4"/>
  <c r="C918" i="4"/>
  <c r="B918" i="4"/>
  <c r="F917" i="4"/>
  <c r="D917" i="4"/>
  <c r="C917" i="4"/>
  <c r="B917" i="4"/>
  <c r="F916" i="4"/>
  <c r="D916" i="4"/>
  <c r="C916" i="4"/>
  <c r="B916" i="4"/>
  <c r="F915" i="4"/>
  <c r="D915" i="4"/>
  <c r="C915" i="4"/>
  <c r="B915" i="4"/>
  <c r="F914" i="4"/>
  <c r="D914" i="4"/>
  <c r="C914" i="4"/>
  <c r="B914" i="4"/>
  <c r="F913" i="4"/>
  <c r="D913" i="4"/>
  <c r="C913" i="4"/>
  <c r="B913" i="4"/>
  <c r="F912" i="4"/>
  <c r="D912" i="4"/>
  <c r="C912" i="4"/>
  <c r="B912" i="4"/>
  <c r="F911" i="4"/>
  <c r="D911" i="4"/>
  <c r="C911" i="4"/>
  <c r="B911" i="4"/>
  <c r="F910" i="4"/>
  <c r="D910" i="4"/>
  <c r="C910" i="4"/>
  <c r="B910" i="4"/>
  <c r="F909" i="4"/>
  <c r="D909" i="4"/>
  <c r="C909" i="4"/>
  <c r="B909" i="4"/>
  <c r="F908" i="4"/>
  <c r="D908" i="4"/>
  <c r="C908" i="4"/>
  <c r="B908" i="4"/>
  <c r="F907" i="4"/>
  <c r="D907" i="4"/>
  <c r="C907" i="4"/>
  <c r="B907" i="4"/>
  <c r="F906" i="4"/>
  <c r="D906" i="4"/>
  <c r="C906" i="4"/>
  <c r="B906" i="4"/>
  <c r="F905" i="4"/>
  <c r="D905" i="4"/>
  <c r="C905" i="4"/>
  <c r="B905" i="4"/>
  <c r="F904" i="4"/>
  <c r="D904" i="4"/>
  <c r="C904" i="4"/>
  <c r="B904" i="4"/>
  <c r="F903" i="4"/>
  <c r="D903" i="4"/>
  <c r="C903" i="4"/>
  <c r="B903" i="4"/>
  <c r="F902" i="4"/>
  <c r="D902" i="4"/>
  <c r="C902" i="4"/>
  <c r="B902" i="4"/>
  <c r="F901" i="4"/>
  <c r="D901" i="4"/>
  <c r="C901" i="4"/>
  <c r="B901" i="4"/>
  <c r="F900" i="4"/>
  <c r="D900" i="4"/>
  <c r="C900" i="4"/>
  <c r="B900" i="4"/>
  <c r="F899" i="4"/>
  <c r="D899" i="4"/>
  <c r="C899" i="4"/>
  <c r="B899" i="4"/>
  <c r="F898" i="4"/>
  <c r="D898" i="4"/>
  <c r="C898" i="4"/>
  <c r="B898" i="4"/>
  <c r="F897" i="4"/>
  <c r="D897" i="4"/>
  <c r="C897" i="4"/>
  <c r="B897" i="4"/>
  <c r="F896" i="4"/>
  <c r="D896" i="4"/>
  <c r="C896" i="4"/>
  <c r="B896" i="4"/>
  <c r="F895" i="4"/>
  <c r="D895" i="4"/>
  <c r="C895" i="4"/>
  <c r="B895" i="4"/>
  <c r="F894" i="4"/>
  <c r="D894" i="4"/>
  <c r="C894" i="4"/>
  <c r="B894" i="4"/>
  <c r="F893" i="4"/>
  <c r="D893" i="4"/>
  <c r="C893" i="4"/>
  <c r="B893" i="4"/>
  <c r="F892" i="4"/>
  <c r="D892" i="4"/>
  <c r="C892" i="4"/>
  <c r="B892" i="4"/>
  <c r="F891" i="4"/>
  <c r="D891" i="4"/>
  <c r="C891" i="4"/>
  <c r="B891" i="4"/>
  <c r="F890" i="4"/>
  <c r="D890" i="4"/>
  <c r="C890" i="4"/>
  <c r="B890" i="4"/>
  <c r="F889" i="4"/>
  <c r="D889" i="4"/>
  <c r="C889" i="4"/>
  <c r="B889" i="4"/>
  <c r="F888" i="4"/>
  <c r="D888" i="4"/>
  <c r="C888" i="4"/>
  <c r="B888" i="4"/>
  <c r="F887" i="4"/>
  <c r="D887" i="4"/>
  <c r="C887" i="4"/>
  <c r="B887" i="4"/>
  <c r="F886" i="4"/>
  <c r="D886" i="4"/>
  <c r="C886" i="4"/>
  <c r="B886" i="4"/>
  <c r="F885" i="4"/>
  <c r="D885" i="4"/>
  <c r="C885" i="4"/>
  <c r="B885" i="4"/>
  <c r="F884" i="4"/>
  <c r="D884" i="4"/>
  <c r="C884" i="4"/>
  <c r="B884" i="4"/>
  <c r="F883" i="4"/>
  <c r="D883" i="4"/>
  <c r="C883" i="4"/>
  <c r="B883" i="4"/>
  <c r="F882" i="4"/>
  <c r="D882" i="4"/>
  <c r="C882" i="4"/>
  <c r="B882" i="4"/>
  <c r="F881" i="4"/>
  <c r="D881" i="4"/>
  <c r="C881" i="4"/>
  <c r="B881" i="4"/>
  <c r="F880" i="4"/>
  <c r="D880" i="4"/>
  <c r="C880" i="4"/>
  <c r="B880" i="4"/>
  <c r="F879" i="4"/>
  <c r="D879" i="4"/>
  <c r="C879" i="4"/>
  <c r="B879" i="4"/>
  <c r="F878" i="4"/>
  <c r="D878" i="4"/>
  <c r="C878" i="4"/>
  <c r="B878" i="4"/>
  <c r="F877" i="4"/>
  <c r="D877" i="4"/>
  <c r="C877" i="4"/>
  <c r="B877" i="4"/>
  <c r="F876" i="4"/>
  <c r="D876" i="4"/>
  <c r="C876" i="4"/>
  <c r="B876" i="4"/>
  <c r="F875" i="4"/>
  <c r="D875" i="4"/>
  <c r="C875" i="4"/>
  <c r="B875" i="4"/>
  <c r="F874" i="4"/>
  <c r="D874" i="4"/>
  <c r="C874" i="4"/>
  <c r="B874" i="4"/>
  <c r="F873" i="4"/>
  <c r="D873" i="4"/>
  <c r="C873" i="4"/>
  <c r="B873" i="4"/>
  <c r="F872" i="4"/>
  <c r="D872" i="4"/>
  <c r="C872" i="4"/>
  <c r="B872" i="4"/>
  <c r="F871" i="4"/>
  <c r="D871" i="4"/>
  <c r="C871" i="4"/>
  <c r="B871" i="4"/>
  <c r="F870" i="4"/>
  <c r="D870" i="4"/>
  <c r="C870" i="4"/>
  <c r="B870" i="4"/>
  <c r="F869" i="4"/>
  <c r="D869" i="4"/>
  <c r="C869" i="4"/>
  <c r="B869" i="4"/>
  <c r="F868" i="4"/>
  <c r="D868" i="4"/>
  <c r="C868" i="4"/>
  <c r="B868" i="4"/>
  <c r="F867" i="4"/>
  <c r="D867" i="4"/>
  <c r="C867" i="4"/>
  <c r="B867" i="4"/>
  <c r="F866" i="4"/>
  <c r="D866" i="4"/>
  <c r="C866" i="4"/>
  <c r="B866" i="4"/>
  <c r="F865" i="4"/>
  <c r="D865" i="4"/>
  <c r="C865" i="4"/>
  <c r="B865" i="4"/>
  <c r="F864" i="4"/>
  <c r="D864" i="4"/>
  <c r="C864" i="4"/>
  <c r="B864" i="4"/>
  <c r="F863" i="4"/>
  <c r="D863" i="4"/>
  <c r="C863" i="4"/>
  <c r="B863" i="4"/>
  <c r="F862" i="4"/>
  <c r="D862" i="4"/>
  <c r="C862" i="4"/>
  <c r="B862" i="4"/>
  <c r="F861" i="4"/>
  <c r="D861" i="4"/>
  <c r="C861" i="4"/>
  <c r="B861" i="4"/>
  <c r="F860" i="4"/>
  <c r="D860" i="4"/>
  <c r="C860" i="4"/>
  <c r="B860" i="4"/>
  <c r="F859" i="4"/>
  <c r="D859" i="4"/>
  <c r="C859" i="4"/>
  <c r="B859" i="4"/>
  <c r="F858" i="4"/>
  <c r="D858" i="4"/>
  <c r="C858" i="4"/>
  <c r="B858" i="4"/>
  <c r="F857" i="4"/>
  <c r="D857" i="4"/>
  <c r="C857" i="4"/>
  <c r="B857" i="4"/>
  <c r="F856" i="4"/>
  <c r="D856" i="4"/>
  <c r="C856" i="4"/>
  <c r="B856" i="4"/>
  <c r="F855" i="4"/>
  <c r="D855" i="4"/>
  <c r="C855" i="4"/>
  <c r="B855" i="4"/>
  <c r="F854" i="4"/>
  <c r="D854" i="4"/>
  <c r="C854" i="4"/>
  <c r="B854" i="4"/>
  <c r="F853" i="4"/>
  <c r="D853" i="4"/>
  <c r="C853" i="4"/>
  <c r="B853" i="4"/>
  <c r="F852" i="4"/>
  <c r="D852" i="4"/>
  <c r="C852" i="4"/>
  <c r="B852" i="4"/>
  <c r="F851" i="4"/>
  <c r="D851" i="4"/>
  <c r="C851" i="4"/>
  <c r="B851" i="4"/>
  <c r="F850" i="4"/>
  <c r="D850" i="4"/>
  <c r="C850" i="4"/>
  <c r="B850" i="4"/>
  <c r="F849" i="4"/>
  <c r="D849" i="4"/>
  <c r="C849" i="4"/>
  <c r="B849" i="4"/>
  <c r="F848" i="4"/>
  <c r="D848" i="4"/>
  <c r="C848" i="4"/>
  <c r="B848" i="4"/>
  <c r="F847" i="4"/>
  <c r="D847" i="4"/>
  <c r="C847" i="4"/>
  <c r="B847" i="4"/>
  <c r="F846" i="4"/>
  <c r="D846" i="4"/>
  <c r="C846" i="4"/>
  <c r="B846" i="4"/>
  <c r="F845" i="4"/>
  <c r="D845" i="4"/>
  <c r="C845" i="4"/>
  <c r="B845" i="4"/>
  <c r="F844" i="4"/>
  <c r="D844" i="4"/>
  <c r="C844" i="4"/>
  <c r="B844" i="4"/>
  <c r="F843" i="4"/>
  <c r="D843" i="4"/>
  <c r="C843" i="4"/>
  <c r="B843" i="4"/>
  <c r="F842" i="4"/>
  <c r="D842" i="4"/>
  <c r="C842" i="4"/>
  <c r="B842" i="4"/>
  <c r="F841" i="4"/>
  <c r="D841" i="4"/>
  <c r="C841" i="4"/>
  <c r="B841" i="4"/>
  <c r="F840" i="4"/>
  <c r="D840" i="4"/>
  <c r="C840" i="4"/>
  <c r="B840" i="4"/>
  <c r="F839" i="4"/>
  <c r="D839" i="4"/>
  <c r="C839" i="4"/>
  <c r="B839" i="4"/>
  <c r="F838" i="4"/>
  <c r="D838" i="4"/>
  <c r="C838" i="4"/>
  <c r="B838" i="4"/>
  <c r="F837" i="4"/>
  <c r="D837" i="4"/>
  <c r="C837" i="4"/>
  <c r="B837" i="4"/>
  <c r="F836" i="4"/>
  <c r="D836" i="4"/>
  <c r="C836" i="4"/>
  <c r="B836" i="4"/>
  <c r="F835" i="4"/>
  <c r="D835" i="4"/>
  <c r="C835" i="4"/>
  <c r="B835" i="4"/>
  <c r="F834" i="4"/>
  <c r="D834" i="4"/>
  <c r="C834" i="4"/>
  <c r="B834" i="4"/>
  <c r="F833" i="4"/>
  <c r="D833" i="4"/>
  <c r="C833" i="4"/>
  <c r="B833" i="4"/>
  <c r="F832" i="4"/>
  <c r="D832" i="4"/>
  <c r="C832" i="4"/>
  <c r="B832" i="4"/>
  <c r="F831" i="4"/>
  <c r="D831" i="4"/>
  <c r="C831" i="4"/>
  <c r="B831" i="4"/>
  <c r="F830" i="4"/>
  <c r="D830" i="4"/>
  <c r="C830" i="4"/>
  <c r="B830" i="4"/>
  <c r="F829" i="4"/>
  <c r="D829" i="4"/>
  <c r="C829" i="4"/>
  <c r="B829" i="4"/>
  <c r="F828" i="4"/>
  <c r="D828" i="4"/>
  <c r="C828" i="4"/>
  <c r="B828" i="4"/>
  <c r="F827" i="4"/>
  <c r="D827" i="4"/>
  <c r="C827" i="4"/>
  <c r="B827" i="4"/>
  <c r="F826" i="4"/>
  <c r="D826" i="4"/>
  <c r="C826" i="4"/>
  <c r="B826" i="4"/>
  <c r="F825" i="4"/>
  <c r="D825" i="4"/>
  <c r="C825" i="4"/>
  <c r="B825" i="4"/>
  <c r="F824" i="4"/>
  <c r="D824" i="4"/>
  <c r="C824" i="4"/>
  <c r="B824" i="4"/>
  <c r="F823" i="4"/>
  <c r="D823" i="4"/>
  <c r="C823" i="4"/>
  <c r="B823" i="4"/>
  <c r="F822" i="4"/>
  <c r="D822" i="4"/>
  <c r="C822" i="4"/>
  <c r="B822" i="4"/>
  <c r="F821" i="4"/>
  <c r="D821" i="4"/>
  <c r="C821" i="4"/>
  <c r="B821" i="4"/>
  <c r="F820" i="4"/>
  <c r="D820" i="4"/>
  <c r="C820" i="4"/>
  <c r="B820" i="4"/>
  <c r="F819" i="4"/>
  <c r="D819" i="4"/>
  <c r="C819" i="4"/>
  <c r="B819" i="4"/>
  <c r="F818" i="4"/>
  <c r="D818" i="4"/>
  <c r="C818" i="4"/>
  <c r="B818" i="4"/>
  <c r="F817" i="4"/>
  <c r="D817" i="4"/>
  <c r="C817" i="4"/>
  <c r="B817" i="4"/>
  <c r="F816" i="4"/>
  <c r="D816" i="4"/>
  <c r="C816" i="4"/>
  <c r="B816" i="4"/>
  <c r="F815" i="4"/>
  <c r="D815" i="4"/>
  <c r="C815" i="4"/>
  <c r="B815" i="4"/>
  <c r="F814" i="4"/>
  <c r="D814" i="4"/>
  <c r="C814" i="4"/>
  <c r="B814" i="4"/>
  <c r="F813" i="4"/>
  <c r="D813" i="4"/>
  <c r="C813" i="4"/>
  <c r="B813" i="4"/>
  <c r="F812" i="4"/>
  <c r="D812" i="4"/>
  <c r="C812" i="4"/>
  <c r="B812" i="4"/>
  <c r="F811" i="4"/>
  <c r="D811" i="4"/>
  <c r="C811" i="4"/>
  <c r="B811" i="4"/>
  <c r="F810" i="4"/>
  <c r="D810" i="4"/>
  <c r="C810" i="4"/>
  <c r="B810" i="4"/>
  <c r="F809" i="4"/>
  <c r="D809" i="4"/>
  <c r="C809" i="4"/>
  <c r="B809" i="4"/>
  <c r="F808" i="4"/>
  <c r="D808" i="4"/>
  <c r="C808" i="4"/>
  <c r="B808" i="4"/>
  <c r="F807" i="4"/>
  <c r="D807" i="4"/>
  <c r="C807" i="4"/>
  <c r="B807" i="4"/>
  <c r="F806" i="4"/>
  <c r="D806" i="4"/>
  <c r="C806" i="4"/>
  <c r="B806" i="4"/>
  <c r="F805" i="4"/>
  <c r="D805" i="4"/>
  <c r="C805" i="4"/>
  <c r="B805" i="4"/>
  <c r="F804" i="4"/>
  <c r="D804" i="4"/>
  <c r="C804" i="4"/>
  <c r="B804" i="4"/>
  <c r="F803" i="4"/>
  <c r="D803" i="4"/>
  <c r="C803" i="4"/>
  <c r="B803" i="4"/>
  <c r="F802" i="4"/>
  <c r="D802" i="4"/>
  <c r="C802" i="4"/>
  <c r="B802" i="4"/>
  <c r="F801" i="4"/>
  <c r="D801" i="4"/>
  <c r="C801" i="4"/>
  <c r="B801" i="4"/>
  <c r="F800" i="4"/>
  <c r="D800" i="4"/>
  <c r="C800" i="4"/>
  <c r="B800" i="4"/>
  <c r="F799" i="4"/>
  <c r="D799" i="4"/>
  <c r="C799" i="4"/>
  <c r="B799" i="4"/>
  <c r="F798" i="4"/>
  <c r="D798" i="4"/>
  <c r="C798" i="4"/>
  <c r="B798" i="4"/>
  <c r="F797" i="4"/>
  <c r="D797" i="4"/>
  <c r="C797" i="4"/>
  <c r="B797" i="4"/>
  <c r="F796" i="4"/>
  <c r="D796" i="4"/>
  <c r="C796" i="4"/>
  <c r="B796" i="4"/>
  <c r="F795" i="4"/>
  <c r="D795" i="4"/>
  <c r="C795" i="4"/>
  <c r="B795" i="4"/>
  <c r="F794" i="4"/>
  <c r="D794" i="4"/>
  <c r="C794" i="4"/>
  <c r="B794" i="4"/>
  <c r="F793" i="4"/>
  <c r="D793" i="4"/>
  <c r="C793" i="4"/>
  <c r="B793" i="4"/>
  <c r="F792" i="4"/>
  <c r="D792" i="4"/>
  <c r="C792" i="4"/>
  <c r="B792" i="4"/>
  <c r="F791" i="4"/>
  <c r="D791" i="4"/>
  <c r="C791" i="4"/>
  <c r="B791" i="4"/>
  <c r="F790" i="4"/>
  <c r="D790" i="4"/>
  <c r="C790" i="4"/>
  <c r="B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D764" i="4"/>
  <c r="C764" i="4"/>
  <c r="B764" i="4"/>
  <c r="F763" i="4"/>
  <c r="F762" i="4"/>
  <c r="F761" i="4"/>
  <c r="F760" i="4"/>
  <c r="F759" i="4"/>
  <c r="F758" i="4"/>
  <c r="D758" i="4"/>
  <c r="C758" i="4"/>
  <c r="B758" i="4"/>
  <c r="F757" i="4"/>
  <c r="D757" i="4"/>
  <c r="C757" i="4"/>
  <c r="B757" i="4"/>
  <c r="F756" i="4"/>
  <c r="D756" i="4"/>
  <c r="C756" i="4"/>
  <c r="B756" i="4"/>
  <c r="F755" i="4"/>
  <c r="D755" i="4"/>
  <c r="C755" i="4"/>
  <c r="B755" i="4"/>
  <c r="F754" i="4"/>
  <c r="D754" i="4"/>
  <c r="C754" i="4"/>
  <c r="B754" i="4"/>
  <c r="F753" i="4"/>
  <c r="D753" i="4"/>
  <c r="C753" i="4"/>
  <c r="B753" i="4"/>
  <c r="F752" i="4"/>
  <c r="D752" i="4"/>
  <c r="C752" i="4"/>
  <c r="B752" i="4"/>
  <c r="F751" i="4"/>
  <c r="D751" i="4"/>
  <c r="C751" i="4"/>
  <c r="B751" i="4"/>
  <c r="F750" i="4"/>
  <c r="D750" i="4"/>
  <c r="C750" i="4"/>
  <c r="B750" i="4"/>
  <c r="F749" i="4"/>
  <c r="D749" i="4"/>
  <c r="C749" i="4"/>
  <c r="B749" i="4"/>
  <c r="F748" i="4"/>
  <c r="D748" i="4"/>
  <c r="C748" i="4"/>
  <c r="B748" i="4"/>
  <c r="F747" i="4"/>
  <c r="D747" i="4"/>
  <c r="C747" i="4"/>
  <c r="B747" i="4"/>
  <c r="F746" i="4"/>
  <c r="D746" i="4"/>
  <c r="C746" i="4"/>
  <c r="B746" i="4"/>
  <c r="F745" i="4"/>
  <c r="D745" i="4"/>
  <c r="C745" i="4"/>
  <c r="B745" i="4"/>
  <c r="F744" i="4"/>
  <c r="D744" i="4"/>
  <c r="C744" i="4"/>
  <c r="B744" i="4"/>
  <c r="F743" i="4"/>
  <c r="D743" i="4"/>
  <c r="C743" i="4"/>
  <c r="B743" i="4"/>
  <c r="F742" i="4"/>
  <c r="D742" i="4"/>
  <c r="C742" i="4"/>
  <c r="B742" i="4"/>
  <c r="F741" i="4"/>
  <c r="D741" i="4"/>
  <c r="C741" i="4"/>
  <c r="B741" i="4"/>
  <c r="F740" i="4"/>
  <c r="D740" i="4"/>
  <c r="C740" i="4"/>
  <c r="B740" i="4"/>
  <c r="F739" i="4"/>
  <c r="D739" i="4"/>
  <c r="C739" i="4"/>
  <c r="B739" i="4"/>
  <c r="F738" i="4"/>
  <c r="D738" i="4"/>
  <c r="C738" i="4"/>
  <c r="B738" i="4"/>
  <c r="F737" i="4"/>
  <c r="D737" i="4"/>
  <c r="C737" i="4"/>
  <c r="B737" i="4"/>
  <c r="F736" i="4"/>
  <c r="D736" i="4"/>
  <c r="C736" i="4"/>
  <c r="B736" i="4"/>
  <c r="F735" i="4"/>
  <c r="D735" i="4"/>
  <c r="C735" i="4"/>
  <c r="B735" i="4"/>
  <c r="F734" i="4"/>
  <c r="D734" i="4"/>
  <c r="C734" i="4"/>
  <c r="B734" i="4"/>
  <c r="F733" i="4"/>
  <c r="D733" i="4"/>
  <c r="C733" i="4"/>
  <c r="B733" i="4"/>
  <c r="F732" i="4"/>
  <c r="D732" i="4"/>
  <c r="C732" i="4"/>
  <c r="B732" i="4"/>
  <c r="F731" i="4"/>
  <c r="D731" i="4"/>
  <c r="C731" i="4"/>
  <c r="B731" i="4"/>
  <c r="F730" i="4"/>
  <c r="D730" i="4"/>
  <c r="C730" i="4"/>
  <c r="B730" i="4"/>
  <c r="F729" i="4"/>
  <c r="D729" i="4"/>
  <c r="C729" i="4"/>
  <c r="B729" i="4"/>
  <c r="F728" i="4"/>
  <c r="D728" i="4"/>
  <c r="C728" i="4"/>
  <c r="B728" i="4"/>
  <c r="F727" i="4"/>
  <c r="D727" i="4"/>
  <c r="C727" i="4"/>
  <c r="B727" i="4"/>
  <c r="F726" i="4"/>
  <c r="D726" i="4"/>
  <c r="C726" i="4"/>
  <c r="B726" i="4"/>
  <c r="F725" i="4"/>
  <c r="D725" i="4"/>
  <c r="C725" i="4"/>
  <c r="B725" i="4"/>
  <c r="F724" i="4"/>
  <c r="D724" i="4"/>
  <c r="C724" i="4"/>
  <c r="B724" i="4"/>
  <c r="F723" i="4"/>
  <c r="D723" i="4"/>
  <c r="C723" i="4"/>
  <c r="B723" i="4"/>
  <c r="F722" i="4"/>
  <c r="D722" i="4"/>
  <c r="C722" i="4"/>
  <c r="B722" i="4"/>
  <c r="F721" i="4"/>
  <c r="D721" i="4"/>
  <c r="C721" i="4"/>
  <c r="B721" i="4"/>
  <c r="F720" i="4"/>
  <c r="D720" i="4"/>
  <c r="C720" i="4"/>
  <c r="B720" i="4"/>
  <c r="F719" i="4"/>
  <c r="D719" i="4"/>
  <c r="C719" i="4"/>
  <c r="B719" i="4"/>
  <c r="F718" i="4"/>
  <c r="D718" i="4"/>
  <c r="C718" i="4"/>
  <c r="B718" i="4"/>
  <c r="F717" i="4"/>
  <c r="D717" i="4"/>
  <c r="C717" i="4"/>
  <c r="B717" i="4"/>
  <c r="F716" i="4"/>
  <c r="D716" i="4"/>
  <c r="C716" i="4"/>
  <c r="B716" i="4"/>
  <c r="F715" i="4"/>
  <c r="D715" i="4"/>
  <c r="C715" i="4"/>
  <c r="B715" i="4"/>
  <c r="F714" i="4"/>
  <c r="D714" i="4"/>
  <c r="C714" i="4"/>
  <c r="B714" i="4"/>
  <c r="F713" i="4"/>
  <c r="D713" i="4"/>
  <c r="C713" i="4"/>
  <c r="B713" i="4"/>
  <c r="F712" i="4"/>
  <c r="D712" i="4"/>
  <c r="C712" i="4"/>
  <c r="B712" i="4"/>
  <c r="F711" i="4"/>
  <c r="D711" i="4"/>
  <c r="C711" i="4"/>
  <c r="B711" i="4"/>
  <c r="F710" i="4"/>
  <c r="D710" i="4"/>
  <c r="C710" i="4"/>
  <c r="B710" i="4"/>
  <c r="F709" i="4"/>
  <c r="D709" i="4"/>
  <c r="C709" i="4"/>
  <c r="B709" i="4"/>
  <c r="F708" i="4"/>
  <c r="D708" i="4"/>
  <c r="C708" i="4"/>
  <c r="B708" i="4"/>
  <c r="F707" i="4"/>
  <c r="D707" i="4"/>
  <c r="C707" i="4"/>
  <c r="B707" i="4"/>
  <c r="F706" i="4"/>
  <c r="D706" i="4"/>
  <c r="C706" i="4"/>
  <c r="B706" i="4"/>
  <c r="F705" i="4"/>
  <c r="D705" i="4"/>
  <c r="C705" i="4"/>
  <c r="B705" i="4"/>
  <c r="F704" i="4"/>
  <c r="D704" i="4"/>
  <c r="C704" i="4"/>
  <c r="B704" i="4"/>
  <c r="F703" i="4"/>
  <c r="D703" i="4"/>
  <c r="C703" i="4"/>
  <c r="B703" i="4"/>
  <c r="F702" i="4"/>
  <c r="D702" i="4"/>
  <c r="C702" i="4"/>
  <c r="B702" i="4"/>
  <c r="F701" i="4"/>
  <c r="D701" i="4"/>
  <c r="C701" i="4"/>
  <c r="B701" i="4"/>
  <c r="F700" i="4"/>
  <c r="D700" i="4"/>
  <c r="C700" i="4"/>
  <c r="B700" i="4"/>
  <c r="F699" i="4"/>
  <c r="D699" i="4"/>
  <c r="C699" i="4"/>
  <c r="B699" i="4"/>
  <c r="F698" i="4"/>
  <c r="D698" i="4"/>
  <c r="C698" i="4"/>
  <c r="B698" i="4"/>
  <c r="F697" i="4"/>
  <c r="D697" i="4"/>
  <c r="C697" i="4"/>
  <c r="B697" i="4"/>
  <c r="F696" i="4"/>
  <c r="D696" i="4"/>
  <c r="C696" i="4"/>
  <c r="B696" i="4"/>
  <c r="F695" i="4"/>
  <c r="D695" i="4"/>
  <c r="C695" i="4"/>
  <c r="B695" i="4"/>
  <c r="F694" i="4"/>
  <c r="D694" i="4"/>
  <c r="C694" i="4"/>
  <c r="B694" i="4"/>
  <c r="F693" i="4"/>
  <c r="D693" i="4"/>
  <c r="C693" i="4"/>
  <c r="B693" i="4"/>
  <c r="F692" i="4"/>
  <c r="D692" i="4"/>
  <c r="C692" i="4"/>
  <c r="B692" i="4"/>
  <c r="F691" i="4"/>
  <c r="D691" i="4"/>
  <c r="C691" i="4"/>
  <c r="B691" i="4"/>
  <c r="F690" i="4"/>
  <c r="D690" i="4"/>
  <c r="C690" i="4"/>
  <c r="B690" i="4"/>
  <c r="F689" i="4"/>
  <c r="D689" i="4"/>
  <c r="C689" i="4"/>
  <c r="B689" i="4"/>
  <c r="F688" i="4"/>
  <c r="D688" i="4"/>
  <c r="C688" i="4"/>
  <c r="B688" i="4"/>
  <c r="F687" i="4"/>
  <c r="D687" i="4"/>
  <c r="C687" i="4"/>
  <c r="B687" i="4"/>
  <c r="F686" i="4"/>
  <c r="D686" i="4"/>
  <c r="C686" i="4"/>
  <c r="B686" i="4"/>
  <c r="F685" i="4"/>
  <c r="D685" i="4"/>
  <c r="C685" i="4"/>
  <c r="B685" i="4"/>
  <c r="F684" i="4"/>
  <c r="D684" i="4"/>
  <c r="C684" i="4"/>
  <c r="B684" i="4"/>
  <c r="F683" i="4"/>
  <c r="D683" i="4"/>
  <c r="C683" i="4"/>
  <c r="B683" i="4"/>
  <c r="F682" i="4"/>
  <c r="D682" i="4"/>
  <c r="C682" i="4"/>
  <c r="B682" i="4"/>
  <c r="F681" i="4"/>
  <c r="D681" i="4"/>
  <c r="C681" i="4"/>
  <c r="B681" i="4"/>
  <c r="F680" i="4"/>
  <c r="D680" i="4"/>
  <c r="C680" i="4"/>
  <c r="B680" i="4"/>
  <c r="F679" i="4"/>
  <c r="D679" i="4"/>
  <c r="C679" i="4"/>
  <c r="B679" i="4"/>
  <c r="F678" i="4"/>
  <c r="D678" i="4"/>
  <c r="C678" i="4"/>
  <c r="B678" i="4"/>
  <c r="F677" i="4"/>
  <c r="D677" i="4"/>
  <c r="C677" i="4"/>
  <c r="B677" i="4"/>
  <c r="F676" i="4"/>
  <c r="D676" i="4"/>
  <c r="C676" i="4"/>
  <c r="B676" i="4"/>
  <c r="F675" i="4"/>
  <c r="D675" i="4"/>
  <c r="C675" i="4"/>
  <c r="B675" i="4"/>
  <c r="F674" i="4"/>
  <c r="D674" i="4"/>
  <c r="C674" i="4"/>
  <c r="B674" i="4"/>
  <c r="F673" i="4"/>
  <c r="D673" i="4"/>
  <c r="C673" i="4"/>
  <c r="B673" i="4"/>
  <c r="F672" i="4"/>
  <c r="D672" i="4"/>
  <c r="C672" i="4"/>
  <c r="B672" i="4"/>
  <c r="F671" i="4"/>
  <c r="D671" i="4"/>
  <c r="C671" i="4"/>
  <c r="B671" i="4"/>
  <c r="F670" i="4"/>
  <c r="D670" i="4"/>
  <c r="C670" i="4"/>
  <c r="B670" i="4"/>
  <c r="F669" i="4"/>
  <c r="D669" i="4"/>
  <c r="C669" i="4"/>
  <c r="B669" i="4"/>
  <c r="F668" i="4"/>
  <c r="D668" i="4"/>
  <c r="C668" i="4"/>
  <c r="B668" i="4"/>
  <c r="F667" i="4"/>
  <c r="D667" i="4"/>
  <c r="C667" i="4"/>
  <c r="B667" i="4"/>
  <c r="F666" i="4"/>
  <c r="D666" i="4"/>
  <c r="C666" i="4"/>
  <c r="B666" i="4"/>
  <c r="F665" i="4"/>
  <c r="D665" i="4"/>
  <c r="C665" i="4"/>
  <c r="B665" i="4"/>
  <c r="F664" i="4"/>
  <c r="D664" i="4"/>
  <c r="C664" i="4"/>
  <c r="B664" i="4"/>
  <c r="F663" i="4"/>
  <c r="D663" i="4"/>
  <c r="C663" i="4"/>
  <c r="B663" i="4"/>
  <c r="F662" i="4"/>
  <c r="D662" i="4"/>
  <c r="C662" i="4"/>
  <c r="B662" i="4"/>
  <c r="F661" i="4"/>
  <c r="D661" i="4"/>
  <c r="C661" i="4"/>
  <c r="B661" i="4"/>
  <c r="F660" i="4"/>
  <c r="D660" i="4"/>
  <c r="C660" i="4"/>
  <c r="B660" i="4"/>
  <c r="F659" i="4"/>
  <c r="D659" i="4"/>
  <c r="C659" i="4"/>
  <c r="B659" i="4"/>
  <c r="F658" i="4"/>
  <c r="D658" i="4"/>
  <c r="C658" i="4"/>
  <c r="B658" i="4"/>
  <c r="F657" i="4"/>
  <c r="D657" i="4"/>
  <c r="C657" i="4"/>
  <c r="B657" i="4"/>
  <c r="F656" i="4"/>
  <c r="D656" i="4"/>
  <c r="C656" i="4"/>
  <c r="B656" i="4"/>
  <c r="F655" i="4"/>
  <c r="D655" i="4"/>
  <c r="C655" i="4"/>
  <c r="B655" i="4"/>
  <c r="F654" i="4"/>
  <c r="D654" i="4"/>
  <c r="C654" i="4"/>
  <c r="B654" i="4"/>
  <c r="F653" i="4"/>
  <c r="D653" i="4"/>
  <c r="C653" i="4"/>
  <c r="B653" i="4"/>
  <c r="F652" i="4"/>
  <c r="D652" i="4"/>
  <c r="C652" i="4"/>
  <c r="B652" i="4"/>
  <c r="F651" i="4"/>
  <c r="D651" i="4"/>
  <c r="C651" i="4"/>
  <c r="B651" i="4"/>
  <c r="F650" i="4"/>
  <c r="D650" i="4"/>
  <c r="C650" i="4"/>
  <c r="B650" i="4"/>
  <c r="F649" i="4"/>
  <c r="D649" i="4"/>
  <c r="C649" i="4"/>
  <c r="B649" i="4"/>
  <c r="F648" i="4"/>
  <c r="D648" i="4"/>
  <c r="C648" i="4"/>
  <c r="B648" i="4"/>
  <c r="F647" i="4"/>
  <c r="D647" i="4"/>
  <c r="C647" i="4"/>
  <c r="B647" i="4"/>
  <c r="F646" i="4"/>
  <c r="D646" i="4"/>
  <c r="C646" i="4"/>
  <c r="B646" i="4"/>
  <c r="F645" i="4"/>
  <c r="D645" i="4"/>
  <c r="C645" i="4"/>
  <c r="B645" i="4"/>
  <c r="F644" i="4"/>
  <c r="D644" i="4"/>
  <c r="C644" i="4"/>
  <c r="B644" i="4"/>
  <c r="F643" i="4"/>
  <c r="D643" i="4"/>
  <c r="C643" i="4"/>
  <c r="B643" i="4"/>
  <c r="F642" i="4"/>
  <c r="D642" i="4"/>
  <c r="C642" i="4"/>
  <c r="B642" i="4"/>
  <c r="F641" i="4"/>
  <c r="D641" i="4"/>
  <c r="C641" i="4"/>
  <c r="B641" i="4"/>
  <c r="F640" i="4"/>
  <c r="D640" i="4"/>
  <c r="C640" i="4"/>
  <c r="B640" i="4"/>
  <c r="F639" i="4"/>
  <c r="D639" i="4"/>
  <c r="C639" i="4"/>
  <c r="B639" i="4"/>
  <c r="F638" i="4"/>
  <c r="D638" i="4"/>
  <c r="C638" i="4"/>
  <c r="B638" i="4"/>
  <c r="F637" i="4"/>
  <c r="D637" i="4"/>
  <c r="C637" i="4"/>
  <c r="B637" i="4"/>
  <c r="F636" i="4"/>
  <c r="D636" i="4"/>
  <c r="C636" i="4"/>
  <c r="B636" i="4"/>
  <c r="F635" i="4"/>
  <c r="D635" i="4"/>
  <c r="C635" i="4"/>
  <c r="B635" i="4"/>
  <c r="F634" i="4"/>
  <c r="D634" i="4"/>
  <c r="C634" i="4"/>
  <c r="B634" i="4"/>
  <c r="F633" i="4"/>
  <c r="D633" i="4"/>
  <c r="C633" i="4"/>
  <c r="B633" i="4"/>
  <c r="F632" i="4"/>
  <c r="D632" i="4"/>
  <c r="C632" i="4"/>
  <c r="B632" i="4"/>
  <c r="F631" i="4"/>
  <c r="D631" i="4"/>
  <c r="C631" i="4"/>
  <c r="B631" i="4"/>
  <c r="F630" i="4"/>
  <c r="D630" i="4"/>
  <c r="C630" i="4"/>
  <c r="B630" i="4"/>
  <c r="F629" i="4"/>
  <c r="D629" i="4"/>
  <c r="C629" i="4"/>
  <c r="B629" i="4"/>
  <c r="F628" i="4"/>
  <c r="D628" i="4"/>
  <c r="C628" i="4"/>
  <c r="B628" i="4"/>
  <c r="F627" i="4"/>
  <c r="D627" i="4"/>
  <c r="C627" i="4"/>
  <c r="B627" i="4"/>
  <c r="F626" i="4"/>
  <c r="D626" i="4"/>
  <c r="C626" i="4"/>
  <c r="B626" i="4"/>
  <c r="F625" i="4"/>
  <c r="D625" i="4"/>
  <c r="C625" i="4"/>
  <c r="B625" i="4"/>
  <c r="F624" i="4"/>
  <c r="D624" i="4"/>
  <c r="C624" i="4"/>
  <c r="B624" i="4"/>
  <c r="F623" i="4"/>
  <c r="D623" i="4"/>
  <c r="C623" i="4"/>
  <c r="B623" i="4"/>
  <c r="F622" i="4"/>
  <c r="D622" i="4"/>
  <c r="C622" i="4"/>
  <c r="B622" i="4"/>
  <c r="F621" i="4"/>
  <c r="D621" i="4"/>
  <c r="C621" i="4"/>
  <c r="B621" i="4"/>
  <c r="F620" i="4"/>
  <c r="D620" i="4"/>
  <c r="C620" i="4"/>
  <c r="B620" i="4"/>
  <c r="F619" i="4"/>
  <c r="D619" i="4"/>
  <c r="C619" i="4"/>
  <c r="B619" i="4"/>
  <c r="F618" i="4"/>
  <c r="D618" i="4"/>
  <c r="C618" i="4"/>
  <c r="B618" i="4"/>
  <c r="F617" i="4"/>
  <c r="D617" i="4"/>
  <c r="C617" i="4"/>
  <c r="B617" i="4"/>
  <c r="F616" i="4"/>
  <c r="D616" i="4"/>
  <c r="C616" i="4"/>
  <c r="B616" i="4"/>
  <c r="F615" i="4"/>
  <c r="D615" i="4"/>
  <c r="C615" i="4"/>
  <c r="B615" i="4"/>
  <c r="F614" i="4"/>
  <c r="D614" i="4"/>
  <c r="C614" i="4"/>
  <c r="B614" i="4"/>
  <c r="F613" i="4"/>
  <c r="D613" i="4"/>
  <c r="C613" i="4"/>
  <c r="B613" i="4"/>
  <c r="F612" i="4"/>
  <c r="D612" i="4"/>
  <c r="C612" i="4"/>
  <c r="B612" i="4"/>
  <c r="F611" i="4"/>
  <c r="D611" i="4"/>
  <c r="C611" i="4"/>
  <c r="B611" i="4"/>
  <c r="F610" i="4"/>
  <c r="D610" i="4"/>
  <c r="C610" i="4"/>
  <c r="B610" i="4"/>
  <c r="F609" i="4"/>
  <c r="D609" i="4"/>
  <c r="C609" i="4"/>
  <c r="B609" i="4"/>
  <c r="F608" i="4"/>
  <c r="D608" i="4"/>
  <c r="C608" i="4"/>
  <c r="B608" i="4"/>
  <c r="F607" i="4"/>
  <c r="D607" i="4"/>
  <c r="C607" i="4"/>
  <c r="B607" i="4"/>
  <c r="F606" i="4"/>
  <c r="D606" i="4"/>
  <c r="C606" i="4"/>
  <c r="B606" i="4"/>
  <c r="F605" i="4"/>
  <c r="D605" i="4"/>
  <c r="C605" i="4"/>
  <c r="B605" i="4"/>
  <c r="F604" i="4"/>
  <c r="D604" i="4"/>
  <c r="C604" i="4"/>
  <c r="B604" i="4"/>
  <c r="F603" i="4"/>
  <c r="D603" i="4"/>
  <c r="C603" i="4"/>
  <c r="B603" i="4"/>
  <c r="F602" i="4"/>
  <c r="D602" i="4"/>
  <c r="C602" i="4"/>
  <c r="B602" i="4"/>
  <c r="F601" i="4"/>
  <c r="D601" i="4"/>
  <c r="C601" i="4"/>
  <c r="B601" i="4"/>
  <c r="F600" i="4"/>
  <c r="D600" i="4"/>
  <c r="C600" i="4"/>
  <c r="B600" i="4"/>
  <c r="F599" i="4"/>
  <c r="D599" i="4"/>
  <c r="C599" i="4"/>
  <c r="B599" i="4"/>
  <c r="F598" i="4"/>
  <c r="D598" i="4"/>
  <c r="C598" i="4"/>
  <c r="B598" i="4"/>
  <c r="F597" i="4"/>
  <c r="D597" i="4"/>
  <c r="C597" i="4"/>
  <c r="B597" i="4"/>
  <c r="F596" i="4"/>
  <c r="D596" i="4"/>
  <c r="C596" i="4"/>
  <c r="B596" i="4"/>
  <c r="F595" i="4"/>
  <c r="D595" i="4"/>
  <c r="C595" i="4"/>
  <c r="B595" i="4"/>
  <c r="F594" i="4"/>
  <c r="D594" i="4"/>
  <c r="C594" i="4"/>
  <c r="B594" i="4"/>
  <c r="F593" i="4"/>
  <c r="D593" i="4"/>
  <c r="C593" i="4"/>
  <c r="B593" i="4"/>
  <c r="F592" i="4"/>
  <c r="D592" i="4"/>
  <c r="C592" i="4"/>
  <c r="B592" i="4"/>
  <c r="F591" i="4"/>
  <c r="D591" i="4"/>
  <c r="C591" i="4"/>
  <c r="B591" i="4"/>
  <c r="F590" i="4"/>
  <c r="D590" i="4"/>
  <c r="C590" i="4"/>
  <c r="B590" i="4"/>
  <c r="F589" i="4"/>
  <c r="D589" i="4"/>
  <c r="C589" i="4"/>
  <c r="B589" i="4"/>
  <c r="F588" i="4"/>
  <c r="D588" i="4"/>
  <c r="C588" i="4"/>
  <c r="B588" i="4"/>
  <c r="F587" i="4"/>
  <c r="D587" i="4"/>
  <c r="C587" i="4"/>
  <c r="B587" i="4"/>
  <c r="F586" i="4"/>
  <c r="D586" i="4"/>
  <c r="C586" i="4"/>
  <c r="B586" i="4"/>
  <c r="F585" i="4"/>
  <c r="D585" i="4"/>
  <c r="C585" i="4"/>
  <c r="B585" i="4"/>
  <c r="F584" i="4"/>
  <c r="D584" i="4"/>
  <c r="C584" i="4"/>
  <c r="B584" i="4"/>
  <c r="F583" i="4"/>
  <c r="D583" i="4"/>
  <c r="C583" i="4"/>
  <c r="B583" i="4"/>
  <c r="F582" i="4"/>
  <c r="D582" i="4"/>
  <c r="C582" i="4"/>
  <c r="B582" i="4"/>
  <c r="F581" i="4"/>
  <c r="D581" i="4"/>
  <c r="C581" i="4"/>
  <c r="B581" i="4"/>
  <c r="F580" i="4"/>
  <c r="D580" i="4"/>
  <c r="C580" i="4"/>
  <c r="B580" i="4"/>
  <c r="F579" i="4"/>
  <c r="D579" i="4"/>
  <c r="C579" i="4"/>
  <c r="B579" i="4"/>
  <c r="F578" i="4"/>
  <c r="D578" i="4"/>
  <c r="C578" i="4"/>
  <c r="B578" i="4"/>
  <c r="F577" i="4"/>
  <c r="D577" i="4"/>
  <c r="C577" i="4"/>
  <c r="B577" i="4"/>
  <c r="F576" i="4"/>
  <c r="D576" i="4"/>
  <c r="C576" i="4"/>
  <c r="B576" i="4"/>
  <c r="F575" i="4"/>
  <c r="D575" i="4"/>
  <c r="C575" i="4"/>
  <c r="B575" i="4"/>
  <c r="F574" i="4"/>
  <c r="D574" i="4"/>
  <c r="C574" i="4"/>
  <c r="B574" i="4"/>
  <c r="F573" i="4"/>
  <c r="D573" i="4"/>
  <c r="C573" i="4"/>
  <c r="B573" i="4"/>
  <c r="F572" i="4"/>
  <c r="D572" i="4"/>
  <c r="C572" i="4"/>
  <c r="B572" i="4"/>
  <c r="F571" i="4"/>
  <c r="D571" i="4"/>
  <c r="C571" i="4"/>
  <c r="B571" i="4"/>
  <c r="F570" i="4"/>
  <c r="D570" i="4"/>
  <c r="C570" i="4"/>
  <c r="B570" i="4"/>
  <c r="F569" i="4"/>
  <c r="D569" i="4"/>
  <c r="C569" i="4"/>
  <c r="B569" i="4"/>
  <c r="F568" i="4"/>
  <c r="D568" i="4"/>
  <c r="C568" i="4"/>
  <c r="B568" i="4"/>
  <c r="F567" i="4"/>
  <c r="D567" i="4"/>
  <c r="C567" i="4"/>
  <c r="B567" i="4"/>
  <c r="F566" i="4"/>
  <c r="D566" i="4"/>
  <c r="C566" i="4"/>
  <c r="B566" i="4"/>
  <c r="F565" i="4"/>
  <c r="D565" i="4"/>
  <c r="C565" i="4"/>
  <c r="B565" i="4"/>
  <c r="F564" i="4"/>
  <c r="D564" i="4"/>
  <c r="C564" i="4"/>
  <c r="B564" i="4"/>
  <c r="F563" i="4"/>
  <c r="D563" i="4"/>
  <c r="C563" i="4"/>
  <c r="B563" i="4"/>
  <c r="F562" i="4"/>
  <c r="D562" i="4"/>
  <c r="C562" i="4"/>
  <c r="B562" i="4"/>
  <c r="F561" i="4"/>
  <c r="D561" i="4"/>
  <c r="C561" i="4"/>
  <c r="B561" i="4"/>
  <c r="F560" i="4"/>
  <c r="D560" i="4"/>
  <c r="C560" i="4"/>
  <c r="B560" i="4"/>
  <c r="F559" i="4"/>
  <c r="D559" i="4"/>
  <c r="C559" i="4"/>
  <c r="B559" i="4"/>
  <c r="F558" i="4"/>
  <c r="D558" i="4"/>
  <c r="C558" i="4"/>
  <c r="B558" i="4"/>
  <c r="F557" i="4"/>
  <c r="D557" i="4"/>
  <c r="C557" i="4"/>
  <c r="B557" i="4"/>
  <c r="F556" i="4"/>
  <c r="D556" i="4"/>
  <c r="C556" i="4"/>
  <c r="B556" i="4"/>
  <c r="F555" i="4"/>
  <c r="D555" i="4"/>
  <c r="C555" i="4"/>
  <c r="B555" i="4"/>
  <c r="F554" i="4"/>
  <c r="D554" i="4"/>
  <c r="C554" i="4"/>
  <c r="B554" i="4"/>
  <c r="F553" i="4"/>
  <c r="D553" i="4"/>
  <c r="C553" i="4"/>
  <c r="B553" i="4"/>
  <c r="F552" i="4"/>
  <c r="D552" i="4"/>
  <c r="C552" i="4"/>
  <c r="B552" i="4"/>
  <c r="F551" i="4"/>
  <c r="D551" i="4"/>
  <c r="C551" i="4"/>
  <c r="B551" i="4"/>
  <c r="F550" i="4"/>
  <c r="D550" i="4"/>
  <c r="C550" i="4"/>
  <c r="B550" i="4"/>
  <c r="F549" i="4"/>
  <c r="D549" i="4"/>
  <c r="C549" i="4"/>
  <c r="B549" i="4"/>
  <c r="F548" i="4"/>
  <c r="D548" i="4"/>
  <c r="C548" i="4"/>
  <c r="B548" i="4"/>
  <c r="F547" i="4"/>
  <c r="D547" i="4"/>
  <c r="C547" i="4"/>
  <c r="B547" i="4"/>
  <c r="F546" i="4"/>
  <c r="D546" i="4"/>
  <c r="C546" i="4"/>
  <c r="B546" i="4"/>
  <c r="F545" i="4"/>
  <c r="D545" i="4"/>
  <c r="C545" i="4"/>
  <c r="B545" i="4"/>
  <c r="F544" i="4"/>
  <c r="D544" i="4"/>
  <c r="C544" i="4"/>
  <c r="B544" i="4"/>
  <c r="F543" i="4"/>
  <c r="D543" i="4"/>
  <c r="C543" i="4"/>
  <c r="B543" i="4"/>
  <c r="F542" i="4"/>
  <c r="D542" i="4"/>
  <c r="C542" i="4"/>
  <c r="B542" i="4"/>
  <c r="F541" i="4"/>
  <c r="D541" i="4"/>
  <c r="C541" i="4"/>
  <c r="B541" i="4"/>
  <c r="F540" i="4"/>
  <c r="D540" i="4"/>
  <c r="C540" i="4"/>
  <c r="B540" i="4"/>
  <c r="F539" i="4"/>
  <c r="D539" i="4"/>
  <c r="C539" i="4"/>
  <c r="B539" i="4"/>
  <c r="F538" i="4"/>
  <c r="D538" i="4"/>
  <c r="C538" i="4"/>
  <c r="B538" i="4"/>
  <c r="F537" i="4"/>
  <c r="D537" i="4"/>
  <c r="C537" i="4"/>
  <c r="B537" i="4"/>
  <c r="F536" i="4"/>
  <c r="D536" i="4"/>
  <c r="C536" i="4"/>
  <c r="B536" i="4"/>
  <c r="F535" i="4"/>
  <c r="D535" i="4"/>
  <c r="C535" i="4"/>
  <c r="B535" i="4"/>
  <c r="F534" i="4"/>
  <c r="D534" i="4"/>
  <c r="C534" i="4"/>
  <c r="B534" i="4"/>
  <c r="F533" i="4"/>
  <c r="D533" i="4"/>
  <c r="C533" i="4"/>
  <c r="B533" i="4"/>
  <c r="F532" i="4"/>
  <c r="D532" i="4"/>
  <c r="C532" i="4"/>
  <c r="B532" i="4"/>
  <c r="F531" i="4"/>
  <c r="D531" i="4"/>
  <c r="C531" i="4"/>
  <c r="B531" i="4"/>
  <c r="F530" i="4"/>
  <c r="D530" i="4"/>
  <c r="C530" i="4"/>
  <c r="B530" i="4"/>
  <c r="F529" i="4"/>
  <c r="D529" i="4"/>
  <c r="C529" i="4"/>
  <c r="B529" i="4"/>
  <c r="F528" i="4"/>
  <c r="D528" i="4"/>
  <c r="C528" i="4"/>
  <c r="B528" i="4"/>
  <c r="F527" i="4"/>
  <c r="D527" i="4"/>
  <c r="C527" i="4"/>
  <c r="B527" i="4"/>
  <c r="F526" i="4"/>
  <c r="D526" i="4"/>
  <c r="C526" i="4"/>
  <c r="B526" i="4"/>
  <c r="F525" i="4"/>
  <c r="D525" i="4"/>
  <c r="C525" i="4"/>
  <c r="B525" i="4"/>
  <c r="F524" i="4"/>
  <c r="D524" i="4"/>
  <c r="C524" i="4"/>
  <c r="B524" i="4"/>
  <c r="F523" i="4"/>
  <c r="D523" i="4"/>
  <c r="C523" i="4"/>
  <c r="B523" i="4"/>
  <c r="F522" i="4"/>
  <c r="D522" i="4"/>
  <c r="C522" i="4"/>
  <c r="B522" i="4"/>
  <c r="F521" i="4"/>
  <c r="D521" i="4"/>
  <c r="C521" i="4"/>
  <c r="B521" i="4"/>
  <c r="F520" i="4"/>
  <c r="D520" i="4"/>
  <c r="C520" i="4"/>
  <c r="B520" i="4"/>
  <c r="F519" i="4"/>
  <c r="D519" i="4"/>
  <c r="C519" i="4"/>
  <c r="B519" i="4"/>
  <c r="F518" i="4"/>
  <c r="D518" i="4"/>
  <c r="C518" i="4"/>
  <c r="B518" i="4"/>
  <c r="F517" i="4"/>
  <c r="D517" i="4"/>
  <c r="C517" i="4"/>
  <c r="B517" i="4"/>
  <c r="F516" i="4"/>
  <c r="D516" i="4"/>
  <c r="C516" i="4"/>
  <c r="B516" i="4"/>
  <c r="F515" i="4"/>
  <c r="D515" i="4"/>
  <c r="C515" i="4"/>
  <c r="B515" i="4"/>
  <c r="F514" i="4"/>
  <c r="D514" i="4"/>
  <c r="C514" i="4"/>
  <c r="B514" i="4"/>
  <c r="F513" i="4"/>
  <c r="D513" i="4"/>
  <c r="C513" i="4"/>
  <c r="B513" i="4"/>
  <c r="F512" i="4"/>
  <c r="D512" i="4"/>
  <c r="C512" i="4"/>
  <c r="B512" i="4"/>
  <c r="F511" i="4"/>
  <c r="D511" i="4"/>
  <c r="C511" i="4"/>
  <c r="B511" i="4"/>
  <c r="F510" i="4"/>
  <c r="D510" i="4"/>
  <c r="C510" i="4"/>
  <c r="B510" i="4"/>
  <c r="F509" i="4"/>
  <c r="D509" i="4"/>
  <c r="C509" i="4"/>
  <c r="B509" i="4"/>
  <c r="F508" i="4"/>
  <c r="D508" i="4"/>
  <c r="C508" i="4"/>
  <c r="B508" i="4"/>
  <c r="F507" i="4"/>
  <c r="D507" i="4"/>
  <c r="C507" i="4"/>
  <c r="B507" i="4"/>
  <c r="F506" i="4"/>
  <c r="D506" i="4"/>
  <c r="C506" i="4"/>
  <c r="B506" i="4"/>
  <c r="F505" i="4"/>
  <c r="D505" i="4"/>
  <c r="C505" i="4"/>
  <c r="B505" i="4"/>
  <c r="F504" i="4"/>
  <c r="D504" i="4"/>
  <c r="C504" i="4"/>
  <c r="B504" i="4"/>
  <c r="F503" i="4"/>
  <c r="D503" i="4"/>
  <c r="C503" i="4"/>
  <c r="B503" i="4"/>
  <c r="F502" i="4"/>
  <c r="D502" i="4"/>
  <c r="C502" i="4"/>
  <c r="B502" i="4"/>
  <c r="F501" i="4"/>
  <c r="D501" i="4"/>
  <c r="C501" i="4"/>
  <c r="B501" i="4"/>
  <c r="F500" i="4"/>
  <c r="D500" i="4"/>
  <c r="C500" i="4"/>
  <c r="B500" i="4"/>
  <c r="F499" i="4"/>
  <c r="D499" i="4"/>
  <c r="C499" i="4"/>
  <c r="B499" i="4"/>
  <c r="F498" i="4"/>
  <c r="D498" i="4"/>
  <c r="C498" i="4"/>
  <c r="B498" i="4"/>
  <c r="F497" i="4"/>
  <c r="D497" i="4"/>
  <c r="C497" i="4"/>
  <c r="B497" i="4"/>
  <c r="F496" i="4"/>
  <c r="D496" i="4"/>
  <c r="C496" i="4"/>
  <c r="B496" i="4"/>
  <c r="F495" i="4"/>
  <c r="D495" i="4"/>
  <c r="C495" i="4"/>
  <c r="B495" i="4"/>
  <c r="F494" i="4"/>
  <c r="D494" i="4"/>
  <c r="C494" i="4"/>
  <c r="B494" i="4"/>
  <c r="F493" i="4"/>
  <c r="D493" i="4"/>
  <c r="C493" i="4"/>
  <c r="B493" i="4"/>
  <c r="F492" i="4"/>
  <c r="D492" i="4"/>
  <c r="C492" i="4"/>
  <c r="B492" i="4"/>
  <c r="F491" i="4"/>
  <c r="D491" i="4"/>
  <c r="C491" i="4"/>
  <c r="B491" i="4"/>
  <c r="F490" i="4"/>
  <c r="D490" i="4"/>
  <c r="C490" i="4"/>
  <c r="B490" i="4"/>
  <c r="F489" i="4"/>
  <c r="D489" i="4"/>
  <c r="C489" i="4"/>
  <c r="B489" i="4"/>
  <c r="F488" i="4"/>
  <c r="D488" i="4"/>
  <c r="C488" i="4"/>
  <c r="B488" i="4"/>
  <c r="F487" i="4"/>
  <c r="D487" i="4"/>
  <c r="C487" i="4"/>
  <c r="B487" i="4"/>
  <c r="F486" i="4"/>
  <c r="D486" i="4"/>
  <c r="C486" i="4"/>
  <c r="B486" i="4"/>
  <c r="F485" i="4"/>
  <c r="D485" i="4"/>
  <c r="C485" i="4"/>
  <c r="B485" i="4"/>
  <c r="F484" i="4"/>
  <c r="D484" i="4"/>
  <c r="C484" i="4"/>
  <c r="B484" i="4"/>
  <c r="F483" i="4"/>
  <c r="D483" i="4"/>
  <c r="C483" i="4"/>
  <c r="B483" i="4"/>
  <c r="F482" i="4"/>
  <c r="D482" i="4"/>
  <c r="C482" i="4"/>
  <c r="B482" i="4"/>
  <c r="F481" i="4"/>
  <c r="D481" i="4"/>
  <c r="C481" i="4"/>
  <c r="B481" i="4"/>
  <c r="F480" i="4"/>
  <c r="D480" i="4"/>
  <c r="C480" i="4"/>
  <c r="B480" i="4"/>
  <c r="F479" i="4"/>
  <c r="D479" i="4"/>
  <c r="C479" i="4"/>
  <c r="B479" i="4"/>
  <c r="F478" i="4"/>
  <c r="D478" i="4"/>
  <c r="C478" i="4"/>
  <c r="B478" i="4"/>
  <c r="F477" i="4"/>
  <c r="D477" i="4"/>
  <c r="C477" i="4"/>
  <c r="B477" i="4"/>
  <c r="F476" i="4"/>
  <c r="D476" i="4"/>
  <c r="C476" i="4"/>
  <c r="B476" i="4"/>
  <c r="F475" i="4"/>
  <c r="D475" i="4"/>
  <c r="C475" i="4"/>
  <c r="B475" i="4"/>
  <c r="F474" i="4"/>
  <c r="D474" i="4"/>
  <c r="C474" i="4"/>
  <c r="B474" i="4"/>
  <c r="F473" i="4"/>
  <c r="D473" i="4"/>
  <c r="C473" i="4"/>
  <c r="B473" i="4"/>
  <c r="F472" i="4"/>
  <c r="D472" i="4"/>
  <c r="C472" i="4"/>
  <c r="B472" i="4"/>
  <c r="F471" i="4"/>
  <c r="D471" i="4"/>
  <c r="C471" i="4"/>
  <c r="B471" i="4"/>
  <c r="F470" i="4"/>
  <c r="D470" i="4"/>
  <c r="C470" i="4"/>
  <c r="B470" i="4"/>
  <c r="F469" i="4"/>
  <c r="D469" i="4"/>
  <c r="C469" i="4"/>
  <c r="B469" i="4"/>
  <c r="F468" i="4"/>
  <c r="D468" i="4"/>
  <c r="C468" i="4"/>
  <c r="B468" i="4"/>
  <c r="F467" i="4"/>
  <c r="D467" i="4"/>
  <c r="C467" i="4"/>
  <c r="B467" i="4"/>
  <c r="F466" i="4"/>
  <c r="D466" i="4"/>
  <c r="C466" i="4"/>
  <c r="B466" i="4"/>
  <c r="F465" i="4"/>
  <c r="D465" i="4"/>
  <c r="C465" i="4"/>
  <c r="B465" i="4"/>
  <c r="F464" i="4"/>
  <c r="D464" i="4"/>
  <c r="C464" i="4"/>
  <c r="B464" i="4"/>
  <c r="F463" i="4"/>
  <c r="D463" i="4"/>
  <c r="C463" i="4"/>
  <c r="B463" i="4"/>
  <c r="F462" i="4"/>
  <c r="D462" i="4"/>
  <c r="C462" i="4"/>
  <c r="B462" i="4"/>
  <c r="F461" i="4"/>
  <c r="D461" i="4"/>
  <c r="C461" i="4"/>
  <c r="B461" i="4"/>
  <c r="F460" i="4"/>
  <c r="D460" i="4"/>
  <c r="C460" i="4"/>
  <c r="B460" i="4"/>
  <c r="F459" i="4"/>
  <c r="D459" i="4"/>
  <c r="C459" i="4"/>
  <c r="B459" i="4"/>
  <c r="F458" i="4"/>
  <c r="D458" i="4"/>
  <c r="C458" i="4"/>
  <c r="B458" i="4"/>
  <c r="F457" i="4"/>
  <c r="D457" i="4"/>
  <c r="C457" i="4"/>
  <c r="B457" i="4"/>
  <c r="F456" i="4"/>
  <c r="D456" i="4"/>
  <c r="C456" i="4"/>
  <c r="B456" i="4"/>
  <c r="F455" i="4"/>
  <c r="D455" i="4"/>
  <c r="C455" i="4"/>
  <c r="B455" i="4"/>
  <c r="F454" i="4"/>
  <c r="D454" i="4"/>
  <c r="C454" i="4"/>
  <c r="B454" i="4"/>
  <c r="F453" i="4"/>
  <c r="D453" i="4"/>
  <c r="C453" i="4"/>
  <c r="B453" i="4"/>
  <c r="F452" i="4"/>
  <c r="D452" i="4"/>
  <c r="C452" i="4"/>
  <c r="B452" i="4"/>
  <c r="F451" i="4"/>
  <c r="D451" i="4"/>
  <c r="C451" i="4"/>
  <c r="B451" i="4"/>
  <c r="F450" i="4"/>
  <c r="D450" i="4"/>
  <c r="C450" i="4"/>
  <c r="B450" i="4"/>
  <c r="F449" i="4"/>
  <c r="D449" i="4"/>
  <c r="C449" i="4"/>
  <c r="B449" i="4"/>
  <c r="F448" i="4"/>
  <c r="D448" i="4"/>
  <c r="C448" i="4"/>
  <c r="B448" i="4"/>
  <c r="F447" i="4"/>
  <c r="D447" i="4"/>
  <c r="C447" i="4"/>
  <c r="B447" i="4"/>
  <c r="F446" i="4"/>
  <c r="D446" i="4"/>
  <c r="C446" i="4"/>
  <c r="B446" i="4"/>
  <c r="F445" i="4"/>
  <c r="D445" i="4"/>
  <c r="C445" i="4"/>
  <c r="B445" i="4"/>
  <c r="F444" i="4"/>
  <c r="D444" i="4"/>
  <c r="C444" i="4"/>
  <c r="B444" i="4"/>
  <c r="F443" i="4"/>
  <c r="D443" i="4"/>
  <c r="C443" i="4"/>
  <c r="B443" i="4"/>
  <c r="F442" i="4"/>
  <c r="D442" i="4"/>
  <c r="C442" i="4"/>
  <c r="B442" i="4"/>
  <c r="F441" i="4"/>
  <c r="D441" i="4"/>
  <c r="C441" i="4"/>
  <c r="B441" i="4"/>
  <c r="F440" i="4"/>
  <c r="D440" i="4"/>
  <c r="C440" i="4"/>
  <c r="B440" i="4"/>
  <c r="F439" i="4"/>
  <c r="D439" i="4"/>
  <c r="C439" i="4"/>
  <c r="B439" i="4"/>
  <c r="F438" i="4"/>
  <c r="D438" i="4"/>
  <c r="C438" i="4"/>
  <c r="B438" i="4"/>
  <c r="F437" i="4"/>
  <c r="D437" i="4"/>
  <c r="C437" i="4"/>
  <c r="B437" i="4"/>
  <c r="F436" i="4"/>
  <c r="D436" i="4"/>
  <c r="C436" i="4"/>
  <c r="B436" i="4"/>
  <c r="F435" i="4"/>
  <c r="D435" i="4"/>
  <c r="C435" i="4"/>
  <c r="B435" i="4"/>
  <c r="F434" i="4"/>
  <c r="D434" i="4"/>
  <c r="C434" i="4"/>
  <c r="B434" i="4"/>
  <c r="F433" i="4"/>
  <c r="D433" i="4"/>
  <c r="C433" i="4"/>
  <c r="B433" i="4"/>
  <c r="F432" i="4"/>
  <c r="D432" i="4"/>
  <c r="C432" i="4"/>
  <c r="B432" i="4"/>
  <c r="F431" i="4"/>
  <c r="D431" i="4"/>
  <c r="C431" i="4"/>
  <c r="B431" i="4"/>
  <c r="F430" i="4"/>
  <c r="D430" i="4"/>
  <c r="C430" i="4"/>
  <c r="B430" i="4"/>
  <c r="F429" i="4"/>
  <c r="D429" i="4"/>
  <c r="C429" i="4"/>
  <c r="B429" i="4"/>
  <c r="F428" i="4"/>
  <c r="D428" i="4"/>
  <c r="C428" i="4"/>
  <c r="B428" i="4"/>
  <c r="F427" i="4"/>
  <c r="D427" i="4"/>
  <c r="C427" i="4"/>
  <c r="B427" i="4"/>
  <c r="F426" i="4"/>
  <c r="D426" i="4"/>
  <c r="C426" i="4"/>
  <c r="B426" i="4"/>
  <c r="F425" i="4"/>
  <c r="D425" i="4"/>
  <c r="C425" i="4"/>
  <c r="B425" i="4"/>
  <c r="F424" i="4"/>
  <c r="D424" i="4"/>
  <c r="C424" i="4"/>
  <c r="B424" i="4"/>
  <c r="F423" i="4"/>
  <c r="D423" i="4"/>
  <c r="C423" i="4"/>
  <c r="B423" i="4"/>
  <c r="F422" i="4"/>
  <c r="D422" i="4"/>
  <c r="C422" i="4"/>
  <c r="B422" i="4"/>
  <c r="F421" i="4"/>
  <c r="D421" i="4"/>
  <c r="C421" i="4"/>
  <c r="B421" i="4"/>
  <c r="F420" i="4"/>
  <c r="D420" i="4"/>
  <c r="C420" i="4"/>
  <c r="B420" i="4"/>
  <c r="F419" i="4"/>
  <c r="D419" i="4"/>
  <c r="C419" i="4"/>
  <c r="B419" i="4"/>
  <c r="F418" i="4"/>
  <c r="D418" i="4"/>
  <c r="C418" i="4"/>
  <c r="B418" i="4"/>
  <c r="F417" i="4"/>
  <c r="D417" i="4"/>
  <c r="C417" i="4"/>
  <c r="B417" i="4"/>
  <c r="F416" i="4"/>
  <c r="D416" i="4"/>
  <c r="C416" i="4"/>
  <c r="B416" i="4"/>
  <c r="F415" i="4"/>
  <c r="D415" i="4"/>
  <c r="C415" i="4"/>
  <c r="B415" i="4"/>
  <c r="F414" i="4"/>
  <c r="D414" i="4"/>
  <c r="C414" i="4"/>
  <c r="B414" i="4"/>
  <c r="F413" i="4"/>
  <c r="D413" i="4"/>
  <c r="C413" i="4"/>
  <c r="B413" i="4"/>
  <c r="F412" i="4"/>
  <c r="D412" i="4"/>
  <c r="C412" i="4"/>
  <c r="B412" i="4"/>
  <c r="F411" i="4"/>
  <c r="D411" i="4"/>
  <c r="C411" i="4"/>
  <c r="B411" i="4"/>
  <c r="F410" i="4"/>
  <c r="D410" i="4"/>
  <c r="C410" i="4"/>
  <c r="B410" i="4"/>
  <c r="F409" i="4"/>
  <c r="D409" i="4"/>
  <c r="C409" i="4"/>
  <c r="B409" i="4"/>
  <c r="F408" i="4"/>
  <c r="D408" i="4"/>
  <c r="C408" i="4"/>
  <c r="B408" i="4"/>
  <c r="F407" i="4"/>
  <c r="D407" i="4"/>
  <c r="C407" i="4"/>
  <c r="B407" i="4"/>
  <c r="F406" i="4"/>
  <c r="D406" i="4"/>
  <c r="C406" i="4"/>
  <c r="B406" i="4"/>
  <c r="F405" i="4"/>
  <c r="D405" i="4"/>
  <c r="C405" i="4"/>
  <c r="B405" i="4"/>
  <c r="F404" i="4"/>
  <c r="D404" i="4"/>
  <c r="C404" i="4"/>
  <c r="B404" i="4"/>
  <c r="F403" i="4"/>
  <c r="D403" i="4"/>
  <c r="C403" i="4"/>
  <c r="B403" i="4"/>
  <c r="F402" i="4"/>
  <c r="D402" i="4"/>
  <c r="C402" i="4"/>
  <c r="B402" i="4"/>
  <c r="F401" i="4"/>
  <c r="D401" i="4"/>
  <c r="C401" i="4"/>
  <c r="B401" i="4"/>
  <c r="F400" i="4"/>
  <c r="D400" i="4"/>
  <c r="C400" i="4"/>
  <c r="B400" i="4"/>
  <c r="F399" i="4"/>
  <c r="D399" i="4"/>
  <c r="C399" i="4"/>
  <c r="B399" i="4"/>
  <c r="F398" i="4"/>
  <c r="D398" i="4"/>
  <c r="C398" i="4"/>
  <c r="B398" i="4"/>
  <c r="F397" i="4"/>
  <c r="D397" i="4"/>
  <c r="C397" i="4"/>
  <c r="B397" i="4"/>
  <c r="F396" i="4"/>
  <c r="D396" i="4"/>
  <c r="C396" i="4"/>
  <c r="B396" i="4"/>
  <c r="F395" i="4"/>
  <c r="D395" i="4"/>
  <c r="C395" i="4"/>
  <c r="B395" i="4"/>
  <c r="F394" i="4"/>
  <c r="D394" i="4"/>
  <c r="C394" i="4"/>
  <c r="B394" i="4"/>
  <c r="F393" i="4"/>
  <c r="D393" i="4"/>
  <c r="C393" i="4"/>
  <c r="B393" i="4"/>
  <c r="F392" i="4"/>
  <c r="D392" i="4"/>
  <c r="C392" i="4"/>
  <c r="B392" i="4"/>
  <c r="F391" i="4"/>
  <c r="D391" i="4"/>
  <c r="C391" i="4"/>
  <c r="B391" i="4"/>
  <c r="F390" i="4"/>
  <c r="D390" i="4"/>
  <c r="C390" i="4"/>
  <c r="B390" i="4"/>
  <c r="F389" i="4"/>
  <c r="D389" i="4"/>
  <c r="C389" i="4"/>
  <c r="B389" i="4"/>
  <c r="F388" i="4"/>
  <c r="D388" i="4"/>
  <c r="C388" i="4"/>
  <c r="B388" i="4"/>
  <c r="F387" i="4"/>
  <c r="D387" i="4"/>
  <c r="C387" i="4"/>
  <c r="B387" i="4"/>
  <c r="F386" i="4"/>
  <c r="D386" i="4"/>
  <c r="C386" i="4"/>
  <c r="B386" i="4"/>
  <c r="F385" i="4"/>
  <c r="D385" i="4"/>
  <c r="C385" i="4"/>
  <c r="B385" i="4"/>
  <c r="F384" i="4"/>
  <c r="D384" i="4"/>
  <c r="C384" i="4"/>
  <c r="B384" i="4"/>
  <c r="F383" i="4"/>
  <c r="D383" i="4"/>
  <c r="C383" i="4"/>
  <c r="B383" i="4"/>
  <c r="F382" i="4"/>
  <c r="D382" i="4"/>
  <c r="C382" i="4"/>
  <c r="B382" i="4"/>
  <c r="F381" i="4"/>
  <c r="D381" i="4"/>
  <c r="C381" i="4"/>
  <c r="B381" i="4"/>
  <c r="F380" i="4"/>
  <c r="D380" i="4"/>
  <c r="C380" i="4"/>
  <c r="B380" i="4"/>
  <c r="F379" i="4"/>
  <c r="D379" i="4"/>
  <c r="C379" i="4"/>
  <c r="B379" i="4"/>
  <c r="F378" i="4"/>
  <c r="D378" i="4"/>
  <c r="C378" i="4"/>
  <c r="B378" i="4"/>
  <c r="F377" i="4"/>
  <c r="D377" i="4"/>
  <c r="C377" i="4"/>
  <c r="B377" i="4"/>
  <c r="F376" i="4"/>
  <c r="D376" i="4"/>
  <c r="C376" i="4"/>
  <c r="B376" i="4"/>
  <c r="F375" i="4"/>
  <c r="D375" i="4"/>
  <c r="C375" i="4"/>
  <c r="B375" i="4"/>
  <c r="F374" i="4"/>
  <c r="D374" i="4"/>
  <c r="C374" i="4"/>
  <c r="B374" i="4"/>
  <c r="F373" i="4"/>
  <c r="D373" i="4"/>
  <c r="C373" i="4"/>
  <c r="B373" i="4"/>
  <c r="F372" i="4"/>
  <c r="D372" i="4"/>
  <c r="C372" i="4"/>
  <c r="B372" i="4"/>
  <c r="F371" i="4"/>
  <c r="D371" i="4"/>
  <c r="C371" i="4"/>
  <c r="B371" i="4"/>
  <c r="F370" i="4"/>
  <c r="D370" i="4"/>
  <c r="C370" i="4"/>
  <c r="B370" i="4"/>
  <c r="F369" i="4"/>
  <c r="D369" i="4"/>
  <c r="C369" i="4"/>
  <c r="B369" i="4"/>
  <c r="F368" i="4"/>
  <c r="D368" i="4"/>
  <c r="C368" i="4"/>
  <c r="B368" i="4"/>
  <c r="F367" i="4"/>
  <c r="D367" i="4"/>
  <c r="C367" i="4"/>
  <c r="B367" i="4"/>
  <c r="F366" i="4"/>
  <c r="D366" i="4"/>
  <c r="C366" i="4"/>
  <c r="B366" i="4"/>
  <c r="F365" i="4"/>
  <c r="D365" i="4"/>
  <c r="C365" i="4"/>
  <c r="B365" i="4"/>
  <c r="F364" i="4"/>
  <c r="D364" i="4"/>
  <c r="C364" i="4"/>
  <c r="B364" i="4"/>
  <c r="F363" i="4"/>
  <c r="D363" i="4"/>
  <c r="C363" i="4"/>
  <c r="B363" i="4"/>
  <c r="F362" i="4"/>
  <c r="D362" i="4"/>
  <c r="C362" i="4"/>
  <c r="B362" i="4"/>
  <c r="F361" i="4"/>
  <c r="D361" i="4"/>
  <c r="C361" i="4"/>
  <c r="B361" i="4"/>
  <c r="F360" i="4"/>
  <c r="D360" i="4"/>
  <c r="C360" i="4"/>
  <c r="B360" i="4"/>
  <c r="F359" i="4"/>
  <c r="D359" i="4"/>
  <c r="C359" i="4"/>
  <c r="B359" i="4"/>
  <c r="F358" i="4"/>
  <c r="D358" i="4"/>
  <c r="C358" i="4"/>
  <c r="B358" i="4"/>
  <c r="F357" i="4"/>
  <c r="D357" i="4"/>
  <c r="C357" i="4"/>
  <c r="B357" i="4"/>
  <c r="F356" i="4"/>
  <c r="D356" i="4"/>
  <c r="C356" i="4"/>
  <c r="B356" i="4"/>
  <c r="F355" i="4"/>
  <c r="D355" i="4"/>
  <c r="C355" i="4"/>
  <c r="B355" i="4"/>
  <c r="F354" i="4"/>
  <c r="D354" i="4"/>
  <c r="C354" i="4"/>
  <c r="B354" i="4"/>
  <c r="F353" i="4"/>
  <c r="D353" i="4"/>
  <c r="C353" i="4"/>
  <c r="B353" i="4"/>
  <c r="F352" i="4"/>
  <c r="D352" i="4"/>
  <c r="C352" i="4"/>
  <c r="B352" i="4"/>
  <c r="F351" i="4"/>
  <c r="D351" i="4"/>
  <c r="C351" i="4"/>
  <c r="B351" i="4"/>
  <c r="F350" i="4"/>
  <c r="D350" i="4"/>
  <c r="C350" i="4"/>
  <c r="B350" i="4"/>
  <c r="F349" i="4"/>
  <c r="D349" i="4"/>
  <c r="C349" i="4"/>
  <c r="B349" i="4"/>
  <c r="F348" i="4"/>
  <c r="D348" i="4"/>
  <c r="C348" i="4"/>
  <c r="B348" i="4"/>
  <c r="F347" i="4"/>
  <c r="D347" i="4"/>
  <c r="C347" i="4"/>
  <c r="B347" i="4"/>
  <c r="F346" i="4"/>
  <c r="D346" i="4"/>
  <c r="C346" i="4"/>
  <c r="B346" i="4"/>
  <c r="F345" i="4"/>
  <c r="D345" i="4"/>
  <c r="C345" i="4"/>
  <c r="B345" i="4"/>
  <c r="F344" i="4"/>
  <c r="D344" i="4"/>
  <c r="C344" i="4"/>
  <c r="B344" i="4"/>
  <c r="F343" i="4"/>
  <c r="D343" i="4"/>
  <c r="C343" i="4"/>
  <c r="B343" i="4"/>
  <c r="F342" i="4"/>
  <c r="D342" i="4"/>
  <c r="C342" i="4"/>
  <c r="B342" i="4"/>
  <c r="F341" i="4"/>
  <c r="D341" i="4"/>
  <c r="C341" i="4"/>
  <c r="B341" i="4"/>
  <c r="F340" i="4"/>
  <c r="D340" i="4"/>
  <c r="C340" i="4"/>
  <c r="B340" i="4"/>
  <c r="F339" i="4"/>
  <c r="D339" i="4"/>
  <c r="C339" i="4"/>
  <c r="B339" i="4"/>
  <c r="F338" i="4"/>
  <c r="D338" i="4"/>
  <c r="C338" i="4"/>
  <c r="B338" i="4"/>
  <c r="F337" i="4"/>
  <c r="D337" i="4"/>
  <c r="C337" i="4"/>
  <c r="B337" i="4"/>
  <c r="F336" i="4"/>
  <c r="D336" i="4"/>
  <c r="C336" i="4"/>
  <c r="B336" i="4"/>
  <c r="F335" i="4"/>
  <c r="D335" i="4"/>
  <c r="C335" i="4"/>
  <c r="B335" i="4"/>
  <c r="F334" i="4"/>
  <c r="D334" i="4"/>
  <c r="C334" i="4"/>
  <c r="B334" i="4"/>
  <c r="F333" i="4"/>
  <c r="D333" i="4"/>
  <c r="C333" i="4"/>
  <c r="B333" i="4"/>
  <c r="F332" i="4"/>
  <c r="D332" i="4"/>
  <c r="C332" i="4"/>
  <c r="B332" i="4"/>
  <c r="F331" i="4"/>
  <c r="D331" i="4"/>
  <c r="C331" i="4"/>
  <c r="B331" i="4"/>
  <c r="F330" i="4"/>
  <c r="D330" i="4"/>
  <c r="C330" i="4"/>
  <c r="B330" i="4"/>
  <c r="F329" i="4"/>
  <c r="D329" i="4"/>
  <c r="C329" i="4"/>
  <c r="B329" i="4"/>
  <c r="F328" i="4"/>
  <c r="D328" i="4"/>
  <c r="C328" i="4"/>
  <c r="B328" i="4"/>
  <c r="F327" i="4"/>
  <c r="D327" i="4"/>
  <c r="C327" i="4"/>
  <c r="B327" i="4"/>
  <c r="F326" i="4"/>
  <c r="D326" i="4"/>
  <c r="C326" i="4"/>
  <c r="B326" i="4"/>
  <c r="F325" i="4"/>
  <c r="D325" i="4"/>
  <c r="C325" i="4"/>
  <c r="B325" i="4"/>
  <c r="F324" i="4"/>
  <c r="D324" i="4"/>
  <c r="C324" i="4"/>
  <c r="B324" i="4"/>
  <c r="F323" i="4"/>
  <c r="D323" i="4"/>
  <c r="C323" i="4"/>
  <c r="B323" i="4"/>
  <c r="F322" i="4"/>
  <c r="D322" i="4"/>
  <c r="C322" i="4"/>
  <c r="B322" i="4"/>
  <c r="F321" i="4"/>
  <c r="D321" i="4"/>
  <c r="C321" i="4"/>
  <c r="B321" i="4"/>
  <c r="F320" i="4"/>
  <c r="D320" i="4"/>
  <c r="C320" i="4"/>
  <c r="B320" i="4"/>
  <c r="F319" i="4"/>
  <c r="D319" i="4"/>
  <c r="C319" i="4"/>
  <c r="B319" i="4"/>
  <c r="F318" i="4"/>
  <c r="D318" i="4"/>
  <c r="C318" i="4"/>
  <c r="B318" i="4"/>
  <c r="F317" i="4"/>
  <c r="D317" i="4"/>
  <c r="C317" i="4"/>
  <c r="B317" i="4"/>
  <c r="F316" i="4"/>
  <c r="D316" i="4"/>
  <c r="C316" i="4"/>
  <c r="B316" i="4"/>
  <c r="F315" i="4"/>
  <c r="D315" i="4"/>
  <c r="C315" i="4"/>
  <c r="B315" i="4"/>
  <c r="F314" i="4"/>
  <c r="D314" i="4"/>
  <c r="C314" i="4"/>
  <c r="B314" i="4"/>
  <c r="F313" i="4"/>
  <c r="D313" i="4"/>
  <c r="C313" i="4"/>
  <c r="B313" i="4"/>
  <c r="F312" i="4"/>
  <c r="D312" i="4"/>
  <c r="C312" i="4"/>
  <c r="B312" i="4"/>
  <c r="F311" i="4"/>
  <c r="D311" i="4"/>
  <c r="C311" i="4"/>
  <c r="B311" i="4"/>
  <c r="F310" i="4"/>
  <c r="D310" i="4"/>
  <c r="C310" i="4"/>
  <c r="B310" i="4"/>
  <c r="F309" i="4"/>
  <c r="D309" i="4"/>
  <c r="C309" i="4"/>
  <c r="B309" i="4"/>
  <c r="F308" i="4"/>
  <c r="D308" i="4"/>
  <c r="C308" i="4"/>
  <c r="B308" i="4"/>
  <c r="F307" i="4"/>
  <c r="D307" i="4"/>
  <c r="C307" i="4"/>
  <c r="B307" i="4"/>
  <c r="F306" i="4"/>
  <c r="D306" i="4"/>
  <c r="C306" i="4"/>
  <c r="B306" i="4"/>
  <c r="F305" i="4"/>
  <c r="D305" i="4"/>
  <c r="C305" i="4"/>
  <c r="B305" i="4"/>
  <c r="F304" i="4"/>
  <c r="D304" i="4"/>
  <c r="C304" i="4"/>
  <c r="B304" i="4"/>
  <c r="F303" i="4"/>
  <c r="D303" i="4"/>
  <c r="C303" i="4"/>
  <c r="B303" i="4"/>
  <c r="F302" i="4"/>
  <c r="D302" i="4"/>
  <c r="C302" i="4"/>
  <c r="B302" i="4"/>
  <c r="F301" i="4"/>
  <c r="D301" i="4"/>
  <c r="C301" i="4"/>
  <c r="B301" i="4"/>
  <c r="F300" i="4"/>
  <c r="D300" i="4"/>
  <c r="C300" i="4"/>
  <c r="B300" i="4"/>
  <c r="F299" i="4"/>
  <c r="D299" i="4"/>
  <c r="C299" i="4"/>
  <c r="B299" i="4"/>
  <c r="F298" i="4"/>
  <c r="D298" i="4"/>
  <c r="C298" i="4"/>
  <c r="B298" i="4"/>
  <c r="F297" i="4"/>
  <c r="D297" i="4"/>
  <c r="C297" i="4"/>
  <c r="B297" i="4"/>
  <c r="F296" i="4"/>
  <c r="D296" i="4"/>
  <c r="C296" i="4"/>
  <c r="B296" i="4"/>
  <c r="F295" i="4"/>
  <c r="D295" i="4"/>
  <c r="C295" i="4"/>
  <c r="B295" i="4"/>
  <c r="F294" i="4"/>
  <c r="D294" i="4"/>
  <c r="C294" i="4"/>
  <c r="B294" i="4"/>
  <c r="F293" i="4"/>
  <c r="D293" i="4"/>
  <c r="C293" i="4"/>
  <c r="B293" i="4"/>
  <c r="F292" i="4"/>
  <c r="D292" i="4"/>
  <c r="C292" i="4"/>
  <c r="B292" i="4"/>
  <c r="F291" i="4"/>
  <c r="D291" i="4"/>
  <c r="C291" i="4"/>
  <c r="B291" i="4"/>
  <c r="F290" i="4"/>
  <c r="D290" i="4"/>
  <c r="C290" i="4"/>
  <c r="B290" i="4"/>
  <c r="F289" i="4"/>
  <c r="D289" i="4"/>
  <c r="C289" i="4"/>
  <c r="B289" i="4"/>
  <c r="F288" i="4"/>
  <c r="D288" i="4"/>
  <c r="C288" i="4"/>
  <c r="B288" i="4"/>
  <c r="F287" i="4"/>
  <c r="D287" i="4"/>
  <c r="C287" i="4"/>
  <c r="B287" i="4"/>
  <c r="F286" i="4"/>
  <c r="D286" i="4"/>
  <c r="C286" i="4"/>
  <c r="B286" i="4"/>
  <c r="F285" i="4"/>
  <c r="D285" i="4"/>
  <c r="C285" i="4"/>
  <c r="B285" i="4"/>
  <c r="F284" i="4"/>
  <c r="D284" i="4"/>
  <c r="C284" i="4"/>
  <c r="B284" i="4"/>
  <c r="F283" i="4"/>
  <c r="D283" i="4"/>
  <c r="C283" i="4"/>
  <c r="B283" i="4"/>
  <c r="F282" i="4"/>
  <c r="D282" i="4"/>
  <c r="C282" i="4"/>
  <c r="B282" i="4"/>
  <c r="F281" i="4"/>
  <c r="D281" i="4"/>
  <c r="C281" i="4"/>
  <c r="B281" i="4"/>
  <c r="F280" i="4"/>
  <c r="D280" i="4"/>
  <c r="C280" i="4"/>
  <c r="B280" i="4"/>
  <c r="F279" i="4"/>
  <c r="D279" i="4"/>
  <c r="C279" i="4"/>
  <c r="B279" i="4"/>
  <c r="F278" i="4"/>
  <c r="D278" i="4"/>
  <c r="C278" i="4"/>
  <c r="B278" i="4"/>
  <c r="F277" i="4"/>
  <c r="D277" i="4"/>
  <c r="C277" i="4"/>
  <c r="B277" i="4"/>
  <c r="F276" i="4"/>
  <c r="D276" i="4"/>
  <c r="C276" i="4"/>
  <c r="B276" i="4"/>
  <c r="F275" i="4"/>
  <c r="D275" i="4"/>
  <c r="C275" i="4"/>
  <c r="B275" i="4"/>
  <c r="F274" i="4"/>
  <c r="D274" i="4"/>
  <c r="C274" i="4"/>
  <c r="B274" i="4"/>
  <c r="F273" i="4"/>
  <c r="D273" i="4"/>
  <c r="C273" i="4"/>
  <c r="B273" i="4"/>
  <c r="F272" i="4"/>
  <c r="D272" i="4"/>
  <c r="C272" i="4"/>
  <c r="B272" i="4"/>
  <c r="F271" i="4"/>
  <c r="D271" i="4"/>
  <c r="C271" i="4"/>
  <c r="B271" i="4"/>
  <c r="F270" i="4"/>
  <c r="D270" i="4"/>
  <c r="C270" i="4"/>
  <c r="B270" i="4"/>
  <c r="F269" i="4"/>
  <c r="D269" i="4"/>
  <c r="C269" i="4"/>
  <c r="B269" i="4"/>
  <c r="F268" i="4"/>
  <c r="D268" i="4"/>
  <c r="C268" i="4"/>
  <c r="B268" i="4"/>
  <c r="F267" i="4"/>
  <c r="D267" i="4"/>
  <c r="C267" i="4"/>
  <c r="B267" i="4"/>
  <c r="F266" i="4"/>
  <c r="D266" i="4"/>
  <c r="C266" i="4"/>
  <c r="B266" i="4"/>
  <c r="F265" i="4"/>
  <c r="D265" i="4"/>
  <c r="C265" i="4"/>
  <c r="B265" i="4"/>
  <c r="F264" i="4"/>
  <c r="D264" i="4"/>
  <c r="C264" i="4"/>
  <c r="B264" i="4"/>
  <c r="F263" i="4"/>
  <c r="D263" i="4"/>
  <c r="C263" i="4"/>
  <c r="B263" i="4"/>
  <c r="F262" i="4"/>
  <c r="D262" i="4"/>
  <c r="C262" i="4"/>
  <c r="B262" i="4"/>
  <c r="F261" i="4"/>
  <c r="D261" i="4"/>
  <c r="C261" i="4"/>
  <c r="B261" i="4"/>
  <c r="F260" i="4"/>
  <c r="D260" i="4"/>
  <c r="C260" i="4"/>
  <c r="B260" i="4"/>
  <c r="F259" i="4"/>
  <c r="D259" i="4"/>
  <c r="C259" i="4"/>
  <c r="B259" i="4"/>
  <c r="F258" i="4"/>
  <c r="D258" i="4"/>
  <c r="C258" i="4"/>
  <c r="B258" i="4"/>
  <c r="F257" i="4"/>
  <c r="D257" i="4"/>
  <c r="C257" i="4"/>
  <c r="B257" i="4"/>
  <c r="F256" i="4"/>
  <c r="D256" i="4"/>
  <c r="C256" i="4"/>
  <c r="B256" i="4"/>
  <c r="F255" i="4"/>
  <c r="D255" i="4"/>
  <c r="C255" i="4"/>
  <c r="B255" i="4"/>
  <c r="F254" i="4"/>
  <c r="D254" i="4"/>
  <c r="C254" i="4"/>
  <c r="B254" i="4"/>
  <c r="F253" i="4"/>
  <c r="D253" i="4"/>
  <c r="C253" i="4"/>
  <c r="B253" i="4"/>
  <c r="F252" i="4"/>
  <c r="D252" i="4"/>
  <c r="C252" i="4"/>
  <c r="B252" i="4"/>
  <c r="F251" i="4"/>
  <c r="D251" i="4"/>
  <c r="C251" i="4"/>
  <c r="B251" i="4"/>
  <c r="F250" i="4"/>
  <c r="D250" i="4"/>
  <c r="C250" i="4"/>
  <c r="B250" i="4"/>
  <c r="F249" i="4"/>
  <c r="D249" i="4"/>
  <c r="C249" i="4"/>
  <c r="B249" i="4"/>
  <c r="F248" i="4"/>
  <c r="D248" i="4"/>
  <c r="C248" i="4"/>
  <c r="B248" i="4"/>
  <c r="F247" i="4"/>
  <c r="D247" i="4"/>
  <c r="C247" i="4"/>
  <c r="B247" i="4"/>
  <c r="F246" i="4"/>
  <c r="D246" i="4"/>
  <c r="C246" i="4"/>
  <c r="B246" i="4"/>
  <c r="F245" i="4"/>
  <c r="D245" i="4"/>
  <c r="C245" i="4"/>
  <c r="B245" i="4"/>
  <c r="F244" i="4"/>
  <c r="D244" i="4"/>
  <c r="C244" i="4"/>
  <c r="B244" i="4"/>
  <c r="F243" i="4"/>
  <c r="D243" i="4"/>
  <c r="C243" i="4"/>
  <c r="B243" i="4"/>
  <c r="F242" i="4"/>
  <c r="D242" i="4"/>
  <c r="C242" i="4"/>
  <c r="B242" i="4"/>
  <c r="F241" i="4"/>
  <c r="D241" i="4"/>
  <c r="C241" i="4"/>
  <c r="B241" i="4"/>
  <c r="F240" i="4"/>
  <c r="D240" i="4"/>
  <c r="C240" i="4"/>
  <c r="B240" i="4"/>
  <c r="F239" i="4"/>
  <c r="D239" i="4"/>
  <c r="C239" i="4"/>
  <c r="B239" i="4"/>
  <c r="F238" i="4"/>
  <c r="D238" i="4"/>
  <c r="C238" i="4"/>
  <c r="B238" i="4"/>
  <c r="F237" i="4"/>
  <c r="D237" i="4"/>
  <c r="C237" i="4"/>
  <c r="B237" i="4"/>
  <c r="F236" i="4"/>
  <c r="D236" i="4"/>
  <c r="C236" i="4"/>
  <c r="B236" i="4"/>
  <c r="F235" i="4"/>
  <c r="D235" i="4"/>
  <c r="C235" i="4"/>
  <c r="B235" i="4"/>
  <c r="F234" i="4"/>
  <c r="D234" i="4"/>
  <c r="C234" i="4"/>
  <c r="B234" i="4"/>
  <c r="F233" i="4"/>
  <c r="D233" i="4"/>
  <c r="C233" i="4"/>
  <c r="B233" i="4"/>
  <c r="F232" i="4"/>
  <c r="D232" i="4"/>
  <c r="C232" i="4"/>
  <c r="B232" i="4"/>
  <c r="F231" i="4"/>
  <c r="D231" i="4"/>
  <c r="C231" i="4"/>
  <c r="B231" i="4"/>
  <c r="F230" i="4"/>
  <c r="D230" i="4"/>
  <c r="C230" i="4"/>
  <c r="B230" i="4"/>
  <c r="F229" i="4"/>
  <c r="D229" i="4"/>
  <c r="C229" i="4"/>
  <c r="B229" i="4"/>
  <c r="F228" i="4"/>
  <c r="D228" i="4"/>
  <c r="C228" i="4"/>
  <c r="B228" i="4"/>
  <c r="F227" i="4"/>
  <c r="D227" i="4"/>
  <c r="C227" i="4"/>
  <c r="B227" i="4"/>
  <c r="F226" i="4"/>
  <c r="D226" i="4"/>
  <c r="C226" i="4"/>
  <c r="B226" i="4"/>
  <c r="F225" i="4"/>
  <c r="D225" i="4"/>
  <c r="C225" i="4"/>
  <c r="B225" i="4"/>
  <c r="F224" i="4"/>
  <c r="D224" i="4"/>
  <c r="C224" i="4"/>
  <c r="B224" i="4"/>
  <c r="F223" i="4"/>
  <c r="D223" i="4"/>
  <c r="C223" i="4"/>
  <c r="B223" i="4"/>
  <c r="F222" i="4"/>
  <c r="D222" i="4"/>
  <c r="C222" i="4"/>
  <c r="B222" i="4"/>
  <c r="F221" i="4"/>
  <c r="D221" i="4"/>
  <c r="C221" i="4"/>
  <c r="B221" i="4"/>
  <c r="F220" i="4"/>
  <c r="D220" i="4"/>
  <c r="C220" i="4"/>
  <c r="B220" i="4"/>
  <c r="F219" i="4"/>
  <c r="D219" i="4"/>
  <c r="C219" i="4"/>
  <c r="B219" i="4"/>
  <c r="F218" i="4"/>
  <c r="D218" i="4"/>
  <c r="C218" i="4"/>
  <c r="B218" i="4"/>
  <c r="F217" i="4"/>
  <c r="D217" i="4"/>
  <c r="C217" i="4"/>
  <c r="B217" i="4"/>
  <c r="F216" i="4"/>
  <c r="D216" i="4"/>
  <c r="C216" i="4"/>
  <c r="B216" i="4"/>
  <c r="F215" i="4"/>
  <c r="D215" i="4"/>
  <c r="C215" i="4"/>
  <c r="B215" i="4"/>
  <c r="F214" i="4"/>
  <c r="D214" i="4"/>
  <c r="C214" i="4"/>
  <c r="B214" i="4"/>
  <c r="F213" i="4"/>
  <c r="D213" i="4"/>
  <c r="C213" i="4"/>
  <c r="B213" i="4"/>
  <c r="F212" i="4"/>
  <c r="D212" i="4"/>
  <c r="C212" i="4"/>
  <c r="B212" i="4"/>
  <c r="F211" i="4"/>
  <c r="D211" i="4"/>
  <c r="C211" i="4"/>
  <c r="B211" i="4"/>
  <c r="F210" i="4"/>
  <c r="D210" i="4"/>
  <c r="C210" i="4"/>
  <c r="B210" i="4"/>
  <c r="F209" i="4"/>
  <c r="D209" i="4"/>
  <c r="C209" i="4"/>
  <c r="B209" i="4"/>
  <c r="F208" i="4"/>
  <c r="D208" i="4"/>
  <c r="C208" i="4"/>
  <c r="B208" i="4"/>
  <c r="F207" i="4"/>
  <c r="D207" i="4"/>
  <c r="C207" i="4"/>
  <c r="B207" i="4"/>
  <c r="F206" i="4"/>
  <c r="D206" i="4"/>
  <c r="C206" i="4"/>
  <c r="B206" i="4"/>
  <c r="F205" i="4"/>
  <c r="D205" i="4"/>
  <c r="C205" i="4"/>
  <c r="B205" i="4"/>
  <c r="F204" i="4"/>
  <c r="D204" i="4"/>
  <c r="C204" i="4"/>
  <c r="B204" i="4"/>
  <c r="F203" i="4"/>
  <c r="D203" i="4"/>
  <c r="C203" i="4"/>
  <c r="B203" i="4"/>
  <c r="F202" i="4"/>
  <c r="D202" i="4"/>
  <c r="C202" i="4"/>
  <c r="B202" i="4"/>
  <c r="F201" i="4"/>
  <c r="D201" i="4"/>
  <c r="C201" i="4"/>
  <c r="B201" i="4"/>
  <c r="F200" i="4"/>
  <c r="D200" i="4"/>
  <c r="C200" i="4"/>
  <c r="B200" i="4"/>
  <c r="F199" i="4"/>
  <c r="D199" i="4"/>
  <c r="C199" i="4"/>
  <c r="B199" i="4"/>
  <c r="F198" i="4"/>
  <c r="D198" i="4"/>
  <c r="C198" i="4"/>
  <c r="B198" i="4"/>
  <c r="F197" i="4"/>
  <c r="D197" i="4"/>
  <c r="C197" i="4"/>
  <c r="B197" i="4"/>
  <c r="F196" i="4"/>
  <c r="D196" i="4"/>
  <c r="C196" i="4"/>
  <c r="B196" i="4"/>
  <c r="F195" i="4"/>
  <c r="D195" i="4"/>
  <c r="C195" i="4"/>
  <c r="B195" i="4"/>
  <c r="F194" i="4"/>
  <c r="D194" i="4"/>
  <c r="C194" i="4"/>
  <c r="B194" i="4"/>
  <c r="F193" i="4"/>
  <c r="D193" i="4"/>
  <c r="C193" i="4"/>
  <c r="B193" i="4"/>
  <c r="F192" i="4"/>
  <c r="D192" i="4"/>
  <c r="C192" i="4"/>
  <c r="B192" i="4"/>
  <c r="F191" i="4"/>
  <c r="D191" i="4"/>
  <c r="C191" i="4"/>
  <c r="B191" i="4"/>
  <c r="F190" i="4"/>
  <c r="D190" i="4"/>
  <c r="C190" i="4"/>
  <c r="B190" i="4"/>
  <c r="F189" i="4"/>
  <c r="D189" i="4"/>
  <c r="C189" i="4"/>
  <c r="B189" i="4"/>
  <c r="F188" i="4"/>
  <c r="D188" i="4"/>
  <c r="C188" i="4"/>
  <c r="B188" i="4"/>
  <c r="F187" i="4"/>
  <c r="D187" i="4"/>
  <c r="C187" i="4"/>
  <c r="B187" i="4"/>
  <c r="F186" i="4"/>
  <c r="D186" i="4"/>
  <c r="C186" i="4"/>
  <c r="B186" i="4"/>
  <c r="F185" i="4"/>
  <c r="D185" i="4"/>
  <c r="C185" i="4"/>
  <c r="B185" i="4"/>
  <c r="F184" i="4"/>
  <c r="D184" i="4"/>
  <c r="C184" i="4"/>
  <c r="B184" i="4"/>
  <c r="F183" i="4"/>
  <c r="D183" i="4"/>
  <c r="C183" i="4"/>
  <c r="B183" i="4"/>
  <c r="F182" i="4"/>
  <c r="D182" i="4"/>
  <c r="C182" i="4"/>
  <c r="B182" i="4"/>
  <c r="F181" i="4"/>
  <c r="D181" i="4"/>
  <c r="C181" i="4"/>
  <c r="B181" i="4"/>
  <c r="F180" i="4"/>
  <c r="D180" i="4"/>
  <c r="C180" i="4"/>
  <c r="B180" i="4"/>
  <c r="F179" i="4"/>
  <c r="D179" i="4"/>
  <c r="C179" i="4"/>
  <c r="B179" i="4"/>
  <c r="F178" i="4"/>
  <c r="D178" i="4"/>
  <c r="C178" i="4"/>
  <c r="B178" i="4"/>
  <c r="F177" i="4"/>
  <c r="D177" i="4"/>
  <c r="C177" i="4"/>
  <c r="B177" i="4"/>
  <c r="F176" i="4"/>
  <c r="D176" i="4"/>
  <c r="C176" i="4"/>
  <c r="B176" i="4"/>
  <c r="F175" i="4"/>
  <c r="D175" i="4"/>
  <c r="C175" i="4"/>
  <c r="B175" i="4"/>
  <c r="F174" i="4"/>
  <c r="D174" i="4"/>
  <c r="C174" i="4"/>
  <c r="B174" i="4"/>
  <c r="F173" i="4"/>
  <c r="D173" i="4"/>
  <c r="C173" i="4"/>
  <c r="B173" i="4"/>
  <c r="F172" i="4"/>
  <c r="D172" i="4"/>
  <c r="C172" i="4"/>
  <c r="B172" i="4"/>
  <c r="F171" i="4"/>
  <c r="D171" i="4"/>
  <c r="C171" i="4"/>
  <c r="B171" i="4"/>
  <c r="F170" i="4"/>
  <c r="D170" i="4"/>
  <c r="C170" i="4"/>
  <c r="B170" i="4"/>
  <c r="F169" i="4"/>
  <c r="D169" i="4"/>
  <c r="C169" i="4"/>
  <c r="B169" i="4"/>
  <c r="F168" i="4"/>
  <c r="D168" i="4"/>
  <c r="C168" i="4"/>
  <c r="B168" i="4"/>
  <c r="F167" i="4"/>
  <c r="D167" i="4"/>
  <c r="C167" i="4"/>
  <c r="B167" i="4"/>
  <c r="F166" i="4"/>
  <c r="D166" i="4"/>
  <c r="C166" i="4"/>
  <c r="B166" i="4"/>
  <c r="F165" i="4"/>
  <c r="D165" i="4"/>
  <c r="C165" i="4"/>
  <c r="B165" i="4"/>
  <c r="F164" i="4"/>
  <c r="D164" i="4"/>
  <c r="C164" i="4"/>
  <c r="B164" i="4"/>
  <c r="F163" i="4"/>
  <c r="D163" i="4"/>
  <c r="C163" i="4"/>
  <c r="B163" i="4"/>
  <c r="F162" i="4"/>
  <c r="D162" i="4"/>
  <c r="C162" i="4"/>
  <c r="B162" i="4"/>
  <c r="F161" i="4"/>
  <c r="D161" i="4"/>
  <c r="C161" i="4"/>
  <c r="B161" i="4"/>
  <c r="F160" i="4"/>
  <c r="D160" i="4"/>
  <c r="C160" i="4"/>
  <c r="B160" i="4"/>
  <c r="F159" i="4"/>
  <c r="D159" i="4"/>
  <c r="C159" i="4"/>
  <c r="B159" i="4"/>
  <c r="F158" i="4"/>
  <c r="D158" i="4"/>
  <c r="C158" i="4"/>
  <c r="B158" i="4"/>
  <c r="F157" i="4"/>
  <c r="D157" i="4"/>
  <c r="C157" i="4"/>
  <c r="B157" i="4"/>
  <c r="F156" i="4"/>
  <c r="D156" i="4"/>
  <c r="C156" i="4"/>
  <c r="B156" i="4"/>
  <c r="F155" i="4"/>
  <c r="D155" i="4"/>
  <c r="C155" i="4"/>
  <c r="B155" i="4"/>
  <c r="F154" i="4"/>
  <c r="D154" i="4"/>
  <c r="C154" i="4"/>
  <c r="B154" i="4"/>
  <c r="F153" i="4"/>
  <c r="D153" i="4"/>
  <c r="C153" i="4"/>
  <c r="B153" i="4"/>
  <c r="F152" i="4"/>
  <c r="D152" i="4"/>
  <c r="C152" i="4"/>
  <c r="B152" i="4"/>
  <c r="F151" i="4"/>
  <c r="D151" i="4"/>
  <c r="C151" i="4"/>
  <c r="B151" i="4"/>
  <c r="F150" i="4"/>
  <c r="D150" i="4"/>
  <c r="C150" i="4"/>
  <c r="B150" i="4"/>
  <c r="F149" i="4"/>
  <c r="D149" i="4"/>
  <c r="C149" i="4"/>
  <c r="B149" i="4"/>
  <c r="F148" i="4"/>
  <c r="D148" i="4"/>
  <c r="C148" i="4"/>
  <c r="B148" i="4"/>
  <c r="F147" i="4"/>
  <c r="D147" i="4"/>
  <c r="C147" i="4"/>
  <c r="B147" i="4"/>
  <c r="F146" i="4"/>
  <c r="D146" i="4"/>
  <c r="C146" i="4"/>
  <c r="B146" i="4"/>
  <c r="F145" i="4"/>
  <c r="D145" i="4"/>
  <c r="C145" i="4"/>
  <c r="B145" i="4"/>
  <c r="F144" i="4"/>
  <c r="D144" i="4"/>
  <c r="C144" i="4"/>
  <c r="B144" i="4"/>
  <c r="F143" i="4"/>
  <c r="D143" i="4"/>
  <c r="C143" i="4"/>
  <c r="B143" i="4"/>
  <c r="F142" i="4"/>
  <c r="D142" i="4"/>
  <c r="C142" i="4"/>
  <c r="B142" i="4"/>
  <c r="F141" i="4"/>
  <c r="D141" i="4"/>
  <c r="C141" i="4"/>
  <c r="B141" i="4"/>
  <c r="F140" i="4"/>
  <c r="D140" i="4"/>
  <c r="C140" i="4"/>
  <c r="B140" i="4"/>
  <c r="F139" i="4"/>
  <c r="D139" i="4"/>
  <c r="C139" i="4"/>
  <c r="B139" i="4"/>
  <c r="F138" i="4"/>
  <c r="D138" i="4"/>
  <c r="C138" i="4"/>
  <c r="B138" i="4"/>
  <c r="F137" i="4"/>
  <c r="D137" i="4"/>
  <c r="C137" i="4"/>
  <c r="B137" i="4"/>
  <c r="F136" i="4"/>
  <c r="D136" i="4"/>
  <c r="C136" i="4"/>
  <c r="B136" i="4"/>
  <c r="F135" i="4"/>
  <c r="D135" i="4"/>
  <c r="C135" i="4"/>
  <c r="B135" i="4"/>
  <c r="F134" i="4"/>
  <c r="D134" i="4"/>
  <c r="C134" i="4"/>
  <c r="B134" i="4"/>
  <c r="F133" i="4"/>
  <c r="D133" i="4"/>
  <c r="C133" i="4"/>
  <c r="B133" i="4"/>
  <c r="F132" i="4"/>
  <c r="D132" i="4"/>
  <c r="C132" i="4"/>
  <c r="B132" i="4"/>
  <c r="F131" i="4"/>
  <c r="D131" i="4"/>
  <c r="C131" i="4"/>
  <c r="B131" i="4"/>
  <c r="F130" i="4"/>
  <c r="D130" i="4"/>
  <c r="C130" i="4"/>
  <c r="B130" i="4"/>
  <c r="F129" i="4"/>
  <c r="D129" i="4"/>
  <c r="C129" i="4"/>
  <c r="B129" i="4"/>
  <c r="F128" i="4"/>
  <c r="D128" i="4"/>
  <c r="C128" i="4"/>
  <c r="B128" i="4"/>
  <c r="F127" i="4"/>
  <c r="D127" i="4"/>
  <c r="C127" i="4"/>
  <c r="B127" i="4"/>
  <c r="F126" i="4"/>
  <c r="D126" i="4"/>
  <c r="C126" i="4"/>
  <c r="B126" i="4"/>
  <c r="F125" i="4"/>
  <c r="D125" i="4"/>
  <c r="C125" i="4"/>
  <c r="B125" i="4"/>
  <c r="F124" i="4"/>
  <c r="D124" i="4"/>
  <c r="C124" i="4"/>
  <c r="B124" i="4"/>
  <c r="F123" i="4"/>
  <c r="D123" i="4"/>
  <c r="C123" i="4"/>
  <c r="B123" i="4"/>
  <c r="F122" i="4"/>
  <c r="D122" i="4"/>
  <c r="C122" i="4"/>
  <c r="B122" i="4"/>
  <c r="F121" i="4"/>
  <c r="D121" i="4"/>
  <c r="C121" i="4"/>
  <c r="B121" i="4"/>
  <c r="F120" i="4"/>
  <c r="D120" i="4"/>
  <c r="C120" i="4"/>
  <c r="B120" i="4"/>
  <c r="F119" i="4"/>
  <c r="D119" i="4"/>
  <c r="C119" i="4"/>
  <c r="B119" i="4"/>
  <c r="F118" i="4"/>
  <c r="D118" i="4"/>
  <c r="C118" i="4"/>
  <c r="B118" i="4"/>
  <c r="F117" i="4"/>
  <c r="D117" i="4"/>
  <c r="C117" i="4"/>
  <c r="B117" i="4"/>
  <c r="F116" i="4"/>
  <c r="D116" i="4"/>
  <c r="C116" i="4"/>
  <c r="B116" i="4"/>
  <c r="F115" i="4"/>
  <c r="D115" i="4"/>
  <c r="C115" i="4"/>
  <c r="B115" i="4"/>
  <c r="F114" i="4"/>
  <c r="D114" i="4"/>
  <c r="C114" i="4"/>
  <c r="B114" i="4"/>
  <c r="F113" i="4"/>
  <c r="D113" i="4"/>
  <c r="C113" i="4"/>
  <c r="B113" i="4"/>
  <c r="F112" i="4"/>
  <c r="D112" i="4"/>
  <c r="C112" i="4"/>
  <c r="B112" i="4"/>
  <c r="F111" i="4"/>
  <c r="D111" i="4"/>
  <c r="C111" i="4"/>
  <c r="B111" i="4"/>
  <c r="F110" i="4"/>
  <c r="D110" i="4"/>
  <c r="C110" i="4"/>
  <c r="B110" i="4"/>
  <c r="F109" i="4"/>
  <c r="D109" i="4"/>
  <c r="C109" i="4"/>
  <c r="B109" i="4"/>
  <c r="F108" i="4"/>
  <c r="D108" i="4"/>
  <c r="C108" i="4"/>
  <c r="B108" i="4"/>
  <c r="F107" i="4"/>
  <c r="D107" i="4"/>
  <c r="C107" i="4"/>
  <c r="B107" i="4"/>
  <c r="F106" i="4"/>
  <c r="D106" i="4"/>
  <c r="C106" i="4"/>
  <c r="B106" i="4"/>
  <c r="F105" i="4"/>
  <c r="D105" i="4"/>
  <c r="C105" i="4"/>
  <c r="B105" i="4"/>
  <c r="F104" i="4"/>
  <c r="D104" i="4"/>
  <c r="C104" i="4"/>
  <c r="B104" i="4"/>
  <c r="F103" i="4"/>
  <c r="D103" i="4"/>
  <c r="C103" i="4"/>
  <c r="B103" i="4"/>
  <c r="F102" i="4"/>
  <c r="D102" i="4"/>
  <c r="C102" i="4"/>
  <c r="B102" i="4"/>
  <c r="F101" i="4"/>
  <c r="D101" i="4"/>
  <c r="C101" i="4"/>
  <c r="B101" i="4"/>
  <c r="F100" i="4"/>
  <c r="D100" i="4"/>
  <c r="C100" i="4"/>
  <c r="B100" i="4"/>
  <c r="F99" i="4"/>
  <c r="D99" i="4"/>
  <c r="C99" i="4"/>
  <c r="B99" i="4"/>
  <c r="F98" i="4"/>
  <c r="D98" i="4"/>
  <c r="C98" i="4"/>
  <c r="B98" i="4"/>
  <c r="F97" i="4"/>
  <c r="D97" i="4"/>
  <c r="C97" i="4"/>
  <c r="B97" i="4"/>
  <c r="F96" i="4"/>
  <c r="D96" i="4"/>
  <c r="C96" i="4"/>
  <c r="B96" i="4"/>
  <c r="F95" i="4"/>
  <c r="D95" i="4"/>
  <c r="C95" i="4"/>
  <c r="B95" i="4"/>
  <c r="F94" i="4"/>
  <c r="D94" i="4"/>
  <c r="C94" i="4"/>
  <c r="B94" i="4"/>
  <c r="F93" i="4"/>
  <c r="D93" i="4"/>
  <c r="C93" i="4"/>
  <c r="B93" i="4"/>
  <c r="F92" i="4"/>
  <c r="D92" i="4"/>
  <c r="C92" i="4"/>
  <c r="B92" i="4"/>
  <c r="F91" i="4"/>
  <c r="D91" i="4"/>
  <c r="C91" i="4"/>
  <c r="B91" i="4"/>
  <c r="F90" i="4"/>
  <c r="D90" i="4"/>
  <c r="C90" i="4"/>
  <c r="B90" i="4"/>
  <c r="F89" i="4"/>
  <c r="D89" i="4"/>
  <c r="C89" i="4"/>
  <c r="B89" i="4"/>
  <c r="F88" i="4"/>
  <c r="D88" i="4"/>
  <c r="C88" i="4"/>
  <c r="B88" i="4"/>
  <c r="F87" i="4"/>
  <c r="D87" i="4"/>
  <c r="C87" i="4"/>
  <c r="B87" i="4"/>
  <c r="F86" i="4"/>
  <c r="D86" i="4"/>
  <c r="C86" i="4"/>
  <c r="B86" i="4"/>
  <c r="F85" i="4"/>
  <c r="D85" i="4"/>
  <c r="C85" i="4"/>
  <c r="B85" i="4"/>
  <c r="F84" i="4"/>
  <c r="D84" i="4"/>
  <c r="C84" i="4"/>
  <c r="B84" i="4"/>
  <c r="F83" i="4"/>
  <c r="D83" i="4"/>
  <c r="C83" i="4"/>
  <c r="B83" i="4"/>
  <c r="F82" i="4"/>
  <c r="D82" i="4"/>
  <c r="C82" i="4"/>
  <c r="B82" i="4"/>
  <c r="F81" i="4"/>
  <c r="D81" i="4"/>
  <c r="C81" i="4"/>
  <c r="B81" i="4"/>
  <c r="F80" i="4"/>
  <c r="D80" i="4"/>
  <c r="C80" i="4"/>
  <c r="B80" i="4"/>
  <c r="F79" i="4"/>
  <c r="D79" i="4"/>
  <c r="C79" i="4"/>
  <c r="B79" i="4"/>
  <c r="F78" i="4"/>
  <c r="D78" i="4"/>
  <c r="C78" i="4"/>
  <c r="B78" i="4"/>
  <c r="F77" i="4"/>
  <c r="D77" i="4"/>
  <c r="C77" i="4"/>
  <c r="B77" i="4"/>
  <c r="F76" i="4"/>
  <c r="D76" i="4"/>
  <c r="C76" i="4"/>
  <c r="B76" i="4"/>
  <c r="F75" i="4"/>
  <c r="D75" i="4"/>
  <c r="C75" i="4"/>
  <c r="B75" i="4"/>
  <c r="F74" i="4"/>
  <c r="D74" i="4"/>
  <c r="C74" i="4"/>
  <c r="B74" i="4"/>
  <c r="F73" i="4"/>
  <c r="D73" i="4"/>
  <c r="C73" i="4"/>
  <c r="B73" i="4"/>
  <c r="F72" i="4"/>
  <c r="D72" i="4"/>
  <c r="C72" i="4"/>
  <c r="B72" i="4"/>
  <c r="F71" i="4"/>
  <c r="D71" i="4"/>
  <c r="C71" i="4"/>
  <c r="B71" i="4"/>
  <c r="F70" i="4"/>
  <c r="D70" i="4"/>
  <c r="C70" i="4"/>
  <c r="B70" i="4"/>
  <c r="F69" i="4"/>
  <c r="D69" i="4"/>
  <c r="C69" i="4"/>
  <c r="B69" i="4"/>
  <c r="F68" i="4"/>
  <c r="D68" i="4"/>
  <c r="C68" i="4"/>
  <c r="B68" i="4"/>
  <c r="F67" i="4"/>
  <c r="D67" i="4"/>
  <c r="C67" i="4"/>
  <c r="B67" i="4"/>
  <c r="F66" i="4"/>
  <c r="D66" i="4"/>
  <c r="C66" i="4"/>
  <c r="B66" i="4"/>
  <c r="F65" i="4"/>
  <c r="D65" i="4"/>
  <c r="C65" i="4"/>
  <c r="B65" i="4"/>
  <c r="F64" i="4"/>
  <c r="D64" i="4"/>
  <c r="C64" i="4"/>
  <c r="B64" i="4"/>
  <c r="F63" i="4"/>
  <c r="D63" i="4"/>
  <c r="C63" i="4"/>
  <c r="B63" i="4"/>
  <c r="F62" i="4"/>
  <c r="D62" i="4"/>
  <c r="C62" i="4"/>
  <c r="B62" i="4"/>
  <c r="F61" i="4"/>
  <c r="D61" i="4"/>
  <c r="C61" i="4"/>
  <c r="B61" i="4"/>
  <c r="F60" i="4"/>
  <c r="D60" i="4"/>
  <c r="C60" i="4"/>
  <c r="B60" i="4"/>
  <c r="F59" i="4"/>
  <c r="D59" i="4"/>
  <c r="C59" i="4"/>
  <c r="B59" i="4"/>
  <c r="F58" i="4"/>
  <c r="D58" i="4"/>
  <c r="C58" i="4"/>
  <c r="B58" i="4"/>
  <c r="F57" i="4"/>
  <c r="D57" i="4"/>
  <c r="C57" i="4"/>
  <c r="B57" i="4"/>
  <c r="F56" i="4"/>
  <c r="D56" i="4"/>
  <c r="C56" i="4"/>
  <c r="B56" i="4"/>
  <c r="F55" i="4"/>
  <c r="D55" i="4"/>
  <c r="C55" i="4"/>
  <c r="B55" i="4"/>
  <c r="F54" i="4"/>
  <c r="D54" i="4"/>
  <c r="C54" i="4"/>
  <c r="B54" i="4"/>
  <c r="F53" i="4"/>
  <c r="D53" i="4"/>
  <c r="C53" i="4"/>
  <c r="B53" i="4"/>
  <c r="F52" i="4"/>
  <c r="D52" i="4"/>
  <c r="C52" i="4"/>
  <c r="B52" i="4"/>
  <c r="F51" i="4"/>
  <c r="D51" i="4"/>
  <c r="C51" i="4"/>
  <c r="B51" i="4"/>
  <c r="F50" i="4"/>
  <c r="D50" i="4"/>
  <c r="C50" i="4"/>
  <c r="B50" i="4"/>
  <c r="F49" i="4"/>
  <c r="D49" i="4"/>
  <c r="C49" i="4"/>
  <c r="B49" i="4"/>
  <c r="F48" i="4"/>
  <c r="D48" i="4"/>
  <c r="C48" i="4"/>
  <c r="B48" i="4"/>
  <c r="F47" i="4"/>
  <c r="D47" i="4"/>
  <c r="C47" i="4"/>
  <c r="B47" i="4"/>
  <c r="F46" i="4"/>
  <c r="D46" i="4"/>
  <c r="C46" i="4"/>
  <c r="B46" i="4"/>
  <c r="F45" i="4"/>
  <c r="D45" i="4"/>
  <c r="C45" i="4"/>
  <c r="B45" i="4"/>
  <c r="F44" i="4"/>
  <c r="D44" i="4"/>
  <c r="C44" i="4"/>
  <c r="B44" i="4"/>
  <c r="F43" i="4"/>
  <c r="D43" i="4"/>
  <c r="C43" i="4"/>
  <c r="B43" i="4"/>
  <c r="F42" i="4"/>
  <c r="D42" i="4"/>
  <c r="C42" i="4"/>
  <c r="B42" i="4"/>
  <c r="F41" i="4"/>
  <c r="D41" i="4"/>
  <c r="C41" i="4"/>
  <c r="B41" i="4"/>
  <c r="F40" i="4"/>
  <c r="D40" i="4"/>
  <c r="C40" i="4"/>
  <c r="B40" i="4"/>
  <c r="F39" i="4"/>
  <c r="D39" i="4"/>
  <c r="C39" i="4"/>
  <c r="B39" i="4"/>
  <c r="F38" i="4"/>
  <c r="D38" i="4"/>
  <c r="C38" i="4"/>
  <c r="B38" i="4"/>
  <c r="F37" i="4"/>
  <c r="D37" i="4"/>
  <c r="C37" i="4"/>
  <c r="B37" i="4"/>
  <c r="F36" i="4"/>
  <c r="D36" i="4"/>
  <c r="C36" i="4"/>
  <c r="B36" i="4"/>
  <c r="F35" i="4"/>
  <c r="D35" i="4"/>
  <c r="C35" i="4"/>
  <c r="B35" i="4"/>
  <c r="F34" i="4"/>
  <c r="D34" i="4"/>
  <c r="C34" i="4"/>
  <c r="B34" i="4"/>
  <c r="F33" i="4"/>
  <c r="D33" i="4"/>
  <c r="C33" i="4"/>
  <c r="B33" i="4"/>
  <c r="F32" i="4"/>
  <c r="D32" i="4"/>
  <c r="C32" i="4"/>
  <c r="B32" i="4"/>
  <c r="F31" i="4"/>
  <c r="D31" i="4"/>
  <c r="C31" i="4"/>
  <c r="B31" i="4"/>
  <c r="F30" i="4"/>
  <c r="D30" i="4"/>
  <c r="C30" i="4"/>
  <c r="B30" i="4"/>
  <c r="F29" i="4"/>
  <c r="D29" i="4"/>
  <c r="C29" i="4"/>
  <c r="B29" i="4"/>
  <c r="F28" i="4"/>
  <c r="D28" i="4"/>
  <c r="C28" i="4"/>
  <c r="B28" i="4"/>
  <c r="F27" i="4"/>
  <c r="D27" i="4"/>
  <c r="C27" i="4"/>
  <c r="B27" i="4"/>
  <c r="F26" i="4"/>
  <c r="D26" i="4"/>
  <c r="C26" i="4"/>
  <c r="B26" i="4"/>
  <c r="F25" i="4"/>
  <c r="D25" i="4"/>
  <c r="C25" i="4"/>
  <c r="B25" i="4"/>
  <c r="F24" i="4"/>
  <c r="D24" i="4"/>
  <c r="C24" i="4"/>
  <c r="B24" i="4"/>
  <c r="F23" i="4"/>
  <c r="D23" i="4"/>
  <c r="C23" i="4"/>
  <c r="B23" i="4"/>
  <c r="F22" i="4"/>
  <c r="D22" i="4"/>
  <c r="C22" i="4"/>
  <c r="B22" i="4"/>
  <c r="F21" i="4"/>
  <c r="D21" i="4"/>
  <c r="C21" i="4"/>
  <c r="B21" i="4"/>
  <c r="F20" i="4"/>
  <c r="D20" i="4"/>
  <c r="C20" i="4"/>
  <c r="B20" i="4"/>
  <c r="F19" i="4"/>
  <c r="D19" i="4"/>
  <c r="C19" i="4"/>
  <c r="B19" i="4"/>
  <c r="F18" i="4"/>
  <c r="D18" i="4"/>
  <c r="C18" i="4"/>
  <c r="B18" i="4"/>
  <c r="F17" i="4"/>
  <c r="D17" i="4"/>
  <c r="C17" i="4"/>
  <c r="B17" i="4"/>
  <c r="F16" i="4"/>
  <c r="D16" i="4"/>
  <c r="C16" i="4"/>
  <c r="B16" i="4"/>
  <c r="F15" i="4"/>
  <c r="D15" i="4"/>
  <c r="C15" i="4"/>
  <c r="B15" i="4"/>
  <c r="F14" i="4"/>
  <c r="D14" i="4"/>
  <c r="C14" i="4"/>
  <c r="B14" i="4"/>
  <c r="F13" i="4"/>
  <c r="D13" i="4"/>
  <c r="C13" i="4"/>
  <c r="B13" i="4"/>
  <c r="F12" i="4"/>
  <c r="D12" i="4"/>
  <c r="C12" i="4"/>
  <c r="B12" i="4"/>
  <c r="F11" i="4"/>
  <c r="D11" i="4"/>
  <c r="C11" i="4"/>
  <c r="B11" i="4"/>
  <c r="F10" i="4"/>
  <c r="D10" i="4"/>
  <c r="C10" i="4"/>
  <c r="B10" i="4"/>
  <c r="F9" i="4"/>
  <c r="D9" i="4"/>
  <c r="C9" i="4"/>
  <c r="B9" i="4"/>
  <c r="F8" i="4"/>
  <c r="D8" i="4"/>
  <c r="C8" i="4"/>
  <c r="B8" i="4"/>
  <c r="F7" i="4"/>
  <c r="D7" i="4"/>
  <c r="C7" i="4"/>
  <c r="B7" i="4"/>
  <c r="F6" i="4"/>
  <c r="D6" i="4"/>
  <c r="C6" i="4"/>
  <c r="B6" i="4"/>
  <c r="F5" i="4"/>
  <c r="D5" i="4"/>
  <c r="C5" i="4"/>
  <c r="B5" i="4"/>
  <c r="F4" i="4"/>
  <c r="D4" i="4"/>
  <c r="C4" i="4"/>
  <c r="B4" i="4"/>
  <c r="F3" i="4"/>
  <c r="D3" i="4"/>
  <c r="C3" i="4"/>
  <c r="B3" i="4"/>
  <c r="F2" i="4"/>
  <c r="D2" i="4"/>
  <c r="C2" i="4"/>
  <c r="B2" i="4"/>
  <c r="E2423" i="1"/>
  <c r="D2423" i="1"/>
  <c r="C2423" i="1"/>
  <c r="E2422" i="1"/>
  <c r="D2422" i="1"/>
  <c r="C2422" i="1"/>
  <c r="E2421" i="1"/>
  <c r="D2421" i="1"/>
  <c r="C2421" i="1"/>
  <c r="E2420" i="1"/>
  <c r="D2420" i="1"/>
  <c r="C2420" i="1"/>
  <c r="E2419" i="1"/>
  <c r="D2419" i="1"/>
  <c r="C2419" i="1"/>
  <c r="E2418" i="1"/>
  <c r="D2418" i="1"/>
  <c r="C2418" i="1"/>
  <c r="E2417" i="1"/>
  <c r="D2417" i="1"/>
  <c r="C2417" i="1"/>
  <c r="E2416" i="1"/>
  <c r="D2416" i="1"/>
  <c r="C2416" i="1"/>
  <c r="E2415" i="1"/>
  <c r="D2415" i="1"/>
  <c r="C2415" i="1"/>
  <c r="E2414" i="1"/>
  <c r="D2414" i="1"/>
  <c r="C2414" i="1"/>
  <c r="E2413" i="1"/>
  <c r="D2413" i="1"/>
  <c r="C2413" i="1"/>
  <c r="E2412" i="1"/>
  <c r="D2412" i="1"/>
  <c r="C2412" i="1"/>
  <c r="E2411" i="1"/>
  <c r="D2411" i="1"/>
  <c r="C2411" i="1"/>
  <c r="E2410" i="1"/>
  <c r="D2410" i="1"/>
  <c r="C2410" i="1"/>
  <c r="E2409" i="1"/>
  <c r="D2409" i="1"/>
  <c r="C2409" i="1"/>
  <c r="E2408" i="1"/>
  <c r="D2408" i="1"/>
  <c r="C2408" i="1"/>
  <c r="E2407" i="1"/>
  <c r="D2407" i="1"/>
  <c r="C2407" i="1"/>
  <c r="E2406" i="1"/>
  <c r="D2406" i="1"/>
  <c r="C2406" i="1"/>
  <c r="E2405" i="1"/>
  <c r="D2405" i="1"/>
  <c r="C2405" i="1"/>
  <c r="E2404" i="1"/>
  <c r="D2404" i="1"/>
  <c r="C2404" i="1"/>
  <c r="E2403" i="1"/>
  <c r="D2403" i="1"/>
  <c r="C2403" i="1"/>
  <c r="E2402" i="1"/>
  <c r="D2402" i="1"/>
  <c r="C2402" i="1"/>
  <c r="E2401" i="1"/>
  <c r="D2401" i="1"/>
  <c r="C2401" i="1"/>
  <c r="E2400" i="1"/>
  <c r="D2400" i="1"/>
  <c r="C2400" i="1"/>
  <c r="E2399" i="1"/>
  <c r="D2399" i="1"/>
  <c r="C2399" i="1"/>
  <c r="E2398" i="1"/>
  <c r="D2398" i="1"/>
  <c r="C2398" i="1"/>
  <c r="E2397" i="1"/>
  <c r="D2397" i="1"/>
  <c r="C2397" i="1"/>
  <c r="E2396" i="1"/>
  <c r="D2396" i="1"/>
  <c r="C2396" i="1"/>
  <c r="E2395" i="1"/>
  <c r="D2395" i="1"/>
  <c r="C2395" i="1"/>
  <c r="E2394" i="1"/>
  <c r="D2394" i="1"/>
  <c r="C2394" i="1"/>
  <c r="E2393" i="1"/>
  <c r="D2393" i="1"/>
  <c r="C2393" i="1"/>
  <c r="E2392" i="1"/>
  <c r="D2392" i="1"/>
  <c r="C2392" i="1"/>
  <c r="E2391" i="1"/>
  <c r="D2391" i="1"/>
  <c r="C2391" i="1"/>
  <c r="E2390" i="1"/>
  <c r="D2390" i="1"/>
  <c r="C2390" i="1"/>
  <c r="E2389" i="1"/>
  <c r="D2389" i="1"/>
  <c r="C2389" i="1"/>
  <c r="E2388" i="1"/>
  <c r="D2388" i="1"/>
  <c r="C2388" i="1"/>
  <c r="E2387" i="1"/>
  <c r="D2387" i="1"/>
  <c r="C2387" i="1"/>
  <c r="E2386" i="1"/>
  <c r="D2386" i="1"/>
  <c r="C2386" i="1"/>
  <c r="E2385" i="1"/>
  <c r="D2385" i="1"/>
  <c r="C2385" i="1"/>
  <c r="E2384" i="1"/>
  <c r="D2384" i="1"/>
  <c r="C2384" i="1"/>
  <c r="E2383" i="1"/>
  <c r="D2383" i="1"/>
  <c r="C2383" i="1"/>
  <c r="E2382" i="1"/>
  <c r="D2382" i="1"/>
  <c r="C2382" i="1"/>
  <c r="E2381" i="1"/>
  <c r="D2381" i="1"/>
  <c r="C2381" i="1"/>
  <c r="E2380" i="1"/>
  <c r="D2380" i="1"/>
  <c r="C2380" i="1"/>
  <c r="E2379" i="1"/>
  <c r="D2379" i="1"/>
  <c r="C2379" i="1"/>
  <c r="E2378" i="1"/>
  <c r="D2378" i="1"/>
  <c r="C2378" i="1"/>
  <c r="E2377" i="1"/>
  <c r="D2377" i="1"/>
  <c r="C2377" i="1"/>
  <c r="E2376" i="1"/>
  <c r="D2376" i="1"/>
  <c r="C2376" i="1"/>
  <c r="E2375" i="1"/>
  <c r="D2375" i="1"/>
  <c r="C2375" i="1"/>
  <c r="E2374" i="1"/>
  <c r="D2374" i="1"/>
  <c r="C2374" i="1"/>
  <c r="E2373" i="1"/>
  <c r="D2373" i="1"/>
  <c r="C2373" i="1"/>
  <c r="E2372" i="1"/>
  <c r="D2372" i="1"/>
  <c r="C2372" i="1"/>
  <c r="E2371" i="1"/>
  <c r="D2371" i="1"/>
  <c r="C2371" i="1"/>
  <c r="E2370" i="1"/>
  <c r="D2370" i="1"/>
  <c r="C2370" i="1"/>
  <c r="E2369" i="1"/>
  <c r="D2369" i="1"/>
  <c r="C2369" i="1"/>
  <c r="E2368" i="1"/>
  <c r="D2368" i="1"/>
  <c r="C2368" i="1"/>
  <c r="E2367" i="1"/>
  <c r="D2367" i="1"/>
  <c r="C2367" i="1"/>
  <c r="E2366" i="1"/>
  <c r="D2366" i="1"/>
  <c r="C2366" i="1"/>
  <c r="E2365" i="1"/>
  <c r="D2365" i="1"/>
  <c r="C2365" i="1"/>
  <c r="E2364" i="1"/>
  <c r="D2364" i="1"/>
  <c r="C2364" i="1"/>
  <c r="E2363" i="1"/>
  <c r="D2363" i="1"/>
  <c r="C2363" i="1"/>
  <c r="E2362" i="1"/>
  <c r="D2362" i="1"/>
  <c r="C2362" i="1"/>
  <c r="E2361" i="1"/>
  <c r="D2361" i="1"/>
  <c r="C2361" i="1"/>
  <c r="E2360" i="1"/>
  <c r="D2360" i="1"/>
  <c r="C2360" i="1"/>
  <c r="E2359" i="1"/>
  <c r="D2359" i="1"/>
  <c r="C2359" i="1"/>
  <c r="E2358" i="1"/>
  <c r="D2358" i="1"/>
  <c r="C2358" i="1"/>
  <c r="E2357" i="1"/>
  <c r="D2357" i="1"/>
  <c r="C2357" i="1"/>
  <c r="E2356" i="1"/>
  <c r="D2356" i="1"/>
  <c r="C2356" i="1"/>
  <c r="E2355" i="1"/>
  <c r="D2355" i="1"/>
  <c r="C2355" i="1"/>
  <c r="E2354" i="1"/>
  <c r="D2354" i="1"/>
  <c r="C2354" i="1"/>
  <c r="E2353" i="1"/>
  <c r="D2353" i="1"/>
  <c r="C2353" i="1"/>
  <c r="E2352" i="1"/>
  <c r="D2352" i="1"/>
  <c r="C2352" i="1"/>
  <c r="E2351" i="1"/>
  <c r="D2351" i="1"/>
  <c r="C2351" i="1"/>
  <c r="E2350" i="1"/>
  <c r="D2350" i="1"/>
  <c r="C2350" i="1"/>
  <c r="E2349" i="1"/>
  <c r="D2349" i="1"/>
  <c r="C2349" i="1"/>
  <c r="E2348" i="1"/>
  <c r="D2348" i="1"/>
  <c r="C2348" i="1"/>
  <c r="E2347" i="1"/>
  <c r="D2347" i="1"/>
  <c r="C2347" i="1"/>
  <c r="E2346" i="1"/>
  <c r="D2346" i="1"/>
  <c r="C2346" i="1"/>
  <c r="E2345" i="1"/>
  <c r="D2345" i="1"/>
  <c r="C2345" i="1"/>
  <c r="E2344" i="1"/>
  <c r="D2344" i="1"/>
  <c r="C2344" i="1"/>
  <c r="E2343" i="1"/>
  <c r="D2343" i="1"/>
  <c r="C2343" i="1"/>
  <c r="E2342" i="1"/>
  <c r="D2342" i="1"/>
  <c r="C2342" i="1"/>
  <c r="E2341" i="1"/>
  <c r="D2341" i="1"/>
  <c r="C2341" i="1"/>
  <c r="E2340" i="1"/>
  <c r="D2340" i="1"/>
  <c r="C2340" i="1"/>
  <c r="E2339" i="1"/>
  <c r="D2339" i="1"/>
  <c r="C2339" i="1"/>
  <c r="E2338" i="1"/>
  <c r="D2338" i="1"/>
  <c r="C2338" i="1"/>
  <c r="E2337" i="1"/>
  <c r="D2337" i="1"/>
  <c r="C2337" i="1"/>
  <c r="E2336" i="1"/>
  <c r="D2336" i="1"/>
  <c r="C2336" i="1"/>
  <c r="E2335" i="1"/>
  <c r="D2335" i="1"/>
  <c r="C2335" i="1"/>
  <c r="E2334" i="1"/>
  <c r="D2334" i="1"/>
  <c r="C2334" i="1"/>
  <c r="E2333" i="1"/>
  <c r="D2333" i="1"/>
  <c r="C2333" i="1"/>
  <c r="E2332" i="1"/>
  <c r="D2332" i="1"/>
  <c r="C2332" i="1"/>
  <c r="E2331" i="1"/>
  <c r="D2331" i="1"/>
  <c r="C2331" i="1"/>
  <c r="E2330" i="1"/>
  <c r="D2330" i="1"/>
  <c r="C2330" i="1"/>
  <c r="E2329" i="1"/>
  <c r="D2329" i="1"/>
  <c r="C2329" i="1"/>
  <c r="E2328" i="1"/>
  <c r="D2328" i="1"/>
  <c r="C2328" i="1"/>
  <c r="E2327" i="1"/>
  <c r="D2327" i="1"/>
  <c r="C2327" i="1"/>
  <c r="E2326" i="1"/>
  <c r="D2326" i="1"/>
  <c r="C2326" i="1"/>
  <c r="E2325" i="1"/>
  <c r="D2325" i="1"/>
  <c r="C2325" i="1"/>
  <c r="E2324" i="1"/>
  <c r="D2324" i="1"/>
  <c r="C2324" i="1"/>
  <c r="E2323" i="1"/>
  <c r="D2323" i="1"/>
  <c r="C2323" i="1"/>
  <c r="E2322" i="1"/>
  <c r="D2322" i="1"/>
  <c r="C2322" i="1"/>
  <c r="E2321" i="1"/>
  <c r="D2321" i="1"/>
  <c r="C2321" i="1"/>
  <c r="E2320" i="1"/>
  <c r="D2320" i="1"/>
  <c r="C2320" i="1"/>
  <c r="E2319" i="1"/>
  <c r="D2319" i="1"/>
  <c r="C2319" i="1"/>
  <c r="E2318" i="1"/>
  <c r="D2318" i="1"/>
  <c r="C2318" i="1"/>
  <c r="E2317" i="1"/>
  <c r="D2317" i="1"/>
  <c r="C2317" i="1"/>
  <c r="E2316" i="1"/>
  <c r="D2316" i="1"/>
  <c r="C2316" i="1"/>
  <c r="E2315" i="1"/>
  <c r="D2315" i="1"/>
  <c r="C2315" i="1"/>
  <c r="E2314" i="1"/>
  <c r="D2314" i="1"/>
  <c r="C2314" i="1"/>
  <c r="E2313" i="1"/>
  <c r="D2313" i="1"/>
  <c r="C2313" i="1"/>
  <c r="E2312" i="1"/>
  <c r="D2312" i="1"/>
  <c r="C2312" i="1"/>
  <c r="E2311" i="1"/>
  <c r="D2311" i="1"/>
  <c r="C2311" i="1"/>
  <c r="E2310" i="1"/>
  <c r="D2310" i="1"/>
  <c r="C2310" i="1"/>
  <c r="E2309" i="1"/>
  <c r="D2309" i="1"/>
  <c r="C2309" i="1"/>
  <c r="E2308" i="1"/>
  <c r="D2308" i="1"/>
  <c r="C2308" i="1"/>
  <c r="E2307" i="1"/>
  <c r="D2307" i="1"/>
  <c r="C2307" i="1"/>
  <c r="E2306" i="1"/>
  <c r="D2306" i="1"/>
  <c r="C2306" i="1"/>
  <c r="E2305" i="1"/>
  <c r="D2305" i="1"/>
  <c r="C2305" i="1"/>
  <c r="E2304" i="1"/>
  <c r="D2304" i="1"/>
  <c r="C2304" i="1"/>
  <c r="E2303" i="1"/>
  <c r="D2303" i="1"/>
  <c r="C2303" i="1"/>
  <c r="E2302" i="1"/>
  <c r="D2302" i="1"/>
  <c r="C2302" i="1"/>
  <c r="E2301" i="1"/>
  <c r="D2301" i="1"/>
  <c r="C2301" i="1"/>
  <c r="E2300" i="1"/>
  <c r="D2300" i="1"/>
  <c r="C2300" i="1"/>
  <c r="E2299" i="1"/>
  <c r="D2299" i="1"/>
  <c r="C2299" i="1"/>
  <c r="E2298" i="1"/>
  <c r="D2298" i="1"/>
  <c r="C2298" i="1"/>
  <c r="E2297" i="1"/>
  <c r="D2297" i="1"/>
  <c r="C2297" i="1"/>
  <c r="E2296" i="1"/>
  <c r="D2296" i="1"/>
  <c r="C2296" i="1"/>
  <c r="E2295" i="1"/>
  <c r="D2295" i="1"/>
  <c r="C2295" i="1"/>
  <c r="E2294" i="1"/>
  <c r="D2294" i="1"/>
  <c r="C2294" i="1"/>
  <c r="E2293" i="1"/>
  <c r="D2293" i="1"/>
  <c r="C2293" i="1"/>
  <c r="E2292" i="1"/>
  <c r="D2292" i="1"/>
  <c r="C2292" i="1"/>
  <c r="E2291" i="1"/>
  <c r="D2291" i="1"/>
  <c r="C2291" i="1"/>
  <c r="E2290" i="1"/>
  <c r="D2290" i="1"/>
  <c r="C2290" i="1"/>
  <c r="E2289" i="1"/>
  <c r="D2289" i="1"/>
  <c r="C2289" i="1"/>
  <c r="E2288" i="1"/>
  <c r="D2288" i="1"/>
  <c r="C2288" i="1"/>
  <c r="E2287" i="1"/>
  <c r="D2287" i="1"/>
  <c r="C2287" i="1"/>
  <c r="E2286" i="1"/>
  <c r="D2286" i="1"/>
  <c r="C2286" i="1"/>
  <c r="E2285" i="1"/>
  <c r="D2285" i="1"/>
  <c r="C2285" i="1"/>
  <c r="E2284" i="1"/>
  <c r="D2284" i="1"/>
  <c r="C2284" i="1"/>
  <c r="E2283" i="1"/>
  <c r="D2283" i="1"/>
  <c r="C2283" i="1"/>
  <c r="E2282" i="1"/>
  <c r="D2282" i="1"/>
  <c r="C2282" i="1"/>
  <c r="E2281" i="1"/>
  <c r="D2281" i="1"/>
  <c r="C2281" i="1"/>
  <c r="E2280" i="1"/>
  <c r="D2280" i="1"/>
  <c r="C2280" i="1"/>
  <c r="E2279" i="1"/>
  <c r="D2279" i="1"/>
  <c r="C2279" i="1"/>
  <c r="E2278" i="1"/>
  <c r="D2278" i="1"/>
  <c r="C2278" i="1"/>
  <c r="E2277" i="1"/>
  <c r="D2277" i="1"/>
  <c r="C2277" i="1"/>
  <c r="E2276" i="1"/>
  <c r="D2276" i="1"/>
  <c r="C2276" i="1"/>
  <c r="E2275" i="1"/>
  <c r="D2275" i="1"/>
  <c r="C2275" i="1"/>
  <c r="E2274" i="1"/>
  <c r="D2274" i="1"/>
  <c r="C2274" i="1"/>
  <c r="E2273" i="1"/>
  <c r="D2273" i="1"/>
  <c r="C2273" i="1"/>
  <c r="E2272" i="1"/>
  <c r="D2272" i="1"/>
  <c r="C2272" i="1"/>
  <c r="E2271" i="1"/>
  <c r="D2271" i="1"/>
  <c r="C2271" i="1"/>
  <c r="E2270" i="1"/>
  <c r="D2270" i="1"/>
  <c r="C2270" i="1"/>
  <c r="E2269" i="1"/>
  <c r="D2269" i="1"/>
  <c r="C2269" i="1"/>
  <c r="E2268" i="1"/>
  <c r="D2268" i="1"/>
  <c r="C2268" i="1"/>
  <c r="E2267" i="1"/>
  <c r="D2267" i="1"/>
  <c r="C2267" i="1"/>
  <c r="E2266" i="1"/>
  <c r="D2266" i="1"/>
  <c r="C2266" i="1"/>
  <c r="E2265" i="1"/>
  <c r="D2265" i="1"/>
  <c r="C2265" i="1"/>
  <c r="E2264" i="1"/>
  <c r="D2264" i="1"/>
  <c r="C2264" i="1"/>
  <c r="E2263" i="1"/>
  <c r="D2263" i="1"/>
  <c r="C2263" i="1"/>
  <c r="E2262" i="1"/>
  <c r="D2262" i="1"/>
  <c r="C2262" i="1"/>
  <c r="E2261" i="1"/>
  <c r="D2261" i="1"/>
  <c r="C2261" i="1"/>
  <c r="E2260" i="1"/>
  <c r="D2260" i="1"/>
  <c r="C2260" i="1"/>
  <c r="E2259" i="1"/>
  <c r="D2259" i="1"/>
  <c r="C2259" i="1"/>
  <c r="E2258" i="1"/>
  <c r="D2258" i="1"/>
  <c r="C2258" i="1"/>
  <c r="E2257" i="1"/>
  <c r="D2257" i="1"/>
  <c r="C2257" i="1"/>
  <c r="E2256" i="1"/>
  <c r="D2256" i="1"/>
  <c r="C2256" i="1"/>
  <c r="E2255" i="1"/>
  <c r="D2255" i="1"/>
  <c r="C2255" i="1"/>
  <c r="E2254" i="1"/>
  <c r="D2254" i="1"/>
  <c r="C2254" i="1"/>
  <c r="E2253" i="1"/>
  <c r="D2253" i="1"/>
  <c r="C2253" i="1"/>
  <c r="E2252" i="1"/>
  <c r="D2252" i="1"/>
  <c r="C2252" i="1"/>
  <c r="E2251" i="1"/>
  <c r="D2251" i="1"/>
  <c r="C2251" i="1"/>
  <c r="E2250" i="1"/>
  <c r="D2250" i="1"/>
  <c r="C2250" i="1"/>
  <c r="E2249" i="1"/>
  <c r="D2249" i="1"/>
  <c r="C2249" i="1"/>
  <c r="E2248" i="1"/>
  <c r="D2248" i="1"/>
  <c r="C2248" i="1"/>
  <c r="E2247" i="1"/>
  <c r="D2247" i="1"/>
  <c r="C2247" i="1"/>
  <c r="E2246" i="1"/>
  <c r="D2246" i="1"/>
  <c r="C2246" i="1"/>
  <c r="E2245" i="1"/>
  <c r="D2245" i="1"/>
  <c r="C2245" i="1"/>
  <c r="E2244" i="1"/>
  <c r="D2244" i="1"/>
  <c r="C2244" i="1"/>
  <c r="E2243" i="1"/>
  <c r="D2243" i="1"/>
  <c r="C2243" i="1"/>
  <c r="E2242" i="1"/>
  <c r="D2242" i="1"/>
  <c r="C2242" i="1"/>
  <c r="E2241" i="1"/>
  <c r="D2241" i="1"/>
  <c r="C2241" i="1"/>
  <c r="E2240" i="1"/>
  <c r="D2240" i="1"/>
  <c r="C2240" i="1"/>
  <c r="E2239" i="1"/>
  <c r="D2239" i="1"/>
  <c r="C2239" i="1"/>
  <c r="E2238" i="1"/>
  <c r="D2238" i="1"/>
  <c r="C2238" i="1"/>
  <c r="E2237" i="1"/>
  <c r="D2237" i="1"/>
  <c r="C2237" i="1"/>
  <c r="E2236" i="1"/>
  <c r="D2236" i="1"/>
  <c r="C2236" i="1"/>
  <c r="E2235" i="1"/>
  <c r="D2235" i="1"/>
  <c r="C2235" i="1"/>
  <c r="E2234" i="1"/>
  <c r="D2234" i="1"/>
  <c r="C2234" i="1"/>
  <c r="E2233" i="1"/>
  <c r="D2233" i="1"/>
  <c r="C2233" i="1"/>
  <c r="E2232" i="1"/>
  <c r="D2232" i="1"/>
  <c r="C2232" i="1"/>
  <c r="E2231" i="1"/>
  <c r="D2231" i="1"/>
  <c r="C2231" i="1"/>
  <c r="E2230" i="1"/>
  <c r="D2230" i="1"/>
  <c r="C2230" i="1"/>
  <c r="E2229" i="1"/>
  <c r="D2229" i="1"/>
  <c r="C2229" i="1"/>
  <c r="E2228" i="1"/>
  <c r="D2228" i="1"/>
  <c r="C2228" i="1"/>
  <c r="E2227" i="1"/>
  <c r="D2227" i="1"/>
  <c r="C2227" i="1"/>
  <c r="E2226" i="1"/>
  <c r="D2226" i="1"/>
  <c r="C2226" i="1"/>
  <c r="E2225" i="1"/>
  <c r="D2225" i="1"/>
  <c r="C2225" i="1"/>
  <c r="E2224" i="1"/>
  <c r="D2224" i="1"/>
  <c r="C2224" i="1"/>
  <c r="E2223" i="1"/>
  <c r="D2223" i="1"/>
  <c r="C2223" i="1"/>
  <c r="E2222" i="1"/>
  <c r="D2222" i="1"/>
  <c r="C2222" i="1"/>
  <c r="E2221" i="1"/>
  <c r="D2221" i="1"/>
  <c r="C2221" i="1"/>
  <c r="E2220" i="1"/>
  <c r="D2220" i="1"/>
  <c r="C2220" i="1"/>
  <c r="E2219" i="1"/>
  <c r="D2219" i="1"/>
  <c r="C2219" i="1"/>
  <c r="E2218" i="1"/>
  <c r="D2218" i="1"/>
  <c r="C2218" i="1"/>
  <c r="E2217" i="1"/>
  <c r="D2217" i="1"/>
  <c r="C2217" i="1"/>
  <c r="E2216" i="1"/>
  <c r="D2216" i="1"/>
  <c r="C2216" i="1"/>
  <c r="E2215" i="1"/>
  <c r="D2215" i="1"/>
  <c r="C2215" i="1"/>
  <c r="E2214" i="1"/>
  <c r="D2214" i="1"/>
  <c r="C2214" i="1"/>
  <c r="E2213" i="1"/>
  <c r="D2213" i="1"/>
  <c r="C2213" i="1"/>
  <c r="E2212" i="1"/>
  <c r="D2212" i="1"/>
  <c r="C2212" i="1"/>
  <c r="E2211" i="1"/>
  <c r="D2211" i="1"/>
  <c r="C2211" i="1"/>
  <c r="E2210" i="1"/>
  <c r="D2210" i="1"/>
  <c r="C2210" i="1"/>
  <c r="E2209" i="1"/>
  <c r="D2209" i="1"/>
  <c r="C2209" i="1"/>
  <c r="E2208" i="1"/>
  <c r="D2208" i="1"/>
  <c r="C2208" i="1"/>
  <c r="E2207" i="1"/>
  <c r="D2207" i="1"/>
  <c r="C2207" i="1"/>
  <c r="E2206" i="1"/>
  <c r="D2206" i="1"/>
  <c r="C2206" i="1"/>
  <c r="E2205" i="1"/>
  <c r="D2205" i="1"/>
  <c r="C2205" i="1"/>
  <c r="E2204" i="1"/>
  <c r="D2204" i="1"/>
  <c r="C2204" i="1"/>
  <c r="E2203" i="1"/>
  <c r="D2203" i="1"/>
  <c r="C2203" i="1"/>
  <c r="E2202" i="1"/>
  <c r="D2202" i="1"/>
  <c r="C2202" i="1"/>
  <c r="E2201" i="1"/>
  <c r="D2201" i="1"/>
  <c r="C2201" i="1"/>
  <c r="E2200" i="1"/>
  <c r="D2200" i="1"/>
  <c r="C2200" i="1"/>
  <c r="E2199" i="1"/>
  <c r="D2199" i="1"/>
  <c r="C2199" i="1"/>
  <c r="E2198" i="1"/>
  <c r="D2198" i="1"/>
  <c r="C2198" i="1"/>
  <c r="E2197" i="1"/>
  <c r="D2197" i="1"/>
  <c r="C2197" i="1"/>
  <c r="E2196" i="1"/>
  <c r="D2196" i="1"/>
  <c r="C2196" i="1"/>
  <c r="E2195" i="1"/>
  <c r="D2195" i="1"/>
  <c r="C2195" i="1"/>
  <c r="E2194" i="1"/>
  <c r="D2194" i="1"/>
  <c r="C2194" i="1"/>
  <c r="E2193" i="1"/>
  <c r="D2193" i="1"/>
  <c r="C2193" i="1"/>
  <c r="E2192" i="1"/>
  <c r="D2192" i="1"/>
  <c r="C2192" i="1"/>
  <c r="E2191" i="1"/>
  <c r="D2191" i="1"/>
  <c r="C2191" i="1"/>
  <c r="E2190" i="1"/>
  <c r="D2190" i="1"/>
  <c r="C2190" i="1"/>
  <c r="E2189" i="1"/>
  <c r="D2189" i="1"/>
  <c r="C2189" i="1"/>
  <c r="E2188" i="1"/>
  <c r="D2188" i="1"/>
  <c r="C2188" i="1"/>
  <c r="E2187" i="1"/>
  <c r="D2187" i="1"/>
  <c r="C2187" i="1"/>
  <c r="E2186" i="1"/>
  <c r="D2186" i="1"/>
  <c r="C2186" i="1"/>
  <c r="E2185" i="1"/>
  <c r="D2185" i="1"/>
  <c r="C2185" i="1"/>
  <c r="E2184" i="1"/>
  <c r="D2184" i="1"/>
  <c r="C2184" i="1"/>
  <c r="E2183" i="1"/>
  <c r="D2183" i="1"/>
  <c r="C2183" i="1"/>
  <c r="E2182" i="1"/>
  <c r="D2182" i="1"/>
  <c r="C2182" i="1"/>
  <c r="E2181" i="1"/>
  <c r="D2181" i="1"/>
  <c r="C2181" i="1"/>
  <c r="E2180" i="1"/>
  <c r="D2180" i="1"/>
  <c r="C2180" i="1"/>
  <c r="E2179" i="1"/>
  <c r="D2179" i="1"/>
  <c r="C2179" i="1"/>
  <c r="E2178" i="1"/>
  <c r="D2178" i="1"/>
  <c r="C2178" i="1"/>
  <c r="E2177" i="1"/>
  <c r="D2177" i="1"/>
  <c r="C2177" i="1"/>
  <c r="E2176" i="1"/>
  <c r="D2176" i="1"/>
  <c r="C2176" i="1"/>
  <c r="E2175" i="1"/>
  <c r="D2175" i="1"/>
  <c r="C2175" i="1"/>
  <c r="E2174" i="1"/>
  <c r="D2174" i="1"/>
  <c r="C2174" i="1"/>
  <c r="E2173" i="1"/>
  <c r="D2173" i="1"/>
  <c r="C2173" i="1"/>
  <c r="E2172" i="1"/>
  <c r="D2172" i="1"/>
  <c r="C2172" i="1"/>
  <c r="E2171" i="1"/>
  <c r="D2171" i="1"/>
  <c r="C2171" i="1"/>
  <c r="E2170" i="1"/>
  <c r="D2170" i="1"/>
  <c r="C2170" i="1"/>
  <c r="E2169" i="1"/>
  <c r="D2169" i="1"/>
  <c r="C2169" i="1"/>
  <c r="E2168" i="1"/>
  <c r="D2168" i="1"/>
  <c r="C2168" i="1"/>
  <c r="E2167" i="1"/>
  <c r="D2167" i="1"/>
  <c r="C2167" i="1"/>
  <c r="E2166" i="1"/>
  <c r="D2166" i="1"/>
  <c r="C2166" i="1"/>
  <c r="E2165" i="1"/>
  <c r="D2165" i="1"/>
  <c r="C2165" i="1"/>
  <c r="E2164" i="1"/>
  <c r="D2164" i="1"/>
  <c r="C2164" i="1"/>
  <c r="E2163" i="1"/>
  <c r="D2163" i="1"/>
  <c r="C2163" i="1"/>
  <c r="E2162" i="1"/>
  <c r="D2162" i="1"/>
  <c r="C2162" i="1"/>
  <c r="E2161" i="1"/>
  <c r="D2161" i="1"/>
  <c r="C2161" i="1"/>
  <c r="E2160" i="1"/>
  <c r="D2160" i="1"/>
  <c r="C2160" i="1"/>
  <c r="E2159" i="1"/>
  <c r="D2159" i="1"/>
  <c r="C2159" i="1"/>
  <c r="E2158" i="1"/>
  <c r="D2158" i="1"/>
  <c r="C2158" i="1"/>
  <c r="E2157" i="1"/>
  <c r="D2157" i="1"/>
  <c r="C2157" i="1"/>
  <c r="E2156" i="1"/>
  <c r="D2156" i="1"/>
  <c r="C2156" i="1"/>
  <c r="E2155" i="1"/>
  <c r="D2155" i="1"/>
  <c r="C2155" i="1"/>
  <c r="E2154" i="1"/>
  <c r="D2154" i="1"/>
  <c r="C2154" i="1"/>
  <c r="E2153" i="1"/>
  <c r="D2153" i="1"/>
  <c r="C2153" i="1"/>
  <c r="E2152" i="1"/>
  <c r="D2152" i="1"/>
  <c r="C2152" i="1"/>
  <c r="E2151" i="1"/>
  <c r="D2151" i="1"/>
  <c r="C2151" i="1"/>
  <c r="E2150" i="1"/>
  <c r="D2150" i="1"/>
  <c r="C2150" i="1"/>
  <c r="E2149" i="1"/>
  <c r="D2149" i="1"/>
  <c r="C2149" i="1"/>
  <c r="E2148" i="1"/>
  <c r="D2148" i="1"/>
  <c r="C2148" i="1"/>
  <c r="E2147" i="1"/>
  <c r="D2147" i="1"/>
  <c r="C2147" i="1"/>
  <c r="E2146" i="1"/>
  <c r="D2146" i="1"/>
  <c r="C2146" i="1"/>
  <c r="E2145" i="1"/>
  <c r="D2145" i="1"/>
  <c r="C2145" i="1"/>
  <c r="E2144" i="1"/>
  <c r="D2144" i="1"/>
  <c r="C2144" i="1"/>
  <c r="E2143" i="1"/>
  <c r="D2143" i="1"/>
  <c r="C2143" i="1"/>
  <c r="E2142" i="1"/>
  <c r="D2142" i="1"/>
  <c r="C2142" i="1"/>
  <c r="E2141" i="1"/>
  <c r="D2141" i="1"/>
  <c r="C2141" i="1"/>
  <c r="E2140" i="1"/>
  <c r="D2140" i="1"/>
  <c r="C2140" i="1"/>
  <c r="E2139" i="1"/>
  <c r="D2139" i="1"/>
  <c r="C2139" i="1"/>
  <c r="E2138" i="1"/>
  <c r="D2138" i="1"/>
  <c r="C2138" i="1"/>
  <c r="E2137" i="1"/>
  <c r="D2137" i="1"/>
  <c r="C2137" i="1"/>
  <c r="E2136" i="1"/>
  <c r="D2136" i="1"/>
  <c r="C2136" i="1"/>
  <c r="E2135" i="1"/>
  <c r="D2135" i="1"/>
  <c r="C2135" i="1"/>
  <c r="E2134" i="1"/>
  <c r="D2134" i="1"/>
  <c r="C2134" i="1"/>
  <c r="E2133" i="1"/>
  <c r="D2133" i="1"/>
  <c r="C2133" i="1"/>
  <c r="E2132" i="1"/>
  <c r="D2132" i="1"/>
  <c r="C2132" i="1"/>
  <c r="E2131" i="1"/>
  <c r="D2131" i="1"/>
  <c r="C2131" i="1"/>
  <c r="E2130" i="1"/>
  <c r="D2130" i="1"/>
  <c r="C2130" i="1"/>
  <c r="E2129" i="1"/>
  <c r="D2129" i="1"/>
  <c r="C2129" i="1"/>
  <c r="E2128" i="1"/>
  <c r="D2128" i="1"/>
  <c r="C2128" i="1"/>
  <c r="E2127" i="1"/>
  <c r="D2127" i="1"/>
  <c r="C2127" i="1"/>
  <c r="E2126" i="1"/>
  <c r="D2126" i="1"/>
  <c r="C2126" i="1"/>
  <c r="E2125" i="1"/>
  <c r="D2125" i="1"/>
  <c r="C2125" i="1"/>
  <c r="E2124" i="1"/>
  <c r="D2124" i="1"/>
  <c r="C2124" i="1"/>
  <c r="E2123" i="1"/>
  <c r="D2123" i="1"/>
  <c r="C2123" i="1"/>
  <c r="E2122" i="1"/>
  <c r="D2122" i="1"/>
  <c r="C2122" i="1"/>
  <c r="E2121" i="1"/>
  <c r="D2121" i="1"/>
  <c r="C2121" i="1"/>
  <c r="E2120" i="1"/>
  <c r="D2120" i="1"/>
  <c r="C2120" i="1"/>
  <c r="E2119" i="1"/>
  <c r="D2119" i="1"/>
  <c r="C2119" i="1"/>
  <c r="E2118" i="1"/>
  <c r="D2118" i="1"/>
  <c r="C2118" i="1"/>
  <c r="E2117" i="1"/>
  <c r="D2117" i="1"/>
  <c r="C2117" i="1"/>
  <c r="E2116" i="1"/>
  <c r="D2116" i="1"/>
  <c r="C2116" i="1"/>
  <c r="E2115" i="1"/>
  <c r="D2115" i="1"/>
  <c r="C2115" i="1"/>
  <c r="E2114" i="1"/>
  <c r="D2114" i="1"/>
  <c r="C2114" i="1"/>
  <c r="E2113" i="1"/>
  <c r="D2113" i="1"/>
  <c r="C2113" i="1"/>
  <c r="E2112" i="1"/>
  <c r="D2112" i="1"/>
  <c r="C2112" i="1"/>
  <c r="E2111" i="1"/>
  <c r="D2111" i="1"/>
  <c r="C2111" i="1"/>
  <c r="E2110" i="1"/>
  <c r="D2110" i="1"/>
  <c r="C2110" i="1"/>
  <c r="E2109" i="1"/>
  <c r="D2109" i="1"/>
  <c r="C2109" i="1"/>
  <c r="E2108" i="1"/>
  <c r="D2108" i="1"/>
  <c r="C2108" i="1"/>
  <c r="E2107" i="1"/>
  <c r="D2107" i="1"/>
  <c r="C2107" i="1"/>
  <c r="E2106" i="1"/>
  <c r="D2106" i="1"/>
  <c r="C2106" i="1"/>
  <c r="E2105" i="1"/>
  <c r="D2105" i="1"/>
  <c r="C2105" i="1"/>
  <c r="E2104" i="1"/>
  <c r="D2104" i="1"/>
  <c r="C2104" i="1"/>
  <c r="E2103" i="1"/>
  <c r="D2103" i="1"/>
  <c r="C2103" i="1"/>
  <c r="E2102" i="1"/>
  <c r="D2102" i="1"/>
  <c r="C2102" i="1"/>
  <c r="E2101" i="1"/>
  <c r="D2101" i="1"/>
  <c r="C2101" i="1"/>
  <c r="E2100" i="1"/>
  <c r="D2100" i="1"/>
  <c r="C2100" i="1"/>
  <c r="E2099" i="1"/>
  <c r="D2099" i="1"/>
  <c r="C2099" i="1"/>
  <c r="E2098" i="1"/>
  <c r="D2098" i="1"/>
  <c r="C2098" i="1"/>
  <c r="E2097" i="1"/>
  <c r="D2097" i="1"/>
  <c r="C2097" i="1"/>
  <c r="E2096" i="1"/>
  <c r="D2096" i="1"/>
  <c r="C2096" i="1"/>
  <c r="E2095" i="1"/>
  <c r="D2095" i="1"/>
  <c r="C2095" i="1"/>
  <c r="E2094" i="1"/>
  <c r="D2094" i="1"/>
  <c r="C2094" i="1"/>
  <c r="E2093" i="1"/>
  <c r="D2093" i="1"/>
  <c r="C2093" i="1"/>
  <c r="E2092" i="1"/>
  <c r="D2092" i="1"/>
  <c r="C2092" i="1"/>
  <c r="E2091" i="1"/>
  <c r="D2091" i="1"/>
  <c r="C2091" i="1"/>
  <c r="E2090" i="1"/>
  <c r="D2090" i="1"/>
  <c r="C2090" i="1"/>
  <c r="E2089" i="1"/>
  <c r="D2089" i="1"/>
  <c r="C2089" i="1"/>
  <c r="E2088" i="1"/>
  <c r="D2088" i="1"/>
  <c r="C2088" i="1"/>
  <c r="E2087" i="1"/>
  <c r="D2087" i="1"/>
  <c r="C2087" i="1"/>
  <c r="E2086" i="1"/>
  <c r="D2086" i="1"/>
  <c r="C2086" i="1"/>
  <c r="E2085" i="1"/>
  <c r="D2085" i="1"/>
  <c r="C2085" i="1"/>
  <c r="E2084" i="1"/>
  <c r="D2084" i="1"/>
  <c r="C2084" i="1"/>
  <c r="E2083" i="1"/>
  <c r="D2083" i="1"/>
  <c r="C2083" i="1"/>
  <c r="E2082" i="1"/>
  <c r="D2082" i="1"/>
  <c r="C2082" i="1"/>
  <c r="E2081" i="1"/>
  <c r="D2081" i="1"/>
  <c r="C2081" i="1"/>
  <c r="E2080" i="1"/>
  <c r="D2080" i="1"/>
  <c r="C2080" i="1"/>
  <c r="E2079" i="1"/>
  <c r="D2079" i="1"/>
  <c r="C2079" i="1"/>
  <c r="E2078" i="1"/>
  <c r="D2078" i="1"/>
  <c r="C2078" i="1"/>
  <c r="E2077" i="1"/>
  <c r="D2077" i="1"/>
  <c r="C2077" i="1"/>
  <c r="E2076" i="1"/>
  <c r="D2076" i="1"/>
  <c r="C2076" i="1"/>
  <c r="E2075" i="1"/>
  <c r="D2075" i="1"/>
  <c r="C2075" i="1"/>
  <c r="E2074" i="1"/>
  <c r="D2074" i="1"/>
  <c r="C2074" i="1"/>
  <c r="E2073" i="1"/>
  <c r="D2073" i="1"/>
  <c r="C2073" i="1"/>
  <c r="E2072" i="1"/>
  <c r="D2072" i="1"/>
  <c r="C2072" i="1"/>
  <c r="E2071" i="1"/>
  <c r="D2071" i="1"/>
  <c r="C2071" i="1"/>
  <c r="E2070" i="1"/>
  <c r="D2070" i="1"/>
  <c r="C2070" i="1"/>
  <c r="E2069" i="1"/>
  <c r="D2069" i="1"/>
  <c r="C2069" i="1"/>
  <c r="E2068" i="1"/>
  <c r="D2068" i="1"/>
  <c r="C2068" i="1"/>
  <c r="E2067" i="1"/>
  <c r="D2067" i="1"/>
  <c r="C2067" i="1"/>
  <c r="E2066" i="1"/>
  <c r="D2066" i="1"/>
  <c r="C2066" i="1"/>
  <c r="E2065" i="1"/>
  <c r="D2065" i="1"/>
  <c r="C2065" i="1"/>
  <c r="E2064" i="1"/>
  <c r="D2064" i="1"/>
  <c r="C2064" i="1"/>
  <c r="E2063" i="1"/>
  <c r="D2063" i="1"/>
  <c r="C2063" i="1"/>
  <c r="E2062" i="1"/>
  <c r="D2062" i="1"/>
  <c r="C2062" i="1"/>
  <c r="E2061" i="1"/>
  <c r="D2061" i="1"/>
  <c r="C2061" i="1"/>
  <c r="E2060" i="1"/>
  <c r="D2060" i="1"/>
  <c r="C2060" i="1"/>
  <c r="E2059" i="1"/>
  <c r="D2059" i="1"/>
  <c r="C2059" i="1"/>
  <c r="E2058" i="1"/>
  <c r="D2058" i="1"/>
  <c r="C2058" i="1"/>
  <c r="E2057" i="1"/>
  <c r="D2057" i="1"/>
  <c r="C2057" i="1"/>
  <c r="E2056" i="1"/>
  <c r="D2056" i="1"/>
  <c r="C2056" i="1"/>
  <c r="E2055" i="1"/>
  <c r="D2055" i="1"/>
  <c r="C2055" i="1"/>
  <c r="E2054" i="1"/>
  <c r="D2054" i="1"/>
  <c r="C2054" i="1"/>
  <c r="E2053" i="1"/>
  <c r="D2053" i="1"/>
  <c r="C2053" i="1"/>
  <c r="E2052" i="1"/>
  <c r="D2052" i="1"/>
  <c r="C2052" i="1"/>
  <c r="E2051" i="1"/>
  <c r="D2051" i="1"/>
  <c r="C2051" i="1"/>
  <c r="E2050" i="1"/>
  <c r="D2050" i="1"/>
  <c r="C2050" i="1"/>
  <c r="E2049" i="1"/>
  <c r="D2049" i="1"/>
  <c r="C2049" i="1"/>
  <c r="E2048" i="1"/>
  <c r="D2048" i="1"/>
  <c r="C2048" i="1"/>
  <c r="E2047" i="1"/>
  <c r="D2047" i="1"/>
  <c r="C2047" i="1"/>
  <c r="E2046" i="1"/>
  <c r="D2046" i="1"/>
  <c r="C2046" i="1"/>
  <c r="E2045" i="1"/>
  <c r="D2045" i="1"/>
  <c r="C2045" i="1"/>
  <c r="E2044" i="1"/>
  <c r="D2044" i="1"/>
  <c r="C2044" i="1"/>
  <c r="E2043" i="1"/>
  <c r="D2043" i="1"/>
  <c r="C2043" i="1"/>
  <c r="E2042" i="1"/>
  <c r="D2042" i="1"/>
  <c r="C2042" i="1"/>
  <c r="E2041" i="1"/>
  <c r="D2041" i="1"/>
  <c r="C2041" i="1"/>
  <c r="E2040" i="1"/>
  <c r="D2040" i="1"/>
  <c r="C2040" i="1"/>
  <c r="E2039" i="1"/>
  <c r="D2039" i="1"/>
  <c r="C2039" i="1"/>
  <c r="E2038" i="1"/>
  <c r="D2038" i="1"/>
  <c r="C2038" i="1"/>
  <c r="E2037" i="1"/>
  <c r="D2037" i="1"/>
  <c r="C2037" i="1"/>
  <c r="E2036" i="1"/>
  <c r="D2036" i="1"/>
  <c r="C2036" i="1"/>
  <c r="E2035" i="1"/>
  <c r="D2035" i="1"/>
  <c r="C2035" i="1"/>
  <c r="E2034" i="1"/>
  <c r="D2034" i="1"/>
  <c r="C2034" i="1"/>
  <c r="E2033" i="1"/>
  <c r="D2033" i="1"/>
  <c r="C2033" i="1"/>
  <c r="E2032" i="1"/>
  <c r="D2032" i="1"/>
  <c r="C2032" i="1"/>
  <c r="E2031" i="1"/>
  <c r="D2031" i="1"/>
  <c r="C2031" i="1"/>
  <c r="E2030" i="1"/>
  <c r="D2030" i="1"/>
  <c r="C2030" i="1"/>
  <c r="E2029" i="1"/>
  <c r="D2029" i="1"/>
  <c r="C2029" i="1"/>
  <c r="E2028" i="1"/>
  <c r="D2028" i="1"/>
  <c r="C2028" i="1"/>
  <c r="E2027" i="1"/>
  <c r="D2027" i="1"/>
  <c r="C2027" i="1"/>
  <c r="E2026" i="1"/>
  <c r="D2026" i="1"/>
  <c r="C2026" i="1"/>
  <c r="E2025" i="1"/>
  <c r="D2025" i="1"/>
  <c r="C2025" i="1"/>
  <c r="E2024" i="1"/>
  <c r="D2024" i="1"/>
  <c r="C2024" i="1"/>
  <c r="E2023" i="1"/>
  <c r="D2023" i="1"/>
  <c r="C2023" i="1"/>
  <c r="E2022" i="1"/>
  <c r="D2022" i="1"/>
  <c r="C2022" i="1"/>
  <c r="E2021" i="1"/>
  <c r="D2021" i="1"/>
  <c r="C2021" i="1"/>
  <c r="E2020" i="1"/>
  <c r="D2020" i="1"/>
  <c r="C2020" i="1"/>
  <c r="E2019" i="1"/>
  <c r="D2019" i="1"/>
  <c r="C2019" i="1"/>
  <c r="E2018" i="1"/>
  <c r="D2018" i="1"/>
  <c r="C2018" i="1"/>
  <c r="E2017" i="1"/>
  <c r="D2017" i="1"/>
  <c r="C2017" i="1"/>
  <c r="E2016" i="1"/>
  <c r="D2016" i="1"/>
  <c r="C2016" i="1"/>
  <c r="E2015" i="1"/>
  <c r="D2015" i="1"/>
  <c r="C2015" i="1"/>
  <c r="E2014" i="1"/>
  <c r="D2014" i="1"/>
  <c r="C2014" i="1"/>
  <c r="E2013" i="1"/>
  <c r="D2013" i="1"/>
  <c r="C2013" i="1"/>
  <c r="E2012" i="1"/>
  <c r="D2012" i="1"/>
  <c r="C2012" i="1"/>
  <c r="E2011" i="1"/>
  <c r="D2011" i="1"/>
  <c r="C2011" i="1"/>
  <c r="E2010" i="1"/>
  <c r="D2010" i="1"/>
  <c r="C2010" i="1"/>
  <c r="E2009" i="1"/>
  <c r="D2009" i="1"/>
  <c r="C2009" i="1"/>
  <c r="E2008" i="1"/>
  <c r="D2008" i="1"/>
  <c r="C2008" i="1"/>
  <c r="E2007" i="1"/>
  <c r="D2007" i="1"/>
  <c r="C2007" i="1"/>
  <c r="E2006" i="1"/>
  <c r="D2006" i="1"/>
  <c r="C2006" i="1"/>
  <c r="E2005" i="1"/>
  <c r="D2005" i="1"/>
  <c r="C2005" i="1"/>
  <c r="E2004" i="1"/>
  <c r="D2004" i="1"/>
  <c r="C2004" i="1"/>
  <c r="E2003" i="1"/>
  <c r="D2003" i="1"/>
  <c r="C2003" i="1"/>
  <c r="E2002" i="1"/>
  <c r="D2002" i="1"/>
  <c r="C2002" i="1"/>
  <c r="E2001" i="1"/>
  <c r="D2001" i="1"/>
  <c r="C2001" i="1"/>
  <c r="E2000" i="1"/>
  <c r="D2000" i="1"/>
  <c r="C2000" i="1"/>
  <c r="E1999" i="1"/>
  <c r="D1999" i="1"/>
  <c r="C1999" i="1"/>
  <c r="E1998" i="1"/>
  <c r="D1998" i="1"/>
  <c r="C1998" i="1"/>
  <c r="E1997" i="1"/>
  <c r="D1997" i="1"/>
  <c r="C1997" i="1"/>
  <c r="E1996" i="1"/>
  <c r="D1996" i="1"/>
  <c r="C1996" i="1"/>
  <c r="E1995" i="1"/>
  <c r="D1995" i="1"/>
  <c r="C1995" i="1"/>
  <c r="E1994" i="1"/>
  <c r="D1994" i="1"/>
  <c r="C1994" i="1"/>
  <c r="E1993" i="1"/>
  <c r="D1993" i="1"/>
  <c r="C1993" i="1"/>
  <c r="E1992" i="1"/>
  <c r="D1992" i="1"/>
  <c r="C1992" i="1"/>
  <c r="E1991" i="1"/>
  <c r="D1991" i="1"/>
  <c r="C1991" i="1"/>
  <c r="E1990" i="1"/>
  <c r="D1990" i="1"/>
  <c r="C1990" i="1"/>
  <c r="E1989" i="1"/>
  <c r="D1989" i="1"/>
  <c r="C1989" i="1"/>
  <c r="E1988" i="1"/>
  <c r="D1988" i="1"/>
  <c r="C1988" i="1"/>
  <c r="E1987" i="1"/>
  <c r="D1987" i="1"/>
  <c r="C1987" i="1"/>
  <c r="E1986" i="1"/>
  <c r="D1986" i="1"/>
  <c r="C1986" i="1"/>
  <c r="E1985" i="1"/>
  <c r="D1985" i="1"/>
  <c r="C1985" i="1"/>
  <c r="E1984" i="1"/>
  <c r="D1984" i="1"/>
  <c r="C1984" i="1"/>
  <c r="E1983" i="1"/>
  <c r="D1983" i="1"/>
  <c r="C1983" i="1"/>
  <c r="E1982" i="1"/>
  <c r="D1982" i="1"/>
  <c r="C1982" i="1"/>
  <c r="E1981" i="1"/>
  <c r="D1981" i="1"/>
  <c r="C1981" i="1"/>
  <c r="E1980" i="1"/>
  <c r="D1980" i="1"/>
  <c r="C1980" i="1"/>
  <c r="E1979" i="1"/>
  <c r="D1979" i="1"/>
  <c r="C1979" i="1"/>
  <c r="E1978" i="1"/>
  <c r="D1978" i="1"/>
  <c r="C1978" i="1"/>
  <c r="E1977" i="1"/>
  <c r="D1977" i="1"/>
  <c r="C1977" i="1"/>
  <c r="E1976" i="1"/>
  <c r="D1976" i="1"/>
  <c r="C1976" i="1"/>
  <c r="E1975" i="1"/>
  <c r="D1975" i="1"/>
  <c r="C1975" i="1"/>
  <c r="E1974" i="1"/>
  <c r="D1974" i="1"/>
  <c r="C1974" i="1"/>
  <c r="E1973" i="1"/>
  <c r="D1973" i="1"/>
  <c r="C1973" i="1"/>
  <c r="E1972" i="1"/>
  <c r="D1972" i="1"/>
  <c r="C1972" i="1"/>
  <c r="E1971" i="1"/>
  <c r="D1971" i="1"/>
  <c r="C1971" i="1"/>
  <c r="E1970" i="1"/>
  <c r="D1970" i="1"/>
  <c r="C1970" i="1"/>
  <c r="E1969" i="1"/>
  <c r="D1969" i="1"/>
  <c r="C1969" i="1"/>
  <c r="E1968" i="1"/>
  <c r="D1968" i="1"/>
  <c r="C1968" i="1"/>
  <c r="E1967" i="1"/>
  <c r="D1967" i="1"/>
  <c r="C1967" i="1"/>
  <c r="E1966" i="1"/>
  <c r="D1966" i="1"/>
  <c r="C1966" i="1"/>
  <c r="E1965" i="1"/>
  <c r="D1965" i="1"/>
  <c r="C1965" i="1"/>
  <c r="E1964" i="1"/>
  <c r="D1964" i="1"/>
  <c r="C1964" i="1"/>
  <c r="E1963" i="1"/>
  <c r="D1963" i="1"/>
  <c r="C1963" i="1"/>
  <c r="E1962" i="1"/>
  <c r="D1962" i="1"/>
  <c r="C1962" i="1"/>
  <c r="E1961" i="1"/>
  <c r="D1961" i="1"/>
  <c r="C1961" i="1"/>
  <c r="E1960" i="1"/>
  <c r="D1960" i="1"/>
  <c r="C1960" i="1"/>
  <c r="E1959" i="1"/>
  <c r="D1959" i="1"/>
  <c r="C1959" i="1"/>
  <c r="E1958" i="1"/>
  <c r="D1958" i="1"/>
  <c r="C1958" i="1"/>
  <c r="E1957" i="1"/>
  <c r="D1957" i="1"/>
  <c r="C1957" i="1"/>
  <c r="E1956" i="1"/>
  <c r="D1956" i="1"/>
  <c r="C1956" i="1"/>
  <c r="E1955" i="1"/>
  <c r="D1955" i="1"/>
  <c r="C1955" i="1"/>
  <c r="E1954" i="1"/>
  <c r="D1954" i="1"/>
  <c r="C1954" i="1"/>
  <c r="E1953" i="1"/>
  <c r="D1953" i="1"/>
  <c r="C1953" i="1"/>
  <c r="E1952" i="1"/>
  <c r="D1952" i="1"/>
  <c r="C1952" i="1"/>
  <c r="E1951" i="1"/>
  <c r="D1951" i="1"/>
  <c r="C1951" i="1"/>
  <c r="E1950" i="1"/>
  <c r="D1950" i="1"/>
  <c r="C1950" i="1"/>
  <c r="E1949" i="1"/>
  <c r="D1949" i="1"/>
  <c r="C1949" i="1"/>
  <c r="E1948" i="1"/>
  <c r="D1948" i="1"/>
  <c r="C1948" i="1"/>
  <c r="E1947" i="1"/>
  <c r="D1947" i="1"/>
  <c r="C1947" i="1"/>
  <c r="E1946" i="1"/>
  <c r="D1946" i="1"/>
  <c r="C1946" i="1"/>
  <c r="E1945" i="1"/>
  <c r="D1945" i="1"/>
  <c r="C1945" i="1"/>
  <c r="E1944" i="1"/>
  <c r="D1944" i="1"/>
  <c r="C1944" i="1"/>
  <c r="E1943" i="1"/>
  <c r="D1943" i="1"/>
  <c r="C1943" i="1"/>
  <c r="E1942" i="1"/>
  <c r="D1942" i="1"/>
  <c r="C1942" i="1"/>
  <c r="E1941" i="1"/>
  <c r="D1941" i="1"/>
  <c r="C1941" i="1"/>
  <c r="E1940" i="1"/>
  <c r="D1940" i="1"/>
  <c r="C1940" i="1"/>
  <c r="E1939" i="1"/>
  <c r="D1939" i="1"/>
  <c r="C1939" i="1"/>
  <c r="E1938" i="1"/>
  <c r="D1938" i="1"/>
  <c r="C1938" i="1"/>
  <c r="E1937" i="1"/>
  <c r="D1937" i="1"/>
  <c r="C1937" i="1"/>
  <c r="E1936" i="1"/>
  <c r="D1936" i="1"/>
  <c r="C1936" i="1"/>
  <c r="E1935" i="1"/>
  <c r="D1935" i="1"/>
  <c r="C1935" i="1"/>
  <c r="E1934" i="1"/>
  <c r="D1934" i="1"/>
  <c r="C1934" i="1"/>
  <c r="E1933" i="1"/>
  <c r="D1933" i="1"/>
  <c r="C1933" i="1"/>
  <c r="E1932" i="1"/>
  <c r="D1932" i="1"/>
  <c r="C1932" i="1"/>
  <c r="E1931" i="1"/>
  <c r="D1931" i="1"/>
  <c r="C1931" i="1"/>
  <c r="E1930" i="1"/>
  <c r="D1930" i="1"/>
  <c r="C1930" i="1"/>
  <c r="E1929" i="1"/>
  <c r="D1929" i="1"/>
  <c r="C1929" i="1"/>
  <c r="E1928" i="1"/>
  <c r="D1928" i="1"/>
  <c r="C1928" i="1"/>
  <c r="E1927" i="1"/>
  <c r="D1927" i="1"/>
  <c r="C1927" i="1"/>
  <c r="E1926" i="1"/>
  <c r="D1926" i="1"/>
  <c r="C1926" i="1"/>
  <c r="E1925" i="1"/>
  <c r="D1925" i="1"/>
  <c r="C1925" i="1"/>
  <c r="E1924" i="1"/>
  <c r="D1924" i="1"/>
  <c r="C1924" i="1"/>
  <c r="E1923" i="1"/>
  <c r="D1923" i="1"/>
  <c r="C1923" i="1"/>
  <c r="E1922" i="1"/>
  <c r="D1922" i="1"/>
  <c r="C1922" i="1"/>
  <c r="E1921" i="1"/>
  <c r="D1921" i="1"/>
  <c r="C1921" i="1"/>
  <c r="E1920" i="1"/>
  <c r="D1920" i="1"/>
  <c r="C1920" i="1"/>
  <c r="E1919" i="1"/>
  <c r="D1919" i="1"/>
  <c r="C1919" i="1"/>
  <c r="E1918" i="1"/>
  <c r="D1918" i="1"/>
  <c r="C1918" i="1"/>
  <c r="E1917" i="1"/>
  <c r="D1917" i="1"/>
  <c r="C1917" i="1"/>
  <c r="E1916" i="1"/>
  <c r="D1916" i="1"/>
  <c r="C1916" i="1"/>
  <c r="E1915" i="1"/>
  <c r="D1915" i="1"/>
  <c r="C1915" i="1"/>
  <c r="E1914" i="1"/>
  <c r="D1914" i="1"/>
  <c r="C1914" i="1"/>
  <c r="E1913" i="1"/>
  <c r="D1913" i="1"/>
  <c r="C1913" i="1"/>
  <c r="E1912" i="1"/>
  <c r="D1912" i="1"/>
  <c r="C1912" i="1"/>
  <c r="E1911" i="1"/>
  <c r="D1911" i="1"/>
  <c r="C1911" i="1"/>
  <c r="E1910" i="1"/>
  <c r="D1910" i="1"/>
  <c r="C1910" i="1"/>
  <c r="E1909" i="1"/>
  <c r="D1909" i="1"/>
  <c r="C1909" i="1"/>
  <c r="E1908" i="1"/>
  <c r="D1908" i="1"/>
  <c r="C1908" i="1"/>
  <c r="E1907" i="1"/>
  <c r="D1907" i="1"/>
  <c r="C1907" i="1"/>
  <c r="E1906" i="1"/>
  <c r="D1906" i="1"/>
  <c r="C1906" i="1"/>
  <c r="E1905" i="1"/>
  <c r="D1905" i="1"/>
  <c r="C1905" i="1"/>
  <c r="E1904" i="1"/>
  <c r="D1904" i="1"/>
  <c r="C1904" i="1"/>
  <c r="E1903" i="1"/>
  <c r="D1903" i="1"/>
  <c r="C1903" i="1"/>
  <c r="E1902" i="1"/>
  <c r="D1902" i="1"/>
  <c r="C1902" i="1"/>
  <c r="E1901" i="1"/>
  <c r="D1901" i="1"/>
  <c r="C1901" i="1"/>
  <c r="E1900" i="1"/>
  <c r="D1900" i="1"/>
  <c r="C1900" i="1"/>
  <c r="E1899" i="1"/>
  <c r="D1899" i="1"/>
  <c r="C1899" i="1"/>
  <c r="E1898" i="1"/>
  <c r="D1898" i="1"/>
  <c r="C1898" i="1"/>
  <c r="E1897" i="1"/>
  <c r="D1897" i="1"/>
  <c r="C1897" i="1"/>
  <c r="E1896" i="1"/>
  <c r="D1896" i="1"/>
  <c r="C1896" i="1"/>
  <c r="E1895" i="1"/>
  <c r="D1895" i="1"/>
  <c r="C1895" i="1"/>
  <c r="E1894" i="1"/>
  <c r="D1894" i="1"/>
  <c r="C1894" i="1"/>
  <c r="E1893" i="1"/>
  <c r="D1893" i="1"/>
  <c r="C1893" i="1"/>
  <c r="E1892" i="1"/>
  <c r="D1892" i="1"/>
  <c r="C1892" i="1"/>
  <c r="E1891" i="1"/>
  <c r="D1891" i="1"/>
  <c r="C1891" i="1"/>
  <c r="E1890" i="1"/>
  <c r="D1890" i="1"/>
  <c r="C1890" i="1"/>
  <c r="E1889" i="1"/>
  <c r="D1889" i="1"/>
  <c r="C1889" i="1"/>
  <c r="E1888" i="1"/>
  <c r="D1888" i="1"/>
  <c r="C1888" i="1"/>
  <c r="E1887" i="1"/>
  <c r="D1887" i="1"/>
  <c r="C1887" i="1"/>
  <c r="E1886" i="1"/>
  <c r="D1886" i="1"/>
  <c r="C1886" i="1"/>
  <c r="E1885" i="1"/>
  <c r="D1885" i="1"/>
  <c r="C1885" i="1"/>
  <c r="E1884" i="1"/>
  <c r="D1884" i="1"/>
  <c r="C1884" i="1"/>
  <c r="E1883" i="1"/>
  <c r="D1883" i="1"/>
  <c r="C1883" i="1"/>
  <c r="E1882" i="1"/>
  <c r="D1882" i="1"/>
  <c r="C1882" i="1"/>
  <c r="E1881" i="1"/>
  <c r="D1881" i="1"/>
  <c r="C1881" i="1"/>
  <c r="E1880" i="1"/>
  <c r="D1880" i="1"/>
  <c r="C1880" i="1"/>
  <c r="E1879" i="1"/>
  <c r="D1879" i="1"/>
  <c r="C1879" i="1"/>
  <c r="E1878" i="1"/>
  <c r="D1878" i="1"/>
  <c r="C1878" i="1"/>
  <c r="E1877" i="1"/>
  <c r="D1877" i="1"/>
  <c r="C1877" i="1"/>
  <c r="E1876" i="1"/>
  <c r="D1876" i="1"/>
  <c r="C1876" i="1"/>
  <c r="E1875" i="1"/>
  <c r="D1875" i="1"/>
  <c r="C1875" i="1"/>
  <c r="E1874" i="1"/>
  <c r="D1874" i="1"/>
  <c r="C1874" i="1"/>
  <c r="E1873" i="1"/>
  <c r="D1873" i="1"/>
  <c r="C1873" i="1"/>
  <c r="E1872" i="1"/>
  <c r="D1872" i="1"/>
  <c r="C1872" i="1"/>
  <c r="E1871" i="1"/>
  <c r="D1871" i="1"/>
  <c r="C1871" i="1"/>
  <c r="E1870" i="1"/>
  <c r="D1870" i="1"/>
  <c r="C1870" i="1"/>
  <c r="E1869" i="1"/>
  <c r="D1869" i="1"/>
  <c r="C1869" i="1"/>
  <c r="E1868" i="1"/>
  <c r="D1868" i="1"/>
  <c r="C1868" i="1"/>
  <c r="E1867" i="1"/>
  <c r="D1867" i="1"/>
  <c r="C1867" i="1"/>
  <c r="E1866" i="1"/>
  <c r="D1866" i="1"/>
  <c r="C1866" i="1"/>
  <c r="E1865" i="1"/>
  <c r="D1865" i="1"/>
  <c r="C1865" i="1"/>
  <c r="E1864" i="1"/>
  <c r="D1864" i="1"/>
  <c r="C1864" i="1"/>
  <c r="E1863" i="1"/>
  <c r="D1863" i="1"/>
  <c r="C1863" i="1"/>
  <c r="E1862" i="1"/>
  <c r="D1862" i="1"/>
  <c r="C1862" i="1"/>
  <c r="E1861" i="1"/>
  <c r="D1861" i="1"/>
  <c r="C1861" i="1"/>
  <c r="E1860" i="1"/>
  <c r="D1860" i="1"/>
  <c r="C1860" i="1"/>
  <c r="E1859" i="1"/>
  <c r="D1859" i="1"/>
  <c r="C1859" i="1"/>
  <c r="G1858" i="1"/>
  <c r="E1858" i="1"/>
  <c r="D1858" i="1"/>
  <c r="C1858" i="1"/>
  <c r="G1857" i="1"/>
  <c r="E1857" i="1"/>
  <c r="D1857" i="1"/>
  <c r="C1857" i="1"/>
  <c r="G1856" i="1"/>
  <c r="E1856" i="1"/>
  <c r="D1856" i="1"/>
  <c r="C1856" i="1"/>
  <c r="G1855" i="1"/>
  <c r="E1855" i="1"/>
  <c r="D1855" i="1"/>
  <c r="C1855" i="1"/>
  <c r="G1854" i="1"/>
  <c r="E1854" i="1"/>
  <c r="D1854" i="1"/>
  <c r="C1854" i="1"/>
  <c r="G1853" i="1"/>
  <c r="E1853" i="1"/>
  <c r="D1853" i="1"/>
  <c r="C1853" i="1"/>
  <c r="G1852" i="1"/>
  <c r="E1852" i="1"/>
  <c r="D1852" i="1"/>
  <c r="C1852" i="1"/>
  <c r="G1851" i="1"/>
  <c r="E1851" i="1"/>
  <c r="D1851" i="1"/>
  <c r="C1851" i="1"/>
  <c r="G1850" i="1"/>
  <c r="E1850" i="1"/>
  <c r="D1850" i="1"/>
  <c r="C1850" i="1"/>
  <c r="G1849" i="1"/>
  <c r="E1849" i="1"/>
  <c r="D1849" i="1"/>
  <c r="C1849" i="1"/>
  <c r="G1848" i="1"/>
  <c r="E1848" i="1"/>
  <c r="D1848" i="1"/>
  <c r="C1848" i="1"/>
  <c r="G1847" i="1"/>
  <c r="E1847" i="1"/>
  <c r="D1847" i="1"/>
  <c r="C1847" i="1"/>
  <c r="G1846" i="1"/>
  <c r="E1846" i="1"/>
  <c r="D1846" i="1"/>
  <c r="C1846" i="1"/>
  <c r="G1845" i="1"/>
  <c r="E1845" i="1"/>
  <c r="D1845" i="1"/>
  <c r="C1845" i="1"/>
  <c r="G1844" i="1"/>
  <c r="E1844" i="1"/>
  <c r="D1844" i="1"/>
  <c r="C1844" i="1"/>
  <c r="G1843" i="1"/>
  <c r="E1843" i="1"/>
  <c r="D1843" i="1"/>
  <c r="C1843" i="1"/>
  <c r="G1842" i="1"/>
  <c r="E1842" i="1"/>
  <c r="D1842" i="1"/>
  <c r="C1842" i="1"/>
  <c r="G1841" i="1"/>
  <c r="E1841" i="1"/>
  <c r="D1841" i="1"/>
  <c r="C1841" i="1"/>
  <c r="G1840" i="1"/>
  <c r="E1840" i="1"/>
  <c r="D1840" i="1"/>
  <c r="C1840" i="1"/>
  <c r="G1839" i="1"/>
  <c r="E1839" i="1"/>
  <c r="D1839" i="1"/>
  <c r="C1839" i="1"/>
  <c r="G1838" i="1"/>
  <c r="E1838" i="1"/>
  <c r="D1838" i="1"/>
  <c r="C1838" i="1"/>
  <c r="G1837" i="1"/>
  <c r="E1837" i="1"/>
  <c r="D1837" i="1"/>
  <c r="C1837" i="1"/>
  <c r="G1836" i="1"/>
  <c r="E1836" i="1"/>
  <c r="D1836" i="1"/>
  <c r="C1836" i="1"/>
  <c r="G1835" i="1"/>
  <c r="E1835" i="1"/>
  <c r="D1835" i="1"/>
  <c r="C1835" i="1"/>
  <c r="G1834" i="1"/>
  <c r="E1834" i="1"/>
  <c r="D1834" i="1"/>
  <c r="C1834" i="1"/>
  <c r="G1833" i="1"/>
  <c r="E1833" i="1"/>
  <c r="D1833" i="1"/>
  <c r="C1833" i="1"/>
  <c r="G1832" i="1"/>
  <c r="E1832" i="1"/>
  <c r="D1832" i="1"/>
  <c r="C1832" i="1"/>
  <c r="G1831" i="1"/>
  <c r="E1831" i="1"/>
  <c r="D1831" i="1"/>
  <c r="C1831" i="1"/>
  <c r="G1830" i="1"/>
  <c r="E1830" i="1"/>
  <c r="D1830" i="1"/>
  <c r="C1830" i="1"/>
  <c r="G1829" i="1"/>
  <c r="E1829" i="1"/>
  <c r="D1829" i="1"/>
  <c r="C1829" i="1"/>
  <c r="G1828" i="1"/>
  <c r="E1828" i="1"/>
  <c r="D1828" i="1"/>
  <c r="C1828" i="1"/>
  <c r="G1827" i="1"/>
  <c r="E1827" i="1"/>
  <c r="D1827" i="1"/>
  <c r="C1827" i="1"/>
  <c r="G1826" i="1"/>
  <c r="E1826" i="1"/>
  <c r="D1826" i="1"/>
  <c r="C1826" i="1"/>
  <c r="G1825" i="1"/>
  <c r="E1825" i="1"/>
  <c r="D1825" i="1"/>
  <c r="C1825" i="1"/>
  <c r="G1824" i="1"/>
  <c r="E1824" i="1"/>
  <c r="D1824" i="1"/>
  <c r="C1824" i="1"/>
  <c r="G1823" i="1"/>
  <c r="E1823" i="1"/>
  <c r="D1823" i="1"/>
  <c r="C1823" i="1"/>
  <c r="G1822" i="1"/>
  <c r="E1822" i="1"/>
  <c r="D1822" i="1"/>
  <c r="C1822" i="1"/>
  <c r="G1821" i="1"/>
  <c r="E1821" i="1"/>
  <c r="D1821" i="1"/>
  <c r="C1821" i="1"/>
  <c r="G1820" i="1"/>
  <c r="E1820" i="1"/>
  <c r="D1820" i="1"/>
  <c r="C1820" i="1"/>
  <c r="G1819" i="1"/>
  <c r="E1819" i="1"/>
  <c r="D1819" i="1"/>
  <c r="C1819" i="1"/>
  <c r="G1818" i="1"/>
  <c r="E1818" i="1"/>
  <c r="D1818" i="1"/>
  <c r="C1818" i="1"/>
  <c r="G1817" i="1"/>
  <c r="E1817" i="1"/>
  <c r="D1817" i="1"/>
  <c r="C1817" i="1"/>
  <c r="G1816" i="1"/>
  <c r="E1816" i="1"/>
  <c r="D1816" i="1"/>
  <c r="C1816" i="1"/>
  <c r="G1815" i="1"/>
  <c r="E1815" i="1"/>
  <c r="D1815" i="1"/>
  <c r="C1815" i="1"/>
  <c r="G1814" i="1"/>
  <c r="E1814" i="1"/>
  <c r="D1814" i="1"/>
  <c r="C1814" i="1"/>
  <c r="G1813" i="1"/>
  <c r="E1813" i="1"/>
  <c r="D1813" i="1"/>
  <c r="C1813" i="1"/>
  <c r="G1812" i="1"/>
  <c r="E1812" i="1"/>
  <c r="D1812" i="1"/>
  <c r="C1812" i="1"/>
  <c r="G1811" i="1"/>
  <c r="E1811" i="1"/>
  <c r="D1811" i="1"/>
  <c r="C1811" i="1"/>
  <c r="G1810" i="1"/>
  <c r="E1810" i="1"/>
  <c r="D1810" i="1"/>
  <c r="C1810" i="1"/>
  <c r="G1809" i="1"/>
  <c r="E1809" i="1"/>
  <c r="D1809" i="1"/>
  <c r="C1809" i="1"/>
  <c r="G1808" i="1"/>
  <c r="E1808" i="1"/>
  <c r="D1808" i="1"/>
  <c r="C1808" i="1"/>
  <c r="G1807" i="1"/>
  <c r="E1807" i="1"/>
  <c r="D1807" i="1"/>
  <c r="C1807" i="1"/>
  <c r="G1806" i="1"/>
  <c r="E1806" i="1"/>
  <c r="D1806" i="1"/>
  <c r="C1806" i="1"/>
  <c r="G1805" i="1"/>
  <c r="E1805" i="1"/>
  <c r="D1805" i="1"/>
  <c r="C1805" i="1"/>
  <c r="G1804" i="1"/>
  <c r="E1804" i="1"/>
  <c r="D1804" i="1"/>
  <c r="C1804" i="1"/>
  <c r="G1803" i="1"/>
  <c r="E1803" i="1"/>
  <c r="D1803" i="1"/>
  <c r="C1803" i="1"/>
  <c r="G1802" i="1"/>
  <c r="E1802" i="1"/>
  <c r="D1802" i="1"/>
  <c r="C1802" i="1"/>
  <c r="G1801" i="1"/>
  <c r="E1801" i="1"/>
  <c r="D1801" i="1"/>
  <c r="C1801" i="1"/>
  <c r="G1800" i="1"/>
  <c r="E1800" i="1"/>
  <c r="D1800" i="1"/>
  <c r="C1800" i="1"/>
  <c r="G1799" i="1"/>
  <c r="E1799" i="1"/>
  <c r="D1799" i="1"/>
  <c r="C1799" i="1"/>
  <c r="G1798" i="1"/>
  <c r="E1798" i="1"/>
  <c r="D1798" i="1"/>
  <c r="C1798" i="1"/>
  <c r="G1797" i="1"/>
  <c r="E1797" i="1"/>
  <c r="D1797" i="1"/>
  <c r="C1797" i="1"/>
  <c r="G1796" i="1"/>
  <c r="E1796" i="1"/>
  <c r="D1796" i="1"/>
  <c r="C1796" i="1"/>
  <c r="G1795" i="1"/>
  <c r="E1795" i="1"/>
  <c r="D1795" i="1"/>
  <c r="C1795" i="1"/>
  <c r="G1794" i="1"/>
  <c r="E1794" i="1"/>
  <c r="D1794" i="1"/>
  <c r="C1794" i="1"/>
  <c r="G1793" i="1"/>
  <c r="E1793" i="1"/>
  <c r="D1793" i="1"/>
  <c r="C1793" i="1"/>
  <c r="G1792" i="1"/>
  <c r="E1792" i="1"/>
  <c r="D1792" i="1"/>
  <c r="C1792" i="1"/>
  <c r="G1791" i="1"/>
  <c r="E1791" i="1"/>
  <c r="D1791" i="1"/>
  <c r="C1791" i="1"/>
  <c r="G1790" i="1"/>
  <c r="E1790" i="1"/>
  <c r="D1790" i="1"/>
  <c r="C1790" i="1"/>
  <c r="G1789" i="1"/>
  <c r="E1789" i="1"/>
  <c r="D1789" i="1"/>
  <c r="C1789" i="1"/>
  <c r="G1788" i="1"/>
  <c r="E1788" i="1"/>
  <c r="D1788" i="1"/>
  <c r="C1788" i="1"/>
  <c r="G1787" i="1"/>
  <c r="E1787" i="1"/>
  <c r="D1787" i="1"/>
  <c r="C1787" i="1"/>
  <c r="G1786" i="1"/>
  <c r="E1786" i="1"/>
  <c r="D1786" i="1"/>
  <c r="C1786" i="1"/>
  <c r="G1785" i="1"/>
  <c r="E1785" i="1"/>
  <c r="D1785" i="1"/>
  <c r="C1785" i="1"/>
  <c r="G1784" i="1"/>
  <c r="E1784" i="1"/>
  <c r="D1784" i="1"/>
  <c r="C1784" i="1"/>
  <c r="G1783" i="1"/>
  <c r="E1783" i="1"/>
  <c r="D1783" i="1"/>
  <c r="C1783" i="1"/>
  <c r="G1782" i="1"/>
  <c r="E1782" i="1"/>
  <c r="D1782" i="1"/>
  <c r="C1782" i="1"/>
  <c r="G1781" i="1"/>
  <c r="E1781" i="1"/>
  <c r="D1781" i="1"/>
  <c r="C1781" i="1"/>
  <c r="G1780" i="1"/>
  <c r="E1780" i="1"/>
  <c r="D1780" i="1"/>
  <c r="C1780" i="1"/>
  <c r="G1779" i="1"/>
  <c r="E1779" i="1"/>
  <c r="D1779" i="1"/>
  <c r="C1779" i="1"/>
  <c r="G1778" i="1"/>
  <c r="E1778" i="1"/>
  <c r="D1778" i="1"/>
  <c r="C1778" i="1"/>
  <c r="G1777" i="1"/>
  <c r="E1777" i="1"/>
  <c r="D1777" i="1"/>
  <c r="C1777" i="1"/>
  <c r="G1776" i="1"/>
  <c r="E1776" i="1"/>
  <c r="D1776" i="1"/>
  <c r="C1776" i="1"/>
  <c r="G1775" i="1"/>
  <c r="E1775" i="1"/>
  <c r="D1775" i="1"/>
  <c r="C1775" i="1"/>
  <c r="G1774" i="1"/>
  <c r="E1774" i="1"/>
  <c r="D1774" i="1"/>
  <c r="C1774" i="1"/>
  <c r="G1773" i="1"/>
  <c r="E1773" i="1"/>
  <c r="D1773" i="1"/>
  <c r="C1773" i="1"/>
  <c r="G1772" i="1"/>
  <c r="E1772" i="1"/>
  <c r="D1772" i="1"/>
  <c r="C1772" i="1"/>
  <c r="G1771" i="1"/>
  <c r="E1771" i="1"/>
  <c r="D1771" i="1"/>
  <c r="C1771" i="1"/>
  <c r="G1770" i="1"/>
  <c r="E1770" i="1"/>
  <c r="D1770" i="1"/>
  <c r="C1770" i="1"/>
  <c r="G1769" i="1"/>
  <c r="E1769" i="1"/>
  <c r="D1769" i="1"/>
  <c r="C1769" i="1"/>
  <c r="G1768" i="1"/>
  <c r="E1768" i="1"/>
  <c r="D1768" i="1"/>
  <c r="C1768" i="1"/>
  <c r="G1767" i="1"/>
  <c r="E1767" i="1"/>
  <c r="D1767" i="1"/>
  <c r="C1767" i="1"/>
  <c r="G1766" i="1"/>
  <c r="E1766" i="1"/>
  <c r="D1766" i="1"/>
  <c r="C1766" i="1"/>
  <c r="G1765" i="1"/>
  <c r="E1765" i="1"/>
  <c r="D1765" i="1"/>
  <c r="C1765" i="1"/>
  <c r="G1764" i="1"/>
  <c r="E1764" i="1"/>
  <c r="D1764" i="1"/>
  <c r="C1764" i="1"/>
  <c r="G1763" i="1"/>
  <c r="E1763" i="1"/>
  <c r="D1763" i="1"/>
  <c r="C1763" i="1"/>
  <c r="G1762" i="1"/>
  <c r="E1762" i="1"/>
  <c r="D1762" i="1"/>
  <c r="C1762" i="1"/>
  <c r="G1761" i="1"/>
  <c r="E1761" i="1"/>
  <c r="D1761" i="1"/>
  <c r="C1761" i="1"/>
  <c r="G1760" i="1"/>
  <c r="E1760" i="1"/>
  <c r="D1760" i="1"/>
  <c r="C1760" i="1"/>
  <c r="G1759" i="1"/>
  <c r="E1759" i="1"/>
  <c r="D1759" i="1"/>
  <c r="C1759" i="1"/>
  <c r="G1758" i="1"/>
  <c r="E1758" i="1"/>
  <c r="D1758" i="1"/>
  <c r="C1758" i="1"/>
  <c r="G1757" i="1"/>
  <c r="E1757" i="1"/>
  <c r="D1757" i="1"/>
  <c r="C1757" i="1"/>
  <c r="G1756" i="1"/>
  <c r="E1756" i="1"/>
  <c r="D1756" i="1"/>
  <c r="C1756" i="1"/>
  <c r="G1755" i="1"/>
  <c r="E1755" i="1"/>
  <c r="D1755" i="1"/>
  <c r="C1755" i="1"/>
  <c r="G1754" i="1"/>
  <c r="E1754" i="1"/>
  <c r="D1754" i="1"/>
  <c r="C1754" i="1"/>
  <c r="G1753" i="1"/>
  <c r="E1753" i="1"/>
  <c r="D1753" i="1"/>
  <c r="C1753" i="1"/>
  <c r="G1752" i="1"/>
  <c r="E1752" i="1"/>
  <c r="D1752" i="1"/>
  <c r="C1752" i="1"/>
  <c r="G1751" i="1"/>
  <c r="E1751" i="1"/>
  <c r="D1751" i="1"/>
  <c r="C1751" i="1"/>
  <c r="G1750" i="1"/>
  <c r="E1750" i="1"/>
  <c r="D1750" i="1"/>
  <c r="C1750" i="1"/>
  <c r="G1749" i="1"/>
  <c r="E1749" i="1"/>
  <c r="D1749" i="1"/>
  <c r="C1749" i="1"/>
  <c r="G1748" i="1"/>
  <c r="E1748" i="1"/>
  <c r="D1748" i="1"/>
  <c r="C1748" i="1"/>
  <c r="G1747" i="1"/>
  <c r="E1747" i="1"/>
  <c r="D1747" i="1"/>
  <c r="C1747" i="1"/>
  <c r="G1746" i="1"/>
  <c r="E1746" i="1"/>
  <c r="D1746" i="1"/>
  <c r="C1746" i="1"/>
  <c r="G1745" i="1"/>
  <c r="E1745" i="1"/>
  <c r="D1745" i="1"/>
  <c r="C1745" i="1"/>
  <c r="G1744" i="1"/>
  <c r="E1744" i="1"/>
  <c r="D1744" i="1"/>
  <c r="C1744" i="1"/>
  <c r="G1743" i="1"/>
  <c r="E1743" i="1"/>
  <c r="D1743" i="1"/>
  <c r="C1743" i="1"/>
  <c r="G1742" i="1"/>
  <c r="E1742" i="1"/>
  <c r="D1742" i="1"/>
  <c r="C1742" i="1"/>
  <c r="G1741" i="1"/>
  <c r="E1741" i="1"/>
  <c r="D1741" i="1"/>
  <c r="C1741" i="1"/>
  <c r="G1740" i="1"/>
  <c r="E1740" i="1"/>
  <c r="D1740" i="1"/>
  <c r="C1740" i="1"/>
  <c r="G1739" i="1"/>
  <c r="E1739" i="1"/>
  <c r="D1739" i="1"/>
  <c r="C1739" i="1"/>
  <c r="G1738" i="1"/>
  <c r="E1738" i="1"/>
  <c r="D1738" i="1"/>
  <c r="C1738" i="1"/>
  <c r="G1737" i="1"/>
  <c r="E1737" i="1"/>
  <c r="D1737" i="1"/>
  <c r="C1737" i="1"/>
  <c r="G1736" i="1"/>
  <c r="E1736" i="1"/>
  <c r="D1736" i="1"/>
  <c r="C1736" i="1"/>
  <c r="G1735" i="1"/>
  <c r="E1735" i="1"/>
  <c r="D1735" i="1"/>
  <c r="C1735" i="1"/>
  <c r="G1734" i="1"/>
  <c r="E1734" i="1"/>
  <c r="D1734" i="1"/>
  <c r="C1734" i="1"/>
  <c r="G1733" i="1"/>
  <c r="E1733" i="1"/>
  <c r="D1733" i="1"/>
  <c r="C1733" i="1"/>
  <c r="G1732" i="1"/>
  <c r="E1732" i="1"/>
  <c r="D1732" i="1"/>
  <c r="C1732" i="1"/>
  <c r="G1731" i="1"/>
  <c r="E1731" i="1"/>
  <c r="D1731" i="1"/>
  <c r="C1731" i="1"/>
  <c r="G1730" i="1"/>
  <c r="E1730" i="1"/>
  <c r="D1730" i="1"/>
  <c r="C1730" i="1"/>
  <c r="G1729" i="1"/>
  <c r="E1729" i="1"/>
  <c r="D1729" i="1"/>
  <c r="C1729" i="1"/>
  <c r="G1728" i="1"/>
  <c r="E1728" i="1"/>
  <c r="D1728" i="1"/>
  <c r="C1728" i="1"/>
  <c r="G1727" i="1"/>
  <c r="E1727" i="1"/>
  <c r="D1727" i="1"/>
  <c r="C1727" i="1"/>
  <c r="G1726" i="1"/>
  <c r="E1726" i="1"/>
  <c r="D1726" i="1"/>
  <c r="C1726" i="1"/>
  <c r="G1725" i="1"/>
  <c r="E1725" i="1"/>
  <c r="D1725" i="1"/>
  <c r="C1725" i="1"/>
  <c r="G1724" i="1"/>
  <c r="E1724" i="1"/>
  <c r="D1724" i="1"/>
  <c r="C1724" i="1"/>
  <c r="G1723" i="1"/>
  <c r="E1723" i="1"/>
  <c r="D1723" i="1"/>
  <c r="C1723" i="1"/>
  <c r="G1722" i="1"/>
  <c r="E1722" i="1"/>
  <c r="D1722" i="1"/>
  <c r="C1722" i="1"/>
  <c r="G1721" i="1"/>
  <c r="E1721" i="1"/>
  <c r="D1721" i="1"/>
  <c r="C1721" i="1"/>
  <c r="G1720" i="1"/>
  <c r="E1720" i="1"/>
  <c r="D1720" i="1"/>
  <c r="C1720" i="1"/>
  <c r="G1719" i="1"/>
  <c r="E1719" i="1"/>
  <c r="D1719" i="1"/>
  <c r="C1719" i="1"/>
  <c r="G1718" i="1"/>
  <c r="E1718" i="1"/>
  <c r="D1718" i="1"/>
  <c r="C1718" i="1"/>
  <c r="G1717" i="1"/>
  <c r="E1717" i="1"/>
  <c r="D1717" i="1"/>
  <c r="C1717" i="1"/>
  <c r="G1716" i="1"/>
  <c r="E1716" i="1"/>
  <c r="D1716" i="1"/>
  <c r="C1716" i="1"/>
  <c r="G1715" i="1"/>
  <c r="E1715" i="1"/>
  <c r="D1715" i="1"/>
  <c r="C1715" i="1"/>
  <c r="G1714" i="1"/>
  <c r="E1714" i="1"/>
  <c r="D1714" i="1"/>
  <c r="C1714" i="1"/>
  <c r="G1713" i="1"/>
  <c r="E1713" i="1"/>
  <c r="D1713" i="1"/>
  <c r="C1713" i="1"/>
  <c r="G1712" i="1"/>
  <c r="E1712" i="1"/>
  <c r="D1712" i="1"/>
  <c r="C1712" i="1"/>
  <c r="G1711" i="1"/>
  <c r="E1711" i="1"/>
  <c r="D1711" i="1"/>
  <c r="C1711" i="1"/>
  <c r="G1710" i="1"/>
  <c r="E1710" i="1"/>
  <c r="D1710" i="1"/>
  <c r="C1710" i="1"/>
  <c r="G1709" i="1"/>
  <c r="E1709" i="1"/>
  <c r="D1709" i="1"/>
  <c r="C1709" i="1"/>
  <c r="G1708" i="1"/>
  <c r="E1708" i="1"/>
  <c r="D1708" i="1"/>
  <c r="C1708" i="1"/>
  <c r="G1707" i="1"/>
  <c r="E1707" i="1"/>
  <c r="D1707" i="1"/>
  <c r="C1707" i="1"/>
  <c r="G1706" i="1"/>
  <c r="E1706" i="1"/>
  <c r="D1706" i="1"/>
  <c r="C1706" i="1"/>
  <c r="G1705" i="1"/>
  <c r="E1705" i="1"/>
  <c r="D1705" i="1"/>
  <c r="C1705" i="1"/>
  <c r="G1704" i="1"/>
  <c r="E1704" i="1"/>
  <c r="D1704" i="1"/>
  <c r="C1704" i="1"/>
  <c r="G1703" i="1"/>
  <c r="E1703" i="1"/>
  <c r="D1703" i="1"/>
  <c r="C1703" i="1"/>
  <c r="G1702" i="1"/>
  <c r="E1702" i="1"/>
  <c r="D1702" i="1"/>
  <c r="C1702" i="1"/>
  <c r="G1701" i="1"/>
  <c r="E1701" i="1"/>
  <c r="D1701" i="1"/>
  <c r="C1701" i="1"/>
  <c r="G1700" i="1"/>
  <c r="E1700" i="1"/>
  <c r="D1700" i="1"/>
  <c r="C1700" i="1"/>
  <c r="G1699" i="1"/>
  <c r="E1699" i="1"/>
  <c r="D1699" i="1"/>
  <c r="C1699" i="1"/>
  <c r="G1698" i="1"/>
  <c r="E1698" i="1"/>
  <c r="D1698" i="1"/>
  <c r="C1698" i="1"/>
  <c r="G1697" i="1"/>
  <c r="E1697" i="1"/>
  <c r="D1697" i="1"/>
  <c r="C1697" i="1"/>
  <c r="G1696" i="1"/>
  <c r="E1696" i="1"/>
  <c r="D1696" i="1"/>
  <c r="C1696" i="1"/>
  <c r="G1695" i="1"/>
  <c r="E1695" i="1"/>
  <c r="D1695" i="1"/>
  <c r="C1695" i="1"/>
  <c r="G1694" i="1"/>
  <c r="E1694" i="1"/>
  <c r="D1694" i="1"/>
  <c r="C1694" i="1"/>
  <c r="G1693" i="1"/>
  <c r="E1693" i="1"/>
  <c r="D1693" i="1"/>
  <c r="C1693" i="1"/>
  <c r="G1692" i="1"/>
  <c r="E1692" i="1"/>
  <c r="D1692" i="1"/>
  <c r="C1692" i="1"/>
  <c r="G1691" i="1"/>
  <c r="E1691" i="1"/>
  <c r="D1691" i="1"/>
  <c r="C1691" i="1"/>
  <c r="G1690" i="1"/>
  <c r="E1690" i="1"/>
  <c r="D1690" i="1"/>
  <c r="C1690" i="1"/>
  <c r="G1689" i="1"/>
  <c r="E1689" i="1"/>
  <c r="D1689" i="1"/>
  <c r="C1689" i="1"/>
  <c r="G1688" i="1"/>
  <c r="E1688" i="1"/>
  <c r="D1688" i="1"/>
  <c r="C1688" i="1"/>
  <c r="G1687" i="1"/>
  <c r="E1687" i="1"/>
  <c r="D1687" i="1"/>
  <c r="C1687" i="1"/>
  <c r="G1686" i="1"/>
  <c r="E1686" i="1"/>
  <c r="D1686" i="1"/>
  <c r="C1686" i="1"/>
  <c r="G1685" i="1"/>
  <c r="E1685" i="1"/>
  <c r="D1685" i="1"/>
  <c r="C1685" i="1"/>
  <c r="G1684" i="1"/>
  <c r="E1684" i="1"/>
  <c r="D1684" i="1"/>
  <c r="C1684" i="1"/>
  <c r="G1683" i="1"/>
  <c r="E1683" i="1"/>
  <c r="D1683" i="1"/>
  <c r="C1683" i="1"/>
  <c r="G1682" i="1"/>
  <c r="E1682" i="1"/>
  <c r="D1682" i="1"/>
  <c r="C1682" i="1"/>
  <c r="G1681" i="1"/>
  <c r="E1681" i="1"/>
  <c r="D1681" i="1"/>
  <c r="C1681" i="1"/>
  <c r="G1680" i="1"/>
  <c r="E1680" i="1"/>
  <c r="D1680" i="1"/>
  <c r="C1680" i="1"/>
  <c r="G1679" i="1"/>
  <c r="E1679" i="1"/>
  <c r="D1679" i="1"/>
  <c r="C1679" i="1"/>
  <c r="G1678" i="1"/>
  <c r="E1678" i="1"/>
  <c r="D1678" i="1"/>
  <c r="C1678" i="1"/>
  <c r="G1677" i="1"/>
  <c r="E1677" i="1"/>
  <c r="D1677" i="1"/>
  <c r="C1677" i="1"/>
  <c r="G1676" i="1"/>
  <c r="E1676" i="1"/>
  <c r="D1676" i="1"/>
  <c r="C1676" i="1"/>
  <c r="G1675" i="1"/>
  <c r="E1675" i="1"/>
  <c r="D1675" i="1"/>
  <c r="C1675" i="1"/>
  <c r="G1674" i="1"/>
  <c r="E1674" i="1"/>
  <c r="D1674" i="1"/>
  <c r="C1674" i="1"/>
  <c r="G1673" i="1"/>
  <c r="E1673" i="1"/>
  <c r="D1673" i="1"/>
  <c r="C1673" i="1"/>
  <c r="G1672" i="1"/>
  <c r="E1672" i="1"/>
  <c r="D1672" i="1"/>
  <c r="C1672" i="1"/>
  <c r="G1671" i="1"/>
  <c r="E1671" i="1"/>
  <c r="D1671" i="1"/>
  <c r="C1671" i="1"/>
  <c r="G1670" i="1"/>
  <c r="E1670" i="1"/>
  <c r="D1670" i="1"/>
  <c r="C1670" i="1"/>
  <c r="G1669" i="1"/>
  <c r="E1669" i="1"/>
  <c r="D1669" i="1"/>
  <c r="C1669" i="1"/>
  <c r="G1668" i="1"/>
  <c r="E1668" i="1"/>
  <c r="D1668" i="1"/>
  <c r="C1668" i="1"/>
  <c r="G1667" i="1"/>
  <c r="E1667" i="1"/>
  <c r="D1667" i="1"/>
  <c r="C1667" i="1"/>
  <c r="G1666" i="1"/>
  <c r="E1666" i="1"/>
  <c r="D1666" i="1"/>
  <c r="C1666" i="1"/>
  <c r="G1665" i="1"/>
  <c r="E1665" i="1"/>
  <c r="D1665" i="1"/>
  <c r="C1665" i="1"/>
  <c r="G1664" i="1"/>
  <c r="E1664" i="1"/>
  <c r="D1664" i="1"/>
  <c r="C1664" i="1"/>
  <c r="G1663" i="1"/>
  <c r="E1663" i="1"/>
  <c r="D1663" i="1"/>
  <c r="C1663" i="1"/>
  <c r="G1662" i="1"/>
  <c r="E1662" i="1"/>
  <c r="D1662" i="1"/>
  <c r="C1662" i="1"/>
  <c r="G1661" i="1"/>
  <c r="E1661" i="1"/>
  <c r="D1661" i="1"/>
  <c r="C1661" i="1"/>
  <c r="G1660" i="1"/>
  <c r="E1660" i="1"/>
  <c r="D1660" i="1"/>
  <c r="C1660" i="1"/>
  <c r="G1659" i="1"/>
  <c r="E1659" i="1"/>
  <c r="D1659" i="1"/>
  <c r="C1659" i="1"/>
  <c r="G1658" i="1"/>
  <c r="E1658" i="1"/>
  <c r="D1658" i="1"/>
  <c r="C1658" i="1"/>
  <c r="G1657" i="1"/>
  <c r="E1657" i="1"/>
  <c r="D1657" i="1"/>
  <c r="C1657" i="1"/>
  <c r="G1656" i="1"/>
  <c r="E1656" i="1"/>
  <c r="D1656" i="1"/>
  <c r="C1656" i="1"/>
  <c r="G1655" i="1"/>
  <c r="E1655" i="1"/>
  <c r="D1655" i="1"/>
  <c r="C1655" i="1"/>
  <c r="G1654" i="1"/>
  <c r="E1654" i="1"/>
  <c r="D1654" i="1"/>
  <c r="C1654" i="1"/>
  <c r="G1653" i="1"/>
  <c r="E1653" i="1"/>
  <c r="D1653" i="1"/>
  <c r="C1653" i="1"/>
  <c r="G1652" i="1"/>
  <c r="E1652" i="1"/>
  <c r="D1652" i="1"/>
  <c r="C1652" i="1"/>
  <c r="G1651" i="1"/>
  <c r="E1651" i="1"/>
  <c r="D1651" i="1"/>
  <c r="C1651" i="1"/>
  <c r="G1650" i="1"/>
  <c r="E1650" i="1"/>
  <c r="D1650" i="1"/>
  <c r="C1650" i="1"/>
  <c r="G1649" i="1"/>
  <c r="E1649" i="1"/>
  <c r="D1649" i="1"/>
  <c r="C1649" i="1"/>
  <c r="G1648" i="1"/>
  <c r="E1648" i="1"/>
  <c r="D1648" i="1"/>
  <c r="C1648" i="1"/>
  <c r="G1647" i="1"/>
  <c r="E1647" i="1"/>
  <c r="D1647" i="1"/>
  <c r="C1647" i="1"/>
  <c r="G1646" i="1"/>
  <c r="E1646" i="1"/>
  <c r="D1646" i="1"/>
  <c r="C1646" i="1"/>
  <c r="G1645" i="1"/>
  <c r="E1645" i="1"/>
  <c r="D1645" i="1"/>
  <c r="C1645" i="1"/>
  <c r="G1644" i="1"/>
  <c r="E1644" i="1"/>
  <c r="D1644" i="1"/>
  <c r="C1644" i="1"/>
  <c r="G1643" i="1"/>
  <c r="E1643" i="1"/>
  <c r="D1643" i="1"/>
  <c r="C1643" i="1"/>
  <c r="G1642" i="1"/>
  <c r="E1642" i="1"/>
  <c r="D1642" i="1"/>
  <c r="C1642" i="1"/>
  <c r="G1641" i="1"/>
  <c r="E1641" i="1"/>
  <c r="D1641" i="1"/>
  <c r="C1641" i="1"/>
  <c r="G1640" i="1"/>
  <c r="E1640" i="1"/>
  <c r="D1640" i="1"/>
  <c r="C1640" i="1"/>
  <c r="G1639" i="1"/>
  <c r="E1639" i="1"/>
  <c r="D1639" i="1"/>
  <c r="C1639" i="1"/>
  <c r="G1638" i="1"/>
  <c r="E1638" i="1"/>
  <c r="D1638" i="1"/>
  <c r="C1638" i="1"/>
  <c r="G1637" i="1"/>
  <c r="E1637" i="1"/>
  <c r="D1637" i="1"/>
  <c r="C1637" i="1"/>
  <c r="G1636" i="1"/>
  <c r="E1636" i="1"/>
  <c r="D1636" i="1"/>
  <c r="C1636" i="1"/>
  <c r="G1635" i="1"/>
  <c r="E1635" i="1"/>
  <c r="D1635" i="1"/>
  <c r="C1635" i="1"/>
  <c r="G1634" i="1"/>
  <c r="E1634" i="1"/>
  <c r="D1634" i="1"/>
  <c r="C1634" i="1"/>
  <c r="G1633" i="1"/>
  <c r="E1633" i="1"/>
  <c r="D1633" i="1"/>
  <c r="C1633" i="1"/>
  <c r="G1632" i="1"/>
  <c r="E1632" i="1"/>
  <c r="D1632" i="1"/>
  <c r="C1632" i="1"/>
  <c r="G1631" i="1"/>
  <c r="E1631" i="1"/>
  <c r="D1631" i="1"/>
  <c r="C1631" i="1"/>
  <c r="G1630" i="1"/>
  <c r="E1630" i="1"/>
  <c r="D1630" i="1"/>
  <c r="C1630" i="1"/>
  <c r="G1629" i="1"/>
  <c r="E1629" i="1"/>
  <c r="D1629" i="1"/>
  <c r="C1629" i="1"/>
  <c r="G1628" i="1"/>
  <c r="E1628" i="1"/>
  <c r="D1628" i="1"/>
  <c r="C1628" i="1"/>
  <c r="G1627" i="1"/>
  <c r="E1627" i="1"/>
  <c r="D1627" i="1"/>
  <c r="C1627" i="1"/>
  <c r="G1626" i="1"/>
  <c r="E1626" i="1"/>
  <c r="D1626" i="1"/>
  <c r="C1626" i="1"/>
  <c r="G1625" i="1"/>
  <c r="E1625" i="1"/>
  <c r="D1625" i="1"/>
  <c r="C1625" i="1"/>
  <c r="G1624" i="1"/>
  <c r="E1624" i="1"/>
  <c r="D1624" i="1"/>
  <c r="C1624" i="1"/>
  <c r="G1623" i="1"/>
  <c r="E1623" i="1"/>
  <c r="D1623" i="1"/>
  <c r="C1623" i="1"/>
  <c r="G1622" i="1"/>
  <c r="E1622" i="1"/>
  <c r="D1622" i="1"/>
  <c r="C1622" i="1"/>
  <c r="G1621" i="1"/>
  <c r="E1621" i="1"/>
  <c r="D1621" i="1"/>
  <c r="C1621" i="1"/>
  <c r="G1620" i="1"/>
  <c r="E1620" i="1"/>
  <c r="D1620" i="1"/>
  <c r="C1620" i="1"/>
  <c r="G1619" i="1"/>
  <c r="E1619" i="1"/>
  <c r="D1619" i="1"/>
  <c r="C1619" i="1"/>
  <c r="G1618" i="1"/>
  <c r="E1618" i="1"/>
  <c r="D1618" i="1"/>
  <c r="C1618" i="1"/>
  <c r="G1617" i="1"/>
  <c r="E1617" i="1"/>
  <c r="D1617" i="1"/>
  <c r="C1617" i="1"/>
  <c r="G1616" i="1"/>
  <c r="E1616" i="1"/>
  <c r="D1616" i="1"/>
  <c r="C1616" i="1"/>
  <c r="G1615" i="1"/>
  <c r="E1615" i="1"/>
  <c r="D1615" i="1"/>
  <c r="C1615" i="1"/>
  <c r="G1614" i="1"/>
  <c r="E1614" i="1"/>
  <c r="D1614" i="1"/>
  <c r="C1614" i="1"/>
  <c r="G1613" i="1"/>
  <c r="E1613" i="1"/>
  <c r="D1613" i="1"/>
  <c r="C1613" i="1"/>
  <c r="G1612" i="1"/>
  <c r="E1612" i="1"/>
  <c r="D1612" i="1"/>
  <c r="C1612" i="1"/>
  <c r="G1611" i="1"/>
  <c r="E1611" i="1"/>
  <c r="D1611" i="1"/>
  <c r="C1611" i="1"/>
  <c r="G1610" i="1"/>
  <c r="E1610" i="1"/>
  <c r="D1610" i="1"/>
  <c r="C1610" i="1"/>
  <c r="G1609" i="1"/>
  <c r="E1609" i="1"/>
  <c r="D1609" i="1"/>
  <c r="C1609" i="1"/>
  <c r="G1608" i="1"/>
  <c r="E1608" i="1"/>
  <c r="D1608" i="1"/>
  <c r="C1608" i="1"/>
  <c r="G1607" i="1"/>
  <c r="E1607" i="1"/>
  <c r="D1607" i="1"/>
  <c r="C1607" i="1"/>
  <c r="G1606" i="1"/>
  <c r="E1606" i="1"/>
  <c r="D1606" i="1"/>
  <c r="C1606" i="1"/>
  <c r="G1605" i="1"/>
  <c r="E1605" i="1"/>
  <c r="D1605" i="1"/>
  <c r="C1605" i="1"/>
  <c r="G1604" i="1"/>
  <c r="E1604" i="1"/>
  <c r="D1604" i="1"/>
  <c r="C1604" i="1"/>
  <c r="G1603" i="1"/>
  <c r="E1603" i="1"/>
  <c r="D1603" i="1"/>
  <c r="C1603" i="1"/>
  <c r="G1602" i="1"/>
  <c r="E1602" i="1"/>
  <c r="D1602" i="1"/>
  <c r="C1602" i="1"/>
  <c r="G1601" i="1"/>
  <c r="E1601" i="1"/>
  <c r="D1601" i="1"/>
  <c r="C1601" i="1"/>
  <c r="G1600" i="1"/>
  <c r="E1600" i="1"/>
  <c r="D1600" i="1"/>
  <c r="C1600" i="1"/>
  <c r="G1599" i="1"/>
  <c r="E1599" i="1"/>
  <c r="D1599" i="1"/>
  <c r="C1599" i="1"/>
  <c r="G1598" i="1"/>
  <c r="E1598" i="1"/>
  <c r="D1598" i="1"/>
  <c r="C1598" i="1"/>
  <c r="G1597" i="1"/>
  <c r="E1597" i="1"/>
  <c r="D1597" i="1"/>
  <c r="C1597" i="1"/>
  <c r="G1596" i="1"/>
  <c r="E1596" i="1"/>
  <c r="D1596" i="1"/>
  <c r="C1596" i="1"/>
  <c r="G1595" i="1"/>
  <c r="E1595" i="1"/>
  <c r="D1595" i="1"/>
  <c r="C1595" i="1"/>
  <c r="G1594" i="1"/>
  <c r="E1594" i="1"/>
  <c r="D1594" i="1"/>
  <c r="C1594" i="1"/>
  <c r="G1593" i="1"/>
  <c r="E1593" i="1"/>
  <c r="D1593" i="1"/>
  <c r="C1593" i="1"/>
  <c r="G1592" i="1"/>
  <c r="E1592" i="1"/>
  <c r="D1592" i="1"/>
  <c r="C1592" i="1"/>
  <c r="G1591" i="1"/>
  <c r="E1591" i="1"/>
  <c r="D1591" i="1"/>
  <c r="C1591" i="1"/>
  <c r="G1590" i="1"/>
  <c r="E1590" i="1"/>
  <c r="D1590" i="1"/>
  <c r="C1590" i="1"/>
  <c r="G1589" i="1"/>
  <c r="E1589" i="1"/>
  <c r="D1589" i="1"/>
  <c r="C1589" i="1"/>
  <c r="G1588" i="1"/>
  <c r="E1588" i="1"/>
  <c r="D1588" i="1"/>
  <c r="C1588" i="1"/>
  <c r="G1587" i="1"/>
  <c r="E1587" i="1"/>
  <c r="D1587" i="1"/>
  <c r="C1587" i="1"/>
  <c r="G1586" i="1"/>
  <c r="E1586" i="1"/>
  <c r="D1586" i="1"/>
  <c r="C1586" i="1"/>
  <c r="G1585" i="1"/>
  <c r="E1585" i="1"/>
  <c r="D1585" i="1"/>
  <c r="C1585" i="1"/>
  <c r="G1584" i="1"/>
  <c r="E1584" i="1"/>
  <c r="D1584" i="1"/>
  <c r="C1584" i="1"/>
  <c r="G1583" i="1"/>
  <c r="E1583" i="1"/>
  <c r="D1583" i="1"/>
  <c r="C1583" i="1"/>
  <c r="G1582" i="1"/>
  <c r="E1582" i="1"/>
  <c r="D1582" i="1"/>
  <c r="C1582" i="1"/>
  <c r="G1581" i="1"/>
  <c r="E1581" i="1"/>
  <c r="D1581" i="1"/>
  <c r="C1581" i="1"/>
  <c r="G1580" i="1"/>
  <c r="E1580" i="1"/>
  <c r="D1580" i="1"/>
  <c r="C1580" i="1"/>
  <c r="G1579" i="1"/>
  <c r="E1579" i="1"/>
  <c r="D1579" i="1"/>
  <c r="C1579" i="1"/>
  <c r="G1578" i="1"/>
  <c r="E1578" i="1"/>
  <c r="D1578" i="1"/>
  <c r="C1578" i="1"/>
  <c r="G1577" i="1"/>
  <c r="E1577" i="1"/>
  <c r="D1577" i="1"/>
  <c r="C1577" i="1"/>
  <c r="G1576" i="1"/>
  <c r="E1576" i="1"/>
  <c r="D1576" i="1"/>
  <c r="C1576" i="1"/>
  <c r="G1575" i="1"/>
  <c r="E1575" i="1"/>
  <c r="D1575" i="1"/>
  <c r="C1575" i="1"/>
  <c r="G1574" i="1"/>
  <c r="E1574" i="1"/>
  <c r="D1574" i="1"/>
  <c r="C1574" i="1"/>
  <c r="G1573" i="1"/>
  <c r="E1573" i="1"/>
  <c r="D1573" i="1"/>
  <c r="C1573" i="1"/>
  <c r="G1572" i="1"/>
  <c r="E1572" i="1"/>
  <c r="D1572" i="1"/>
  <c r="C1572" i="1"/>
  <c r="G1571" i="1"/>
  <c r="E1571" i="1"/>
  <c r="D1571" i="1"/>
  <c r="C1571" i="1"/>
  <c r="G1570" i="1"/>
  <c r="E1570" i="1"/>
  <c r="D1570" i="1"/>
  <c r="C1570" i="1"/>
  <c r="G1569" i="1"/>
  <c r="E1569" i="1"/>
  <c r="D1569" i="1"/>
  <c r="C1569" i="1"/>
  <c r="G1568" i="1"/>
  <c r="E1568" i="1"/>
  <c r="D1568" i="1"/>
  <c r="C1568" i="1"/>
  <c r="G1567" i="1"/>
  <c r="E1567" i="1"/>
  <c r="D1567" i="1"/>
  <c r="C1567" i="1"/>
  <c r="G1566" i="1"/>
  <c r="E1566" i="1"/>
  <c r="D1566" i="1"/>
  <c r="C1566" i="1"/>
  <c r="G1565" i="1"/>
  <c r="E1565" i="1"/>
  <c r="D1565" i="1"/>
  <c r="C1565" i="1"/>
  <c r="G1564" i="1"/>
  <c r="E1564" i="1"/>
  <c r="D1564" i="1"/>
  <c r="C1564" i="1"/>
  <c r="G1563" i="1"/>
  <c r="E1563" i="1"/>
  <c r="D1563" i="1"/>
  <c r="C1563" i="1"/>
  <c r="G1562" i="1"/>
  <c r="E1562" i="1"/>
  <c r="D1562" i="1"/>
  <c r="C1562" i="1"/>
  <c r="G1561" i="1"/>
  <c r="E1561" i="1"/>
  <c r="D1561" i="1"/>
  <c r="C1561" i="1"/>
  <c r="G1560" i="1"/>
  <c r="E1560" i="1"/>
  <c r="D1560" i="1"/>
  <c r="C1560" i="1"/>
  <c r="G1559" i="1"/>
  <c r="E1559" i="1"/>
  <c r="D1559" i="1"/>
  <c r="C1559" i="1"/>
  <c r="G1558" i="1"/>
  <c r="E1558" i="1"/>
  <c r="D1558" i="1"/>
  <c r="C1558" i="1"/>
  <c r="G1557" i="1"/>
  <c r="E1557" i="1"/>
  <c r="D1557" i="1"/>
  <c r="C1557" i="1"/>
  <c r="G1556" i="1"/>
  <c r="E1556" i="1"/>
  <c r="D1556" i="1"/>
  <c r="C1556" i="1"/>
  <c r="G1555" i="1"/>
  <c r="E1555" i="1"/>
  <c r="D1555" i="1"/>
  <c r="C1555" i="1"/>
  <c r="G1554" i="1"/>
  <c r="E1554" i="1"/>
  <c r="D1554" i="1"/>
  <c r="C1554" i="1"/>
  <c r="G1553" i="1"/>
  <c r="E1553" i="1"/>
  <c r="D1553" i="1"/>
  <c r="C1553" i="1"/>
  <c r="G1552" i="1"/>
  <c r="E1552" i="1"/>
  <c r="D1552" i="1"/>
  <c r="C1552" i="1"/>
  <c r="G1551" i="1"/>
  <c r="E1551" i="1"/>
  <c r="D1551" i="1"/>
  <c r="C1551" i="1"/>
  <c r="G1550" i="1"/>
  <c r="E1550" i="1"/>
  <c r="D1550" i="1"/>
  <c r="C1550" i="1"/>
  <c r="G1549" i="1"/>
  <c r="E1549" i="1"/>
  <c r="D1549" i="1"/>
  <c r="C1549" i="1"/>
  <c r="G1548" i="1"/>
  <c r="E1548" i="1"/>
  <c r="D1548" i="1"/>
  <c r="C1548" i="1"/>
  <c r="G1547" i="1"/>
  <c r="E1547" i="1"/>
  <c r="D1547" i="1"/>
  <c r="C1547" i="1"/>
  <c r="G1546" i="1"/>
  <c r="E1546" i="1"/>
  <c r="D1546" i="1"/>
  <c r="C1546" i="1"/>
  <c r="G1545" i="1"/>
  <c r="E1545" i="1"/>
  <c r="D1545" i="1"/>
  <c r="C1545" i="1"/>
  <c r="G1544" i="1"/>
  <c r="E1544" i="1"/>
  <c r="D1544" i="1"/>
  <c r="C1544" i="1"/>
  <c r="G1543" i="1"/>
  <c r="E1543" i="1"/>
  <c r="D1543" i="1"/>
  <c r="C1543" i="1"/>
  <c r="G1542" i="1"/>
  <c r="E1542" i="1"/>
  <c r="D1542" i="1"/>
  <c r="C1542" i="1"/>
  <c r="G1541" i="1"/>
  <c r="E1541" i="1"/>
  <c r="D1541" i="1"/>
  <c r="C1541" i="1"/>
  <c r="G1540" i="1"/>
  <c r="E1540" i="1"/>
  <c r="D1540" i="1"/>
  <c r="C1540" i="1"/>
  <c r="G1539" i="1"/>
  <c r="E1539" i="1"/>
  <c r="D1539" i="1"/>
  <c r="C1539" i="1"/>
  <c r="G1538" i="1"/>
  <c r="E1538" i="1"/>
  <c r="D1538" i="1"/>
  <c r="C1538" i="1"/>
  <c r="G1537" i="1"/>
  <c r="E1537" i="1"/>
  <c r="D1537" i="1"/>
  <c r="C1537" i="1"/>
  <c r="G1536" i="1"/>
  <c r="E1536" i="1"/>
  <c r="D1536" i="1"/>
  <c r="C1536" i="1"/>
  <c r="G1535" i="1"/>
  <c r="E1535" i="1"/>
  <c r="D1535" i="1"/>
  <c r="C1535" i="1"/>
  <c r="G1534" i="1"/>
  <c r="E1534" i="1"/>
  <c r="D1534" i="1"/>
  <c r="C1534" i="1"/>
  <c r="G1533" i="1"/>
  <c r="E1533" i="1"/>
  <c r="D1533" i="1"/>
  <c r="C1533" i="1"/>
  <c r="G1532" i="1"/>
  <c r="E1532" i="1"/>
  <c r="D1532" i="1"/>
  <c r="C1532" i="1"/>
  <c r="G1531" i="1"/>
  <c r="E1531" i="1"/>
  <c r="D1531" i="1"/>
  <c r="C1531" i="1"/>
  <c r="G1530" i="1"/>
  <c r="E1530" i="1"/>
  <c r="D1530" i="1"/>
  <c r="C1530" i="1"/>
  <c r="G1529" i="1"/>
  <c r="E1529" i="1"/>
  <c r="D1529" i="1"/>
  <c r="C1529" i="1"/>
  <c r="G1528" i="1"/>
  <c r="E1528" i="1"/>
  <c r="D1528" i="1"/>
  <c r="C1528" i="1"/>
  <c r="G1527" i="1"/>
  <c r="E1527" i="1"/>
  <c r="D1527" i="1"/>
  <c r="C1527" i="1"/>
  <c r="G1526" i="1"/>
  <c r="E1526" i="1"/>
  <c r="D1526" i="1"/>
  <c r="C1526" i="1"/>
  <c r="G1525" i="1"/>
  <c r="E1525" i="1"/>
  <c r="D1525" i="1"/>
  <c r="C1525" i="1"/>
  <c r="G1524" i="1"/>
  <c r="E1524" i="1"/>
  <c r="D1524" i="1"/>
  <c r="C1524" i="1"/>
  <c r="G1523" i="1"/>
  <c r="E1523" i="1"/>
  <c r="D1523" i="1"/>
  <c r="C1523" i="1"/>
  <c r="G1522" i="1"/>
  <c r="E1522" i="1"/>
  <c r="D1522" i="1"/>
  <c r="C1522" i="1"/>
  <c r="G1521" i="1"/>
  <c r="E1521" i="1"/>
  <c r="D1521" i="1"/>
  <c r="C1521" i="1"/>
  <c r="G1520" i="1"/>
  <c r="E1520" i="1"/>
  <c r="D1520" i="1"/>
  <c r="C1520" i="1"/>
  <c r="G1519" i="1"/>
  <c r="E1519" i="1"/>
  <c r="D1519" i="1"/>
  <c r="C1519" i="1"/>
  <c r="G1518" i="1"/>
  <c r="E1518" i="1"/>
  <c r="D1518" i="1"/>
  <c r="C1518" i="1"/>
  <c r="G1517" i="1"/>
  <c r="E1517" i="1"/>
  <c r="D1517" i="1"/>
  <c r="C1517" i="1"/>
  <c r="G1516" i="1"/>
  <c r="E1516" i="1"/>
  <c r="D1516" i="1"/>
  <c r="C1516" i="1"/>
  <c r="G1515" i="1"/>
  <c r="E1515" i="1"/>
  <c r="D1515" i="1"/>
  <c r="C1515" i="1"/>
  <c r="G1514" i="1"/>
  <c r="E1514" i="1"/>
  <c r="D1514" i="1"/>
  <c r="C1514" i="1"/>
  <c r="G1513" i="1"/>
  <c r="E1513" i="1"/>
  <c r="D1513" i="1"/>
  <c r="C1513" i="1"/>
  <c r="G1512" i="1"/>
  <c r="E1512" i="1"/>
  <c r="D1512" i="1"/>
  <c r="C1512" i="1"/>
  <c r="G1511" i="1"/>
  <c r="E1511" i="1"/>
  <c r="D1511" i="1"/>
  <c r="C1511" i="1"/>
  <c r="G1510" i="1"/>
  <c r="E1510" i="1"/>
  <c r="D1510" i="1"/>
  <c r="C1510" i="1"/>
  <c r="G1509" i="1"/>
  <c r="E1509" i="1"/>
  <c r="D1509" i="1"/>
  <c r="C1509" i="1"/>
  <c r="G1508" i="1"/>
  <c r="E1508" i="1"/>
  <c r="D1508" i="1"/>
  <c r="C1508" i="1"/>
  <c r="G1507" i="1"/>
  <c r="E1507" i="1"/>
  <c r="D1507" i="1"/>
  <c r="C1507" i="1"/>
  <c r="G1506" i="1"/>
  <c r="E1506" i="1"/>
  <c r="D1506" i="1"/>
  <c r="C1506" i="1"/>
  <c r="G1505" i="1"/>
  <c r="E1505" i="1"/>
  <c r="D1505" i="1"/>
  <c r="C1505" i="1"/>
  <c r="G1504" i="1"/>
  <c r="E1504" i="1"/>
  <c r="D1504" i="1"/>
  <c r="C1504" i="1"/>
  <c r="G1503" i="1"/>
  <c r="E1503" i="1"/>
  <c r="D1503" i="1"/>
  <c r="C1503" i="1"/>
  <c r="G1502" i="1"/>
  <c r="E1502" i="1"/>
  <c r="D1502" i="1"/>
  <c r="C1502" i="1"/>
  <c r="G1501" i="1"/>
  <c r="E1501" i="1"/>
  <c r="D1501" i="1"/>
  <c r="C1501" i="1"/>
  <c r="G1500" i="1"/>
  <c r="E1500" i="1"/>
  <c r="D1500" i="1"/>
  <c r="C1500" i="1"/>
  <c r="G1499" i="1"/>
  <c r="E1499" i="1"/>
  <c r="D1499" i="1"/>
  <c r="C1499" i="1"/>
  <c r="G1498" i="1"/>
  <c r="E1498" i="1"/>
  <c r="D1498" i="1"/>
  <c r="C1498" i="1"/>
  <c r="G1497" i="1"/>
  <c r="E1497" i="1"/>
  <c r="D1497" i="1"/>
  <c r="C1497" i="1"/>
  <c r="G1496" i="1"/>
  <c r="E1496" i="1"/>
  <c r="D1496" i="1"/>
  <c r="C1496" i="1"/>
  <c r="G1495" i="1"/>
  <c r="E1495" i="1"/>
  <c r="D1495" i="1"/>
  <c r="C1495" i="1"/>
  <c r="G1494" i="1"/>
  <c r="E1494" i="1"/>
  <c r="D1494" i="1"/>
  <c r="C1494" i="1"/>
  <c r="G1493" i="1"/>
  <c r="E1493" i="1"/>
  <c r="D1493" i="1"/>
  <c r="C1493" i="1"/>
  <c r="G1492" i="1"/>
  <c r="E1492" i="1"/>
  <c r="D1492" i="1"/>
  <c r="C1492" i="1"/>
  <c r="G1491" i="1"/>
  <c r="E1491" i="1"/>
  <c r="D1491" i="1"/>
  <c r="C1491" i="1"/>
  <c r="G1490" i="1"/>
  <c r="E1490" i="1"/>
  <c r="D1490" i="1"/>
  <c r="C1490" i="1"/>
  <c r="G1489" i="1"/>
  <c r="E1489" i="1"/>
  <c r="D1489" i="1"/>
  <c r="C1489" i="1"/>
  <c r="G1488" i="1"/>
  <c r="E1488" i="1"/>
  <c r="D1488" i="1"/>
  <c r="C1488" i="1"/>
  <c r="G1487" i="1"/>
  <c r="E1487" i="1"/>
  <c r="D1487" i="1"/>
  <c r="C1487" i="1"/>
  <c r="G1486" i="1"/>
  <c r="E1486" i="1"/>
  <c r="D1486" i="1"/>
  <c r="C1486" i="1"/>
  <c r="G1485" i="1"/>
  <c r="E1485" i="1"/>
  <c r="D1485" i="1"/>
  <c r="C1485" i="1"/>
  <c r="G1484" i="1"/>
  <c r="E1484" i="1"/>
  <c r="D1484" i="1"/>
  <c r="C1484" i="1"/>
  <c r="G1483" i="1"/>
  <c r="E1483" i="1"/>
  <c r="D1483" i="1"/>
  <c r="C1483" i="1"/>
  <c r="G1482" i="1"/>
  <c r="E1482" i="1"/>
  <c r="D1482" i="1"/>
  <c r="C1482" i="1"/>
  <c r="G1481" i="1"/>
  <c r="E1481" i="1"/>
  <c r="D1481" i="1"/>
  <c r="C1481" i="1"/>
  <c r="G1480" i="1"/>
  <c r="E1480" i="1"/>
  <c r="D1480" i="1"/>
  <c r="C1480" i="1"/>
  <c r="G1479" i="1"/>
  <c r="E1479" i="1"/>
  <c r="D1479" i="1"/>
  <c r="C1479" i="1"/>
  <c r="G1478" i="1"/>
  <c r="E1478" i="1"/>
  <c r="D1478" i="1"/>
  <c r="C1478" i="1"/>
  <c r="G1477" i="1"/>
  <c r="E1477" i="1"/>
  <c r="D1477" i="1"/>
  <c r="C1477" i="1"/>
  <c r="G1476" i="1"/>
  <c r="E1476" i="1"/>
  <c r="D1476" i="1"/>
  <c r="C1476" i="1"/>
  <c r="G1475" i="1"/>
  <c r="E1475" i="1"/>
  <c r="D1475" i="1"/>
  <c r="C1475" i="1"/>
  <c r="G1474" i="1"/>
  <c r="E1474" i="1"/>
  <c r="D1474" i="1"/>
  <c r="C1474" i="1"/>
  <c r="G1473" i="1"/>
  <c r="E1473" i="1"/>
  <c r="D1473" i="1"/>
  <c r="C1473" i="1"/>
  <c r="G1472" i="1"/>
  <c r="E1472" i="1"/>
  <c r="D1472" i="1"/>
  <c r="C1472" i="1"/>
  <c r="G1471" i="1"/>
  <c r="E1471" i="1"/>
  <c r="D1471" i="1"/>
  <c r="C1471" i="1"/>
  <c r="G1470" i="1"/>
  <c r="E1470" i="1"/>
  <c r="D1470" i="1"/>
  <c r="C1470" i="1"/>
  <c r="G1469" i="1"/>
  <c r="E1469" i="1"/>
  <c r="D1469" i="1"/>
  <c r="C1469" i="1"/>
  <c r="G1468" i="1"/>
  <c r="E1468" i="1"/>
  <c r="D1468" i="1"/>
  <c r="C1468" i="1"/>
  <c r="G1467" i="1"/>
  <c r="E1467" i="1"/>
  <c r="D1467" i="1"/>
  <c r="C1467" i="1"/>
  <c r="G1466" i="1"/>
  <c r="E1466" i="1"/>
  <c r="D1466" i="1"/>
  <c r="C1466" i="1"/>
  <c r="G1465" i="1"/>
  <c r="E1465" i="1"/>
  <c r="D1465" i="1"/>
  <c r="C1465" i="1"/>
  <c r="G1464" i="1"/>
  <c r="E1464" i="1"/>
  <c r="D1464" i="1"/>
  <c r="C1464" i="1"/>
  <c r="G1463" i="1"/>
  <c r="E1463" i="1"/>
  <c r="D1463" i="1"/>
  <c r="C1463" i="1"/>
  <c r="G1462" i="1"/>
  <c r="E1462" i="1"/>
  <c r="D1462" i="1"/>
  <c r="C1462" i="1"/>
  <c r="G1461" i="1"/>
  <c r="E1461" i="1"/>
  <c r="D1461" i="1"/>
  <c r="C1461" i="1"/>
  <c r="G1460" i="1"/>
  <c r="E1460" i="1"/>
  <c r="D1460" i="1"/>
  <c r="C1460" i="1"/>
  <c r="G1459" i="1"/>
  <c r="E1459" i="1"/>
  <c r="D1459" i="1"/>
  <c r="C1459" i="1"/>
  <c r="G1458" i="1"/>
  <c r="E1458" i="1"/>
  <c r="D1458" i="1"/>
  <c r="C1458" i="1"/>
  <c r="G1457" i="1"/>
  <c r="E1457" i="1"/>
  <c r="D1457" i="1"/>
  <c r="C1457" i="1"/>
  <c r="G1456" i="1"/>
  <c r="E1456" i="1"/>
  <c r="D1456" i="1"/>
  <c r="C1456" i="1"/>
  <c r="G1455" i="1"/>
  <c r="E1455" i="1"/>
  <c r="D1455" i="1"/>
  <c r="C1455" i="1"/>
  <c r="G1454" i="1"/>
  <c r="E1454" i="1"/>
  <c r="D1454" i="1"/>
  <c r="C1454" i="1"/>
  <c r="G1453" i="1"/>
  <c r="E1453" i="1"/>
  <c r="D1453" i="1"/>
  <c r="C1453" i="1"/>
  <c r="G1452" i="1"/>
  <c r="E1452" i="1"/>
  <c r="D1452" i="1"/>
  <c r="C1452" i="1"/>
  <c r="G1451" i="1"/>
  <c r="E1451" i="1"/>
  <c r="D1451" i="1"/>
  <c r="C1451" i="1"/>
  <c r="G1450" i="1"/>
  <c r="E1450" i="1"/>
  <c r="D1450" i="1"/>
  <c r="C1450" i="1"/>
  <c r="G1449" i="1"/>
  <c r="E1449" i="1"/>
  <c r="D1449" i="1"/>
  <c r="C1449" i="1"/>
  <c r="G1448" i="1"/>
  <c r="E1448" i="1"/>
  <c r="D1448" i="1"/>
  <c r="C1448" i="1"/>
  <c r="G1447" i="1"/>
  <c r="E1447" i="1"/>
  <c r="D1447" i="1"/>
  <c r="C1447" i="1"/>
  <c r="G1446" i="1"/>
  <c r="E1446" i="1"/>
  <c r="D1446" i="1"/>
  <c r="C1446" i="1"/>
  <c r="G1445" i="1"/>
  <c r="E1445" i="1"/>
  <c r="D1445" i="1"/>
  <c r="C1445" i="1"/>
  <c r="G1444" i="1"/>
  <c r="E1444" i="1"/>
  <c r="D1444" i="1"/>
  <c r="C1444" i="1"/>
  <c r="G1443" i="1"/>
  <c r="E1443" i="1"/>
  <c r="D1443" i="1"/>
  <c r="C1443" i="1"/>
  <c r="G1442" i="1"/>
  <c r="E1442" i="1"/>
  <c r="D1442" i="1"/>
  <c r="C1442" i="1"/>
  <c r="G1441" i="1"/>
  <c r="E1441" i="1"/>
  <c r="D1441" i="1"/>
  <c r="C1441" i="1"/>
  <c r="G1440" i="1"/>
  <c r="E1440" i="1"/>
  <c r="D1440" i="1"/>
  <c r="C1440" i="1"/>
  <c r="G1439" i="1"/>
  <c r="E1439" i="1"/>
  <c r="D1439" i="1"/>
  <c r="C1439" i="1"/>
  <c r="G1438" i="1"/>
  <c r="E1438" i="1"/>
  <c r="D1438" i="1"/>
  <c r="C1438" i="1"/>
  <c r="G1437" i="1"/>
  <c r="E1437" i="1"/>
  <c r="D1437" i="1"/>
  <c r="C1437" i="1"/>
  <c r="G1436" i="1"/>
  <c r="E1436" i="1"/>
  <c r="D1436" i="1"/>
  <c r="C1436" i="1"/>
  <c r="G1435" i="1"/>
  <c r="E1435" i="1"/>
  <c r="D1435" i="1"/>
  <c r="C1435" i="1"/>
  <c r="G1434" i="1"/>
  <c r="E1434" i="1"/>
  <c r="D1434" i="1"/>
  <c r="C1434" i="1"/>
  <c r="G1433" i="1"/>
  <c r="E1433" i="1"/>
  <c r="D1433" i="1"/>
  <c r="C1433" i="1"/>
  <c r="G1432" i="1"/>
  <c r="E1432" i="1"/>
  <c r="D1432" i="1"/>
  <c r="C1432" i="1"/>
  <c r="G1431" i="1"/>
  <c r="E1431" i="1"/>
  <c r="D1431" i="1"/>
  <c r="C1431" i="1"/>
  <c r="G1430" i="1"/>
  <c r="E1430" i="1"/>
  <c r="D1430" i="1"/>
  <c r="C1430" i="1"/>
  <c r="G1429" i="1"/>
  <c r="E1429" i="1"/>
  <c r="D1429" i="1"/>
  <c r="C1429" i="1"/>
  <c r="G1428" i="1"/>
  <c r="E1428" i="1"/>
  <c r="D1428" i="1"/>
  <c r="C1428" i="1"/>
  <c r="G1427" i="1"/>
  <c r="E1427" i="1"/>
  <c r="D1427" i="1"/>
  <c r="C1427" i="1"/>
  <c r="G1426" i="1"/>
  <c r="E1426" i="1"/>
  <c r="D1426" i="1"/>
  <c r="C1426" i="1"/>
  <c r="G1425" i="1"/>
  <c r="E1425" i="1"/>
  <c r="D1425" i="1"/>
  <c r="C1425" i="1"/>
  <c r="G1424" i="1"/>
  <c r="E1424" i="1"/>
  <c r="D1424" i="1"/>
  <c r="C1424" i="1"/>
  <c r="G1423" i="1"/>
  <c r="E1423" i="1"/>
  <c r="D1423" i="1"/>
  <c r="C1423" i="1"/>
  <c r="G1422" i="1"/>
  <c r="E1422" i="1"/>
  <c r="D1422" i="1"/>
  <c r="C1422" i="1"/>
  <c r="G1421" i="1"/>
  <c r="E1421" i="1"/>
  <c r="D1421" i="1"/>
  <c r="C1421" i="1"/>
  <c r="G1420" i="1"/>
  <c r="E1420" i="1"/>
  <c r="D1420" i="1"/>
  <c r="C1420" i="1"/>
  <c r="G1419" i="1"/>
  <c r="E1419" i="1"/>
  <c r="D1419" i="1"/>
  <c r="C1419" i="1"/>
  <c r="G1418" i="1"/>
  <c r="E1418" i="1"/>
  <c r="D1418" i="1"/>
  <c r="C1418" i="1"/>
  <c r="G1417" i="1"/>
  <c r="E1417" i="1"/>
  <c r="D1417" i="1"/>
  <c r="C1417" i="1"/>
  <c r="G1416" i="1"/>
  <c r="E1416" i="1"/>
  <c r="D1416" i="1"/>
  <c r="C1416" i="1"/>
  <c r="G1415" i="1"/>
  <c r="E1415" i="1"/>
  <c r="D1415" i="1"/>
  <c r="C1415" i="1"/>
  <c r="G1414" i="1"/>
  <c r="E1414" i="1"/>
  <c r="D1414" i="1"/>
  <c r="C1414" i="1"/>
  <c r="G1413" i="1"/>
  <c r="E1413" i="1"/>
  <c r="D1413" i="1"/>
  <c r="C1413" i="1"/>
  <c r="G1412" i="1"/>
  <c r="E1412" i="1"/>
  <c r="D1412" i="1"/>
  <c r="C1412" i="1"/>
  <c r="G1411" i="1"/>
  <c r="E1411" i="1"/>
  <c r="D1411" i="1"/>
  <c r="C1411" i="1"/>
  <c r="G1410" i="1"/>
  <c r="E1410" i="1"/>
  <c r="D1410" i="1"/>
  <c r="C1410" i="1"/>
  <c r="G1409" i="1"/>
  <c r="E1409" i="1"/>
  <c r="D1409" i="1"/>
  <c r="C1409" i="1"/>
  <c r="G1408" i="1"/>
  <c r="E1408" i="1"/>
  <c r="D1408" i="1"/>
  <c r="C1408" i="1"/>
  <c r="G1407" i="1"/>
  <c r="E1407" i="1"/>
  <c r="D1407" i="1"/>
  <c r="C1407" i="1"/>
  <c r="G1406" i="1"/>
  <c r="E1406" i="1"/>
  <c r="D1406" i="1"/>
  <c r="C1406" i="1"/>
  <c r="G1405" i="1"/>
  <c r="E1405" i="1"/>
  <c r="D1405" i="1"/>
  <c r="C1405" i="1"/>
  <c r="G1404" i="1"/>
  <c r="E1404" i="1"/>
  <c r="D1404" i="1"/>
  <c r="C1404" i="1"/>
  <c r="G1403" i="1"/>
  <c r="E1403" i="1"/>
  <c r="D1403" i="1"/>
  <c r="C1403" i="1"/>
  <c r="G1402" i="1"/>
  <c r="E1402" i="1"/>
  <c r="D1402" i="1"/>
  <c r="C1402" i="1"/>
  <c r="G1401" i="1"/>
  <c r="E1401" i="1"/>
  <c r="D1401" i="1"/>
  <c r="C1401" i="1"/>
  <c r="G1400" i="1"/>
  <c r="E1400" i="1"/>
  <c r="D1400" i="1"/>
  <c r="C1400" i="1"/>
  <c r="G1399" i="1"/>
  <c r="E1399" i="1"/>
  <c r="D1399" i="1"/>
  <c r="C1399" i="1"/>
  <c r="G1398" i="1"/>
  <c r="E1398" i="1"/>
  <c r="D1398" i="1"/>
  <c r="C1398" i="1"/>
  <c r="G1397" i="1"/>
  <c r="E1397" i="1"/>
  <c r="D1397" i="1"/>
  <c r="C1397" i="1"/>
  <c r="G1396" i="1"/>
  <c r="E1396" i="1"/>
  <c r="D1396" i="1"/>
  <c r="C1396" i="1"/>
  <c r="G1395" i="1"/>
  <c r="E1395" i="1"/>
  <c r="D1395" i="1"/>
  <c r="C1395" i="1"/>
  <c r="G1394" i="1"/>
  <c r="E1394" i="1"/>
  <c r="D1394" i="1"/>
  <c r="C1394" i="1"/>
  <c r="G1393" i="1"/>
  <c r="E1393" i="1"/>
  <c r="D1393" i="1"/>
  <c r="C1393" i="1"/>
  <c r="G1392" i="1"/>
  <c r="E1392" i="1"/>
  <c r="D1392" i="1"/>
  <c r="C1392" i="1"/>
  <c r="G1391" i="1"/>
  <c r="E1391" i="1"/>
  <c r="D1391" i="1"/>
  <c r="C1391" i="1"/>
  <c r="G1390" i="1"/>
  <c r="E1390" i="1"/>
  <c r="D1390" i="1"/>
  <c r="C1390" i="1"/>
  <c r="G1389" i="1"/>
  <c r="E1389" i="1"/>
  <c r="D1389" i="1"/>
  <c r="C1389" i="1"/>
  <c r="G1388" i="1"/>
  <c r="E1388" i="1"/>
  <c r="D1388" i="1"/>
  <c r="C1388" i="1"/>
  <c r="G1387" i="1"/>
  <c r="E1387" i="1"/>
  <c r="D1387" i="1"/>
  <c r="C1387" i="1"/>
  <c r="G1386" i="1"/>
  <c r="E1386" i="1"/>
  <c r="D1386" i="1"/>
  <c r="C1386" i="1"/>
  <c r="G1385" i="1"/>
  <c r="E1385" i="1"/>
  <c r="D1385" i="1"/>
  <c r="C1385" i="1"/>
  <c r="G1384" i="1"/>
  <c r="E1384" i="1"/>
  <c r="D1384" i="1"/>
  <c r="C1384" i="1"/>
  <c r="G1383" i="1"/>
  <c r="E1383" i="1"/>
  <c r="D1383" i="1"/>
  <c r="C1383" i="1"/>
  <c r="G1382" i="1"/>
  <c r="E1382" i="1"/>
  <c r="D1382" i="1"/>
  <c r="C1382" i="1"/>
  <c r="G1381" i="1"/>
  <c r="E1381" i="1"/>
  <c r="D1381" i="1"/>
  <c r="C1381" i="1"/>
  <c r="G1380" i="1"/>
  <c r="E1380" i="1"/>
  <c r="D1380" i="1"/>
  <c r="C1380" i="1"/>
  <c r="G1379" i="1"/>
  <c r="E1379" i="1"/>
  <c r="D1379" i="1"/>
  <c r="C1379" i="1"/>
  <c r="G1378" i="1"/>
  <c r="E1378" i="1"/>
  <c r="D1378" i="1"/>
  <c r="C1378" i="1"/>
  <c r="G1377" i="1"/>
  <c r="E1377" i="1"/>
  <c r="D1377" i="1"/>
  <c r="C1377" i="1"/>
  <c r="G1376" i="1"/>
  <c r="E1376" i="1"/>
  <c r="D1376" i="1"/>
  <c r="C1376" i="1"/>
  <c r="G1375" i="1"/>
  <c r="E1375" i="1"/>
  <c r="D1375" i="1"/>
  <c r="C1375" i="1"/>
  <c r="G1374" i="1"/>
  <c r="E1374" i="1"/>
  <c r="D1374" i="1"/>
  <c r="C1374" i="1"/>
  <c r="G1373" i="1"/>
  <c r="E1373" i="1"/>
  <c r="D1373" i="1"/>
  <c r="C1373" i="1"/>
  <c r="G1372" i="1"/>
  <c r="E1372" i="1"/>
  <c r="D1372" i="1"/>
  <c r="C1372" i="1"/>
  <c r="G1371" i="1"/>
  <c r="E1371" i="1"/>
  <c r="D1371" i="1"/>
  <c r="C1371" i="1"/>
  <c r="G1370" i="1"/>
  <c r="E1370" i="1"/>
  <c r="D1370" i="1"/>
  <c r="C1370" i="1"/>
  <c r="G1369" i="1"/>
  <c r="E1369" i="1"/>
  <c r="D1369" i="1"/>
  <c r="C1369" i="1"/>
  <c r="G1368" i="1"/>
  <c r="E1368" i="1"/>
  <c r="D1368" i="1"/>
  <c r="C1368" i="1"/>
  <c r="G1367" i="1"/>
  <c r="E1367" i="1"/>
  <c r="D1367" i="1"/>
  <c r="C1367" i="1"/>
  <c r="G1366" i="1"/>
  <c r="E1366" i="1"/>
  <c r="D1366" i="1"/>
  <c r="C1366" i="1"/>
  <c r="G1365" i="1"/>
  <c r="E1365" i="1"/>
  <c r="D1365" i="1"/>
  <c r="C1365" i="1"/>
  <c r="G1364" i="1"/>
  <c r="E1364" i="1"/>
  <c r="D1364" i="1"/>
  <c r="C1364" i="1"/>
  <c r="G1363" i="1"/>
  <c r="E1363" i="1"/>
  <c r="D1363" i="1"/>
  <c r="C1363" i="1"/>
  <c r="G1362" i="1"/>
  <c r="E1362" i="1"/>
  <c r="D1362" i="1"/>
  <c r="C1362" i="1"/>
  <c r="G1361" i="1"/>
  <c r="E1361" i="1"/>
  <c r="D1361" i="1"/>
  <c r="C1361" i="1"/>
  <c r="G1360" i="1"/>
  <c r="E1360" i="1"/>
  <c r="D1360" i="1"/>
  <c r="C1360" i="1"/>
  <c r="G1359" i="1"/>
  <c r="E1359" i="1"/>
  <c r="D1359" i="1"/>
  <c r="C1359" i="1"/>
  <c r="G1358" i="1"/>
  <c r="E1358" i="1"/>
  <c r="D1358" i="1"/>
  <c r="C1358" i="1"/>
  <c r="G1357" i="1"/>
  <c r="E1357" i="1"/>
  <c r="D1357" i="1"/>
  <c r="C1357" i="1"/>
  <c r="G1356" i="1"/>
  <c r="E1356" i="1"/>
  <c r="D1356" i="1"/>
  <c r="C1356" i="1"/>
  <c r="G1355" i="1"/>
  <c r="E1355" i="1"/>
  <c r="D1355" i="1"/>
  <c r="C1355" i="1"/>
  <c r="G1354" i="1"/>
  <c r="E1354" i="1"/>
  <c r="D1354" i="1"/>
  <c r="C1354" i="1"/>
  <c r="G1353" i="1"/>
  <c r="E1353" i="1"/>
  <c r="D1353" i="1"/>
  <c r="C1353" i="1"/>
  <c r="G1352" i="1"/>
  <c r="E1352" i="1"/>
  <c r="D1352" i="1"/>
  <c r="C1352" i="1"/>
  <c r="G1351" i="1"/>
  <c r="E1351" i="1"/>
  <c r="D1351" i="1"/>
  <c r="C1351" i="1"/>
  <c r="G1350" i="1"/>
  <c r="E1350" i="1"/>
  <c r="D1350" i="1"/>
  <c r="C1350" i="1"/>
  <c r="G1349" i="1"/>
  <c r="E1349" i="1"/>
  <c r="D1349" i="1"/>
  <c r="C1349" i="1"/>
  <c r="G1348" i="1"/>
  <c r="E1348" i="1"/>
  <c r="D1348" i="1"/>
  <c r="C1348" i="1"/>
  <c r="G1347" i="1"/>
  <c r="E1347" i="1"/>
  <c r="D1347" i="1"/>
  <c r="C1347" i="1"/>
  <c r="G1346" i="1"/>
  <c r="E1346" i="1"/>
  <c r="D1346" i="1"/>
  <c r="C1346" i="1"/>
  <c r="G1345" i="1"/>
  <c r="E1345" i="1"/>
  <c r="D1345" i="1"/>
  <c r="C1345" i="1"/>
  <c r="G1344" i="1"/>
  <c r="E1344" i="1"/>
  <c r="D1344" i="1"/>
  <c r="C1344" i="1"/>
  <c r="G1343" i="1"/>
  <c r="E1343" i="1"/>
  <c r="D1343" i="1"/>
  <c r="C1343" i="1"/>
  <c r="G1342" i="1"/>
  <c r="E1342" i="1"/>
  <c r="D1342" i="1"/>
  <c r="C1342" i="1"/>
  <c r="G1341" i="1"/>
  <c r="E1341" i="1"/>
  <c r="D1341" i="1"/>
  <c r="C1341" i="1"/>
  <c r="G1340" i="1"/>
  <c r="E1340" i="1"/>
  <c r="D1340" i="1"/>
  <c r="C1340" i="1"/>
  <c r="G1339" i="1"/>
  <c r="E1339" i="1"/>
  <c r="D1339" i="1"/>
  <c r="C1339" i="1"/>
  <c r="G1338" i="1"/>
  <c r="E1338" i="1"/>
  <c r="D1338" i="1"/>
  <c r="C1338" i="1"/>
  <c r="G1337" i="1"/>
  <c r="E1337" i="1"/>
  <c r="D1337" i="1"/>
  <c r="C1337" i="1"/>
  <c r="G1336" i="1"/>
  <c r="E1336" i="1"/>
  <c r="D1336" i="1"/>
  <c r="C1336" i="1"/>
  <c r="G1335" i="1"/>
  <c r="E1335" i="1"/>
  <c r="D1335" i="1"/>
  <c r="C1335" i="1"/>
  <c r="G1334" i="1"/>
  <c r="E1334" i="1"/>
  <c r="D1334" i="1"/>
  <c r="C1334" i="1"/>
  <c r="G1333" i="1"/>
  <c r="E1333" i="1"/>
  <c r="D1333" i="1"/>
  <c r="C1333" i="1"/>
  <c r="G1332" i="1"/>
  <c r="E1332" i="1"/>
  <c r="D1332" i="1"/>
  <c r="C1332" i="1"/>
  <c r="G1331" i="1"/>
  <c r="E1331" i="1"/>
  <c r="D1331" i="1"/>
  <c r="C1331" i="1"/>
  <c r="G1330" i="1"/>
  <c r="E1330" i="1"/>
  <c r="D1330" i="1"/>
  <c r="C1330" i="1"/>
  <c r="G1329" i="1"/>
  <c r="E1329" i="1"/>
  <c r="D1329" i="1"/>
  <c r="C1329" i="1"/>
  <c r="G1328" i="1"/>
  <c r="E1328" i="1"/>
  <c r="D1328" i="1"/>
  <c r="C1328" i="1"/>
  <c r="G1327" i="1"/>
  <c r="E1327" i="1"/>
  <c r="D1327" i="1"/>
  <c r="C1327" i="1"/>
  <c r="G1326" i="1"/>
  <c r="E1326" i="1"/>
  <c r="D1326" i="1"/>
  <c r="C1326" i="1"/>
  <c r="G1325" i="1"/>
  <c r="E1325" i="1"/>
  <c r="D1325" i="1"/>
  <c r="C1325" i="1"/>
  <c r="G1324" i="1"/>
  <c r="E1324" i="1"/>
  <c r="D1324" i="1"/>
  <c r="C1324" i="1"/>
  <c r="G1323" i="1"/>
  <c r="E1323" i="1"/>
  <c r="D1323" i="1"/>
  <c r="C1323" i="1"/>
  <c r="G1322" i="1"/>
  <c r="E1322" i="1"/>
  <c r="D1322" i="1"/>
  <c r="C1322" i="1"/>
  <c r="G1321" i="1"/>
  <c r="E1321" i="1"/>
  <c r="D1321" i="1"/>
  <c r="C1321" i="1"/>
  <c r="G1320" i="1"/>
  <c r="E1320" i="1"/>
  <c r="D1320" i="1"/>
  <c r="C1320" i="1"/>
  <c r="G1319" i="1"/>
  <c r="E1319" i="1"/>
  <c r="D1319" i="1"/>
  <c r="C1319" i="1"/>
  <c r="G1318" i="1"/>
  <c r="E1318" i="1"/>
  <c r="D1318" i="1"/>
  <c r="C1318" i="1"/>
  <c r="G1317" i="1"/>
  <c r="E1317" i="1"/>
  <c r="D1317" i="1"/>
  <c r="C1317" i="1"/>
  <c r="G1316" i="1"/>
  <c r="E1316" i="1"/>
  <c r="D1316" i="1"/>
  <c r="C1316" i="1"/>
  <c r="G1315" i="1"/>
  <c r="E1315" i="1"/>
  <c r="D1315" i="1"/>
  <c r="C1315" i="1"/>
  <c r="G1314" i="1"/>
  <c r="E1314" i="1"/>
  <c r="D1314" i="1"/>
  <c r="C1314" i="1"/>
  <c r="G1313" i="1"/>
  <c r="E1313" i="1"/>
  <c r="D1313" i="1"/>
  <c r="C1313" i="1"/>
  <c r="G1312" i="1"/>
  <c r="E1312" i="1"/>
  <c r="D1312" i="1"/>
  <c r="C1312" i="1"/>
  <c r="G1311" i="1"/>
  <c r="E1311" i="1"/>
  <c r="D1311" i="1"/>
  <c r="C1311" i="1"/>
  <c r="G1310" i="1"/>
  <c r="E1310" i="1"/>
  <c r="D1310" i="1"/>
  <c r="C1310" i="1"/>
  <c r="G1309" i="1"/>
  <c r="E1309" i="1"/>
  <c r="D1309" i="1"/>
  <c r="C1309" i="1"/>
  <c r="G1308" i="1"/>
  <c r="E1308" i="1"/>
  <c r="D1308" i="1"/>
  <c r="C1308" i="1"/>
  <c r="G1307" i="1"/>
  <c r="E1307" i="1"/>
  <c r="D1307" i="1"/>
  <c r="C1307" i="1"/>
  <c r="G1306" i="1"/>
  <c r="E1306" i="1"/>
  <c r="D1306" i="1"/>
  <c r="C1306" i="1"/>
  <c r="G1305" i="1"/>
  <c r="E1305" i="1"/>
  <c r="D1305" i="1"/>
  <c r="C1305" i="1"/>
  <c r="G1304" i="1"/>
  <c r="E1304" i="1"/>
  <c r="D1304" i="1"/>
  <c r="C1304" i="1"/>
  <c r="G1303" i="1"/>
  <c r="E1303" i="1"/>
  <c r="D1303" i="1"/>
  <c r="C1303" i="1"/>
  <c r="G1302" i="1"/>
  <c r="E1302" i="1"/>
  <c r="D1302" i="1"/>
  <c r="C1302" i="1"/>
  <c r="G1301" i="1"/>
  <c r="E1301" i="1"/>
  <c r="D1301" i="1"/>
  <c r="C1301" i="1"/>
  <c r="G1300" i="1"/>
  <c r="E1300" i="1"/>
  <c r="D1300" i="1"/>
  <c r="C1300" i="1"/>
  <c r="G1299" i="1"/>
  <c r="E1299" i="1"/>
  <c r="D1299" i="1"/>
  <c r="C1299" i="1"/>
  <c r="G1298" i="1"/>
  <c r="E1298" i="1"/>
  <c r="D1298" i="1"/>
  <c r="C1298" i="1"/>
  <c r="G1297" i="1"/>
  <c r="E1297" i="1"/>
  <c r="D1297" i="1"/>
  <c r="C1297" i="1"/>
  <c r="G1296" i="1"/>
  <c r="E1296" i="1"/>
  <c r="D1296" i="1"/>
  <c r="C1296" i="1"/>
  <c r="G1295" i="1"/>
  <c r="E1295" i="1"/>
  <c r="D1295" i="1"/>
  <c r="C1295" i="1"/>
  <c r="G1294" i="1"/>
  <c r="E1294" i="1"/>
  <c r="D1294" i="1"/>
  <c r="C1294" i="1"/>
  <c r="G1293" i="1"/>
  <c r="E1293" i="1"/>
  <c r="D1293" i="1"/>
  <c r="C1293" i="1"/>
  <c r="G1292" i="1"/>
  <c r="E1292" i="1"/>
  <c r="D1292" i="1"/>
  <c r="C1292" i="1"/>
  <c r="G1291" i="1"/>
  <c r="E1291" i="1"/>
  <c r="D1291" i="1"/>
  <c r="C1291" i="1"/>
  <c r="G1290" i="1"/>
  <c r="E1290" i="1"/>
  <c r="D1290" i="1"/>
  <c r="C1290" i="1"/>
  <c r="G1289" i="1"/>
  <c r="E1289" i="1"/>
  <c r="D1289" i="1"/>
  <c r="C1289" i="1"/>
  <c r="G1288" i="1"/>
  <c r="E1288" i="1"/>
  <c r="D1288" i="1"/>
  <c r="C1288" i="1"/>
  <c r="G1287" i="1"/>
  <c r="E1287" i="1"/>
  <c r="D1287" i="1"/>
  <c r="C1287" i="1"/>
  <c r="G1286" i="1"/>
  <c r="E1286" i="1"/>
  <c r="D1286" i="1"/>
  <c r="C1286" i="1"/>
  <c r="G1285" i="1"/>
  <c r="E1285" i="1"/>
  <c r="D1285" i="1"/>
  <c r="C1285" i="1"/>
  <c r="G1284" i="1"/>
  <c r="E1284" i="1"/>
  <c r="D1284" i="1"/>
  <c r="C1284" i="1"/>
  <c r="G1283" i="1"/>
  <c r="E1283" i="1"/>
  <c r="D1283" i="1"/>
  <c r="C1283" i="1"/>
  <c r="G1282" i="1"/>
  <c r="E1282" i="1"/>
  <c r="D1282" i="1"/>
  <c r="C1282" i="1"/>
  <c r="G1281" i="1"/>
  <c r="E1281" i="1"/>
  <c r="D1281" i="1"/>
  <c r="C1281" i="1"/>
  <c r="G1280" i="1"/>
  <c r="E1280" i="1"/>
  <c r="D1280" i="1"/>
  <c r="C1280" i="1"/>
  <c r="G1279" i="1"/>
  <c r="E1279" i="1"/>
  <c r="D1279" i="1"/>
  <c r="C1279" i="1"/>
  <c r="G1278" i="1"/>
  <c r="E1278" i="1"/>
  <c r="D1278" i="1"/>
  <c r="C1278" i="1"/>
  <c r="G1277" i="1"/>
  <c r="E1277" i="1"/>
  <c r="D1277" i="1"/>
  <c r="C1277" i="1"/>
  <c r="G1276" i="1"/>
  <c r="E1276" i="1"/>
  <c r="D1276" i="1"/>
  <c r="C1276" i="1"/>
  <c r="G1275" i="1"/>
  <c r="E1275" i="1"/>
  <c r="D1275" i="1"/>
  <c r="C1275" i="1"/>
  <c r="G1274" i="1"/>
  <c r="E1274" i="1"/>
  <c r="D1274" i="1"/>
  <c r="C1274" i="1"/>
  <c r="G1273" i="1"/>
  <c r="E1273" i="1"/>
  <c r="D1273" i="1"/>
  <c r="C1273" i="1"/>
  <c r="G1272" i="1"/>
  <c r="E1272" i="1"/>
  <c r="D1272" i="1"/>
  <c r="C1272" i="1"/>
  <c r="G1271" i="1"/>
  <c r="E1271" i="1"/>
  <c r="D1271" i="1"/>
  <c r="C1271" i="1"/>
  <c r="G1270" i="1"/>
  <c r="E1270" i="1"/>
  <c r="D1270" i="1"/>
  <c r="C1270" i="1"/>
  <c r="G1269" i="1"/>
  <c r="E1269" i="1"/>
  <c r="D1269" i="1"/>
  <c r="C1269" i="1"/>
  <c r="G1268" i="1"/>
  <c r="E1268" i="1"/>
  <c r="D1268" i="1"/>
  <c r="C1268" i="1"/>
  <c r="G1267" i="1"/>
  <c r="E1267" i="1"/>
  <c r="D1267" i="1"/>
  <c r="C1267" i="1"/>
  <c r="G1266" i="1"/>
  <c r="E1266" i="1"/>
  <c r="D1266" i="1"/>
  <c r="C1266" i="1"/>
  <c r="G1265" i="1"/>
  <c r="E1265" i="1"/>
  <c r="D1265" i="1"/>
  <c r="C1265" i="1"/>
  <c r="G1264" i="1"/>
  <c r="E1264" i="1"/>
  <c r="D1264" i="1"/>
  <c r="C1264" i="1"/>
  <c r="G1263" i="1"/>
  <c r="E1263" i="1"/>
  <c r="D1263" i="1"/>
  <c r="C1263" i="1"/>
  <c r="G1262" i="1"/>
  <c r="E1262" i="1"/>
  <c r="D1262" i="1"/>
  <c r="C1262" i="1"/>
  <c r="G1261" i="1"/>
  <c r="E1261" i="1"/>
  <c r="D1261" i="1"/>
  <c r="C1261" i="1"/>
  <c r="G1260" i="1"/>
  <c r="E1260" i="1"/>
  <c r="D1260" i="1"/>
  <c r="C1260" i="1"/>
  <c r="G1259" i="1"/>
  <c r="E1259" i="1"/>
  <c r="D1259" i="1"/>
  <c r="C1259" i="1"/>
  <c r="G1258" i="1"/>
  <c r="E1258" i="1"/>
  <c r="D1258" i="1"/>
  <c r="C1258" i="1"/>
  <c r="G1257" i="1"/>
  <c r="E1257" i="1"/>
  <c r="D1257" i="1"/>
  <c r="C1257" i="1"/>
  <c r="G1256" i="1"/>
  <c r="E1256" i="1"/>
  <c r="D1256" i="1"/>
  <c r="C1256" i="1"/>
  <c r="G1255" i="1"/>
  <c r="E1255" i="1"/>
  <c r="D1255" i="1"/>
  <c r="C1255" i="1"/>
  <c r="G1254" i="1"/>
  <c r="E1254" i="1"/>
  <c r="D1254" i="1"/>
  <c r="C1254" i="1"/>
  <c r="G1253" i="1"/>
  <c r="E1253" i="1"/>
  <c r="D1253" i="1"/>
  <c r="C1253" i="1"/>
  <c r="G1252" i="1"/>
  <c r="E1252" i="1"/>
  <c r="D1252" i="1"/>
  <c r="C1252" i="1"/>
  <c r="G1251" i="1"/>
  <c r="E1251" i="1"/>
  <c r="D1251" i="1"/>
  <c r="C1251" i="1"/>
  <c r="G1250" i="1"/>
  <c r="E1250" i="1"/>
  <c r="D1250" i="1"/>
  <c r="C1250" i="1"/>
  <c r="G1249" i="1"/>
  <c r="E1249" i="1"/>
  <c r="D1249" i="1"/>
  <c r="C1249" i="1"/>
  <c r="G1248" i="1"/>
  <c r="E1248" i="1"/>
  <c r="D1248" i="1"/>
  <c r="C1248" i="1"/>
  <c r="G1247" i="1"/>
  <c r="E1247" i="1"/>
  <c r="D1247" i="1"/>
  <c r="C1247" i="1"/>
  <c r="G1246" i="1"/>
  <c r="E1246" i="1"/>
  <c r="D1246" i="1"/>
  <c r="C1246" i="1"/>
  <c r="G1245" i="1"/>
  <c r="E1245" i="1"/>
  <c r="D1245" i="1"/>
  <c r="C1245" i="1"/>
  <c r="G1244" i="1"/>
  <c r="E1244" i="1"/>
  <c r="D1244" i="1"/>
  <c r="C1244" i="1"/>
  <c r="G1243" i="1"/>
  <c r="E1243" i="1"/>
  <c r="D1243" i="1"/>
  <c r="C1243" i="1"/>
  <c r="G1242" i="1"/>
  <c r="E1242" i="1"/>
  <c r="D1242" i="1"/>
  <c r="C1242" i="1"/>
  <c r="G1241" i="1"/>
  <c r="E1241" i="1"/>
  <c r="D1241" i="1"/>
  <c r="C1241" i="1"/>
  <c r="G1240" i="1"/>
  <c r="E1240" i="1"/>
  <c r="D1240" i="1"/>
  <c r="C1240" i="1"/>
  <c r="G1239" i="1"/>
  <c r="E1239" i="1"/>
  <c r="D1239" i="1"/>
  <c r="C1239" i="1"/>
  <c r="G1238" i="1"/>
  <c r="E1238" i="1"/>
  <c r="D1238" i="1"/>
  <c r="C1238" i="1"/>
  <c r="G1237" i="1"/>
  <c r="E1237" i="1"/>
  <c r="D1237" i="1"/>
  <c r="C1237" i="1"/>
  <c r="G1236" i="1"/>
  <c r="E1236" i="1"/>
  <c r="D1236" i="1"/>
  <c r="C1236" i="1"/>
  <c r="G1235" i="1"/>
  <c r="E1235" i="1"/>
  <c r="D1235" i="1"/>
  <c r="C1235" i="1"/>
  <c r="G1234" i="1"/>
  <c r="E1234" i="1"/>
  <c r="D1234" i="1"/>
  <c r="C1234" i="1"/>
  <c r="G1233" i="1"/>
  <c r="E1233" i="1"/>
  <c r="D1233" i="1"/>
  <c r="C1233" i="1"/>
  <c r="G1232" i="1"/>
  <c r="E1232" i="1"/>
  <c r="D1232" i="1"/>
  <c r="C1232" i="1"/>
  <c r="G1231" i="1"/>
  <c r="E1231" i="1"/>
  <c r="D1231" i="1"/>
  <c r="C1231" i="1"/>
  <c r="G1230" i="1"/>
  <c r="E1230" i="1"/>
  <c r="D1230" i="1"/>
  <c r="C1230" i="1"/>
  <c r="G1229" i="1"/>
  <c r="E1229" i="1"/>
  <c r="D1229" i="1"/>
  <c r="C1229" i="1"/>
  <c r="G1228" i="1"/>
  <c r="E1228" i="1"/>
  <c r="D1228" i="1"/>
  <c r="C1228" i="1"/>
  <c r="G1227" i="1"/>
  <c r="E1227" i="1"/>
  <c r="D1227" i="1"/>
  <c r="C1227" i="1"/>
  <c r="G1226" i="1"/>
  <c r="E1226" i="1"/>
  <c r="D1226" i="1"/>
  <c r="C1226" i="1"/>
  <c r="G1225" i="1"/>
  <c r="E1225" i="1"/>
  <c r="D1225" i="1"/>
  <c r="C1225" i="1"/>
  <c r="G1224" i="1"/>
  <c r="E1224" i="1"/>
  <c r="D1224" i="1"/>
  <c r="C1224" i="1"/>
  <c r="G1223" i="1"/>
  <c r="E1223" i="1"/>
  <c r="D1223" i="1"/>
  <c r="C1223" i="1"/>
  <c r="G1222" i="1"/>
  <c r="E1222" i="1"/>
  <c r="D1222" i="1"/>
  <c r="C1222" i="1"/>
  <c r="G1221" i="1"/>
  <c r="E1221" i="1"/>
  <c r="D1221" i="1"/>
  <c r="C1221" i="1"/>
  <c r="G1220" i="1"/>
  <c r="E1220" i="1"/>
  <c r="D1220" i="1"/>
  <c r="C1220" i="1"/>
  <c r="G1219" i="1"/>
  <c r="E1219" i="1"/>
  <c r="D1219" i="1"/>
  <c r="C1219" i="1"/>
  <c r="G1218" i="1"/>
  <c r="E1218" i="1"/>
  <c r="D1218" i="1"/>
  <c r="C1218" i="1"/>
  <c r="G1217" i="1"/>
  <c r="E1217" i="1"/>
  <c r="D1217" i="1"/>
  <c r="C1217" i="1"/>
  <c r="G1216" i="1"/>
  <c r="E1216" i="1"/>
  <c r="D1216" i="1"/>
  <c r="C1216" i="1"/>
  <c r="G1215" i="1"/>
  <c r="E1215" i="1"/>
  <c r="D1215" i="1"/>
  <c r="C1215" i="1"/>
  <c r="G1214" i="1"/>
  <c r="E1214" i="1"/>
  <c r="D1214" i="1"/>
  <c r="C1214" i="1"/>
  <c r="G1213" i="1"/>
  <c r="E1213" i="1"/>
  <c r="D1213" i="1"/>
  <c r="C1213" i="1"/>
  <c r="G1212" i="1"/>
  <c r="E1212" i="1"/>
  <c r="D1212" i="1"/>
  <c r="C1212" i="1"/>
  <c r="G1211" i="1"/>
  <c r="E1211" i="1"/>
  <c r="D1211" i="1"/>
  <c r="C1211" i="1"/>
  <c r="G1210" i="1"/>
  <c r="E1210" i="1"/>
  <c r="D1210" i="1"/>
  <c r="C1210" i="1"/>
  <c r="G1209" i="1"/>
  <c r="E1209" i="1"/>
  <c r="D1209" i="1"/>
  <c r="C1209" i="1"/>
  <c r="G1208" i="1"/>
  <c r="E1208" i="1"/>
  <c r="D1208" i="1"/>
  <c r="C1208" i="1"/>
  <c r="G1207" i="1"/>
  <c r="E1207" i="1"/>
  <c r="D1207" i="1"/>
  <c r="C1207" i="1"/>
  <c r="G1206" i="1"/>
  <c r="E1206" i="1"/>
  <c r="D1206" i="1"/>
  <c r="C1206" i="1"/>
  <c r="G1205" i="1"/>
  <c r="E1205" i="1"/>
  <c r="D1205" i="1"/>
  <c r="C1205" i="1"/>
  <c r="G1204" i="1"/>
  <c r="E1204" i="1"/>
  <c r="D1204" i="1"/>
  <c r="C1204" i="1"/>
  <c r="G1203" i="1"/>
  <c r="E1203" i="1"/>
  <c r="D1203" i="1"/>
  <c r="C1203" i="1"/>
  <c r="G1202" i="1"/>
  <c r="E1202" i="1"/>
  <c r="D1202" i="1"/>
  <c r="C1202" i="1"/>
  <c r="G1201" i="1"/>
  <c r="E1201" i="1"/>
  <c r="D1201" i="1"/>
  <c r="C1201" i="1"/>
  <c r="G1200" i="1"/>
  <c r="E1200" i="1"/>
  <c r="D1200" i="1"/>
  <c r="C1200" i="1"/>
  <c r="G1199" i="1"/>
  <c r="E1199" i="1"/>
  <c r="D1199" i="1"/>
  <c r="C1199" i="1"/>
  <c r="G1198" i="1"/>
  <c r="E1198" i="1"/>
  <c r="D1198" i="1"/>
  <c r="C1198" i="1"/>
  <c r="G1197" i="1"/>
  <c r="E1197" i="1"/>
  <c r="D1197" i="1"/>
  <c r="C1197" i="1"/>
  <c r="G1196" i="1"/>
  <c r="E1196" i="1"/>
  <c r="D1196" i="1"/>
  <c r="C1196" i="1"/>
  <c r="G1195" i="1"/>
  <c r="E1195" i="1"/>
  <c r="D1195" i="1"/>
  <c r="C1195" i="1"/>
  <c r="G1194" i="1"/>
  <c r="E1194" i="1"/>
  <c r="D1194" i="1"/>
  <c r="C1194" i="1"/>
  <c r="G1193" i="1"/>
  <c r="E1193" i="1"/>
  <c r="D1193" i="1"/>
  <c r="C1193" i="1"/>
  <c r="G1192" i="1"/>
  <c r="E1192" i="1"/>
  <c r="D1192" i="1"/>
  <c r="C1192" i="1"/>
  <c r="G1191" i="1"/>
  <c r="E1191" i="1"/>
  <c r="D1191" i="1"/>
  <c r="C1191" i="1"/>
  <c r="G1190" i="1"/>
  <c r="E1190" i="1"/>
  <c r="D1190" i="1"/>
  <c r="C1190" i="1"/>
  <c r="G1189" i="1"/>
  <c r="E1189" i="1"/>
  <c r="D1189" i="1"/>
  <c r="C1189" i="1"/>
  <c r="G1188" i="1"/>
  <c r="E1188" i="1"/>
  <c r="D1188" i="1"/>
  <c r="C1188" i="1"/>
  <c r="G1187" i="1"/>
  <c r="E1187" i="1"/>
  <c r="D1187" i="1"/>
  <c r="C1187" i="1"/>
  <c r="G1186" i="1"/>
  <c r="E1186" i="1"/>
  <c r="D1186" i="1"/>
  <c r="C1186" i="1"/>
  <c r="G1185" i="1"/>
  <c r="E1185" i="1"/>
  <c r="D1185" i="1"/>
  <c r="C1185" i="1"/>
  <c r="G1184" i="1"/>
  <c r="E1184" i="1"/>
  <c r="D1184" i="1"/>
  <c r="C1184" i="1"/>
  <c r="G1183" i="1"/>
  <c r="E1183" i="1"/>
  <c r="D1183" i="1"/>
  <c r="C1183" i="1"/>
  <c r="G1182" i="1"/>
  <c r="E1182" i="1"/>
  <c r="D1182" i="1"/>
  <c r="C1182" i="1"/>
  <c r="G1181" i="1"/>
  <c r="E1181" i="1"/>
  <c r="D1181" i="1"/>
  <c r="C1181" i="1"/>
  <c r="G1180" i="1"/>
  <c r="E1180" i="1"/>
  <c r="D1180" i="1"/>
  <c r="C1180" i="1"/>
  <c r="G1179" i="1"/>
  <c r="E1179" i="1"/>
  <c r="D1179" i="1"/>
  <c r="C1179" i="1"/>
  <c r="G1178" i="1"/>
  <c r="E1178" i="1"/>
  <c r="D1178" i="1"/>
  <c r="C1178" i="1"/>
  <c r="G1177" i="1"/>
  <c r="E1177" i="1"/>
  <c r="D1177" i="1"/>
  <c r="C1177" i="1"/>
  <c r="G1176" i="1"/>
  <c r="E1176" i="1"/>
  <c r="D1176" i="1"/>
  <c r="C1176" i="1"/>
  <c r="G1175" i="1"/>
  <c r="E1175" i="1"/>
  <c r="D1175" i="1"/>
  <c r="C1175" i="1"/>
  <c r="G1174" i="1"/>
  <c r="E1174" i="1"/>
  <c r="D1174" i="1"/>
  <c r="C1174" i="1"/>
  <c r="G1173" i="1"/>
  <c r="E1173" i="1"/>
  <c r="D1173" i="1"/>
  <c r="C1173" i="1"/>
  <c r="G1172" i="1"/>
  <c r="E1172" i="1"/>
  <c r="D1172" i="1"/>
  <c r="C1172" i="1"/>
  <c r="G1171" i="1"/>
  <c r="E1171" i="1"/>
  <c r="D1171" i="1"/>
  <c r="C1171" i="1"/>
  <c r="G1170" i="1"/>
  <c r="E1170" i="1"/>
  <c r="D1170" i="1"/>
  <c r="C1170" i="1"/>
  <c r="G1169" i="1"/>
  <c r="E1169" i="1"/>
  <c r="D1169" i="1"/>
  <c r="C1169" i="1"/>
  <c r="G1168" i="1"/>
  <c r="E1168" i="1"/>
  <c r="D1168" i="1"/>
  <c r="C1168" i="1"/>
  <c r="G1167" i="1"/>
  <c r="E1167" i="1"/>
  <c r="D1167" i="1"/>
  <c r="C1167" i="1"/>
  <c r="G1166" i="1"/>
  <c r="E1166" i="1"/>
  <c r="D1166" i="1"/>
  <c r="C1166" i="1"/>
  <c r="G1165" i="1"/>
  <c r="E1165" i="1"/>
  <c r="D1165" i="1"/>
  <c r="C1165" i="1"/>
  <c r="G1164" i="1"/>
  <c r="E1164" i="1"/>
  <c r="D1164" i="1"/>
  <c r="C1164" i="1"/>
  <c r="G1163" i="1"/>
  <c r="E1163" i="1"/>
  <c r="D1163" i="1"/>
  <c r="C1163" i="1"/>
  <c r="G1162" i="1"/>
  <c r="E1162" i="1"/>
  <c r="D1162" i="1"/>
  <c r="C1162" i="1"/>
  <c r="G1161" i="1"/>
  <c r="E1161" i="1"/>
  <c r="D1161" i="1"/>
  <c r="C1161" i="1"/>
  <c r="G1160" i="1"/>
  <c r="E1160" i="1"/>
  <c r="D1160" i="1"/>
  <c r="C1160" i="1"/>
  <c r="G1159" i="1"/>
  <c r="E1159" i="1"/>
  <c r="D1159" i="1"/>
  <c r="C1159" i="1"/>
  <c r="G1158" i="1"/>
  <c r="E1158" i="1"/>
  <c r="D1158" i="1"/>
  <c r="C1158" i="1"/>
  <c r="G1157" i="1"/>
  <c r="E1157" i="1"/>
  <c r="D1157" i="1"/>
  <c r="C1157" i="1"/>
  <c r="G1156" i="1"/>
  <c r="E1156" i="1"/>
  <c r="D1156" i="1"/>
  <c r="C1156" i="1"/>
  <c r="G1155" i="1"/>
  <c r="E1155" i="1"/>
  <c r="D1155" i="1"/>
  <c r="C1155" i="1"/>
  <c r="G1154" i="1"/>
  <c r="E1154" i="1"/>
  <c r="D1154" i="1"/>
  <c r="C1154" i="1"/>
  <c r="G1153" i="1"/>
  <c r="E1153" i="1"/>
  <c r="D1153" i="1"/>
  <c r="C1153" i="1"/>
  <c r="G1152" i="1"/>
  <c r="E1152" i="1"/>
  <c r="D1152" i="1"/>
  <c r="C1152" i="1"/>
  <c r="G1151" i="1"/>
  <c r="E1151" i="1"/>
  <c r="D1151" i="1"/>
  <c r="C1151" i="1"/>
  <c r="G1150" i="1"/>
  <c r="E1150" i="1"/>
  <c r="D1150" i="1"/>
  <c r="C1150" i="1"/>
  <c r="G1149" i="1"/>
  <c r="E1149" i="1"/>
  <c r="D1149" i="1"/>
  <c r="C1149" i="1"/>
  <c r="G1148" i="1"/>
  <c r="E1148" i="1"/>
  <c r="D1148" i="1"/>
  <c r="C1148" i="1"/>
  <c r="G1147" i="1"/>
  <c r="E1147" i="1"/>
  <c r="D1147" i="1"/>
  <c r="C1147" i="1"/>
  <c r="G1146" i="1"/>
  <c r="E1146" i="1"/>
  <c r="D1146" i="1"/>
  <c r="C1146" i="1"/>
  <c r="G1145" i="1"/>
  <c r="E1145" i="1"/>
  <c r="D1145" i="1"/>
  <c r="C1145" i="1"/>
  <c r="G1144" i="1"/>
  <c r="E1144" i="1"/>
  <c r="D1144" i="1"/>
  <c r="C1144" i="1"/>
  <c r="G1143" i="1"/>
  <c r="E1143" i="1"/>
  <c r="D1143" i="1"/>
  <c r="C1143" i="1"/>
  <c r="G1142" i="1"/>
  <c r="E1142" i="1"/>
  <c r="D1142" i="1"/>
  <c r="C1142" i="1"/>
  <c r="G1141" i="1"/>
  <c r="E1141" i="1"/>
  <c r="D1141" i="1"/>
  <c r="C1141" i="1"/>
  <c r="G1140" i="1"/>
  <c r="E1140" i="1"/>
  <c r="D1140" i="1"/>
  <c r="C1140" i="1"/>
  <c r="G1139" i="1"/>
  <c r="E1139" i="1"/>
  <c r="D1139" i="1"/>
  <c r="C1139" i="1"/>
  <c r="G1138" i="1"/>
  <c r="E1138" i="1"/>
  <c r="D1138" i="1"/>
  <c r="C1138" i="1"/>
  <c r="G1137" i="1"/>
  <c r="E1137" i="1"/>
  <c r="D1137" i="1"/>
  <c r="C1137" i="1"/>
  <c r="G1136" i="1"/>
  <c r="E1136" i="1"/>
  <c r="D1136" i="1"/>
  <c r="C1136" i="1"/>
  <c r="P1135" i="1"/>
  <c r="G1135" i="1"/>
  <c r="E1135" i="1"/>
  <c r="D1135" i="1"/>
  <c r="C1135" i="1"/>
  <c r="G1134" i="1"/>
  <c r="E1134" i="1"/>
  <c r="D1134" i="1"/>
  <c r="C1134" i="1"/>
  <c r="P1133" i="1"/>
  <c r="G1133" i="1"/>
  <c r="E1133" i="1"/>
  <c r="D1133" i="1"/>
  <c r="C1133" i="1"/>
  <c r="P1132" i="1"/>
  <c r="G1132" i="1"/>
  <c r="E1132" i="1"/>
  <c r="D1132" i="1"/>
  <c r="C1132" i="1"/>
  <c r="P1131" i="1"/>
  <c r="G1131" i="1"/>
  <c r="E1131" i="1"/>
  <c r="D1131" i="1"/>
  <c r="C1131" i="1"/>
  <c r="P1130" i="1"/>
  <c r="G1130" i="1"/>
  <c r="E1130" i="1"/>
  <c r="D1130" i="1"/>
  <c r="C1130" i="1"/>
  <c r="G1129" i="1"/>
  <c r="E1129" i="1"/>
  <c r="D1129" i="1"/>
  <c r="C1129" i="1"/>
  <c r="G1128" i="1"/>
  <c r="E1128" i="1"/>
  <c r="D1128" i="1"/>
  <c r="C1128" i="1"/>
  <c r="G1127" i="1"/>
  <c r="E1127" i="1"/>
  <c r="D1127" i="1"/>
  <c r="C1127" i="1"/>
  <c r="G1126" i="1"/>
  <c r="E1126" i="1"/>
  <c r="D1126" i="1"/>
  <c r="C1126" i="1"/>
  <c r="G1125" i="1"/>
  <c r="E1125" i="1"/>
  <c r="D1125" i="1"/>
  <c r="C1125" i="1"/>
  <c r="G1124" i="1"/>
  <c r="E1124" i="1"/>
  <c r="D1124" i="1"/>
  <c r="C1124" i="1"/>
  <c r="G1123" i="1"/>
  <c r="E1123" i="1"/>
  <c r="D1123" i="1"/>
  <c r="C1123" i="1"/>
  <c r="P1122" i="1"/>
  <c r="G1122" i="1"/>
  <c r="E1122" i="1"/>
  <c r="D1122" i="1"/>
  <c r="C1122" i="1"/>
  <c r="P1121" i="1"/>
  <c r="G1121" i="1"/>
  <c r="E1121" i="1"/>
  <c r="D1121" i="1"/>
  <c r="C1121" i="1"/>
  <c r="P1120" i="1"/>
  <c r="G1120" i="1"/>
  <c r="E1120" i="1"/>
  <c r="D1120" i="1"/>
  <c r="C1120" i="1"/>
  <c r="P1119" i="1"/>
  <c r="G1119" i="1"/>
  <c r="E1119" i="1"/>
  <c r="D1119" i="1"/>
  <c r="C1119" i="1"/>
  <c r="P1118" i="1"/>
  <c r="G1118" i="1"/>
  <c r="E1118" i="1"/>
  <c r="D1118" i="1"/>
  <c r="C1118" i="1"/>
  <c r="G1117" i="1"/>
  <c r="E1117" i="1"/>
  <c r="D1117" i="1"/>
  <c r="C1117" i="1"/>
  <c r="P1116" i="1"/>
  <c r="G1116" i="1"/>
  <c r="E1116" i="1"/>
  <c r="D1116" i="1"/>
  <c r="C1116" i="1"/>
  <c r="P1115" i="1"/>
  <c r="G1115" i="1"/>
  <c r="E1115" i="1"/>
  <c r="D1115" i="1"/>
  <c r="C1115" i="1"/>
  <c r="G1114" i="1"/>
  <c r="E1114" i="1"/>
  <c r="D1114" i="1"/>
  <c r="C1114" i="1"/>
  <c r="G1113" i="1"/>
  <c r="E1113" i="1"/>
  <c r="D1113" i="1"/>
  <c r="C1113" i="1"/>
  <c r="P1112" i="1"/>
  <c r="G1112" i="1"/>
  <c r="E1112" i="1"/>
  <c r="D1112" i="1"/>
  <c r="C1112" i="1"/>
  <c r="P1111" i="1"/>
  <c r="G1111" i="1"/>
  <c r="E1111" i="1"/>
  <c r="D1111" i="1"/>
  <c r="C1111" i="1"/>
  <c r="G1110" i="1"/>
  <c r="E1110" i="1"/>
  <c r="D1110" i="1"/>
  <c r="C1110" i="1"/>
  <c r="G1109" i="1"/>
  <c r="E1109" i="1"/>
  <c r="D1109" i="1"/>
  <c r="C1109" i="1"/>
  <c r="G1108" i="1"/>
  <c r="E1108" i="1"/>
  <c r="D1108" i="1"/>
  <c r="C1108" i="1"/>
  <c r="P1107" i="1"/>
  <c r="G1107" i="1"/>
  <c r="E1107" i="1"/>
  <c r="D1107" i="1"/>
  <c r="C1107" i="1"/>
  <c r="P1106" i="1"/>
  <c r="G1106" i="1"/>
  <c r="E1106" i="1"/>
  <c r="D1106" i="1"/>
  <c r="C1106" i="1"/>
  <c r="P1105" i="1"/>
  <c r="G1105" i="1"/>
  <c r="E1105" i="1"/>
  <c r="D1105" i="1"/>
  <c r="C1105" i="1"/>
  <c r="P1104" i="1"/>
  <c r="G1104" i="1"/>
  <c r="E1104" i="1"/>
  <c r="D1104" i="1"/>
  <c r="C1104" i="1"/>
  <c r="P1103" i="1"/>
  <c r="G1103" i="1"/>
  <c r="E1103" i="1"/>
  <c r="D1103" i="1"/>
  <c r="C1103" i="1"/>
  <c r="P1102" i="1"/>
  <c r="G1102" i="1"/>
  <c r="E1102" i="1"/>
  <c r="D1102" i="1"/>
  <c r="C1102" i="1"/>
  <c r="P1101" i="1"/>
  <c r="G1101" i="1"/>
  <c r="E1101" i="1"/>
  <c r="D1101" i="1"/>
  <c r="C1101" i="1"/>
  <c r="P1100" i="1"/>
  <c r="G1100" i="1"/>
  <c r="E1100" i="1"/>
  <c r="D1100" i="1"/>
  <c r="C1100" i="1"/>
  <c r="P1099" i="1"/>
  <c r="G1099" i="1"/>
  <c r="E1099" i="1"/>
  <c r="D1099" i="1"/>
  <c r="C1099" i="1"/>
  <c r="P1098" i="1"/>
  <c r="G1098" i="1"/>
  <c r="E1098" i="1"/>
  <c r="D1098" i="1"/>
  <c r="C1098" i="1"/>
  <c r="P1097" i="1"/>
  <c r="G1097" i="1"/>
  <c r="E1097" i="1"/>
  <c r="D1097" i="1"/>
  <c r="C1097" i="1"/>
  <c r="P1096" i="1"/>
  <c r="G1096" i="1"/>
  <c r="E1096" i="1"/>
  <c r="D1096" i="1"/>
  <c r="C1096" i="1"/>
  <c r="P1095" i="1"/>
  <c r="G1095" i="1"/>
  <c r="E1095" i="1"/>
  <c r="D1095" i="1"/>
  <c r="C1095" i="1"/>
  <c r="P1094" i="1"/>
  <c r="G1094" i="1"/>
  <c r="E1094" i="1"/>
  <c r="D1094" i="1"/>
  <c r="C1094" i="1"/>
  <c r="P1093" i="1"/>
  <c r="G1093" i="1"/>
  <c r="E1093" i="1"/>
  <c r="D1093" i="1"/>
  <c r="C1093" i="1"/>
  <c r="P1092" i="1"/>
  <c r="G1092" i="1"/>
  <c r="E1092" i="1"/>
  <c r="D1092" i="1"/>
  <c r="C1092" i="1"/>
  <c r="P1091" i="1"/>
  <c r="G1091" i="1"/>
  <c r="E1091" i="1"/>
  <c r="D1091" i="1"/>
  <c r="C1091" i="1"/>
  <c r="P1090" i="1"/>
  <c r="G1090" i="1"/>
  <c r="E1090" i="1"/>
  <c r="D1090" i="1"/>
  <c r="C1090" i="1"/>
  <c r="P1089" i="1"/>
  <c r="G1089" i="1"/>
  <c r="E1089" i="1"/>
  <c r="D1089" i="1"/>
  <c r="C1089" i="1"/>
  <c r="P1088" i="1"/>
  <c r="G1088" i="1"/>
  <c r="E1088" i="1"/>
  <c r="D1088" i="1"/>
  <c r="C1088" i="1"/>
  <c r="P1087" i="1"/>
  <c r="G1087" i="1"/>
  <c r="E1087" i="1"/>
  <c r="D1087" i="1"/>
  <c r="C1087" i="1"/>
  <c r="P1086" i="1"/>
  <c r="G1086" i="1"/>
  <c r="E1086" i="1"/>
  <c r="D1086" i="1"/>
  <c r="C1086" i="1"/>
  <c r="P1085" i="1"/>
  <c r="G1085" i="1"/>
  <c r="E1085" i="1"/>
  <c r="D1085" i="1"/>
  <c r="C1085" i="1"/>
  <c r="P1084" i="1"/>
  <c r="G1084" i="1"/>
  <c r="E1084" i="1"/>
  <c r="D1084" i="1"/>
  <c r="C1084" i="1"/>
  <c r="P1083" i="1"/>
  <c r="G1083" i="1"/>
  <c r="E1083" i="1"/>
  <c r="D1083" i="1"/>
  <c r="C1083" i="1"/>
  <c r="P1082" i="1"/>
  <c r="G1082" i="1"/>
  <c r="E1082" i="1"/>
  <c r="D1082" i="1"/>
  <c r="C1082" i="1"/>
  <c r="P1081" i="1"/>
  <c r="G1081" i="1"/>
  <c r="E1081" i="1"/>
  <c r="D1081" i="1"/>
  <c r="C1081" i="1"/>
  <c r="P1080" i="1"/>
  <c r="G1080" i="1"/>
  <c r="E1080" i="1"/>
  <c r="D1080" i="1"/>
  <c r="C1080" i="1"/>
  <c r="P1079" i="1"/>
  <c r="G1079" i="1"/>
  <c r="E1079" i="1"/>
  <c r="D1079" i="1"/>
  <c r="C1079" i="1"/>
  <c r="P1078" i="1"/>
  <c r="G1078" i="1"/>
  <c r="E1078" i="1"/>
  <c r="D1078" i="1"/>
  <c r="C1078" i="1"/>
  <c r="P1077" i="1"/>
  <c r="G1077" i="1"/>
  <c r="E1077" i="1"/>
  <c r="D1077" i="1"/>
  <c r="C1077" i="1"/>
  <c r="P1076" i="1"/>
  <c r="G1076" i="1"/>
  <c r="E1076" i="1"/>
  <c r="D1076" i="1"/>
  <c r="C1076" i="1"/>
  <c r="P1075" i="1"/>
  <c r="G1075" i="1"/>
  <c r="E1075" i="1"/>
  <c r="D1075" i="1"/>
  <c r="C1075" i="1"/>
  <c r="P1074" i="1"/>
  <c r="G1074" i="1"/>
  <c r="E1074" i="1"/>
  <c r="D1074" i="1"/>
  <c r="C1074" i="1"/>
  <c r="P1073" i="1"/>
  <c r="G1073" i="1"/>
  <c r="E1073" i="1"/>
  <c r="D1073" i="1"/>
  <c r="C1073" i="1"/>
  <c r="P1072" i="1"/>
  <c r="G1072" i="1"/>
  <c r="E1072" i="1"/>
  <c r="D1072" i="1"/>
  <c r="C1072" i="1"/>
  <c r="P1071" i="1"/>
  <c r="G1071" i="1"/>
  <c r="E1071" i="1"/>
  <c r="D1071" i="1"/>
  <c r="C1071" i="1"/>
  <c r="P1070" i="1"/>
  <c r="G1070" i="1"/>
  <c r="E1070" i="1"/>
  <c r="D1070" i="1"/>
  <c r="C1070" i="1"/>
  <c r="P1069" i="1"/>
  <c r="G1069" i="1"/>
  <c r="E1069" i="1"/>
  <c r="D1069" i="1"/>
  <c r="C1069" i="1"/>
  <c r="P1068" i="1"/>
  <c r="G1068" i="1"/>
  <c r="E1068" i="1"/>
  <c r="D1068" i="1"/>
  <c r="C1068" i="1"/>
  <c r="P1067" i="1"/>
  <c r="G1067" i="1"/>
  <c r="E1067" i="1"/>
  <c r="D1067" i="1"/>
  <c r="C1067" i="1"/>
  <c r="P1066" i="1"/>
  <c r="G1066" i="1"/>
  <c r="E1066" i="1"/>
  <c r="D1066" i="1"/>
  <c r="C1066" i="1"/>
  <c r="P1065" i="1"/>
  <c r="G1065" i="1"/>
  <c r="E1065" i="1"/>
  <c r="D1065" i="1"/>
  <c r="C1065" i="1"/>
  <c r="P1064" i="1"/>
  <c r="G1064" i="1"/>
  <c r="E1064" i="1"/>
  <c r="D1064" i="1"/>
  <c r="C1064" i="1"/>
  <c r="P1063" i="1"/>
  <c r="G1063" i="1"/>
  <c r="E1063" i="1"/>
  <c r="D1063" i="1"/>
  <c r="C1063" i="1"/>
  <c r="P1062" i="1"/>
  <c r="G1062" i="1"/>
  <c r="E1062" i="1"/>
  <c r="D1062" i="1"/>
  <c r="C1062" i="1"/>
  <c r="P1061" i="1"/>
  <c r="G1061" i="1"/>
  <c r="E1061" i="1"/>
  <c r="D1061" i="1"/>
  <c r="C1061" i="1"/>
  <c r="P1060" i="1"/>
  <c r="G1060" i="1"/>
  <c r="E1060" i="1"/>
  <c r="D1060" i="1"/>
  <c r="C1060" i="1"/>
  <c r="P1059" i="1"/>
  <c r="G1059" i="1"/>
  <c r="E1059" i="1"/>
  <c r="D1059" i="1"/>
  <c r="C1059" i="1"/>
  <c r="P1058" i="1"/>
  <c r="G1058" i="1"/>
  <c r="E1058" i="1"/>
  <c r="D1058" i="1"/>
  <c r="C1058" i="1"/>
  <c r="P1057" i="1"/>
  <c r="G1057" i="1"/>
  <c r="E1057" i="1"/>
  <c r="D1057" i="1"/>
  <c r="C1057" i="1"/>
  <c r="P1056" i="1"/>
  <c r="G1056" i="1"/>
  <c r="E1056" i="1"/>
  <c r="D1056" i="1"/>
  <c r="C1056" i="1"/>
  <c r="P1055" i="1"/>
  <c r="G1055" i="1"/>
  <c r="E1055" i="1"/>
  <c r="D1055" i="1"/>
  <c r="C1055" i="1"/>
  <c r="P1054" i="1"/>
  <c r="G1054" i="1"/>
  <c r="E1054" i="1"/>
  <c r="D1054" i="1"/>
  <c r="C1054" i="1"/>
  <c r="P1053" i="1"/>
  <c r="G1053" i="1"/>
  <c r="E1053" i="1"/>
  <c r="D1053" i="1"/>
  <c r="C1053" i="1"/>
  <c r="P1052" i="1"/>
  <c r="G1052" i="1"/>
  <c r="E1052" i="1"/>
  <c r="D1052" i="1"/>
  <c r="C1052" i="1"/>
  <c r="P1051" i="1"/>
  <c r="G1051" i="1"/>
  <c r="E1051" i="1"/>
  <c r="D1051" i="1"/>
  <c r="C1051" i="1"/>
  <c r="P1050" i="1"/>
  <c r="G1050" i="1"/>
  <c r="E1050" i="1"/>
  <c r="D1050" i="1"/>
  <c r="C1050" i="1"/>
  <c r="P1049" i="1"/>
  <c r="G1049" i="1"/>
  <c r="E1049" i="1"/>
  <c r="D1049" i="1"/>
  <c r="C1049" i="1"/>
  <c r="P1048" i="1"/>
  <c r="G1048" i="1"/>
  <c r="E1048" i="1"/>
  <c r="D1048" i="1"/>
  <c r="C1048" i="1"/>
  <c r="P1047" i="1"/>
  <c r="G1047" i="1"/>
  <c r="E1047" i="1"/>
  <c r="D1047" i="1"/>
  <c r="C1047" i="1"/>
  <c r="P1046" i="1"/>
  <c r="G1046" i="1"/>
  <c r="E1046" i="1"/>
  <c r="D1046" i="1"/>
  <c r="C1046" i="1"/>
  <c r="P1045" i="1"/>
  <c r="G1045" i="1"/>
  <c r="E1045" i="1"/>
  <c r="D1045" i="1"/>
  <c r="C1045" i="1"/>
  <c r="P1044" i="1"/>
  <c r="G1044" i="1"/>
  <c r="E1044" i="1"/>
  <c r="D1044" i="1"/>
  <c r="C1044" i="1"/>
  <c r="P1043" i="1"/>
  <c r="G1043" i="1"/>
  <c r="E1043" i="1"/>
  <c r="D1043" i="1"/>
  <c r="C1043" i="1"/>
  <c r="P1042" i="1"/>
  <c r="G1042" i="1"/>
  <c r="E1042" i="1"/>
  <c r="D1042" i="1"/>
  <c r="C1042" i="1"/>
  <c r="P1041" i="1"/>
  <c r="G1041" i="1"/>
  <c r="E1041" i="1"/>
  <c r="D1041" i="1"/>
  <c r="C1041" i="1"/>
  <c r="P1040" i="1"/>
  <c r="G1040" i="1"/>
  <c r="E1040" i="1"/>
  <c r="D1040" i="1"/>
  <c r="C1040" i="1"/>
  <c r="P1039" i="1"/>
  <c r="G1039" i="1"/>
  <c r="E1039" i="1"/>
  <c r="D1039" i="1"/>
  <c r="C1039" i="1"/>
  <c r="P1038" i="1"/>
  <c r="G1038" i="1"/>
  <c r="E1038" i="1"/>
  <c r="D1038" i="1"/>
  <c r="C1038" i="1"/>
  <c r="P1037" i="1"/>
  <c r="G1037" i="1"/>
  <c r="E1037" i="1"/>
  <c r="D1037" i="1"/>
  <c r="C1037" i="1"/>
  <c r="P1036" i="1"/>
  <c r="G1036" i="1"/>
  <c r="E1036" i="1"/>
  <c r="D1036" i="1"/>
  <c r="C1036" i="1"/>
  <c r="P1035" i="1"/>
  <c r="G1035" i="1"/>
  <c r="E1035" i="1"/>
  <c r="D1035" i="1"/>
  <c r="C1035" i="1"/>
  <c r="P1034" i="1"/>
  <c r="G1034" i="1"/>
  <c r="E1034" i="1"/>
  <c r="D1034" i="1"/>
  <c r="C1034" i="1"/>
  <c r="P1033" i="1"/>
  <c r="G1033" i="1"/>
  <c r="E1033" i="1"/>
  <c r="D1033" i="1"/>
  <c r="C1033" i="1"/>
  <c r="P1032" i="1"/>
  <c r="G1032" i="1"/>
  <c r="E1032" i="1"/>
  <c r="D1032" i="1"/>
  <c r="C1032" i="1"/>
  <c r="P1031" i="1"/>
  <c r="G1031" i="1"/>
  <c r="E1031" i="1"/>
  <c r="D1031" i="1"/>
  <c r="C1031" i="1"/>
  <c r="P1030" i="1"/>
  <c r="G1030" i="1"/>
  <c r="E1030" i="1"/>
  <c r="D1030" i="1"/>
  <c r="C1030" i="1"/>
  <c r="P1029" i="1"/>
  <c r="G1029" i="1"/>
  <c r="E1029" i="1"/>
  <c r="D1029" i="1"/>
  <c r="C1029" i="1"/>
  <c r="P1028" i="1"/>
  <c r="G1028" i="1"/>
  <c r="E1028" i="1"/>
  <c r="D1028" i="1"/>
  <c r="C1028" i="1"/>
  <c r="P1027" i="1"/>
  <c r="G1027" i="1"/>
  <c r="E1027" i="1"/>
  <c r="D1027" i="1"/>
  <c r="C1027" i="1"/>
  <c r="P1026" i="1"/>
  <c r="G1026" i="1"/>
  <c r="E1026" i="1"/>
  <c r="D1026" i="1"/>
  <c r="C1026" i="1"/>
  <c r="P1025" i="1"/>
  <c r="G1025" i="1"/>
  <c r="E1025" i="1"/>
  <c r="D1025" i="1"/>
  <c r="C1025" i="1"/>
  <c r="P1024" i="1"/>
  <c r="G1024" i="1"/>
  <c r="E1024" i="1"/>
  <c r="D1024" i="1"/>
  <c r="C1024" i="1"/>
  <c r="P1023" i="1"/>
  <c r="G1023" i="1"/>
  <c r="E1023" i="1"/>
  <c r="D1023" i="1"/>
  <c r="C1023" i="1"/>
  <c r="P1022" i="1"/>
  <c r="G1022" i="1"/>
  <c r="E1022" i="1"/>
  <c r="D1022" i="1"/>
  <c r="C1022" i="1"/>
  <c r="P1021" i="1"/>
  <c r="G1021" i="1"/>
  <c r="E1021" i="1"/>
  <c r="D1021" i="1"/>
  <c r="C1021" i="1"/>
  <c r="P1020" i="1"/>
  <c r="G1020" i="1"/>
  <c r="E1020" i="1"/>
  <c r="D1020" i="1"/>
  <c r="C1020" i="1"/>
  <c r="P1019" i="1"/>
  <c r="G1019" i="1"/>
  <c r="E1019" i="1"/>
  <c r="D1019" i="1"/>
  <c r="C1019" i="1"/>
  <c r="P1018" i="1"/>
  <c r="G1018" i="1"/>
  <c r="E1018" i="1"/>
  <c r="D1018" i="1"/>
  <c r="C1018" i="1"/>
  <c r="P1017" i="1"/>
  <c r="G1017" i="1"/>
  <c r="E1017" i="1"/>
  <c r="D1017" i="1"/>
  <c r="C1017" i="1"/>
  <c r="P1016" i="1"/>
  <c r="G1016" i="1"/>
  <c r="E1016" i="1"/>
  <c r="D1016" i="1"/>
  <c r="C1016" i="1"/>
  <c r="P1015" i="1"/>
  <c r="G1015" i="1"/>
  <c r="E1015" i="1"/>
  <c r="D1015" i="1"/>
  <c r="C1015" i="1"/>
  <c r="P1014" i="1"/>
  <c r="G1014" i="1"/>
  <c r="E1014" i="1"/>
  <c r="D1014" i="1"/>
  <c r="C1014" i="1"/>
  <c r="P1013" i="1"/>
  <c r="G1013" i="1"/>
  <c r="E1013" i="1"/>
  <c r="D1013" i="1"/>
  <c r="C1013" i="1"/>
  <c r="P1012" i="1"/>
  <c r="G1012" i="1"/>
  <c r="E1012" i="1"/>
  <c r="D1012" i="1"/>
  <c r="C1012" i="1"/>
  <c r="P1011" i="1"/>
  <c r="G1011" i="1"/>
  <c r="E1011" i="1"/>
  <c r="D1011" i="1"/>
  <c r="C1011" i="1"/>
  <c r="P1010" i="1"/>
  <c r="G1010" i="1"/>
  <c r="E1010" i="1"/>
  <c r="D1010" i="1"/>
  <c r="C1010" i="1"/>
  <c r="P1009" i="1"/>
  <c r="G1009" i="1"/>
  <c r="E1009" i="1"/>
  <c r="D1009" i="1"/>
  <c r="C1009" i="1"/>
  <c r="P1008" i="1"/>
  <c r="G1008" i="1"/>
  <c r="E1008" i="1"/>
  <c r="D1008" i="1"/>
  <c r="C1008" i="1"/>
  <c r="P1007" i="1"/>
  <c r="G1007" i="1"/>
  <c r="E1007" i="1"/>
  <c r="D1007" i="1"/>
  <c r="C1007" i="1"/>
  <c r="P1006" i="1"/>
  <c r="G1006" i="1"/>
  <c r="E1006" i="1"/>
  <c r="D1006" i="1"/>
  <c r="C1006" i="1"/>
  <c r="P1005" i="1"/>
  <c r="G1005" i="1"/>
  <c r="E1005" i="1"/>
  <c r="D1005" i="1"/>
  <c r="C1005" i="1"/>
  <c r="P1004" i="1"/>
  <c r="G1004" i="1"/>
  <c r="E1004" i="1"/>
  <c r="D1004" i="1"/>
  <c r="C1004" i="1"/>
  <c r="P1003" i="1"/>
  <c r="G1003" i="1"/>
  <c r="E1003" i="1"/>
  <c r="D1003" i="1"/>
  <c r="C1003" i="1"/>
  <c r="P1002" i="1"/>
  <c r="G1002" i="1"/>
  <c r="E1002" i="1"/>
  <c r="D1002" i="1"/>
  <c r="C1002" i="1"/>
  <c r="P1001" i="1"/>
  <c r="G1001" i="1"/>
  <c r="E1001" i="1"/>
  <c r="D1001" i="1"/>
  <c r="C1001" i="1"/>
  <c r="P1000" i="1"/>
  <c r="G1000" i="1"/>
  <c r="E1000" i="1"/>
  <c r="D1000" i="1"/>
  <c r="C1000" i="1"/>
  <c r="P999" i="1"/>
  <c r="G999" i="1"/>
  <c r="E999" i="1"/>
  <c r="D999" i="1"/>
  <c r="C999" i="1"/>
  <c r="P998" i="1"/>
  <c r="G998" i="1"/>
  <c r="E998" i="1"/>
  <c r="D998" i="1"/>
  <c r="C998" i="1"/>
  <c r="P997" i="1"/>
  <c r="G997" i="1"/>
  <c r="E997" i="1"/>
  <c r="D997" i="1"/>
  <c r="C997" i="1"/>
  <c r="P996" i="1"/>
  <c r="G996" i="1"/>
  <c r="E996" i="1"/>
  <c r="D996" i="1"/>
  <c r="C996" i="1"/>
  <c r="P995" i="1"/>
  <c r="G995" i="1"/>
  <c r="E995" i="1"/>
  <c r="D995" i="1"/>
  <c r="C995" i="1"/>
  <c r="P994" i="1"/>
  <c r="G994" i="1"/>
  <c r="E994" i="1"/>
  <c r="D994" i="1"/>
  <c r="C994" i="1"/>
  <c r="G993" i="1"/>
  <c r="E993" i="1"/>
  <c r="D993" i="1"/>
  <c r="C993" i="1"/>
  <c r="G992" i="1"/>
  <c r="E992" i="1"/>
  <c r="D992" i="1"/>
  <c r="C992" i="1"/>
  <c r="G991" i="1"/>
  <c r="E991" i="1"/>
  <c r="D991" i="1"/>
  <c r="C991" i="1"/>
  <c r="G990" i="1"/>
  <c r="E990" i="1"/>
  <c r="D990" i="1"/>
  <c r="C990" i="1"/>
  <c r="G989" i="1"/>
  <c r="E989" i="1"/>
  <c r="D989" i="1"/>
  <c r="C989" i="1"/>
  <c r="G988" i="1"/>
  <c r="E988" i="1"/>
  <c r="D988" i="1"/>
  <c r="C988" i="1"/>
  <c r="G987" i="1"/>
  <c r="E987" i="1"/>
  <c r="D987" i="1"/>
  <c r="C987" i="1"/>
  <c r="G986" i="1"/>
  <c r="E986" i="1"/>
  <c r="D986" i="1"/>
  <c r="C986" i="1"/>
  <c r="P985" i="1"/>
  <c r="G985" i="1"/>
  <c r="E985" i="1"/>
  <c r="D985" i="1"/>
  <c r="C985" i="1"/>
  <c r="P984" i="1"/>
  <c r="G984" i="1"/>
  <c r="E984" i="1"/>
  <c r="D984" i="1"/>
  <c r="C984" i="1"/>
  <c r="P983" i="1"/>
  <c r="G983" i="1"/>
  <c r="E983" i="1"/>
  <c r="D983" i="1"/>
  <c r="C983" i="1"/>
  <c r="P982" i="1"/>
  <c r="G982" i="1"/>
  <c r="E982" i="1"/>
  <c r="D982" i="1"/>
  <c r="C982" i="1"/>
  <c r="P981" i="1"/>
  <c r="G981" i="1"/>
  <c r="E981" i="1"/>
  <c r="D981" i="1"/>
  <c r="C981" i="1"/>
  <c r="P980" i="1"/>
  <c r="G980" i="1"/>
  <c r="E980" i="1"/>
  <c r="D980" i="1"/>
  <c r="C980" i="1"/>
  <c r="P979" i="1"/>
  <c r="G979" i="1"/>
  <c r="E979" i="1"/>
  <c r="D979" i="1"/>
  <c r="C979" i="1"/>
  <c r="P978" i="1"/>
  <c r="G978" i="1"/>
  <c r="E978" i="1"/>
  <c r="D978" i="1"/>
  <c r="C978" i="1"/>
  <c r="P977" i="1"/>
  <c r="G977" i="1"/>
  <c r="E977" i="1"/>
  <c r="D977" i="1"/>
  <c r="C977" i="1"/>
  <c r="P976" i="1"/>
  <c r="G976" i="1"/>
  <c r="E976" i="1"/>
  <c r="D976" i="1"/>
  <c r="C976" i="1"/>
  <c r="P975" i="1"/>
  <c r="G975" i="1"/>
  <c r="E975" i="1"/>
  <c r="D975" i="1"/>
  <c r="C975" i="1"/>
  <c r="P974" i="1"/>
  <c r="G974" i="1"/>
  <c r="E974" i="1"/>
  <c r="D974" i="1"/>
  <c r="C974" i="1"/>
  <c r="P973" i="1"/>
  <c r="G973" i="1"/>
  <c r="E973" i="1"/>
  <c r="D973" i="1"/>
  <c r="C973" i="1"/>
  <c r="P972" i="1"/>
  <c r="G972" i="1"/>
  <c r="E972" i="1"/>
  <c r="D972" i="1"/>
  <c r="C972" i="1"/>
  <c r="P971" i="1"/>
  <c r="G971" i="1"/>
  <c r="E971" i="1"/>
  <c r="D971" i="1"/>
  <c r="C971" i="1"/>
  <c r="P970" i="1"/>
  <c r="G970" i="1"/>
  <c r="E970" i="1"/>
  <c r="D970" i="1"/>
  <c r="C970" i="1"/>
  <c r="P969" i="1"/>
  <c r="G969" i="1"/>
  <c r="E969" i="1"/>
  <c r="D969" i="1"/>
  <c r="C969" i="1"/>
  <c r="P968" i="1"/>
  <c r="G968" i="1"/>
  <c r="E968" i="1"/>
  <c r="D968" i="1"/>
  <c r="C968" i="1"/>
  <c r="P967" i="1"/>
  <c r="G967" i="1"/>
  <c r="E967" i="1"/>
  <c r="D967" i="1"/>
  <c r="C967" i="1"/>
  <c r="P966" i="1"/>
  <c r="G966" i="1"/>
  <c r="E966" i="1"/>
  <c r="D966" i="1"/>
  <c r="C966" i="1"/>
  <c r="P965" i="1"/>
  <c r="L965" i="1"/>
  <c r="G965" i="1"/>
  <c r="E965" i="1"/>
  <c r="D965" i="1"/>
  <c r="C965" i="1"/>
  <c r="P964" i="1"/>
  <c r="L964" i="1"/>
  <c r="G964" i="1"/>
  <c r="E964" i="1"/>
  <c r="D964" i="1"/>
  <c r="C964" i="1"/>
  <c r="P963" i="1"/>
  <c r="L963" i="1"/>
  <c r="G963" i="1"/>
  <c r="E963" i="1"/>
  <c r="D963" i="1"/>
  <c r="C963" i="1"/>
  <c r="P962" i="1"/>
  <c r="G962" i="1"/>
  <c r="E962" i="1"/>
  <c r="D962" i="1"/>
  <c r="C962" i="1"/>
  <c r="P961" i="1"/>
  <c r="G961" i="1"/>
  <c r="E961" i="1"/>
  <c r="D961" i="1"/>
  <c r="C961" i="1"/>
  <c r="P960" i="1"/>
  <c r="G960" i="1"/>
  <c r="E960" i="1"/>
  <c r="D960" i="1"/>
  <c r="C960" i="1"/>
  <c r="P959" i="1"/>
  <c r="G959" i="1"/>
  <c r="E959" i="1"/>
  <c r="D959" i="1"/>
  <c r="C959" i="1"/>
  <c r="P958" i="1"/>
  <c r="G958" i="1"/>
  <c r="E958" i="1"/>
  <c r="D958" i="1"/>
  <c r="C958" i="1"/>
  <c r="P957" i="1"/>
  <c r="L957" i="1"/>
  <c r="G957" i="1"/>
  <c r="E957" i="1"/>
  <c r="D957" i="1"/>
  <c r="C957" i="1"/>
  <c r="P956" i="1"/>
  <c r="L956" i="1"/>
  <c r="G956" i="1"/>
  <c r="E956" i="1"/>
  <c r="D956" i="1"/>
  <c r="C956" i="1"/>
  <c r="P955" i="1"/>
  <c r="L955" i="1"/>
  <c r="G955" i="1"/>
  <c r="E955" i="1"/>
  <c r="D955" i="1"/>
  <c r="C955" i="1"/>
  <c r="P954" i="1"/>
  <c r="G954" i="1"/>
  <c r="E954" i="1"/>
  <c r="D954" i="1"/>
  <c r="C954" i="1"/>
  <c r="P953" i="1"/>
  <c r="G953" i="1"/>
  <c r="E953" i="1"/>
  <c r="D953" i="1"/>
  <c r="C953" i="1"/>
  <c r="P952" i="1"/>
  <c r="L952" i="1"/>
  <c r="G952" i="1"/>
  <c r="E952" i="1"/>
  <c r="D952" i="1"/>
  <c r="C952" i="1"/>
  <c r="P951" i="1"/>
  <c r="G951" i="1"/>
  <c r="E951" i="1"/>
  <c r="D951" i="1"/>
  <c r="C951" i="1"/>
  <c r="P950" i="1"/>
  <c r="G950" i="1"/>
  <c r="E950" i="1"/>
  <c r="D950" i="1"/>
  <c r="C950" i="1"/>
  <c r="P949" i="1"/>
  <c r="L949" i="1"/>
  <c r="G949" i="1"/>
  <c r="E949" i="1"/>
  <c r="D949" i="1"/>
  <c r="C949" i="1"/>
  <c r="P948" i="1"/>
  <c r="L948" i="1"/>
  <c r="G948" i="1"/>
  <c r="E948" i="1"/>
  <c r="D948" i="1"/>
  <c r="C948" i="1"/>
  <c r="P947" i="1"/>
  <c r="L947" i="1"/>
  <c r="G947" i="1"/>
  <c r="E947" i="1"/>
  <c r="D947" i="1"/>
  <c r="C947" i="1"/>
  <c r="P946" i="1"/>
  <c r="G946" i="1"/>
  <c r="E946" i="1"/>
  <c r="D946" i="1"/>
  <c r="C946" i="1"/>
  <c r="P945" i="1"/>
  <c r="G945" i="1"/>
  <c r="E945" i="1"/>
  <c r="D945" i="1"/>
  <c r="C945" i="1"/>
  <c r="P944" i="1"/>
  <c r="L944" i="1"/>
  <c r="G944" i="1"/>
  <c r="E944" i="1"/>
  <c r="D944" i="1"/>
  <c r="C944" i="1"/>
  <c r="P943" i="1"/>
  <c r="G943" i="1"/>
  <c r="E943" i="1"/>
  <c r="D943" i="1"/>
  <c r="C943" i="1"/>
  <c r="P942" i="1"/>
  <c r="G942" i="1"/>
  <c r="E942" i="1"/>
  <c r="D942" i="1"/>
  <c r="C942" i="1"/>
  <c r="P941" i="1"/>
  <c r="L941" i="1"/>
  <c r="G941" i="1"/>
  <c r="E941" i="1"/>
  <c r="D941" i="1"/>
  <c r="C941" i="1"/>
  <c r="P940" i="1"/>
  <c r="L940" i="1"/>
  <c r="G940" i="1"/>
  <c r="E940" i="1"/>
  <c r="D940" i="1"/>
  <c r="C940" i="1"/>
  <c r="P939" i="1"/>
  <c r="L939" i="1"/>
  <c r="G939" i="1"/>
  <c r="E939" i="1"/>
  <c r="D939" i="1"/>
  <c r="C939" i="1"/>
  <c r="P938" i="1"/>
  <c r="G938" i="1"/>
  <c r="E938" i="1"/>
  <c r="D938" i="1"/>
  <c r="C938" i="1"/>
  <c r="P937" i="1"/>
  <c r="G937" i="1"/>
  <c r="E937" i="1"/>
  <c r="D937" i="1"/>
  <c r="C937" i="1"/>
  <c r="P936" i="1"/>
  <c r="L936" i="1"/>
  <c r="G936" i="1"/>
  <c r="E936" i="1"/>
  <c r="D936" i="1"/>
  <c r="C936" i="1"/>
  <c r="P935" i="1"/>
  <c r="G935" i="1"/>
  <c r="E935" i="1"/>
  <c r="D935" i="1"/>
  <c r="C935" i="1"/>
  <c r="P934" i="1"/>
  <c r="G934" i="1"/>
  <c r="E934" i="1"/>
  <c r="D934" i="1"/>
  <c r="C934" i="1"/>
  <c r="P933" i="1"/>
  <c r="L933" i="1"/>
  <c r="G933" i="1"/>
  <c r="E933" i="1"/>
  <c r="D933" i="1"/>
  <c r="C933" i="1"/>
  <c r="P932" i="1"/>
  <c r="L932" i="1"/>
  <c r="G932" i="1"/>
  <c r="E932" i="1"/>
  <c r="D932" i="1"/>
  <c r="C932" i="1"/>
  <c r="P931" i="1"/>
  <c r="L931" i="1"/>
  <c r="G931" i="1"/>
  <c r="E931" i="1"/>
  <c r="D931" i="1"/>
  <c r="C931" i="1"/>
  <c r="P930" i="1"/>
  <c r="G930" i="1"/>
  <c r="E930" i="1"/>
  <c r="D930" i="1"/>
  <c r="C930" i="1"/>
  <c r="P929" i="1"/>
  <c r="G929" i="1"/>
  <c r="E929" i="1"/>
  <c r="D929" i="1"/>
  <c r="C929" i="1"/>
  <c r="P928" i="1"/>
  <c r="L928" i="1"/>
  <c r="G928" i="1"/>
  <c r="E928" i="1"/>
  <c r="D928" i="1"/>
  <c r="C928" i="1"/>
  <c r="P927" i="1"/>
  <c r="G927" i="1"/>
  <c r="E927" i="1"/>
  <c r="D927" i="1"/>
  <c r="C927" i="1"/>
  <c r="P926" i="1"/>
  <c r="G926" i="1"/>
  <c r="E926" i="1"/>
  <c r="D926" i="1"/>
  <c r="C926" i="1"/>
  <c r="P925" i="1"/>
  <c r="L925" i="1"/>
  <c r="G925" i="1"/>
  <c r="E925" i="1"/>
  <c r="D925" i="1"/>
  <c r="C925" i="1"/>
  <c r="P924" i="1"/>
  <c r="L924" i="1"/>
  <c r="G924" i="1"/>
  <c r="E924" i="1"/>
  <c r="D924" i="1"/>
  <c r="C924" i="1"/>
  <c r="P923" i="1"/>
  <c r="L923" i="1"/>
  <c r="G923" i="1"/>
  <c r="E923" i="1"/>
  <c r="D923" i="1"/>
  <c r="C923" i="1"/>
  <c r="P922" i="1"/>
  <c r="G922" i="1"/>
  <c r="E922" i="1"/>
  <c r="D922" i="1"/>
  <c r="C922" i="1"/>
  <c r="P921" i="1"/>
  <c r="G921" i="1"/>
  <c r="E921" i="1"/>
  <c r="D921" i="1"/>
  <c r="C921" i="1"/>
  <c r="P920" i="1"/>
  <c r="L920" i="1"/>
  <c r="G920" i="1"/>
  <c r="E920" i="1"/>
  <c r="D920" i="1"/>
  <c r="C920" i="1"/>
  <c r="P919" i="1"/>
  <c r="G919" i="1"/>
  <c r="E919" i="1"/>
  <c r="D919" i="1"/>
  <c r="C919" i="1"/>
  <c r="P918" i="1"/>
  <c r="G918" i="1"/>
  <c r="E918" i="1"/>
  <c r="D918" i="1"/>
  <c r="C918" i="1"/>
  <c r="P917" i="1"/>
  <c r="L917" i="1"/>
  <c r="G917" i="1"/>
  <c r="E917" i="1"/>
  <c r="D917" i="1"/>
  <c r="C917" i="1"/>
  <c r="P916" i="1"/>
  <c r="L916" i="1"/>
  <c r="G916" i="1"/>
  <c r="E916" i="1"/>
  <c r="D916" i="1"/>
  <c r="C916" i="1"/>
  <c r="P915" i="1"/>
  <c r="L915" i="1"/>
  <c r="G915" i="1"/>
  <c r="E915" i="1"/>
  <c r="D915" i="1"/>
  <c r="C915" i="1"/>
  <c r="P914" i="1"/>
  <c r="G914" i="1"/>
  <c r="E914" i="1"/>
  <c r="D914" i="1"/>
  <c r="C914" i="1"/>
  <c r="P913" i="1"/>
  <c r="G913" i="1"/>
  <c r="E913" i="1"/>
  <c r="D913" i="1"/>
  <c r="C913" i="1"/>
  <c r="P912" i="1"/>
  <c r="L912" i="1"/>
  <c r="G912" i="1"/>
  <c r="E912" i="1"/>
  <c r="D912" i="1"/>
  <c r="C912" i="1"/>
  <c r="P911" i="1"/>
  <c r="G911" i="1"/>
  <c r="E911" i="1"/>
  <c r="D911" i="1"/>
  <c r="C911" i="1"/>
  <c r="P910" i="1"/>
  <c r="G910" i="1"/>
  <c r="E910" i="1"/>
  <c r="D910" i="1"/>
  <c r="C910" i="1"/>
  <c r="P909" i="1"/>
  <c r="L909" i="1"/>
  <c r="G909" i="1"/>
  <c r="E909" i="1"/>
  <c r="D909" i="1"/>
  <c r="C909" i="1"/>
  <c r="P908" i="1"/>
  <c r="L908" i="1"/>
  <c r="G908" i="1"/>
  <c r="E908" i="1"/>
  <c r="D908" i="1"/>
  <c r="C908" i="1"/>
  <c r="P907" i="1"/>
  <c r="L907" i="1"/>
  <c r="G907" i="1"/>
  <c r="E907" i="1"/>
  <c r="D907" i="1"/>
  <c r="C907" i="1"/>
  <c r="P906" i="1"/>
  <c r="G906" i="1"/>
  <c r="E906" i="1"/>
  <c r="D906" i="1"/>
  <c r="C906" i="1"/>
  <c r="P905" i="1"/>
  <c r="G905" i="1"/>
  <c r="E905" i="1"/>
  <c r="D905" i="1"/>
  <c r="C905" i="1"/>
  <c r="P904" i="1"/>
  <c r="L904" i="1"/>
  <c r="G904" i="1"/>
  <c r="E904" i="1"/>
  <c r="D904" i="1"/>
  <c r="C904" i="1"/>
  <c r="P903" i="1"/>
  <c r="G903" i="1"/>
  <c r="E903" i="1"/>
  <c r="D903" i="1"/>
  <c r="C903" i="1"/>
  <c r="P902" i="1"/>
  <c r="G902" i="1"/>
  <c r="E902" i="1"/>
  <c r="D902" i="1"/>
  <c r="C902" i="1"/>
  <c r="P901" i="1"/>
  <c r="L901" i="1"/>
  <c r="G901" i="1"/>
  <c r="E901" i="1"/>
  <c r="D901" i="1"/>
  <c r="C901" i="1"/>
  <c r="P900" i="1"/>
  <c r="L900" i="1"/>
  <c r="G900" i="1"/>
  <c r="E900" i="1"/>
  <c r="D900" i="1"/>
  <c r="C900" i="1"/>
  <c r="P899" i="1"/>
  <c r="L899" i="1"/>
  <c r="G899" i="1"/>
  <c r="E899" i="1"/>
  <c r="D899" i="1"/>
  <c r="C899" i="1"/>
  <c r="P898" i="1"/>
  <c r="G898" i="1"/>
  <c r="E898" i="1"/>
  <c r="D898" i="1"/>
  <c r="C898" i="1"/>
  <c r="P897" i="1"/>
  <c r="G897" i="1"/>
  <c r="E897" i="1"/>
  <c r="D897" i="1"/>
  <c r="C897" i="1"/>
  <c r="P896" i="1"/>
  <c r="L896" i="1"/>
  <c r="G896" i="1"/>
  <c r="E896" i="1"/>
  <c r="D896" i="1"/>
  <c r="C896" i="1"/>
  <c r="P895" i="1"/>
  <c r="G895" i="1"/>
  <c r="E895" i="1"/>
  <c r="D895" i="1"/>
  <c r="C895" i="1"/>
  <c r="P894" i="1"/>
  <c r="G894" i="1"/>
  <c r="E894" i="1"/>
  <c r="D894" i="1"/>
  <c r="C894" i="1"/>
  <c r="P893" i="1"/>
  <c r="L893" i="1"/>
  <c r="G893" i="1"/>
  <c r="E893" i="1"/>
  <c r="D893" i="1"/>
  <c r="C893" i="1"/>
  <c r="P892" i="1"/>
  <c r="L892" i="1"/>
  <c r="G892" i="1"/>
  <c r="E892" i="1"/>
  <c r="D892" i="1"/>
  <c r="C892" i="1"/>
  <c r="P891" i="1"/>
  <c r="L891" i="1"/>
  <c r="G891" i="1"/>
  <c r="E891" i="1"/>
  <c r="D891" i="1"/>
  <c r="C891" i="1"/>
  <c r="P890" i="1"/>
  <c r="G890" i="1"/>
  <c r="E890" i="1"/>
  <c r="D890" i="1"/>
  <c r="C890" i="1"/>
  <c r="P889" i="1"/>
  <c r="G889" i="1"/>
  <c r="E889" i="1"/>
  <c r="D889" i="1"/>
  <c r="C889" i="1"/>
  <c r="P888" i="1"/>
  <c r="L888" i="1"/>
  <c r="G888" i="1"/>
  <c r="E888" i="1"/>
  <c r="D888" i="1"/>
  <c r="C888" i="1"/>
  <c r="P887" i="1"/>
  <c r="L887" i="1"/>
  <c r="G887" i="1"/>
  <c r="E887" i="1"/>
  <c r="D887" i="1"/>
  <c r="C887" i="1"/>
  <c r="G886" i="1"/>
  <c r="E886" i="1"/>
  <c r="D886" i="1"/>
  <c r="C886" i="1"/>
  <c r="P885" i="1"/>
  <c r="L885" i="1"/>
  <c r="G885" i="1"/>
  <c r="E885" i="1"/>
  <c r="D885" i="1"/>
  <c r="C885" i="1"/>
  <c r="P884" i="1"/>
  <c r="L884" i="1"/>
  <c r="G884" i="1"/>
  <c r="E884" i="1"/>
  <c r="D884" i="1"/>
  <c r="C884" i="1"/>
  <c r="P883" i="1"/>
  <c r="L883" i="1"/>
  <c r="G883" i="1"/>
  <c r="E883" i="1"/>
  <c r="D883" i="1"/>
  <c r="C883" i="1"/>
  <c r="P882" i="1"/>
  <c r="G882" i="1"/>
  <c r="E882" i="1"/>
  <c r="D882" i="1"/>
  <c r="C882" i="1"/>
  <c r="P881" i="1"/>
  <c r="G881" i="1"/>
  <c r="E881" i="1"/>
  <c r="D881" i="1"/>
  <c r="C881" i="1"/>
  <c r="P880" i="1"/>
  <c r="L880" i="1"/>
  <c r="G880" i="1"/>
  <c r="E880" i="1"/>
  <c r="D880" i="1"/>
  <c r="C880" i="1"/>
  <c r="P879" i="1"/>
  <c r="G879" i="1"/>
  <c r="E879" i="1"/>
  <c r="D879" i="1"/>
  <c r="C879" i="1"/>
  <c r="P878" i="1"/>
  <c r="G878" i="1"/>
  <c r="E878" i="1"/>
  <c r="D878" i="1"/>
  <c r="C878" i="1"/>
  <c r="P877" i="1"/>
  <c r="L877" i="1"/>
  <c r="G877" i="1"/>
  <c r="E877" i="1"/>
  <c r="D877" i="1"/>
  <c r="C877" i="1"/>
  <c r="P876" i="1"/>
  <c r="L876" i="1"/>
  <c r="G876" i="1"/>
  <c r="E876" i="1"/>
  <c r="D876" i="1"/>
  <c r="C876" i="1"/>
  <c r="P875" i="1"/>
  <c r="L875" i="1"/>
  <c r="G875" i="1"/>
  <c r="E875" i="1"/>
  <c r="D875" i="1"/>
  <c r="C875" i="1"/>
  <c r="P874" i="1"/>
  <c r="G874" i="1"/>
  <c r="E874" i="1"/>
  <c r="D874" i="1"/>
  <c r="C874" i="1"/>
  <c r="P873" i="1"/>
  <c r="G873" i="1"/>
  <c r="E873" i="1"/>
  <c r="D873" i="1"/>
  <c r="C873" i="1"/>
  <c r="P872" i="1"/>
  <c r="L872" i="1"/>
  <c r="G872" i="1"/>
  <c r="E872" i="1"/>
  <c r="D872" i="1"/>
  <c r="C872" i="1"/>
  <c r="P871" i="1"/>
  <c r="L871" i="1"/>
  <c r="G871" i="1"/>
  <c r="E871" i="1"/>
  <c r="D871" i="1"/>
  <c r="C871" i="1"/>
  <c r="P870" i="1"/>
  <c r="G870" i="1"/>
  <c r="E870" i="1"/>
  <c r="D870" i="1"/>
  <c r="C870" i="1"/>
  <c r="L869" i="1"/>
  <c r="G869" i="1"/>
  <c r="E869" i="1"/>
  <c r="D869" i="1"/>
  <c r="C869" i="1"/>
  <c r="L868" i="1"/>
  <c r="G868" i="1"/>
  <c r="E868" i="1"/>
  <c r="D868" i="1"/>
  <c r="C868" i="1"/>
  <c r="P867" i="1"/>
  <c r="L867" i="1"/>
  <c r="G867" i="1"/>
  <c r="E867" i="1"/>
  <c r="D867" i="1"/>
  <c r="C867" i="1"/>
  <c r="P866" i="1"/>
  <c r="L866" i="1"/>
  <c r="G866" i="1"/>
  <c r="E866" i="1"/>
  <c r="D866" i="1"/>
  <c r="C866" i="1"/>
  <c r="P865" i="1"/>
  <c r="G865" i="1"/>
  <c r="E865" i="1"/>
  <c r="D865" i="1"/>
  <c r="C865" i="1"/>
  <c r="P864" i="1"/>
  <c r="L864" i="1"/>
  <c r="G864" i="1"/>
  <c r="E864" i="1"/>
  <c r="D864" i="1"/>
  <c r="C864" i="1"/>
  <c r="P863" i="1"/>
  <c r="G863" i="1"/>
  <c r="E863" i="1"/>
  <c r="D863" i="1"/>
  <c r="C863" i="1"/>
  <c r="P862" i="1"/>
  <c r="L862" i="1"/>
  <c r="G862" i="1"/>
  <c r="E862" i="1"/>
  <c r="D862" i="1"/>
  <c r="C862" i="1"/>
  <c r="P861" i="1"/>
  <c r="L861" i="1"/>
  <c r="G861" i="1"/>
  <c r="E861" i="1"/>
  <c r="D861" i="1"/>
  <c r="C861" i="1"/>
  <c r="P860" i="1"/>
  <c r="L860" i="1"/>
  <c r="G860" i="1"/>
  <c r="E860" i="1"/>
  <c r="D860" i="1"/>
  <c r="C860" i="1"/>
  <c r="P859" i="1"/>
  <c r="L859" i="1"/>
  <c r="G859" i="1"/>
  <c r="E859" i="1"/>
  <c r="D859" i="1"/>
  <c r="C859" i="1"/>
  <c r="P858" i="1"/>
  <c r="L858" i="1"/>
  <c r="G858" i="1"/>
  <c r="E858" i="1"/>
  <c r="D858" i="1"/>
  <c r="C858" i="1"/>
  <c r="P857" i="1"/>
  <c r="G857" i="1"/>
  <c r="E857" i="1"/>
  <c r="D857" i="1"/>
  <c r="C857" i="1"/>
  <c r="P856" i="1"/>
  <c r="L856" i="1"/>
  <c r="G856" i="1"/>
  <c r="E856" i="1"/>
  <c r="D856" i="1"/>
  <c r="C856" i="1"/>
  <c r="P855" i="1"/>
  <c r="G855" i="1"/>
  <c r="E855" i="1"/>
  <c r="D855" i="1"/>
  <c r="C855" i="1"/>
  <c r="P854" i="1"/>
  <c r="L854" i="1"/>
  <c r="G854" i="1"/>
  <c r="E854" i="1"/>
  <c r="D854" i="1"/>
  <c r="C854" i="1"/>
  <c r="P853" i="1"/>
  <c r="L853" i="1"/>
  <c r="G853" i="1"/>
  <c r="E853" i="1"/>
  <c r="D853" i="1"/>
  <c r="C853" i="1"/>
  <c r="P852" i="1"/>
  <c r="L852" i="1"/>
  <c r="G852" i="1"/>
  <c r="E852" i="1"/>
  <c r="D852" i="1"/>
  <c r="C852" i="1"/>
  <c r="P851" i="1"/>
  <c r="L851" i="1"/>
  <c r="G851" i="1"/>
  <c r="E851" i="1"/>
  <c r="D851" i="1"/>
  <c r="C851" i="1"/>
  <c r="P850" i="1"/>
  <c r="L850" i="1"/>
  <c r="G850" i="1"/>
  <c r="E850" i="1"/>
  <c r="D850" i="1"/>
  <c r="C850" i="1"/>
  <c r="P849" i="1"/>
  <c r="G849" i="1"/>
  <c r="E849" i="1"/>
  <c r="D849" i="1"/>
  <c r="C849" i="1"/>
  <c r="P848" i="1"/>
  <c r="L848" i="1"/>
  <c r="G848" i="1"/>
  <c r="E848" i="1"/>
  <c r="D848" i="1"/>
  <c r="C848" i="1"/>
  <c r="P847" i="1"/>
  <c r="G847" i="1"/>
  <c r="E847" i="1"/>
  <c r="D847" i="1"/>
  <c r="C847" i="1"/>
  <c r="P846" i="1"/>
  <c r="L846" i="1"/>
  <c r="G846" i="1"/>
  <c r="E846" i="1"/>
  <c r="D846" i="1"/>
  <c r="C846" i="1"/>
  <c r="P845" i="1"/>
  <c r="L845" i="1"/>
  <c r="G845" i="1"/>
  <c r="E845" i="1"/>
  <c r="D845" i="1"/>
  <c r="C845" i="1"/>
  <c r="P844" i="1"/>
  <c r="L844" i="1"/>
  <c r="G844" i="1"/>
  <c r="E844" i="1"/>
  <c r="D844" i="1"/>
  <c r="C844" i="1"/>
  <c r="P843" i="1"/>
  <c r="L843" i="1"/>
  <c r="G843" i="1"/>
  <c r="E843" i="1"/>
  <c r="D843" i="1"/>
  <c r="C843" i="1"/>
  <c r="P842" i="1"/>
  <c r="L842" i="1"/>
  <c r="G842" i="1"/>
  <c r="E842" i="1"/>
  <c r="D842" i="1"/>
  <c r="C842" i="1"/>
  <c r="P841" i="1"/>
  <c r="G841" i="1"/>
  <c r="E841" i="1"/>
  <c r="D841" i="1"/>
  <c r="C841" i="1"/>
  <c r="P840" i="1"/>
  <c r="L840" i="1"/>
  <c r="G840" i="1"/>
  <c r="E840" i="1"/>
  <c r="D840" i="1"/>
  <c r="C840" i="1"/>
  <c r="P839" i="1"/>
  <c r="L839" i="1"/>
  <c r="G839" i="1"/>
  <c r="E839" i="1"/>
  <c r="D839" i="1"/>
  <c r="C839" i="1"/>
  <c r="P838" i="1"/>
  <c r="L838" i="1"/>
  <c r="G838" i="1"/>
  <c r="E838" i="1"/>
  <c r="D838" i="1"/>
  <c r="C838" i="1"/>
  <c r="P837" i="1"/>
  <c r="L837" i="1"/>
  <c r="G837" i="1"/>
  <c r="E837" i="1"/>
  <c r="D837" i="1"/>
  <c r="C837" i="1"/>
  <c r="P836" i="1"/>
  <c r="L836" i="1"/>
  <c r="G836" i="1"/>
  <c r="E836" i="1"/>
  <c r="D836" i="1"/>
  <c r="C836" i="1"/>
  <c r="P835" i="1"/>
  <c r="L835" i="1"/>
  <c r="G835" i="1"/>
  <c r="E835" i="1"/>
  <c r="D835" i="1"/>
  <c r="C835" i="1"/>
  <c r="P834" i="1"/>
  <c r="L834" i="1"/>
  <c r="G834" i="1"/>
  <c r="E834" i="1"/>
  <c r="D834" i="1"/>
  <c r="C834" i="1"/>
  <c r="P833" i="1"/>
  <c r="G833" i="1"/>
  <c r="E833" i="1"/>
  <c r="D833" i="1"/>
  <c r="C833" i="1"/>
  <c r="P832" i="1"/>
  <c r="L832" i="1"/>
  <c r="G832" i="1"/>
  <c r="E832" i="1"/>
  <c r="D832" i="1"/>
  <c r="C832" i="1"/>
  <c r="P831" i="1"/>
  <c r="L831" i="1"/>
  <c r="G831" i="1"/>
  <c r="E831" i="1"/>
  <c r="D831" i="1"/>
  <c r="C831" i="1"/>
  <c r="P830" i="1"/>
  <c r="L830" i="1"/>
  <c r="G830" i="1"/>
  <c r="E830" i="1"/>
  <c r="D830" i="1"/>
  <c r="C830" i="1"/>
  <c r="P829" i="1"/>
  <c r="L829" i="1"/>
  <c r="G829" i="1"/>
  <c r="E829" i="1"/>
  <c r="D829" i="1"/>
  <c r="C829" i="1"/>
  <c r="P828" i="1"/>
  <c r="L828" i="1"/>
  <c r="G828" i="1"/>
  <c r="E828" i="1"/>
  <c r="D828" i="1"/>
  <c r="C828" i="1"/>
  <c r="L827" i="1"/>
  <c r="G827" i="1"/>
  <c r="E827" i="1"/>
  <c r="D827" i="1"/>
  <c r="C827" i="1"/>
  <c r="P826" i="1"/>
  <c r="G826" i="1"/>
  <c r="E826" i="1"/>
  <c r="D826" i="1"/>
  <c r="C826" i="1"/>
  <c r="P825" i="1"/>
  <c r="G825" i="1"/>
  <c r="E825" i="1"/>
  <c r="D825" i="1"/>
  <c r="C825" i="1"/>
  <c r="L824" i="1"/>
  <c r="G824" i="1"/>
  <c r="E824" i="1"/>
  <c r="D824" i="1"/>
  <c r="C824" i="1"/>
  <c r="P823" i="1"/>
  <c r="G823" i="1"/>
  <c r="E823" i="1"/>
  <c r="D823" i="1"/>
  <c r="C823" i="1"/>
  <c r="P822" i="1"/>
  <c r="G822" i="1"/>
  <c r="E822" i="1"/>
  <c r="D822" i="1"/>
  <c r="C822" i="1"/>
  <c r="P821" i="1"/>
  <c r="L821" i="1"/>
  <c r="G821" i="1"/>
  <c r="E821" i="1"/>
  <c r="D821" i="1"/>
  <c r="C821" i="1"/>
  <c r="P820" i="1"/>
  <c r="L820" i="1"/>
  <c r="G820" i="1"/>
  <c r="E820" i="1"/>
  <c r="D820" i="1"/>
  <c r="C820" i="1"/>
  <c r="P819" i="1"/>
  <c r="L819" i="1"/>
  <c r="G819" i="1"/>
  <c r="E819" i="1"/>
  <c r="D819" i="1"/>
  <c r="C819" i="1"/>
  <c r="P818" i="1"/>
  <c r="G818" i="1"/>
  <c r="E818" i="1"/>
  <c r="D818" i="1"/>
  <c r="C818" i="1"/>
  <c r="P817" i="1"/>
  <c r="G817" i="1"/>
  <c r="E817" i="1"/>
  <c r="D817" i="1"/>
  <c r="C817" i="1"/>
  <c r="P816" i="1"/>
  <c r="L816" i="1"/>
  <c r="G816" i="1"/>
  <c r="E816" i="1"/>
  <c r="D816" i="1"/>
  <c r="C816" i="1"/>
  <c r="P815" i="1"/>
  <c r="L815" i="1"/>
  <c r="G815" i="1"/>
  <c r="E815" i="1"/>
  <c r="D815" i="1"/>
  <c r="C815" i="1"/>
  <c r="P814" i="1"/>
  <c r="G814" i="1"/>
  <c r="E814" i="1"/>
  <c r="D814" i="1"/>
  <c r="C814" i="1"/>
  <c r="P813" i="1"/>
  <c r="L813" i="1"/>
  <c r="G813" i="1"/>
  <c r="E813" i="1"/>
  <c r="D813" i="1"/>
  <c r="C813" i="1"/>
  <c r="P812" i="1"/>
  <c r="L812" i="1"/>
  <c r="G812" i="1"/>
  <c r="E812" i="1"/>
  <c r="D812" i="1"/>
  <c r="C812" i="1"/>
  <c r="P811" i="1"/>
  <c r="L811" i="1"/>
  <c r="G811" i="1"/>
  <c r="E811" i="1"/>
  <c r="D811" i="1"/>
  <c r="C811" i="1"/>
  <c r="G810" i="1"/>
  <c r="E810" i="1"/>
  <c r="D810" i="1"/>
  <c r="C810" i="1"/>
  <c r="P809" i="1"/>
  <c r="G809" i="1"/>
  <c r="E809" i="1"/>
  <c r="D809" i="1"/>
  <c r="C809" i="1"/>
  <c r="P808" i="1"/>
  <c r="L808" i="1"/>
  <c r="G808" i="1"/>
  <c r="E808" i="1"/>
  <c r="D808" i="1"/>
  <c r="C808" i="1"/>
  <c r="G807" i="1"/>
  <c r="E807" i="1"/>
  <c r="D807" i="1"/>
  <c r="C807" i="1"/>
  <c r="P806" i="1"/>
  <c r="L806" i="1"/>
  <c r="G806" i="1"/>
  <c r="E806" i="1"/>
  <c r="D806" i="1"/>
  <c r="C806" i="1"/>
  <c r="P805" i="1"/>
  <c r="L805" i="1"/>
  <c r="G805" i="1"/>
  <c r="E805" i="1"/>
  <c r="D805" i="1"/>
  <c r="C805" i="1"/>
  <c r="P804" i="1"/>
  <c r="L804" i="1"/>
  <c r="G804" i="1"/>
  <c r="E804" i="1"/>
  <c r="D804" i="1"/>
  <c r="C804" i="1"/>
  <c r="P803" i="1"/>
  <c r="L803" i="1"/>
  <c r="G803" i="1"/>
  <c r="E803" i="1"/>
  <c r="D803" i="1"/>
  <c r="C803" i="1"/>
  <c r="P802" i="1"/>
  <c r="L802" i="1"/>
  <c r="G802" i="1"/>
  <c r="E802" i="1"/>
  <c r="D802" i="1"/>
  <c r="C802" i="1"/>
  <c r="P801" i="1"/>
  <c r="G801" i="1"/>
  <c r="E801" i="1"/>
  <c r="D801" i="1"/>
  <c r="C801" i="1"/>
  <c r="P800" i="1"/>
  <c r="L800" i="1"/>
  <c r="G800" i="1"/>
  <c r="E800" i="1"/>
  <c r="D800" i="1"/>
  <c r="C800" i="1"/>
  <c r="L799" i="1"/>
  <c r="G799" i="1"/>
  <c r="E799" i="1"/>
  <c r="D799" i="1"/>
  <c r="C799" i="1"/>
  <c r="G798" i="1"/>
  <c r="E798" i="1"/>
  <c r="D798" i="1"/>
  <c r="C798" i="1"/>
  <c r="L797" i="1"/>
  <c r="G797" i="1"/>
  <c r="E797" i="1"/>
  <c r="D797" i="1"/>
  <c r="C797" i="1"/>
  <c r="G796" i="1"/>
  <c r="E796" i="1"/>
  <c r="D796" i="1"/>
  <c r="C796" i="1"/>
  <c r="L795" i="1"/>
  <c r="G795" i="1"/>
  <c r="E795" i="1"/>
  <c r="D795" i="1"/>
  <c r="C795" i="1"/>
  <c r="P794" i="1"/>
  <c r="G794" i="1"/>
  <c r="E794" i="1"/>
  <c r="D794" i="1"/>
  <c r="C794" i="1"/>
  <c r="P793" i="1"/>
  <c r="G793" i="1"/>
  <c r="E793" i="1"/>
  <c r="D793" i="1"/>
  <c r="C793" i="1"/>
  <c r="P792" i="1"/>
  <c r="L792" i="1"/>
  <c r="G792" i="1"/>
  <c r="E792" i="1"/>
  <c r="D792" i="1"/>
  <c r="C792" i="1"/>
  <c r="P791" i="1"/>
  <c r="L791" i="1"/>
  <c r="G791" i="1"/>
  <c r="E791" i="1"/>
  <c r="D791" i="1"/>
  <c r="C791" i="1"/>
  <c r="P790" i="1"/>
  <c r="G790" i="1"/>
  <c r="E790" i="1"/>
  <c r="D790" i="1"/>
  <c r="C790" i="1"/>
  <c r="L789" i="1"/>
  <c r="G789" i="1"/>
  <c r="E789" i="1"/>
  <c r="D789" i="1"/>
  <c r="C789" i="1"/>
  <c r="L788" i="1"/>
  <c r="G788" i="1"/>
  <c r="E788" i="1"/>
  <c r="D788" i="1"/>
  <c r="C788" i="1"/>
  <c r="L787" i="1"/>
  <c r="G787" i="1"/>
  <c r="E787" i="1"/>
  <c r="D787" i="1"/>
  <c r="C787" i="1"/>
  <c r="G786" i="1"/>
  <c r="E786" i="1"/>
  <c r="D786" i="1"/>
  <c r="C786" i="1"/>
  <c r="G785" i="1"/>
  <c r="E785" i="1"/>
  <c r="D785" i="1"/>
  <c r="C785" i="1"/>
  <c r="L784" i="1"/>
  <c r="G784" i="1"/>
  <c r="E784" i="1"/>
  <c r="D784" i="1"/>
  <c r="C784" i="1"/>
  <c r="L783" i="1"/>
  <c r="G783" i="1"/>
  <c r="E783" i="1"/>
  <c r="D783" i="1"/>
  <c r="C783" i="1"/>
  <c r="P782" i="1"/>
  <c r="G782" i="1"/>
  <c r="E782" i="1"/>
  <c r="D782" i="1"/>
  <c r="C782" i="1"/>
  <c r="P781" i="1"/>
  <c r="L781" i="1"/>
  <c r="G781" i="1"/>
  <c r="E781" i="1"/>
  <c r="D781" i="1"/>
  <c r="C781" i="1"/>
  <c r="L780" i="1"/>
  <c r="G780" i="1"/>
  <c r="E780" i="1"/>
  <c r="D780" i="1"/>
  <c r="C780" i="1"/>
  <c r="P779" i="1"/>
  <c r="L779" i="1"/>
  <c r="G779" i="1"/>
  <c r="E779" i="1"/>
  <c r="D779" i="1"/>
  <c r="C779" i="1"/>
  <c r="P778" i="1"/>
  <c r="G778" i="1"/>
  <c r="E778" i="1"/>
  <c r="D778" i="1"/>
  <c r="C778" i="1"/>
  <c r="P777" i="1"/>
  <c r="G777" i="1"/>
  <c r="E777" i="1"/>
  <c r="D777" i="1"/>
  <c r="C777" i="1"/>
  <c r="L776" i="1"/>
  <c r="G776" i="1"/>
  <c r="E776" i="1"/>
  <c r="D776" i="1"/>
  <c r="C776" i="1"/>
  <c r="P775" i="1"/>
  <c r="L775" i="1"/>
  <c r="G775" i="1"/>
  <c r="E775" i="1"/>
  <c r="D775" i="1"/>
  <c r="C775" i="1"/>
  <c r="P774" i="1"/>
  <c r="G774" i="1"/>
  <c r="E774" i="1"/>
  <c r="D774" i="1"/>
  <c r="C774" i="1"/>
  <c r="P773" i="1"/>
  <c r="L773" i="1"/>
  <c r="G773" i="1"/>
  <c r="E773" i="1"/>
  <c r="D773" i="1"/>
  <c r="C773" i="1"/>
  <c r="L772" i="1"/>
  <c r="G772" i="1"/>
  <c r="E772" i="1"/>
  <c r="D772" i="1"/>
  <c r="C772" i="1"/>
  <c r="P771" i="1"/>
  <c r="L771" i="1"/>
  <c r="G771" i="1"/>
  <c r="E771" i="1"/>
  <c r="D771" i="1"/>
  <c r="C771" i="1"/>
  <c r="P770" i="1"/>
  <c r="L770" i="1"/>
  <c r="G770" i="1"/>
  <c r="E770" i="1"/>
  <c r="D770" i="1"/>
  <c r="C770" i="1"/>
  <c r="P769" i="1"/>
  <c r="G769" i="1"/>
  <c r="E769" i="1"/>
  <c r="D769" i="1"/>
  <c r="C769" i="1"/>
  <c r="P768" i="1"/>
  <c r="L768" i="1"/>
  <c r="G768" i="1"/>
  <c r="E768" i="1"/>
  <c r="D768" i="1"/>
  <c r="C768" i="1"/>
  <c r="P767" i="1"/>
  <c r="L767" i="1"/>
  <c r="G767" i="1"/>
  <c r="E767" i="1"/>
  <c r="D767" i="1"/>
  <c r="C767" i="1"/>
  <c r="P766" i="1"/>
  <c r="L766" i="1"/>
  <c r="G766" i="1"/>
  <c r="E766" i="1"/>
  <c r="D766" i="1"/>
  <c r="C766" i="1"/>
  <c r="P765" i="1"/>
  <c r="L765" i="1"/>
  <c r="G765" i="1"/>
  <c r="E765" i="1"/>
  <c r="D765" i="1"/>
  <c r="C765" i="1"/>
  <c r="P764" i="1"/>
  <c r="L764" i="1"/>
  <c r="G764" i="1"/>
  <c r="E764" i="1"/>
  <c r="D764" i="1"/>
  <c r="C764" i="1"/>
  <c r="P763" i="1"/>
  <c r="L763" i="1"/>
  <c r="G763" i="1"/>
  <c r="E763" i="1"/>
  <c r="D763" i="1"/>
  <c r="C763" i="1"/>
  <c r="P762" i="1"/>
  <c r="L762" i="1"/>
  <c r="G762" i="1"/>
  <c r="E762" i="1"/>
  <c r="D762" i="1"/>
  <c r="C762" i="1"/>
  <c r="P761" i="1"/>
  <c r="G761" i="1"/>
  <c r="E761" i="1"/>
  <c r="D761" i="1"/>
  <c r="C761" i="1"/>
  <c r="P760" i="1"/>
  <c r="L760" i="1"/>
  <c r="G760" i="1"/>
  <c r="E760" i="1"/>
  <c r="D760" i="1"/>
  <c r="C760" i="1"/>
  <c r="P759" i="1"/>
  <c r="G759" i="1"/>
  <c r="E759" i="1"/>
  <c r="D759" i="1"/>
  <c r="C759" i="1"/>
  <c r="P758" i="1"/>
  <c r="L758" i="1"/>
  <c r="G758" i="1"/>
  <c r="E758" i="1"/>
  <c r="D758" i="1"/>
  <c r="C758" i="1"/>
  <c r="P757" i="1"/>
  <c r="L757" i="1"/>
  <c r="G757" i="1"/>
  <c r="E757" i="1"/>
  <c r="D757" i="1"/>
  <c r="C757" i="1"/>
  <c r="P756" i="1"/>
  <c r="L756" i="1"/>
  <c r="G756" i="1"/>
  <c r="E756" i="1"/>
  <c r="D756" i="1"/>
  <c r="C756" i="1"/>
  <c r="P755" i="1"/>
  <c r="L755" i="1"/>
  <c r="G755" i="1"/>
  <c r="E755" i="1"/>
  <c r="D755" i="1"/>
  <c r="C755" i="1"/>
  <c r="P754" i="1"/>
  <c r="L754" i="1"/>
  <c r="G754" i="1"/>
  <c r="E754" i="1"/>
  <c r="D754" i="1"/>
  <c r="C754" i="1"/>
  <c r="P753" i="1"/>
  <c r="G753" i="1"/>
  <c r="E753" i="1"/>
  <c r="D753" i="1"/>
  <c r="C753" i="1"/>
  <c r="P752" i="1"/>
  <c r="L752" i="1"/>
  <c r="G752" i="1"/>
  <c r="E752" i="1"/>
  <c r="D752" i="1"/>
  <c r="C752" i="1"/>
  <c r="P751" i="1"/>
  <c r="G751" i="1"/>
  <c r="E751" i="1"/>
  <c r="D751" i="1"/>
  <c r="C751" i="1"/>
  <c r="P750" i="1"/>
  <c r="L750" i="1"/>
  <c r="G750" i="1"/>
  <c r="E750" i="1"/>
  <c r="D750" i="1"/>
  <c r="C750" i="1"/>
  <c r="P749" i="1"/>
  <c r="L749" i="1"/>
  <c r="G749" i="1"/>
  <c r="E749" i="1"/>
  <c r="D749" i="1"/>
  <c r="C749" i="1"/>
  <c r="P748" i="1"/>
  <c r="L748" i="1"/>
  <c r="G748" i="1"/>
  <c r="E748" i="1"/>
  <c r="D748" i="1"/>
  <c r="C748" i="1"/>
  <c r="P747" i="1"/>
  <c r="L747" i="1"/>
  <c r="G747" i="1"/>
  <c r="E747" i="1"/>
  <c r="D747" i="1"/>
  <c r="C747" i="1"/>
  <c r="P746" i="1"/>
  <c r="L746" i="1"/>
  <c r="G746" i="1"/>
  <c r="E746" i="1"/>
  <c r="D746" i="1"/>
  <c r="C746" i="1"/>
  <c r="P745" i="1"/>
  <c r="G745" i="1"/>
  <c r="E745" i="1"/>
  <c r="D745" i="1"/>
  <c r="C745" i="1"/>
  <c r="P744" i="1"/>
  <c r="L744" i="1"/>
  <c r="G744" i="1"/>
  <c r="E744" i="1"/>
  <c r="D744" i="1"/>
  <c r="C744" i="1"/>
  <c r="P743" i="1"/>
  <c r="G743" i="1"/>
  <c r="E743" i="1"/>
  <c r="D743" i="1"/>
  <c r="C743" i="1"/>
  <c r="P742" i="1"/>
  <c r="L742" i="1"/>
  <c r="G742" i="1"/>
  <c r="E742" i="1"/>
  <c r="D742" i="1"/>
  <c r="C742" i="1"/>
  <c r="P741" i="1"/>
  <c r="L741" i="1"/>
  <c r="G741" i="1"/>
  <c r="E741" i="1"/>
  <c r="D741" i="1"/>
  <c r="C741" i="1"/>
  <c r="P740" i="1"/>
  <c r="L740" i="1"/>
  <c r="G740" i="1"/>
  <c r="E740" i="1"/>
  <c r="D740" i="1"/>
  <c r="C740" i="1"/>
  <c r="P739" i="1"/>
  <c r="L739" i="1"/>
  <c r="G739" i="1"/>
  <c r="E739" i="1"/>
  <c r="D739" i="1"/>
  <c r="C739" i="1"/>
  <c r="P738" i="1"/>
  <c r="L738" i="1"/>
  <c r="G738" i="1"/>
  <c r="E738" i="1"/>
  <c r="D738" i="1"/>
  <c r="C738" i="1"/>
  <c r="P737" i="1"/>
  <c r="G737" i="1"/>
  <c r="E737" i="1"/>
  <c r="D737" i="1"/>
  <c r="C737" i="1"/>
  <c r="P736" i="1"/>
  <c r="L736" i="1"/>
  <c r="G736" i="1"/>
  <c r="E736" i="1"/>
  <c r="D736" i="1"/>
  <c r="C736" i="1"/>
  <c r="P735" i="1"/>
  <c r="G735" i="1"/>
  <c r="E735" i="1"/>
  <c r="D735" i="1"/>
  <c r="C735" i="1"/>
  <c r="P734" i="1"/>
  <c r="L734" i="1"/>
  <c r="G734" i="1"/>
  <c r="E734" i="1"/>
  <c r="D734" i="1"/>
  <c r="C734" i="1"/>
  <c r="P733" i="1"/>
  <c r="L733" i="1"/>
  <c r="G733" i="1"/>
  <c r="E733" i="1"/>
  <c r="D733" i="1"/>
  <c r="C733" i="1"/>
  <c r="P732" i="1"/>
  <c r="L732" i="1"/>
  <c r="G732" i="1"/>
  <c r="E732" i="1"/>
  <c r="D732" i="1"/>
  <c r="C732" i="1"/>
  <c r="P731" i="1"/>
  <c r="L731" i="1"/>
  <c r="G731" i="1"/>
  <c r="E731" i="1"/>
  <c r="D731" i="1"/>
  <c r="C731" i="1"/>
  <c r="P730" i="1"/>
  <c r="L730" i="1"/>
  <c r="G730" i="1"/>
  <c r="E730" i="1"/>
  <c r="D730" i="1"/>
  <c r="C730" i="1"/>
  <c r="P729" i="1"/>
  <c r="G729" i="1"/>
  <c r="E729" i="1"/>
  <c r="D729" i="1"/>
  <c r="C729" i="1"/>
  <c r="P728" i="1"/>
  <c r="L728" i="1"/>
  <c r="G728" i="1"/>
  <c r="E728" i="1"/>
  <c r="D728" i="1"/>
  <c r="C728" i="1"/>
  <c r="P727" i="1"/>
  <c r="L727" i="1"/>
  <c r="G727" i="1"/>
  <c r="E727" i="1"/>
  <c r="D727" i="1"/>
  <c r="C727" i="1"/>
  <c r="P726" i="1"/>
  <c r="L726" i="1"/>
  <c r="G726" i="1"/>
  <c r="E726" i="1"/>
  <c r="D726" i="1"/>
  <c r="C726" i="1"/>
  <c r="P725" i="1"/>
  <c r="L725" i="1"/>
  <c r="G725" i="1"/>
  <c r="E725" i="1"/>
  <c r="D725" i="1"/>
  <c r="C725" i="1"/>
  <c r="P724" i="1"/>
  <c r="L724" i="1"/>
  <c r="G724" i="1"/>
  <c r="E724" i="1"/>
  <c r="D724" i="1"/>
  <c r="C724" i="1"/>
  <c r="P723" i="1"/>
  <c r="L723" i="1"/>
  <c r="G723" i="1"/>
  <c r="E723" i="1"/>
  <c r="D723" i="1"/>
  <c r="C723" i="1"/>
  <c r="P722" i="1"/>
  <c r="L722" i="1"/>
  <c r="G722" i="1"/>
  <c r="E722" i="1"/>
  <c r="D722" i="1"/>
  <c r="C722" i="1"/>
  <c r="P721" i="1"/>
  <c r="G721" i="1"/>
  <c r="E721" i="1"/>
  <c r="D721" i="1"/>
  <c r="C721" i="1"/>
  <c r="P720" i="1"/>
  <c r="L720" i="1"/>
  <c r="G720" i="1"/>
  <c r="E720" i="1"/>
  <c r="D720" i="1"/>
  <c r="C720" i="1"/>
  <c r="P719" i="1"/>
  <c r="L719" i="1"/>
  <c r="G719" i="1"/>
  <c r="E719" i="1"/>
  <c r="D719" i="1"/>
  <c r="C719" i="1"/>
  <c r="P718" i="1"/>
  <c r="L718" i="1"/>
  <c r="G718" i="1"/>
  <c r="E718" i="1"/>
  <c r="D718" i="1"/>
  <c r="C718" i="1"/>
  <c r="P717" i="1"/>
  <c r="L717" i="1"/>
  <c r="G717" i="1"/>
  <c r="E717" i="1"/>
  <c r="D717" i="1"/>
  <c r="C717" i="1"/>
  <c r="P716" i="1"/>
  <c r="L716" i="1"/>
  <c r="G716" i="1"/>
  <c r="E716" i="1"/>
  <c r="D716" i="1"/>
  <c r="C716" i="1"/>
  <c r="P715" i="1"/>
  <c r="L715" i="1"/>
  <c r="G715" i="1"/>
  <c r="E715" i="1"/>
  <c r="D715" i="1"/>
  <c r="C715" i="1"/>
  <c r="P714" i="1"/>
  <c r="L714" i="1"/>
  <c r="G714" i="1"/>
  <c r="E714" i="1"/>
  <c r="D714" i="1"/>
  <c r="C714" i="1"/>
  <c r="P713" i="1"/>
  <c r="G713" i="1"/>
  <c r="E713" i="1"/>
  <c r="D713" i="1"/>
  <c r="C713" i="1"/>
  <c r="P712" i="1"/>
  <c r="L712" i="1"/>
  <c r="G712" i="1"/>
  <c r="E712" i="1"/>
  <c r="D712" i="1"/>
  <c r="C712" i="1"/>
  <c r="P711" i="1"/>
  <c r="G711" i="1"/>
  <c r="E711" i="1"/>
  <c r="D711" i="1"/>
  <c r="C711" i="1"/>
  <c r="P710" i="1"/>
  <c r="L710" i="1"/>
  <c r="G710" i="1"/>
  <c r="E710" i="1"/>
  <c r="D710" i="1"/>
  <c r="C710" i="1"/>
  <c r="P709" i="1"/>
  <c r="L709" i="1"/>
  <c r="G709" i="1"/>
  <c r="E709" i="1"/>
  <c r="D709" i="1"/>
  <c r="C709" i="1"/>
  <c r="P708" i="1"/>
  <c r="L708" i="1"/>
  <c r="G708" i="1"/>
  <c r="E708" i="1"/>
  <c r="D708" i="1"/>
  <c r="C708" i="1"/>
  <c r="P707" i="1"/>
  <c r="L707" i="1"/>
  <c r="G707" i="1"/>
  <c r="E707" i="1"/>
  <c r="D707" i="1"/>
  <c r="C707" i="1"/>
  <c r="P706" i="1"/>
  <c r="L706" i="1"/>
  <c r="G706" i="1"/>
  <c r="E706" i="1"/>
  <c r="D706" i="1"/>
  <c r="C706" i="1"/>
  <c r="P705" i="1"/>
  <c r="G705" i="1"/>
  <c r="E705" i="1"/>
  <c r="D705" i="1"/>
  <c r="C705" i="1"/>
  <c r="P704" i="1"/>
  <c r="L704" i="1"/>
  <c r="G704" i="1"/>
  <c r="E704" i="1"/>
  <c r="D704" i="1"/>
  <c r="C704" i="1"/>
  <c r="P703" i="1"/>
  <c r="G703" i="1"/>
  <c r="E703" i="1"/>
  <c r="D703" i="1"/>
  <c r="C703" i="1"/>
  <c r="P702" i="1"/>
  <c r="L702" i="1"/>
  <c r="G702" i="1"/>
  <c r="E702" i="1"/>
  <c r="D702" i="1"/>
  <c r="C702" i="1"/>
  <c r="P701" i="1"/>
  <c r="L701" i="1"/>
  <c r="G701" i="1"/>
  <c r="E701" i="1"/>
  <c r="D701" i="1"/>
  <c r="C701" i="1"/>
  <c r="P700" i="1"/>
  <c r="L700" i="1"/>
  <c r="G700" i="1"/>
  <c r="E700" i="1"/>
  <c r="D700" i="1"/>
  <c r="C700" i="1"/>
  <c r="P699" i="1"/>
  <c r="L699" i="1"/>
  <c r="G699" i="1"/>
  <c r="E699" i="1"/>
  <c r="D699" i="1"/>
  <c r="C699" i="1"/>
  <c r="P698" i="1"/>
  <c r="L698" i="1"/>
  <c r="G698" i="1"/>
  <c r="E698" i="1"/>
  <c r="D698" i="1"/>
  <c r="C698" i="1"/>
  <c r="P697" i="1"/>
  <c r="G697" i="1"/>
  <c r="E697" i="1"/>
  <c r="D697" i="1"/>
  <c r="C697" i="1"/>
  <c r="P696" i="1"/>
  <c r="L696" i="1"/>
  <c r="G696" i="1"/>
  <c r="E696" i="1"/>
  <c r="D696" i="1"/>
  <c r="C696" i="1"/>
  <c r="P695" i="1"/>
  <c r="G695" i="1"/>
  <c r="E695" i="1"/>
  <c r="D695" i="1"/>
  <c r="C695" i="1"/>
  <c r="P694" i="1"/>
  <c r="L694" i="1"/>
  <c r="G694" i="1"/>
  <c r="E694" i="1"/>
  <c r="D694" i="1"/>
  <c r="C694" i="1"/>
  <c r="P693" i="1"/>
  <c r="L693" i="1"/>
  <c r="G693" i="1"/>
  <c r="E693" i="1"/>
  <c r="D693" i="1"/>
  <c r="C693" i="1"/>
  <c r="P692" i="1"/>
  <c r="L692" i="1"/>
  <c r="G692" i="1"/>
  <c r="E692" i="1"/>
  <c r="D692" i="1"/>
  <c r="C692" i="1"/>
  <c r="P691" i="1"/>
  <c r="L691" i="1"/>
  <c r="G691" i="1"/>
  <c r="E691" i="1"/>
  <c r="D691" i="1"/>
  <c r="C691" i="1"/>
  <c r="P690" i="1"/>
  <c r="L690" i="1"/>
  <c r="G690" i="1"/>
  <c r="E690" i="1"/>
  <c r="D690" i="1"/>
  <c r="C690" i="1"/>
  <c r="P689" i="1"/>
  <c r="G689" i="1"/>
  <c r="E689" i="1"/>
  <c r="D689" i="1"/>
  <c r="C689" i="1"/>
  <c r="P688" i="1"/>
  <c r="L688" i="1"/>
  <c r="G688" i="1"/>
  <c r="E688" i="1"/>
  <c r="D688" i="1"/>
  <c r="C688" i="1"/>
  <c r="P687" i="1"/>
  <c r="G687" i="1"/>
  <c r="E687" i="1"/>
  <c r="D687" i="1"/>
  <c r="C687" i="1"/>
  <c r="P686" i="1"/>
  <c r="L686" i="1"/>
  <c r="G686" i="1"/>
  <c r="E686" i="1"/>
  <c r="D686" i="1"/>
  <c r="C686" i="1"/>
  <c r="P685" i="1"/>
  <c r="L685" i="1"/>
  <c r="G685" i="1"/>
  <c r="E685" i="1"/>
  <c r="D685" i="1"/>
  <c r="C685" i="1"/>
  <c r="P684" i="1"/>
  <c r="L684" i="1"/>
  <c r="G684" i="1"/>
  <c r="E684" i="1"/>
  <c r="D684" i="1"/>
  <c r="C684" i="1"/>
  <c r="P683" i="1"/>
  <c r="L683" i="1"/>
  <c r="G683" i="1"/>
  <c r="E683" i="1"/>
  <c r="D683" i="1"/>
  <c r="C683" i="1"/>
  <c r="P682" i="1"/>
  <c r="L682" i="1"/>
  <c r="G682" i="1"/>
  <c r="E682" i="1"/>
  <c r="D682" i="1"/>
  <c r="C682" i="1"/>
  <c r="P681" i="1"/>
  <c r="G681" i="1"/>
  <c r="E681" i="1"/>
  <c r="D681" i="1"/>
  <c r="C681" i="1"/>
  <c r="P680" i="1"/>
  <c r="L680" i="1"/>
  <c r="G680" i="1"/>
  <c r="E680" i="1"/>
  <c r="D680" i="1"/>
  <c r="C680" i="1"/>
  <c r="P679" i="1"/>
  <c r="L679" i="1"/>
  <c r="G679" i="1"/>
  <c r="E679" i="1"/>
  <c r="D679" i="1"/>
  <c r="C679" i="1"/>
  <c r="P678" i="1"/>
  <c r="L678" i="1"/>
  <c r="G678" i="1"/>
  <c r="E678" i="1"/>
  <c r="D678" i="1"/>
  <c r="C678" i="1"/>
  <c r="P677" i="1"/>
  <c r="L677" i="1"/>
  <c r="G677" i="1"/>
  <c r="E677" i="1"/>
  <c r="D677" i="1"/>
  <c r="C677" i="1"/>
  <c r="P676" i="1"/>
  <c r="L676" i="1"/>
  <c r="G676" i="1"/>
  <c r="E676" i="1"/>
  <c r="D676" i="1"/>
  <c r="C676" i="1"/>
  <c r="P675" i="1"/>
  <c r="L675" i="1"/>
  <c r="G675" i="1"/>
  <c r="E675" i="1"/>
  <c r="D675" i="1"/>
  <c r="C675" i="1"/>
  <c r="P674" i="1"/>
  <c r="L674" i="1"/>
  <c r="G674" i="1"/>
  <c r="E674" i="1"/>
  <c r="D674" i="1"/>
  <c r="C674" i="1"/>
  <c r="P673" i="1"/>
  <c r="G673" i="1"/>
  <c r="E673" i="1"/>
  <c r="D673" i="1"/>
  <c r="C673" i="1"/>
  <c r="P672" i="1"/>
  <c r="L672" i="1"/>
  <c r="G672" i="1"/>
  <c r="E672" i="1"/>
  <c r="D672" i="1"/>
  <c r="C672" i="1"/>
  <c r="P671" i="1"/>
  <c r="L671" i="1"/>
  <c r="G671" i="1"/>
  <c r="E671" i="1"/>
  <c r="D671" i="1"/>
  <c r="C671" i="1"/>
  <c r="P670" i="1"/>
  <c r="L670" i="1"/>
  <c r="G670" i="1"/>
  <c r="E670" i="1"/>
  <c r="D670" i="1"/>
  <c r="C670" i="1"/>
  <c r="P669" i="1"/>
  <c r="L669" i="1"/>
  <c r="G669" i="1"/>
  <c r="E669" i="1"/>
  <c r="D669" i="1"/>
  <c r="C669" i="1"/>
  <c r="P668" i="1"/>
  <c r="L668" i="1"/>
  <c r="G668" i="1"/>
  <c r="E668" i="1"/>
  <c r="D668" i="1"/>
  <c r="C668" i="1"/>
  <c r="P667" i="1"/>
  <c r="L667" i="1"/>
  <c r="G667" i="1"/>
  <c r="E667" i="1"/>
  <c r="D667" i="1"/>
  <c r="C667" i="1"/>
  <c r="P666" i="1"/>
  <c r="L666" i="1"/>
  <c r="G666" i="1"/>
  <c r="E666" i="1"/>
  <c r="D666" i="1"/>
  <c r="C666" i="1"/>
  <c r="P665" i="1"/>
  <c r="G665" i="1"/>
  <c r="E665" i="1"/>
  <c r="D665" i="1"/>
  <c r="C665" i="1"/>
  <c r="P664" i="1"/>
  <c r="L664" i="1"/>
  <c r="G664" i="1"/>
  <c r="E664" i="1"/>
  <c r="D664" i="1"/>
  <c r="C664" i="1"/>
  <c r="P663" i="1"/>
  <c r="L663" i="1"/>
  <c r="G663" i="1"/>
  <c r="E663" i="1"/>
  <c r="D663" i="1"/>
  <c r="C663" i="1"/>
  <c r="P662" i="1"/>
  <c r="L662" i="1"/>
  <c r="G662" i="1"/>
  <c r="E662" i="1"/>
  <c r="D662" i="1"/>
  <c r="C662" i="1"/>
  <c r="P661" i="1"/>
  <c r="L661" i="1"/>
  <c r="G661" i="1"/>
  <c r="E661" i="1"/>
  <c r="D661" i="1"/>
  <c r="C661" i="1"/>
  <c r="P660" i="1"/>
  <c r="L660" i="1"/>
  <c r="G660" i="1"/>
  <c r="E660" i="1"/>
  <c r="D660" i="1"/>
  <c r="C660" i="1"/>
  <c r="P659" i="1"/>
  <c r="L659" i="1"/>
  <c r="G659" i="1"/>
  <c r="E659" i="1"/>
  <c r="D659" i="1"/>
  <c r="C659" i="1"/>
  <c r="P658" i="1"/>
  <c r="L658" i="1"/>
  <c r="G658" i="1"/>
  <c r="E658" i="1"/>
  <c r="D658" i="1"/>
  <c r="C658" i="1"/>
  <c r="P657" i="1"/>
  <c r="G657" i="1"/>
  <c r="E657" i="1"/>
  <c r="D657" i="1"/>
  <c r="C657" i="1"/>
  <c r="P656" i="1"/>
  <c r="L656" i="1"/>
  <c r="G656" i="1"/>
  <c r="E656" i="1"/>
  <c r="D656" i="1"/>
  <c r="C656" i="1"/>
  <c r="P655" i="1"/>
  <c r="G655" i="1"/>
  <c r="E655" i="1"/>
  <c r="D655" i="1"/>
  <c r="C655" i="1"/>
  <c r="P654" i="1"/>
  <c r="L654" i="1"/>
  <c r="G654" i="1"/>
  <c r="E654" i="1"/>
  <c r="D654" i="1"/>
  <c r="C654" i="1"/>
  <c r="P653" i="1"/>
  <c r="L653" i="1"/>
  <c r="G653" i="1"/>
  <c r="E653" i="1"/>
  <c r="D653" i="1"/>
  <c r="C653" i="1"/>
  <c r="P652" i="1"/>
  <c r="L652" i="1"/>
  <c r="G652" i="1"/>
  <c r="E652" i="1"/>
  <c r="D652" i="1"/>
  <c r="C652" i="1"/>
  <c r="P651" i="1"/>
  <c r="L651" i="1"/>
  <c r="G651" i="1"/>
  <c r="E651" i="1"/>
  <c r="D651" i="1"/>
  <c r="C651" i="1"/>
  <c r="P650" i="1"/>
  <c r="L650" i="1"/>
  <c r="G650" i="1"/>
  <c r="E650" i="1"/>
  <c r="D650" i="1"/>
  <c r="C650" i="1"/>
  <c r="P649" i="1"/>
  <c r="G649" i="1"/>
  <c r="E649" i="1"/>
  <c r="D649" i="1"/>
  <c r="C649" i="1"/>
  <c r="P648" i="1"/>
  <c r="L648" i="1"/>
  <c r="G648" i="1"/>
  <c r="E648" i="1"/>
  <c r="D648" i="1"/>
  <c r="C648" i="1"/>
  <c r="P647" i="1"/>
  <c r="G647" i="1"/>
  <c r="E647" i="1"/>
  <c r="D647" i="1"/>
  <c r="C647" i="1"/>
  <c r="P646" i="1"/>
  <c r="L646" i="1"/>
  <c r="G646" i="1"/>
  <c r="E646" i="1"/>
  <c r="D646" i="1"/>
  <c r="C646" i="1"/>
  <c r="P645" i="1"/>
  <c r="L645" i="1"/>
  <c r="G645" i="1"/>
  <c r="E645" i="1"/>
  <c r="D645" i="1"/>
  <c r="C645" i="1"/>
  <c r="P644" i="1"/>
  <c r="L644" i="1"/>
  <c r="G644" i="1"/>
  <c r="E644" i="1"/>
  <c r="D644" i="1"/>
  <c r="C644" i="1"/>
  <c r="P643" i="1"/>
  <c r="L643" i="1"/>
  <c r="G643" i="1"/>
  <c r="E643" i="1"/>
  <c r="D643" i="1"/>
  <c r="C643" i="1"/>
  <c r="P642" i="1"/>
  <c r="L642" i="1"/>
  <c r="G642" i="1"/>
  <c r="E642" i="1"/>
  <c r="D642" i="1"/>
  <c r="C642" i="1"/>
  <c r="P641" i="1"/>
  <c r="G641" i="1"/>
  <c r="E641" i="1"/>
  <c r="D641" i="1"/>
  <c r="C641" i="1"/>
  <c r="P640" i="1"/>
  <c r="L640" i="1"/>
  <c r="G640" i="1"/>
  <c r="E640" i="1"/>
  <c r="D640" i="1"/>
  <c r="C640" i="1"/>
  <c r="P639" i="1"/>
  <c r="G639" i="1"/>
  <c r="E639" i="1"/>
  <c r="D639" i="1"/>
  <c r="C639" i="1"/>
  <c r="P638" i="1"/>
  <c r="L638" i="1"/>
  <c r="G638" i="1"/>
  <c r="E638" i="1"/>
  <c r="D638" i="1"/>
  <c r="C638" i="1"/>
  <c r="P637" i="1"/>
  <c r="L637" i="1"/>
  <c r="G637" i="1"/>
  <c r="E637" i="1"/>
  <c r="D637" i="1"/>
  <c r="C637" i="1"/>
  <c r="P636" i="1"/>
  <c r="L636" i="1"/>
  <c r="G636" i="1"/>
  <c r="E636" i="1"/>
  <c r="D636" i="1"/>
  <c r="C636" i="1"/>
  <c r="P635" i="1"/>
  <c r="L635" i="1"/>
  <c r="G635" i="1"/>
  <c r="E635" i="1"/>
  <c r="D635" i="1"/>
  <c r="C635" i="1"/>
  <c r="P634" i="1"/>
  <c r="L634" i="1"/>
  <c r="G634" i="1"/>
  <c r="E634" i="1"/>
  <c r="D634" i="1"/>
  <c r="C634" i="1"/>
  <c r="P633" i="1"/>
  <c r="G633" i="1"/>
  <c r="E633" i="1"/>
  <c r="D633" i="1"/>
  <c r="C633" i="1"/>
  <c r="P632" i="1"/>
  <c r="L632" i="1"/>
  <c r="G632" i="1"/>
  <c r="E632" i="1"/>
  <c r="D632" i="1"/>
  <c r="P631" i="1"/>
  <c r="L631" i="1"/>
  <c r="G631" i="1"/>
  <c r="E631" i="1"/>
  <c r="D631" i="1"/>
  <c r="C631" i="1"/>
  <c r="P630" i="1"/>
  <c r="G630" i="1"/>
  <c r="E630" i="1"/>
  <c r="D630" i="1"/>
  <c r="C630" i="1"/>
  <c r="P629" i="1"/>
  <c r="L629" i="1"/>
  <c r="G629" i="1"/>
  <c r="E629" i="1"/>
  <c r="D629" i="1"/>
  <c r="P628" i="1"/>
  <c r="L628" i="1"/>
  <c r="G628" i="1"/>
  <c r="E628" i="1"/>
  <c r="D628" i="1"/>
  <c r="C628" i="1"/>
  <c r="P627" i="1"/>
  <c r="L627" i="1"/>
  <c r="G627" i="1"/>
  <c r="E627" i="1"/>
  <c r="D627" i="1"/>
  <c r="C627" i="1"/>
  <c r="P626" i="1"/>
  <c r="G626" i="1"/>
  <c r="E626" i="1"/>
  <c r="D626" i="1"/>
  <c r="C626" i="1"/>
  <c r="P625" i="1"/>
  <c r="G625" i="1"/>
  <c r="E625" i="1"/>
  <c r="D625" i="1"/>
  <c r="C625" i="1"/>
  <c r="P624" i="1"/>
  <c r="L624" i="1"/>
  <c r="G624" i="1"/>
  <c r="E624" i="1"/>
  <c r="D624" i="1"/>
  <c r="C624" i="1"/>
  <c r="P623" i="1"/>
  <c r="G623" i="1"/>
  <c r="E623" i="1"/>
  <c r="D623" i="1"/>
  <c r="C623" i="1"/>
  <c r="P622" i="1"/>
  <c r="G622" i="1"/>
  <c r="E622" i="1"/>
  <c r="D622" i="1"/>
  <c r="C622" i="1"/>
  <c r="P621" i="1"/>
  <c r="L621" i="1"/>
  <c r="G621" i="1"/>
  <c r="E621" i="1"/>
  <c r="D621" i="1"/>
  <c r="C621" i="1"/>
  <c r="P620" i="1"/>
  <c r="L620" i="1"/>
  <c r="G620" i="1"/>
  <c r="E620" i="1"/>
  <c r="D620" i="1"/>
  <c r="C620" i="1"/>
  <c r="P619" i="1"/>
  <c r="L619" i="1"/>
  <c r="G619" i="1"/>
  <c r="E619" i="1"/>
  <c r="D619" i="1"/>
  <c r="C619" i="1"/>
  <c r="P618" i="1"/>
  <c r="G618" i="1"/>
  <c r="E618" i="1"/>
  <c r="D618" i="1"/>
  <c r="P617" i="1"/>
  <c r="G617" i="1"/>
  <c r="E617" i="1"/>
  <c r="D617" i="1"/>
  <c r="C617" i="1"/>
  <c r="P616" i="1"/>
  <c r="L616" i="1"/>
  <c r="G616" i="1"/>
  <c r="E616" i="1"/>
  <c r="D616" i="1"/>
  <c r="C616" i="1"/>
  <c r="P615" i="1"/>
  <c r="L615" i="1"/>
  <c r="G615" i="1"/>
  <c r="E615" i="1"/>
  <c r="D615" i="1"/>
  <c r="C615" i="1"/>
  <c r="P614" i="1"/>
  <c r="G614" i="1"/>
  <c r="E614" i="1"/>
  <c r="D614" i="1"/>
  <c r="C614" i="1"/>
  <c r="P613" i="1"/>
  <c r="L613" i="1"/>
  <c r="G613" i="1"/>
  <c r="E613" i="1"/>
  <c r="D613" i="1"/>
  <c r="C613" i="1"/>
  <c r="P612" i="1"/>
  <c r="L612" i="1"/>
  <c r="G612" i="1"/>
  <c r="E612" i="1"/>
  <c r="D612" i="1"/>
  <c r="C612" i="1"/>
  <c r="P611" i="1"/>
  <c r="L611" i="1"/>
  <c r="G611" i="1"/>
  <c r="E611" i="1"/>
  <c r="D611" i="1"/>
  <c r="C611" i="1"/>
  <c r="P610" i="1"/>
  <c r="G610" i="1"/>
  <c r="E610" i="1"/>
  <c r="D610" i="1"/>
  <c r="C610" i="1"/>
  <c r="P609" i="1"/>
  <c r="G609" i="1"/>
  <c r="E609" i="1"/>
  <c r="D609" i="1"/>
  <c r="C609" i="1"/>
  <c r="P608" i="1"/>
  <c r="L608" i="1"/>
  <c r="G608" i="1"/>
  <c r="E608" i="1"/>
  <c r="D608" i="1"/>
  <c r="C608" i="1"/>
  <c r="P607" i="1"/>
  <c r="L607" i="1"/>
  <c r="G607" i="1"/>
  <c r="E607" i="1"/>
  <c r="D607" i="1"/>
  <c r="C607" i="1"/>
  <c r="P606" i="1"/>
  <c r="G606" i="1"/>
  <c r="E606" i="1"/>
  <c r="D606" i="1"/>
  <c r="C606" i="1"/>
  <c r="P605" i="1"/>
  <c r="L605" i="1"/>
  <c r="G605" i="1"/>
  <c r="E605" i="1"/>
  <c r="D605" i="1"/>
  <c r="C605" i="1"/>
  <c r="P604" i="1"/>
  <c r="L604" i="1"/>
  <c r="G604" i="1"/>
  <c r="E604" i="1"/>
  <c r="D604" i="1"/>
  <c r="C604" i="1"/>
  <c r="P603" i="1"/>
  <c r="L603" i="1"/>
  <c r="G603" i="1"/>
  <c r="E603" i="1"/>
  <c r="D603" i="1"/>
  <c r="C603" i="1"/>
  <c r="P602" i="1"/>
  <c r="G602" i="1"/>
  <c r="E602" i="1"/>
  <c r="D602" i="1"/>
  <c r="C602" i="1"/>
  <c r="P601" i="1"/>
  <c r="G601" i="1"/>
  <c r="E601" i="1"/>
  <c r="D601" i="1"/>
  <c r="C601" i="1"/>
  <c r="P600" i="1"/>
  <c r="L600" i="1"/>
  <c r="G600" i="1"/>
  <c r="E600" i="1"/>
  <c r="D600" i="1"/>
  <c r="C600" i="1"/>
  <c r="P599" i="1"/>
  <c r="G599" i="1"/>
  <c r="E599" i="1"/>
  <c r="D599" i="1"/>
  <c r="C599" i="1"/>
  <c r="P598" i="1"/>
  <c r="G598" i="1"/>
  <c r="E598" i="1"/>
  <c r="D598" i="1"/>
  <c r="C598" i="1"/>
  <c r="P597" i="1"/>
  <c r="L597" i="1"/>
  <c r="G597" i="1"/>
  <c r="E597" i="1"/>
  <c r="D597" i="1"/>
  <c r="C597" i="1"/>
  <c r="P596" i="1"/>
  <c r="L596" i="1"/>
  <c r="G596" i="1"/>
  <c r="E596" i="1"/>
  <c r="D596" i="1"/>
  <c r="C596" i="1"/>
  <c r="P595" i="1"/>
  <c r="L595" i="1"/>
  <c r="G595" i="1"/>
  <c r="E595" i="1"/>
  <c r="D595" i="1"/>
  <c r="C595" i="1"/>
  <c r="P594" i="1"/>
  <c r="G594" i="1"/>
  <c r="E594" i="1"/>
  <c r="D594" i="1"/>
  <c r="C594" i="1"/>
  <c r="P593" i="1"/>
  <c r="G593" i="1"/>
  <c r="E593" i="1"/>
  <c r="D593" i="1"/>
  <c r="C593" i="1"/>
  <c r="P592" i="1"/>
  <c r="L592" i="1"/>
  <c r="G592" i="1"/>
  <c r="E592" i="1"/>
  <c r="D592" i="1"/>
  <c r="C592" i="1"/>
  <c r="P591" i="1"/>
  <c r="L591" i="1"/>
  <c r="G591" i="1"/>
  <c r="E591" i="1"/>
  <c r="D591" i="1"/>
  <c r="C591" i="1"/>
  <c r="P590" i="1"/>
  <c r="G590" i="1"/>
  <c r="E590" i="1"/>
  <c r="D590" i="1"/>
  <c r="C590" i="1"/>
  <c r="P589" i="1"/>
  <c r="L589" i="1"/>
  <c r="G589" i="1"/>
  <c r="E589" i="1"/>
  <c r="D589" i="1"/>
  <c r="C589" i="1"/>
  <c r="P588" i="1"/>
  <c r="L588" i="1"/>
  <c r="G588" i="1"/>
  <c r="E588" i="1"/>
  <c r="D588" i="1"/>
  <c r="C588" i="1"/>
  <c r="P587" i="1"/>
  <c r="L587" i="1"/>
  <c r="G587" i="1"/>
  <c r="E587" i="1"/>
  <c r="D587" i="1"/>
  <c r="C587" i="1"/>
  <c r="P586" i="1"/>
  <c r="G586" i="1"/>
  <c r="E586" i="1"/>
  <c r="D586" i="1"/>
  <c r="C586" i="1"/>
  <c r="P585" i="1"/>
  <c r="G585" i="1"/>
  <c r="E585" i="1"/>
  <c r="D585" i="1"/>
  <c r="C585" i="1"/>
  <c r="P584" i="1"/>
  <c r="L584" i="1"/>
  <c r="G584" i="1"/>
  <c r="E584" i="1"/>
  <c r="D584" i="1"/>
  <c r="C584" i="1"/>
  <c r="P583" i="1"/>
  <c r="G583" i="1"/>
  <c r="E583" i="1"/>
  <c r="D583" i="1"/>
  <c r="C583" i="1"/>
  <c r="P582" i="1"/>
  <c r="G582" i="1"/>
  <c r="E582" i="1"/>
  <c r="D582" i="1"/>
  <c r="C582" i="1"/>
  <c r="P581" i="1"/>
  <c r="L581" i="1"/>
  <c r="G581" i="1"/>
  <c r="E581" i="1"/>
  <c r="D581" i="1"/>
  <c r="C581" i="1"/>
  <c r="P580" i="1"/>
  <c r="L580" i="1"/>
  <c r="G580" i="1"/>
  <c r="E580" i="1"/>
  <c r="D580" i="1"/>
  <c r="C580" i="1"/>
  <c r="P579" i="1"/>
  <c r="L579" i="1"/>
  <c r="G579" i="1"/>
  <c r="E579" i="1"/>
  <c r="D579" i="1"/>
  <c r="C579" i="1"/>
  <c r="P578" i="1"/>
  <c r="G578" i="1"/>
  <c r="E578" i="1"/>
  <c r="D578" i="1"/>
  <c r="C578" i="1"/>
  <c r="P577" i="1"/>
  <c r="G577" i="1"/>
  <c r="E577" i="1"/>
  <c r="D577" i="1"/>
  <c r="C577" i="1"/>
  <c r="P576" i="1"/>
  <c r="L576" i="1"/>
  <c r="G576" i="1"/>
  <c r="E576" i="1"/>
  <c r="D576" i="1"/>
  <c r="C576" i="1"/>
  <c r="P575" i="1"/>
  <c r="G575" i="1"/>
  <c r="E575" i="1"/>
  <c r="D575" i="1"/>
  <c r="C575" i="1"/>
  <c r="P574" i="1"/>
  <c r="G574" i="1"/>
  <c r="E574" i="1"/>
  <c r="D574" i="1"/>
  <c r="C574" i="1"/>
  <c r="P573" i="1"/>
  <c r="L573" i="1"/>
  <c r="G573" i="1"/>
  <c r="E573" i="1"/>
  <c r="D573" i="1"/>
  <c r="C573" i="1"/>
  <c r="P572" i="1"/>
  <c r="L572" i="1"/>
  <c r="G572" i="1"/>
  <c r="E572" i="1"/>
  <c r="D572" i="1"/>
  <c r="C572" i="1"/>
  <c r="P571" i="1"/>
  <c r="L571" i="1"/>
  <c r="G571" i="1"/>
  <c r="E571" i="1"/>
  <c r="D571" i="1"/>
  <c r="C571" i="1"/>
  <c r="P570" i="1"/>
  <c r="G570" i="1"/>
  <c r="E570" i="1"/>
  <c r="D570" i="1"/>
  <c r="C570" i="1"/>
  <c r="P569" i="1"/>
  <c r="G569" i="1"/>
  <c r="E569" i="1"/>
  <c r="D569" i="1"/>
  <c r="C569" i="1"/>
  <c r="P568" i="1"/>
  <c r="L568" i="1"/>
  <c r="G568" i="1"/>
  <c r="E568" i="1"/>
  <c r="D568" i="1"/>
  <c r="C568" i="1"/>
  <c r="P567" i="1"/>
  <c r="L567" i="1"/>
  <c r="G567" i="1"/>
  <c r="E567" i="1"/>
  <c r="D567" i="1"/>
  <c r="C567" i="1"/>
  <c r="P566" i="1"/>
  <c r="G566" i="1"/>
  <c r="E566" i="1"/>
  <c r="D566" i="1"/>
  <c r="C566" i="1"/>
  <c r="P565" i="1"/>
  <c r="L565" i="1"/>
  <c r="G565" i="1"/>
  <c r="E565" i="1"/>
  <c r="D565" i="1"/>
  <c r="C565" i="1"/>
  <c r="P564" i="1"/>
  <c r="L564" i="1"/>
  <c r="G564" i="1"/>
  <c r="E564" i="1"/>
  <c r="D564" i="1"/>
  <c r="C564" i="1"/>
  <c r="P563" i="1"/>
  <c r="L563" i="1"/>
  <c r="G563" i="1"/>
  <c r="E563" i="1"/>
  <c r="D563" i="1"/>
  <c r="C563" i="1"/>
  <c r="P562" i="1"/>
  <c r="G562" i="1"/>
  <c r="E562" i="1"/>
  <c r="D562" i="1"/>
  <c r="C562" i="1"/>
  <c r="P561" i="1"/>
  <c r="G561" i="1"/>
  <c r="E561" i="1"/>
  <c r="D561" i="1"/>
  <c r="C561" i="1"/>
  <c r="P560" i="1"/>
  <c r="L560" i="1"/>
  <c r="G560" i="1"/>
  <c r="E560" i="1"/>
  <c r="D560" i="1"/>
  <c r="C560" i="1"/>
  <c r="P559" i="1"/>
  <c r="G559" i="1"/>
  <c r="E559" i="1"/>
  <c r="D559" i="1"/>
  <c r="C559" i="1"/>
  <c r="P558" i="1"/>
  <c r="G558" i="1"/>
  <c r="E558" i="1"/>
  <c r="D558" i="1"/>
  <c r="C558" i="1"/>
  <c r="P557" i="1"/>
  <c r="L557" i="1"/>
  <c r="G557" i="1"/>
  <c r="E557" i="1"/>
  <c r="D557" i="1"/>
  <c r="C557" i="1"/>
  <c r="P556" i="1"/>
  <c r="L556" i="1"/>
  <c r="G556" i="1"/>
  <c r="E556" i="1"/>
  <c r="D556" i="1"/>
  <c r="C556" i="1"/>
  <c r="P555" i="1"/>
  <c r="L555" i="1"/>
  <c r="G555" i="1"/>
  <c r="E555" i="1"/>
  <c r="D555" i="1"/>
  <c r="C555" i="1"/>
  <c r="P554" i="1"/>
  <c r="G554" i="1"/>
  <c r="E554" i="1"/>
  <c r="D554" i="1"/>
  <c r="C554" i="1"/>
  <c r="P553" i="1"/>
  <c r="L553" i="1"/>
  <c r="G553" i="1"/>
  <c r="E553" i="1"/>
  <c r="D553" i="1"/>
  <c r="C553" i="1"/>
  <c r="P552" i="1"/>
  <c r="L552" i="1"/>
  <c r="G552" i="1"/>
  <c r="E552" i="1"/>
  <c r="D552" i="1"/>
  <c r="C552" i="1"/>
  <c r="P551" i="1"/>
  <c r="G551" i="1"/>
  <c r="E551" i="1"/>
  <c r="D551" i="1"/>
  <c r="C551" i="1"/>
  <c r="P550" i="1"/>
  <c r="G550" i="1"/>
  <c r="E550" i="1"/>
  <c r="D550" i="1"/>
  <c r="C550" i="1"/>
  <c r="P549" i="1"/>
  <c r="L549" i="1"/>
  <c r="G549" i="1"/>
  <c r="E549" i="1"/>
  <c r="D549" i="1"/>
  <c r="C549" i="1"/>
  <c r="P548" i="1"/>
  <c r="L548" i="1"/>
  <c r="G548" i="1"/>
  <c r="E548" i="1"/>
  <c r="D548" i="1"/>
  <c r="C548" i="1"/>
  <c r="P547" i="1"/>
  <c r="L547" i="1"/>
  <c r="G547" i="1"/>
  <c r="E547" i="1"/>
  <c r="D547" i="1"/>
  <c r="C547" i="1"/>
  <c r="P546" i="1"/>
  <c r="G546" i="1"/>
  <c r="E546" i="1"/>
  <c r="D546" i="1"/>
  <c r="C546" i="1"/>
  <c r="P545" i="1"/>
  <c r="G545" i="1"/>
  <c r="E545" i="1"/>
  <c r="D545" i="1"/>
  <c r="C545" i="1"/>
  <c r="P544" i="1"/>
  <c r="L544" i="1"/>
  <c r="G544" i="1"/>
  <c r="E544" i="1"/>
  <c r="D544" i="1"/>
  <c r="C544" i="1"/>
  <c r="P543" i="1"/>
  <c r="L543" i="1"/>
  <c r="G543" i="1"/>
  <c r="E543" i="1"/>
  <c r="D543" i="1"/>
  <c r="C543" i="1"/>
  <c r="P542" i="1"/>
  <c r="G542" i="1"/>
  <c r="E542" i="1"/>
  <c r="D542" i="1"/>
  <c r="C542" i="1"/>
  <c r="P541" i="1"/>
  <c r="L541" i="1"/>
  <c r="G541" i="1"/>
  <c r="E541" i="1"/>
  <c r="D541" i="1"/>
  <c r="C541" i="1"/>
  <c r="P540" i="1"/>
  <c r="L540" i="1"/>
  <c r="G540" i="1"/>
  <c r="E540" i="1"/>
  <c r="D540" i="1"/>
  <c r="C540" i="1"/>
  <c r="P539" i="1"/>
  <c r="L539" i="1"/>
  <c r="G539" i="1"/>
  <c r="E539" i="1"/>
  <c r="D539" i="1"/>
  <c r="C539" i="1"/>
  <c r="P538" i="1"/>
  <c r="G538" i="1"/>
  <c r="E538" i="1"/>
  <c r="D538" i="1"/>
  <c r="C538" i="1"/>
  <c r="P537" i="1"/>
  <c r="G537" i="1"/>
  <c r="E537" i="1"/>
  <c r="D537" i="1"/>
  <c r="C537" i="1"/>
  <c r="P536" i="1"/>
  <c r="L536" i="1"/>
  <c r="G536" i="1"/>
  <c r="E536" i="1"/>
  <c r="D536" i="1"/>
  <c r="C536" i="1"/>
  <c r="P535" i="1"/>
  <c r="G535" i="1"/>
  <c r="E535" i="1"/>
  <c r="D535" i="1"/>
  <c r="C535" i="1"/>
  <c r="P534" i="1"/>
  <c r="G534" i="1"/>
  <c r="E534" i="1"/>
  <c r="D534" i="1"/>
  <c r="C534" i="1"/>
  <c r="P533" i="1"/>
  <c r="L533" i="1"/>
  <c r="G533" i="1"/>
  <c r="E533" i="1"/>
  <c r="D533" i="1"/>
  <c r="C533" i="1"/>
  <c r="P532" i="1"/>
  <c r="L532" i="1"/>
  <c r="G532" i="1"/>
  <c r="E532" i="1"/>
  <c r="D532" i="1"/>
  <c r="C532" i="1"/>
  <c r="P531" i="1"/>
  <c r="L531" i="1"/>
  <c r="G531" i="1"/>
  <c r="E531" i="1"/>
  <c r="D531" i="1"/>
  <c r="C531" i="1"/>
  <c r="P530" i="1"/>
  <c r="G530" i="1"/>
  <c r="E530" i="1"/>
  <c r="D530" i="1"/>
  <c r="C530" i="1"/>
  <c r="P529" i="1"/>
  <c r="G529" i="1"/>
  <c r="E529" i="1"/>
  <c r="D529" i="1"/>
  <c r="C529" i="1"/>
  <c r="P528" i="1"/>
  <c r="L528" i="1"/>
  <c r="G528" i="1"/>
  <c r="E528" i="1"/>
  <c r="D528" i="1"/>
  <c r="C528" i="1"/>
  <c r="P527" i="1"/>
  <c r="L527" i="1"/>
  <c r="G527" i="1"/>
  <c r="E527" i="1"/>
  <c r="D527" i="1"/>
  <c r="C527" i="1"/>
  <c r="P526" i="1"/>
  <c r="G526" i="1"/>
  <c r="E526" i="1"/>
  <c r="D526" i="1"/>
  <c r="C526" i="1"/>
  <c r="P525" i="1"/>
  <c r="L525" i="1"/>
  <c r="G525" i="1"/>
  <c r="E525" i="1"/>
  <c r="D525" i="1"/>
  <c r="C525" i="1"/>
  <c r="P524" i="1"/>
  <c r="L524" i="1"/>
  <c r="G524" i="1"/>
  <c r="E524" i="1"/>
  <c r="D524" i="1"/>
  <c r="C524" i="1"/>
  <c r="P523" i="1"/>
  <c r="L523" i="1"/>
  <c r="G523" i="1"/>
  <c r="E523" i="1"/>
  <c r="D523" i="1"/>
  <c r="C523" i="1"/>
  <c r="P522" i="1"/>
  <c r="G522" i="1"/>
  <c r="E522" i="1"/>
  <c r="D522" i="1"/>
  <c r="C522" i="1"/>
  <c r="P521" i="1"/>
  <c r="G521" i="1"/>
  <c r="E521" i="1"/>
  <c r="D521" i="1"/>
  <c r="C521" i="1"/>
  <c r="P520" i="1"/>
  <c r="L520" i="1"/>
  <c r="G520" i="1"/>
  <c r="E520" i="1"/>
  <c r="D520" i="1"/>
  <c r="C520" i="1"/>
  <c r="P519" i="1"/>
  <c r="L519" i="1"/>
  <c r="G519" i="1"/>
  <c r="E519" i="1"/>
  <c r="D519" i="1"/>
  <c r="C519" i="1"/>
  <c r="P518" i="1"/>
  <c r="G518" i="1"/>
  <c r="E518" i="1"/>
  <c r="D518" i="1"/>
  <c r="C518" i="1"/>
  <c r="P517" i="1"/>
  <c r="L517" i="1"/>
  <c r="G517" i="1"/>
  <c r="E517" i="1"/>
  <c r="D517" i="1"/>
  <c r="C517" i="1"/>
  <c r="P516" i="1"/>
  <c r="L516" i="1"/>
  <c r="G516" i="1"/>
  <c r="E516" i="1"/>
  <c r="D516" i="1"/>
  <c r="C516" i="1"/>
  <c r="P515" i="1"/>
  <c r="L515" i="1"/>
  <c r="G515" i="1"/>
  <c r="E515" i="1"/>
  <c r="D515" i="1"/>
  <c r="C515" i="1"/>
  <c r="P514" i="1"/>
  <c r="G514" i="1"/>
  <c r="E514" i="1"/>
  <c r="D514" i="1"/>
  <c r="C514" i="1"/>
  <c r="P513" i="1"/>
  <c r="G513" i="1"/>
  <c r="E513" i="1"/>
  <c r="D513" i="1"/>
  <c r="C513" i="1"/>
  <c r="P512" i="1"/>
  <c r="L512" i="1"/>
  <c r="G512" i="1"/>
  <c r="E512" i="1"/>
  <c r="D512" i="1"/>
  <c r="C512" i="1"/>
  <c r="P511" i="1"/>
  <c r="G511" i="1"/>
  <c r="E511" i="1"/>
  <c r="D511" i="1"/>
  <c r="C511" i="1"/>
  <c r="P510" i="1"/>
  <c r="G510" i="1"/>
  <c r="E510" i="1"/>
  <c r="D510" i="1"/>
  <c r="C510" i="1"/>
  <c r="P509" i="1"/>
  <c r="L509" i="1"/>
  <c r="G509" i="1"/>
  <c r="E509" i="1"/>
  <c r="D509" i="1"/>
  <c r="C509" i="1"/>
  <c r="P508" i="1"/>
  <c r="L508" i="1"/>
  <c r="G508" i="1"/>
  <c r="E508" i="1"/>
  <c r="D508" i="1"/>
  <c r="C508" i="1"/>
  <c r="P507" i="1"/>
  <c r="L507" i="1"/>
  <c r="G507" i="1"/>
  <c r="E507" i="1"/>
  <c r="D507" i="1"/>
  <c r="C507" i="1"/>
  <c r="P506" i="1"/>
  <c r="G506" i="1"/>
  <c r="E506" i="1"/>
  <c r="D506" i="1"/>
  <c r="C506" i="1"/>
  <c r="P505" i="1"/>
  <c r="G505" i="1"/>
  <c r="E505" i="1"/>
  <c r="D505" i="1"/>
  <c r="C505" i="1"/>
  <c r="P504" i="1"/>
  <c r="L504" i="1"/>
  <c r="G504" i="1"/>
  <c r="E504" i="1"/>
  <c r="D504" i="1"/>
  <c r="C504" i="1"/>
  <c r="P503" i="1"/>
  <c r="L503" i="1"/>
  <c r="G503" i="1"/>
  <c r="E503" i="1"/>
  <c r="D503" i="1"/>
  <c r="C503" i="1"/>
  <c r="P502" i="1"/>
  <c r="G502" i="1"/>
  <c r="E502" i="1"/>
  <c r="D502" i="1"/>
  <c r="C502" i="1"/>
  <c r="P501" i="1"/>
  <c r="L501" i="1"/>
  <c r="G501" i="1"/>
  <c r="E501" i="1"/>
  <c r="D501" i="1"/>
  <c r="C501" i="1"/>
  <c r="P500" i="1"/>
  <c r="L500" i="1"/>
  <c r="G500" i="1"/>
  <c r="E500" i="1"/>
  <c r="D500" i="1"/>
  <c r="C500" i="1"/>
  <c r="P499" i="1"/>
  <c r="L499" i="1"/>
  <c r="G499" i="1"/>
  <c r="E499" i="1"/>
  <c r="D499" i="1"/>
  <c r="C499" i="1"/>
  <c r="P498" i="1"/>
  <c r="G498" i="1"/>
  <c r="E498" i="1"/>
  <c r="D498" i="1"/>
  <c r="C498" i="1"/>
  <c r="P497" i="1"/>
  <c r="G497" i="1"/>
  <c r="E497" i="1"/>
  <c r="D497" i="1"/>
  <c r="C497" i="1"/>
  <c r="P496" i="1"/>
  <c r="L496" i="1"/>
  <c r="G496" i="1"/>
  <c r="E496" i="1"/>
  <c r="D496" i="1"/>
  <c r="C496" i="1"/>
  <c r="P495" i="1"/>
  <c r="G495" i="1"/>
  <c r="E495" i="1"/>
  <c r="D495" i="1"/>
  <c r="C495" i="1"/>
  <c r="P494" i="1"/>
  <c r="G494" i="1"/>
  <c r="E494" i="1"/>
  <c r="D494" i="1"/>
  <c r="C494" i="1"/>
  <c r="P493" i="1"/>
  <c r="L493" i="1"/>
  <c r="G493" i="1"/>
  <c r="E493" i="1"/>
  <c r="D493" i="1"/>
  <c r="C493" i="1"/>
  <c r="P492" i="1"/>
  <c r="L492" i="1"/>
  <c r="G492" i="1"/>
  <c r="E492" i="1"/>
  <c r="D492" i="1"/>
  <c r="C492" i="1"/>
  <c r="P491" i="1"/>
  <c r="L491" i="1"/>
  <c r="G491" i="1"/>
  <c r="E491" i="1"/>
  <c r="D491" i="1"/>
  <c r="C491" i="1"/>
  <c r="P490" i="1"/>
  <c r="G490" i="1"/>
  <c r="E490" i="1"/>
  <c r="D490" i="1"/>
  <c r="C490" i="1"/>
  <c r="P489" i="1"/>
  <c r="L489" i="1"/>
  <c r="G489" i="1"/>
  <c r="E489" i="1"/>
  <c r="D489" i="1"/>
  <c r="C489" i="1"/>
  <c r="P488" i="1"/>
  <c r="L488" i="1"/>
  <c r="G488" i="1"/>
  <c r="E488" i="1"/>
  <c r="D488" i="1"/>
  <c r="C488" i="1"/>
  <c r="P487" i="1"/>
  <c r="G487" i="1"/>
  <c r="E487" i="1"/>
  <c r="D487" i="1"/>
  <c r="C487" i="1"/>
  <c r="P486" i="1"/>
  <c r="G486" i="1"/>
  <c r="E486" i="1"/>
  <c r="D486" i="1"/>
  <c r="C486" i="1"/>
  <c r="P485" i="1"/>
  <c r="L485" i="1"/>
  <c r="G485" i="1"/>
  <c r="E485" i="1"/>
  <c r="D485" i="1"/>
  <c r="C485" i="1"/>
  <c r="P484" i="1"/>
  <c r="L484" i="1"/>
  <c r="G484" i="1"/>
  <c r="E484" i="1"/>
  <c r="D484" i="1"/>
  <c r="C484" i="1"/>
  <c r="P483" i="1"/>
  <c r="L483" i="1"/>
  <c r="G483" i="1"/>
  <c r="E483" i="1"/>
  <c r="D483" i="1"/>
  <c r="C483" i="1"/>
  <c r="P482" i="1"/>
  <c r="G482" i="1"/>
  <c r="E482" i="1"/>
  <c r="D482" i="1"/>
  <c r="C482" i="1"/>
  <c r="P481" i="1"/>
  <c r="G481" i="1"/>
  <c r="E481" i="1"/>
  <c r="D481" i="1"/>
  <c r="C481" i="1"/>
  <c r="P480" i="1"/>
  <c r="L480" i="1"/>
  <c r="G480" i="1"/>
  <c r="E480" i="1"/>
  <c r="D480" i="1"/>
  <c r="C480" i="1"/>
  <c r="P479" i="1"/>
  <c r="L479" i="1"/>
  <c r="G479" i="1"/>
  <c r="E479" i="1"/>
  <c r="D479" i="1"/>
  <c r="C479" i="1"/>
  <c r="P478" i="1"/>
  <c r="G478" i="1"/>
  <c r="E478" i="1"/>
  <c r="D478" i="1"/>
  <c r="C478" i="1"/>
  <c r="P477" i="1"/>
  <c r="L477" i="1"/>
  <c r="G477" i="1"/>
  <c r="E477" i="1"/>
  <c r="D477" i="1"/>
  <c r="C477" i="1"/>
  <c r="P476" i="1"/>
  <c r="L476" i="1"/>
  <c r="G476" i="1"/>
  <c r="E476" i="1"/>
  <c r="D476" i="1"/>
  <c r="C476" i="1"/>
  <c r="P475" i="1"/>
  <c r="L475" i="1"/>
  <c r="G475" i="1"/>
  <c r="E475" i="1"/>
  <c r="D475" i="1"/>
  <c r="C475" i="1"/>
  <c r="P474" i="1"/>
  <c r="G474" i="1"/>
  <c r="E474" i="1"/>
  <c r="D474" i="1"/>
  <c r="C474" i="1"/>
  <c r="P473" i="1"/>
  <c r="G473" i="1"/>
  <c r="E473" i="1"/>
  <c r="D473" i="1"/>
  <c r="C473" i="1"/>
  <c r="P472" i="1"/>
  <c r="L472" i="1"/>
  <c r="G472" i="1"/>
  <c r="E472" i="1"/>
  <c r="D472" i="1"/>
  <c r="C472" i="1"/>
  <c r="P471" i="1"/>
  <c r="G471" i="1"/>
  <c r="E471" i="1"/>
  <c r="D471" i="1"/>
  <c r="C471" i="1"/>
  <c r="P470" i="1"/>
  <c r="G470" i="1"/>
  <c r="E470" i="1"/>
  <c r="D470" i="1"/>
  <c r="C470" i="1"/>
  <c r="P469" i="1"/>
  <c r="L469" i="1"/>
  <c r="G469" i="1"/>
  <c r="E469" i="1"/>
  <c r="D469" i="1"/>
  <c r="C469" i="1"/>
  <c r="P468" i="1"/>
  <c r="L468" i="1"/>
  <c r="G468" i="1"/>
  <c r="E468" i="1"/>
  <c r="D468" i="1"/>
  <c r="C468" i="1"/>
  <c r="P467" i="1"/>
  <c r="L467" i="1"/>
  <c r="G467" i="1"/>
  <c r="E467" i="1"/>
  <c r="D467" i="1"/>
  <c r="C467" i="1"/>
  <c r="P466" i="1"/>
  <c r="G466" i="1"/>
  <c r="E466" i="1"/>
  <c r="D466" i="1"/>
  <c r="C466" i="1"/>
  <c r="P465" i="1"/>
  <c r="G465" i="1"/>
  <c r="E465" i="1"/>
  <c r="D465" i="1"/>
  <c r="C465" i="1"/>
  <c r="P464" i="1"/>
  <c r="L464" i="1"/>
  <c r="G464" i="1"/>
  <c r="E464" i="1"/>
  <c r="D464" i="1"/>
  <c r="C464" i="1"/>
  <c r="P463" i="1"/>
  <c r="G463" i="1"/>
  <c r="E463" i="1"/>
  <c r="D463" i="1"/>
  <c r="C463" i="1"/>
  <c r="P462" i="1"/>
  <c r="L462" i="1"/>
  <c r="G462" i="1"/>
  <c r="E462" i="1"/>
  <c r="D462" i="1"/>
  <c r="C462" i="1"/>
  <c r="P461" i="1"/>
  <c r="L461" i="1"/>
  <c r="G461" i="1"/>
  <c r="E461" i="1"/>
  <c r="D461" i="1"/>
  <c r="C461" i="1"/>
  <c r="P460" i="1"/>
  <c r="L460" i="1"/>
  <c r="G460" i="1"/>
  <c r="E460" i="1"/>
  <c r="D460" i="1"/>
  <c r="C460" i="1"/>
  <c r="P459" i="1"/>
  <c r="L459" i="1"/>
  <c r="G459" i="1"/>
  <c r="E459" i="1"/>
  <c r="D459" i="1"/>
  <c r="C459" i="1"/>
  <c r="P458" i="1"/>
  <c r="G458" i="1"/>
  <c r="E458" i="1"/>
  <c r="D458" i="1"/>
  <c r="C458" i="1"/>
  <c r="P457" i="1"/>
  <c r="G457" i="1"/>
  <c r="E457" i="1"/>
  <c r="D457" i="1"/>
  <c r="C457" i="1"/>
  <c r="P456" i="1"/>
  <c r="L456" i="1"/>
  <c r="G456" i="1"/>
  <c r="E456" i="1"/>
  <c r="D456" i="1"/>
  <c r="C456" i="1"/>
  <c r="P455" i="1"/>
  <c r="L455" i="1"/>
  <c r="G455" i="1"/>
  <c r="E455" i="1"/>
  <c r="D455" i="1"/>
  <c r="C455" i="1"/>
  <c r="P454" i="1"/>
  <c r="L454" i="1"/>
  <c r="G454" i="1"/>
  <c r="E454" i="1"/>
  <c r="D454" i="1"/>
  <c r="C454" i="1"/>
  <c r="P453" i="1"/>
  <c r="L453" i="1"/>
  <c r="G453" i="1"/>
  <c r="E453" i="1"/>
  <c r="D453" i="1"/>
  <c r="C453" i="1"/>
  <c r="P452" i="1"/>
  <c r="L452" i="1"/>
  <c r="G452" i="1"/>
  <c r="E452" i="1"/>
  <c r="D452" i="1"/>
  <c r="C452" i="1"/>
  <c r="P451" i="1"/>
  <c r="L451" i="1"/>
  <c r="G451" i="1"/>
  <c r="E451" i="1"/>
  <c r="D451" i="1"/>
  <c r="C451" i="1"/>
  <c r="P450" i="1"/>
  <c r="G450" i="1"/>
  <c r="E450" i="1"/>
  <c r="D450" i="1"/>
  <c r="C450" i="1"/>
  <c r="P449" i="1"/>
  <c r="G449" i="1"/>
  <c r="E449" i="1"/>
  <c r="D449" i="1"/>
  <c r="C449" i="1"/>
  <c r="P448" i="1"/>
  <c r="L448" i="1"/>
  <c r="G448" i="1"/>
  <c r="E448" i="1"/>
  <c r="D448" i="1"/>
  <c r="C448" i="1"/>
  <c r="P447" i="1"/>
  <c r="L447" i="1"/>
  <c r="G447" i="1"/>
  <c r="E447" i="1"/>
  <c r="D447" i="1"/>
  <c r="C447" i="1"/>
  <c r="P446" i="1"/>
  <c r="L446" i="1"/>
  <c r="G446" i="1"/>
  <c r="E446" i="1"/>
  <c r="D446" i="1"/>
  <c r="C446" i="1"/>
  <c r="P445" i="1"/>
  <c r="L445" i="1"/>
  <c r="G445" i="1"/>
  <c r="E445" i="1"/>
  <c r="D445" i="1"/>
  <c r="C445" i="1"/>
  <c r="P444" i="1"/>
  <c r="L444" i="1"/>
  <c r="G444" i="1"/>
  <c r="E444" i="1"/>
  <c r="D444" i="1"/>
  <c r="C444" i="1"/>
  <c r="P443" i="1"/>
  <c r="L443" i="1"/>
  <c r="G443" i="1"/>
  <c r="E443" i="1"/>
  <c r="D443" i="1"/>
  <c r="C443" i="1"/>
  <c r="P442" i="1"/>
  <c r="G442" i="1"/>
  <c r="E442" i="1"/>
  <c r="D442" i="1"/>
  <c r="C442" i="1"/>
  <c r="P441" i="1"/>
  <c r="G441" i="1"/>
  <c r="E441" i="1"/>
  <c r="D441" i="1"/>
  <c r="C441" i="1"/>
  <c r="P440" i="1"/>
  <c r="L440" i="1"/>
  <c r="G440" i="1"/>
  <c r="E440" i="1"/>
  <c r="D440" i="1"/>
  <c r="C440" i="1"/>
  <c r="P439" i="1"/>
  <c r="G439" i="1"/>
  <c r="E439" i="1"/>
  <c r="D439" i="1"/>
  <c r="C439" i="1"/>
  <c r="P438" i="1"/>
  <c r="L438" i="1"/>
  <c r="G438" i="1"/>
  <c r="E438" i="1"/>
  <c r="D438" i="1"/>
  <c r="C438" i="1"/>
  <c r="P437" i="1"/>
  <c r="L437" i="1"/>
  <c r="G437" i="1"/>
  <c r="E437" i="1"/>
  <c r="D437" i="1"/>
  <c r="C437" i="1"/>
  <c r="P436" i="1"/>
  <c r="L436" i="1"/>
  <c r="G436" i="1"/>
  <c r="E436" i="1"/>
  <c r="D436" i="1"/>
  <c r="C436" i="1"/>
  <c r="P435" i="1"/>
  <c r="L435" i="1"/>
  <c r="G435" i="1"/>
  <c r="E435" i="1"/>
  <c r="D435" i="1"/>
  <c r="C435" i="1"/>
  <c r="P434" i="1"/>
  <c r="G434" i="1"/>
  <c r="E434" i="1"/>
  <c r="D434" i="1"/>
  <c r="C434" i="1"/>
  <c r="P433" i="1"/>
  <c r="G433" i="1"/>
  <c r="E433" i="1"/>
  <c r="D433" i="1"/>
  <c r="C433" i="1"/>
  <c r="P432" i="1"/>
  <c r="L432" i="1"/>
  <c r="G432" i="1"/>
  <c r="E432" i="1"/>
  <c r="D432" i="1"/>
  <c r="C432" i="1"/>
  <c r="P431" i="1"/>
  <c r="G431" i="1"/>
  <c r="E431" i="1"/>
  <c r="D431" i="1"/>
  <c r="C431" i="1"/>
  <c r="P430" i="1"/>
  <c r="L430" i="1"/>
  <c r="G430" i="1"/>
  <c r="E430" i="1"/>
  <c r="D430" i="1"/>
  <c r="C430" i="1"/>
  <c r="P429" i="1"/>
  <c r="L429" i="1"/>
  <c r="G429" i="1"/>
  <c r="E429" i="1"/>
  <c r="D429" i="1"/>
  <c r="C429" i="1"/>
  <c r="P428" i="1"/>
  <c r="L428" i="1"/>
  <c r="G428" i="1"/>
  <c r="E428" i="1"/>
  <c r="D428" i="1"/>
  <c r="C428" i="1"/>
  <c r="P427" i="1"/>
  <c r="L427" i="1"/>
  <c r="G427" i="1"/>
  <c r="E427" i="1"/>
  <c r="D427" i="1"/>
  <c r="C427" i="1"/>
  <c r="P426" i="1"/>
  <c r="G426" i="1"/>
  <c r="E426" i="1"/>
  <c r="D426" i="1"/>
  <c r="C426" i="1"/>
  <c r="P425" i="1"/>
  <c r="G425" i="1"/>
  <c r="E425" i="1"/>
  <c r="D425" i="1"/>
  <c r="C425" i="1"/>
  <c r="P424" i="1"/>
  <c r="L424" i="1"/>
  <c r="G424" i="1"/>
  <c r="E424" i="1"/>
  <c r="D424" i="1"/>
  <c r="C424" i="1"/>
  <c r="P423" i="1"/>
  <c r="L423" i="1"/>
  <c r="G423" i="1"/>
  <c r="E423" i="1"/>
  <c r="D423" i="1"/>
  <c r="C423" i="1"/>
  <c r="P422" i="1"/>
  <c r="L422" i="1"/>
  <c r="G422" i="1"/>
  <c r="E422" i="1"/>
  <c r="D422" i="1"/>
  <c r="C422" i="1"/>
  <c r="P421" i="1"/>
  <c r="L421" i="1"/>
  <c r="G421" i="1"/>
  <c r="E421" i="1"/>
  <c r="D421" i="1"/>
  <c r="C421" i="1"/>
  <c r="P420" i="1"/>
  <c r="L420" i="1"/>
  <c r="G420" i="1"/>
  <c r="E420" i="1"/>
  <c r="D420" i="1"/>
  <c r="C420" i="1"/>
  <c r="P419" i="1"/>
  <c r="L419" i="1"/>
  <c r="G419" i="1"/>
  <c r="E419" i="1"/>
  <c r="D419" i="1"/>
  <c r="C419" i="1"/>
  <c r="P418" i="1"/>
  <c r="G418" i="1"/>
  <c r="E418" i="1"/>
  <c r="D418" i="1"/>
  <c r="C418" i="1"/>
  <c r="P417" i="1"/>
  <c r="L417" i="1"/>
  <c r="G417" i="1"/>
  <c r="E417" i="1"/>
  <c r="D417" i="1"/>
  <c r="C417" i="1"/>
  <c r="P416" i="1"/>
  <c r="L416" i="1"/>
  <c r="G416" i="1"/>
  <c r="E416" i="1"/>
  <c r="D416" i="1"/>
  <c r="C416" i="1"/>
  <c r="P415" i="1"/>
  <c r="L415" i="1"/>
  <c r="G415" i="1"/>
  <c r="E415" i="1"/>
  <c r="D415" i="1"/>
  <c r="C415" i="1"/>
  <c r="P414" i="1"/>
  <c r="L414" i="1"/>
  <c r="G414" i="1"/>
  <c r="E414" i="1"/>
  <c r="D414" i="1"/>
  <c r="C414" i="1"/>
  <c r="P413" i="1"/>
  <c r="L413" i="1"/>
  <c r="G413" i="1"/>
  <c r="E413" i="1"/>
  <c r="D413" i="1"/>
  <c r="C413" i="1"/>
  <c r="P412" i="1"/>
  <c r="L412" i="1"/>
  <c r="G412" i="1"/>
  <c r="E412" i="1"/>
  <c r="D412" i="1"/>
  <c r="C412" i="1"/>
  <c r="P411" i="1"/>
  <c r="L411" i="1"/>
  <c r="G411" i="1"/>
  <c r="E411" i="1"/>
  <c r="D411" i="1"/>
  <c r="C411" i="1"/>
  <c r="P410" i="1"/>
  <c r="G410" i="1"/>
  <c r="E410" i="1"/>
  <c r="D410" i="1"/>
  <c r="C410" i="1"/>
  <c r="P409" i="1"/>
  <c r="G409" i="1"/>
  <c r="E409" i="1"/>
  <c r="D409" i="1"/>
  <c r="C409" i="1"/>
  <c r="P408" i="1"/>
  <c r="L408" i="1"/>
  <c r="G408" i="1"/>
  <c r="E408" i="1"/>
  <c r="D408" i="1"/>
  <c r="C408" i="1"/>
  <c r="P407" i="1"/>
  <c r="G407" i="1"/>
  <c r="E407" i="1"/>
  <c r="D407" i="1"/>
  <c r="C407" i="1"/>
  <c r="P406" i="1"/>
  <c r="L406" i="1"/>
  <c r="G406" i="1"/>
  <c r="E406" i="1"/>
  <c r="D406" i="1"/>
  <c r="C406" i="1"/>
  <c r="P405" i="1"/>
  <c r="L405" i="1"/>
  <c r="G405" i="1"/>
  <c r="E405" i="1"/>
  <c r="D405" i="1"/>
  <c r="C405" i="1"/>
  <c r="P404" i="1"/>
  <c r="L404" i="1"/>
  <c r="G404" i="1"/>
  <c r="E404" i="1"/>
  <c r="D404" i="1"/>
  <c r="C404" i="1"/>
  <c r="P403" i="1"/>
  <c r="L403" i="1"/>
  <c r="G403" i="1"/>
  <c r="E403" i="1"/>
  <c r="D403" i="1"/>
  <c r="C403" i="1"/>
  <c r="P402" i="1"/>
  <c r="G402" i="1"/>
  <c r="E402" i="1"/>
  <c r="D402" i="1"/>
  <c r="C402" i="1"/>
  <c r="P401" i="1"/>
  <c r="G401" i="1"/>
  <c r="E401" i="1"/>
  <c r="D401" i="1"/>
  <c r="C401" i="1"/>
  <c r="P400" i="1"/>
  <c r="L400" i="1"/>
  <c r="G400" i="1"/>
  <c r="E400" i="1"/>
  <c r="D400" i="1"/>
  <c r="C400" i="1"/>
  <c r="P399" i="1"/>
  <c r="G399" i="1"/>
  <c r="E399" i="1"/>
  <c r="D399" i="1"/>
  <c r="C399" i="1"/>
  <c r="P398" i="1"/>
  <c r="L398" i="1"/>
  <c r="G398" i="1"/>
  <c r="E398" i="1"/>
  <c r="D398" i="1"/>
  <c r="C398" i="1"/>
  <c r="P397" i="1"/>
  <c r="L397" i="1"/>
  <c r="G397" i="1"/>
  <c r="E397" i="1"/>
  <c r="D397" i="1"/>
  <c r="C397" i="1"/>
  <c r="P396" i="1"/>
  <c r="L396" i="1"/>
  <c r="G396" i="1"/>
  <c r="E396" i="1"/>
  <c r="D396" i="1"/>
  <c r="C396" i="1"/>
  <c r="P395" i="1"/>
  <c r="L395" i="1"/>
  <c r="G395" i="1"/>
  <c r="E395" i="1"/>
  <c r="D395" i="1"/>
  <c r="C395" i="1"/>
  <c r="P394" i="1"/>
  <c r="G394" i="1"/>
  <c r="E394" i="1"/>
  <c r="D394" i="1"/>
  <c r="C394" i="1"/>
  <c r="P393" i="1"/>
  <c r="G393" i="1"/>
  <c r="E393" i="1"/>
  <c r="D393" i="1"/>
  <c r="C393" i="1"/>
  <c r="P392" i="1"/>
  <c r="L392" i="1"/>
  <c r="G392" i="1"/>
  <c r="E392" i="1"/>
  <c r="D392" i="1"/>
  <c r="C392" i="1"/>
  <c r="P391" i="1"/>
  <c r="L391" i="1"/>
  <c r="G391" i="1"/>
  <c r="E391" i="1"/>
  <c r="D391" i="1"/>
  <c r="C391" i="1"/>
  <c r="P390" i="1"/>
  <c r="L390" i="1"/>
  <c r="G390" i="1"/>
  <c r="E390" i="1"/>
  <c r="D390" i="1"/>
  <c r="C390" i="1"/>
  <c r="P389" i="1"/>
  <c r="L389" i="1"/>
  <c r="G389" i="1"/>
  <c r="E389" i="1"/>
  <c r="D389" i="1"/>
  <c r="C389" i="1"/>
  <c r="P388" i="1"/>
  <c r="L388" i="1"/>
  <c r="G388" i="1"/>
  <c r="E388" i="1"/>
  <c r="D388" i="1"/>
  <c r="C388" i="1"/>
  <c r="P387" i="1"/>
  <c r="L387" i="1"/>
  <c r="G387" i="1"/>
  <c r="E387" i="1"/>
  <c r="D387" i="1"/>
  <c r="C387" i="1"/>
  <c r="P386" i="1"/>
  <c r="G386" i="1"/>
  <c r="E386" i="1"/>
  <c r="D386" i="1"/>
  <c r="C386" i="1"/>
  <c r="P385" i="1"/>
  <c r="L385" i="1"/>
  <c r="G385" i="1"/>
  <c r="E385" i="1"/>
  <c r="D385" i="1"/>
  <c r="C385" i="1"/>
  <c r="P384" i="1"/>
  <c r="L384" i="1"/>
  <c r="G384" i="1"/>
  <c r="E384" i="1"/>
  <c r="D384" i="1"/>
  <c r="C384" i="1"/>
  <c r="P383" i="1"/>
  <c r="L383" i="1"/>
  <c r="G383" i="1"/>
  <c r="E383" i="1"/>
  <c r="D383" i="1"/>
  <c r="C383" i="1"/>
  <c r="P382" i="1"/>
  <c r="L382" i="1"/>
  <c r="G382" i="1"/>
  <c r="E382" i="1"/>
  <c r="D382" i="1"/>
  <c r="C382" i="1"/>
  <c r="P381" i="1"/>
  <c r="L381" i="1"/>
  <c r="G381" i="1"/>
  <c r="E381" i="1"/>
  <c r="D381" i="1"/>
  <c r="C381" i="1"/>
  <c r="P380" i="1"/>
  <c r="L380" i="1"/>
  <c r="G380" i="1"/>
  <c r="E380" i="1"/>
  <c r="D380" i="1"/>
  <c r="C380" i="1"/>
  <c r="P379" i="1"/>
  <c r="L379" i="1"/>
  <c r="G379" i="1"/>
  <c r="E379" i="1"/>
  <c r="D379" i="1"/>
  <c r="C379" i="1"/>
  <c r="P378" i="1"/>
  <c r="G378" i="1"/>
  <c r="E378" i="1"/>
  <c r="D378" i="1"/>
  <c r="C378" i="1"/>
  <c r="P377" i="1"/>
  <c r="G377" i="1"/>
  <c r="E377" i="1"/>
  <c r="D377" i="1"/>
  <c r="C377" i="1"/>
  <c r="P376" i="1"/>
  <c r="L376" i="1"/>
  <c r="G376" i="1"/>
  <c r="E376" i="1"/>
  <c r="D376" i="1"/>
  <c r="C376" i="1"/>
  <c r="P375" i="1"/>
  <c r="L375" i="1"/>
  <c r="G375" i="1"/>
  <c r="E375" i="1"/>
  <c r="D375" i="1"/>
  <c r="C375" i="1"/>
  <c r="P374" i="1"/>
  <c r="L374" i="1"/>
  <c r="G374" i="1"/>
  <c r="E374" i="1"/>
  <c r="D374" i="1"/>
  <c r="C374" i="1"/>
  <c r="P373" i="1"/>
  <c r="L373" i="1"/>
  <c r="G373" i="1"/>
  <c r="E373" i="1"/>
  <c r="D373" i="1"/>
  <c r="C373" i="1"/>
  <c r="P372" i="1"/>
  <c r="L372" i="1"/>
  <c r="G372" i="1"/>
  <c r="E372" i="1"/>
  <c r="D372" i="1"/>
  <c r="C372" i="1"/>
  <c r="P371" i="1"/>
  <c r="L371" i="1"/>
  <c r="G371" i="1"/>
  <c r="E371" i="1"/>
  <c r="D371" i="1"/>
  <c r="C371" i="1"/>
  <c r="P370" i="1"/>
  <c r="G370" i="1"/>
  <c r="E370" i="1"/>
  <c r="D370" i="1"/>
  <c r="C370" i="1"/>
  <c r="P369" i="1"/>
  <c r="G369" i="1"/>
  <c r="E369" i="1"/>
  <c r="D369" i="1"/>
  <c r="C369" i="1"/>
  <c r="P368" i="1"/>
  <c r="L368" i="1"/>
  <c r="G368" i="1"/>
  <c r="E368" i="1"/>
  <c r="D368" i="1"/>
  <c r="C368" i="1"/>
  <c r="P367" i="1"/>
  <c r="G367" i="1"/>
  <c r="E367" i="1"/>
  <c r="D367" i="1"/>
  <c r="C367" i="1"/>
  <c r="P366" i="1"/>
  <c r="L366" i="1"/>
  <c r="G366" i="1"/>
  <c r="E366" i="1"/>
  <c r="D366" i="1"/>
  <c r="C366" i="1"/>
  <c r="P365" i="1"/>
  <c r="L365" i="1"/>
  <c r="G365" i="1"/>
  <c r="E365" i="1"/>
  <c r="D365" i="1"/>
  <c r="C365" i="1"/>
  <c r="P364" i="1"/>
  <c r="L364" i="1"/>
  <c r="G364" i="1"/>
  <c r="E364" i="1"/>
  <c r="D364" i="1"/>
  <c r="C364" i="1"/>
  <c r="P363" i="1"/>
  <c r="L363" i="1"/>
  <c r="G363" i="1"/>
  <c r="E363" i="1"/>
  <c r="D363" i="1"/>
  <c r="C363" i="1"/>
  <c r="P362" i="1"/>
  <c r="G362" i="1"/>
  <c r="E362" i="1"/>
  <c r="D362" i="1"/>
  <c r="C362" i="1"/>
  <c r="P361" i="1"/>
  <c r="G361" i="1"/>
  <c r="E361" i="1"/>
  <c r="D361" i="1"/>
  <c r="C361" i="1"/>
  <c r="P360" i="1"/>
  <c r="L360" i="1"/>
  <c r="G360" i="1"/>
  <c r="E360" i="1"/>
  <c r="D360" i="1"/>
  <c r="C360" i="1"/>
  <c r="P359" i="1"/>
  <c r="G359" i="1"/>
  <c r="E359" i="1"/>
  <c r="C359" i="1"/>
  <c r="P358" i="1"/>
  <c r="L358" i="1"/>
  <c r="G358" i="1"/>
  <c r="E358" i="1"/>
  <c r="C358" i="1"/>
  <c r="P357" i="1"/>
  <c r="L357" i="1"/>
  <c r="G357" i="1"/>
  <c r="E357" i="1"/>
  <c r="C357" i="1"/>
  <c r="P356" i="1"/>
  <c r="L356" i="1"/>
  <c r="G356" i="1"/>
  <c r="E356" i="1"/>
  <c r="C356" i="1"/>
  <c r="P355" i="1"/>
  <c r="L355" i="1"/>
  <c r="G355" i="1"/>
  <c r="E355" i="1"/>
  <c r="C355" i="1"/>
  <c r="P354" i="1"/>
  <c r="L354" i="1"/>
  <c r="G354" i="1"/>
  <c r="E354" i="1"/>
  <c r="C354" i="1"/>
  <c r="P353" i="1"/>
  <c r="G353" i="1"/>
  <c r="E353" i="1"/>
  <c r="C353" i="1"/>
  <c r="P352" i="1"/>
  <c r="L352" i="1"/>
  <c r="G352" i="1"/>
  <c r="E352" i="1"/>
  <c r="C352" i="1"/>
  <c r="P351" i="1"/>
  <c r="L351" i="1"/>
  <c r="G351" i="1"/>
  <c r="E351" i="1"/>
  <c r="C351" i="1"/>
  <c r="P350" i="1"/>
  <c r="L350" i="1"/>
  <c r="G350" i="1"/>
  <c r="E350" i="1"/>
  <c r="C350" i="1"/>
  <c r="P349" i="1"/>
  <c r="L349" i="1"/>
  <c r="G349" i="1"/>
  <c r="E349" i="1"/>
  <c r="C349" i="1"/>
  <c r="P348" i="1"/>
  <c r="L348" i="1"/>
  <c r="G348" i="1"/>
  <c r="E348" i="1"/>
  <c r="C348" i="1"/>
  <c r="P347" i="1"/>
  <c r="L347" i="1"/>
  <c r="G347" i="1"/>
  <c r="E347" i="1"/>
  <c r="C347" i="1"/>
  <c r="P346" i="1"/>
  <c r="L346" i="1"/>
  <c r="G346" i="1"/>
  <c r="E346" i="1"/>
  <c r="C346" i="1"/>
  <c r="P345" i="1"/>
  <c r="G345" i="1"/>
  <c r="E345" i="1"/>
  <c r="C345" i="1"/>
  <c r="P344" i="1"/>
  <c r="L344" i="1"/>
  <c r="G344" i="1"/>
  <c r="E344" i="1"/>
  <c r="C344" i="1"/>
  <c r="P343" i="1"/>
  <c r="L343" i="1"/>
  <c r="G343" i="1"/>
  <c r="E343" i="1"/>
  <c r="D343" i="1"/>
  <c r="C343" i="1"/>
  <c r="P342" i="1"/>
  <c r="L342" i="1"/>
  <c r="G342" i="1"/>
  <c r="E342" i="1"/>
  <c r="D342" i="1"/>
  <c r="C342" i="1"/>
  <c r="P341" i="1"/>
  <c r="L341" i="1"/>
  <c r="G341" i="1"/>
  <c r="E341" i="1"/>
  <c r="D341" i="1"/>
  <c r="C341" i="1"/>
  <c r="P340" i="1"/>
  <c r="L340" i="1"/>
  <c r="G340" i="1"/>
  <c r="E340" i="1"/>
  <c r="D340" i="1"/>
  <c r="C340" i="1"/>
  <c r="P339" i="1"/>
  <c r="L339" i="1"/>
  <c r="G339" i="1"/>
  <c r="E339" i="1"/>
  <c r="D339" i="1"/>
  <c r="C339" i="1"/>
  <c r="P338" i="1"/>
  <c r="G338" i="1"/>
  <c r="E338" i="1"/>
  <c r="D338" i="1"/>
  <c r="C338" i="1"/>
  <c r="P337" i="1"/>
  <c r="L337" i="1"/>
  <c r="G337" i="1"/>
  <c r="E337" i="1"/>
  <c r="D337" i="1"/>
  <c r="C337" i="1"/>
  <c r="P336" i="1"/>
  <c r="L336" i="1"/>
  <c r="G336" i="1"/>
  <c r="E336" i="1"/>
  <c r="D336" i="1"/>
  <c r="C336" i="1"/>
  <c r="P335" i="1"/>
  <c r="L335" i="1"/>
  <c r="G335" i="1"/>
  <c r="E335" i="1"/>
  <c r="D335" i="1"/>
  <c r="C335" i="1"/>
  <c r="P334" i="1"/>
  <c r="L334" i="1"/>
  <c r="G334" i="1"/>
  <c r="E334" i="1"/>
  <c r="D334" i="1"/>
  <c r="C334" i="1"/>
  <c r="P333" i="1"/>
  <c r="L333" i="1"/>
  <c r="G333" i="1"/>
  <c r="E333" i="1"/>
  <c r="D333" i="1"/>
  <c r="C333" i="1"/>
  <c r="P332" i="1"/>
  <c r="L332" i="1"/>
  <c r="G332" i="1"/>
  <c r="E332" i="1"/>
  <c r="D332" i="1"/>
  <c r="C332" i="1"/>
  <c r="P331" i="1"/>
  <c r="L331" i="1"/>
  <c r="G331" i="1"/>
  <c r="E331" i="1"/>
  <c r="D331" i="1"/>
  <c r="C331" i="1"/>
  <c r="P330" i="1"/>
  <c r="G330" i="1"/>
  <c r="E330" i="1"/>
  <c r="D330" i="1"/>
  <c r="C330" i="1"/>
  <c r="P329" i="1"/>
  <c r="L329" i="1"/>
  <c r="G329" i="1"/>
  <c r="E329" i="1"/>
  <c r="D329" i="1"/>
  <c r="C329" i="1"/>
  <c r="P328" i="1"/>
  <c r="L328" i="1"/>
  <c r="G328" i="1"/>
  <c r="E328" i="1"/>
  <c r="D328" i="1"/>
  <c r="C328" i="1"/>
  <c r="P327" i="1"/>
  <c r="L327" i="1"/>
  <c r="G327" i="1"/>
  <c r="E327" i="1"/>
  <c r="D327" i="1"/>
  <c r="C327" i="1"/>
  <c r="P326" i="1"/>
  <c r="L326" i="1"/>
  <c r="G326" i="1"/>
  <c r="E326" i="1"/>
  <c r="D326" i="1"/>
  <c r="C326" i="1"/>
  <c r="P325" i="1"/>
  <c r="L325" i="1"/>
  <c r="G325" i="1"/>
  <c r="E325" i="1"/>
  <c r="D325" i="1"/>
  <c r="C325" i="1"/>
  <c r="P324" i="1"/>
  <c r="L324" i="1"/>
  <c r="G324" i="1"/>
  <c r="E324" i="1"/>
  <c r="D324" i="1"/>
  <c r="C324" i="1"/>
  <c r="P323" i="1"/>
  <c r="L323" i="1"/>
  <c r="G323" i="1"/>
  <c r="E323" i="1"/>
  <c r="D323" i="1"/>
  <c r="C323" i="1"/>
  <c r="P322" i="1"/>
  <c r="G322" i="1"/>
  <c r="E322" i="1"/>
  <c r="D322" i="1"/>
  <c r="C322" i="1"/>
  <c r="P321" i="1"/>
  <c r="G321" i="1"/>
  <c r="E321" i="1"/>
  <c r="D321" i="1"/>
  <c r="C321" i="1"/>
  <c r="P320" i="1"/>
  <c r="L320" i="1"/>
  <c r="G320" i="1"/>
  <c r="E320" i="1"/>
  <c r="D320" i="1"/>
  <c r="C320" i="1"/>
  <c r="P319" i="1"/>
  <c r="G319" i="1"/>
  <c r="E319" i="1"/>
  <c r="D319" i="1"/>
  <c r="C319" i="1"/>
  <c r="P318" i="1"/>
  <c r="L318" i="1"/>
  <c r="G318" i="1"/>
  <c r="E318" i="1"/>
  <c r="D318" i="1"/>
  <c r="C318" i="1"/>
  <c r="P317" i="1"/>
  <c r="L317" i="1"/>
  <c r="G317" i="1"/>
  <c r="E317" i="1"/>
  <c r="D317" i="1"/>
  <c r="C317" i="1"/>
  <c r="P316" i="1"/>
  <c r="L316" i="1"/>
  <c r="G316" i="1"/>
  <c r="E316" i="1"/>
  <c r="D316" i="1"/>
  <c r="C316" i="1"/>
  <c r="P315" i="1"/>
  <c r="L315" i="1"/>
  <c r="G315" i="1"/>
  <c r="E315" i="1"/>
  <c r="D315" i="1"/>
  <c r="C315" i="1"/>
  <c r="P314" i="1"/>
  <c r="G314" i="1"/>
  <c r="E314" i="1"/>
  <c r="D314" i="1"/>
  <c r="C314" i="1"/>
  <c r="P313" i="1"/>
  <c r="G313" i="1"/>
  <c r="E313" i="1"/>
  <c r="D313" i="1"/>
  <c r="C313" i="1"/>
  <c r="P312" i="1"/>
  <c r="L312" i="1"/>
  <c r="G312" i="1"/>
  <c r="E312" i="1"/>
  <c r="D312" i="1"/>
  <c r="C312" i="1"/>
  <c r="P311" i="1"/>
  <c r="G311" i="1"/>
  <c r="E311" i="1"/>
  <c r="D311" i="1"/>
  <c r="C311" i="1"/>
  <c r="P310" i="1"/>
  <c r="L310" i="1"/>
  <c r="G310" i="1"/>
  <c r="E310" i="1"/>
  <c r="D310" i="1"/>
  <c r="C310" i="1"/>
  <c r="P309" i="1"/>
  <c r="L309" i="1"/>
  <c r="G309" i="1"/>
  <c r="E309" i="1"/>
  <c r="D309" i="1"/>
  <c r="C309" i="1"/>
  <c r="P308" i="1"/>
  <c r="L308" i="1"/>
  <c r="G308" i="1"/>
  <c r="E308" i="1"/>
  <c r="D308" i="1"/>
  <c r="C308" i="1"/>
  <c r="P307" i="1"/>
  <c r="L307" i="1"/>
  <c r="G307" i="1"/>
  <c r="E307" i="1"/>
  <c r="D307" i="1"/>
  <c r="C307" i="1"/>
  <c r="P306" i="1"/>
  <c r="G306" i="1"/>
  <c r="E306" i="1"/>
  <c r="D306" i="1"/>
  <c r="C306" i="1"/>
  <c r="P305" i="1"/>
  <c r="L305" i="1"/>
  <c r="G305" i="1"/>
  <c r="E305" i="1"/>
  <c r="D305" i="1"/>
  <c r="C305" i="1"/>
  <c r="P304" i="1"/>
  <c r="L304" i="1"/>
  <c r="G304" i="1"/>
  <c r="E304" i="1"/>
  <c r="D304" i="1"/>
  <c r="C304" i="1"/>
  <c r="P303" i="1"/>
  <c r="L303" i="1"/>
  <c r="G303" i="1"/>
  <c r="E303" i="1"/>
  <c r="D303" i="1"/>
  <c r="C303" i="1"/>
  <c r="P302" i="1"/>
  <c r="L302" i="1"/>
  <c r="G302" i="1"/>
  <c r="E302" i="1"/>
  <c r="D302" i="1"/>
  <c r="C302" i="1"/>
  <c r="P301" i="1"/>
  <c r="L301" i="1"/>
  <c r="G301" i="1"/>
  <c r="E301" i="1"/>
  <c r="D301" i="1"/>
  <c r="C301" i="1"/>
  <c r="P300" i="1"/>
  <c r="L300" i="1"/>
  <c r="G300" i="1"/>
  <c r="E300" i="1"/>
  <c r="D300" i="1"/>
  <c r="C300" i="1"/>
  <c r="P299" i="1"/>
  <c r="L299" i="1"/>
  <c r="G299" i="1"/>
  <c r="E299" i="1"/>
  <c r="D299" i="1"/>
  <c r="C299" i="1"/>
  <c r="P298" i="1"/>
  <c r="G298" i="1"/>
  <c r="E298" i="1"/>
  <c r="D298" i="1"/>
  <c r="C298" i="1"/>
  <c r="P297" i="1"/>
  <c r="L297" i="1"/>
  <c r="G297" i="1"/>
  <c r="E297" i="1"/>
  <c r="D297" i="1"/>
  <c r="C297" i="1"/>
  <c r="P296" i="1"/>
  <c r="L296" i="1"/>
  <c r="G296" i="1"/>
  <c r="E296" i="1"/>
  <c r="D296" i="1"/>
  <c r="C296" i="1"/>
  <c r="P295" i="1"/>
  <c r="L295" i="1"/>
  <c r="G295" i="1"/>
  <c r="E295" i="1"/>
  <c r="D295" i="1"/>
  <c r="C295" i="1"/>
  <c r="P294" i="1"/>
  <c r="L294" i="1"/>
  <c r="G294" i="1"/>
  <c r="E294" i="1"/>
  <c r="D294" i="1"/>
  <c r="C294" i="1"/>
  <c r="P293" i="1"/>
  <c r="L293" i="1"/>
  <c r="G293" i="1"/>
  <c r="E293" i="1"/>
  <c r="D293" i="1"/>
  <c r="C293" i="1"/>
  <c r="P292" i="1"/>
  <c r="L292" i="1"/>
  <c r="G292" i="1"/>
  <c r="E292" i="1"/>
  <c r="D292" i="1"/>
  <c r="C292" i="1"/>
  <c r="P291" i="1"/>
  <c r="L291" i="1"/>
  <c r="G291" i="1"/>
  <c r="E291" i="1"/>
  <c r="D291" i="1"/>
  <c r="C291" i="1"/>
  <c r="P290" i="1"/>
  <c r="G290" i="1"/>
  <c r="E290" i="1"/>
  <c r="D290" i="1"/>
  <c r="C290" i="1"/>
  <c r="P289" i="1"/>
  <c r="G289" i="1"/>
  <c r="E289" i="1"/>
  <c r="D289" i="1"/>
  <c r="C289" i="1"/>
  <c r="P288" i="1"/>
  <c r="L288" i="1"/>
  <c r="G288" i="1"/>
  <c r="E288" i="1"/>
  <c r="D288" i="1"/>
  <c r="C288" i="1"/>
  <c r="P287" i="1"/>
  <c r="L287" i="1"/>
  <c r="G287" i="1"/>
  <c r="E287" i="1"/>
  <c r="D287" i="1"/>
  <c r="C287" i="1"/>
  <c r="P286" i="1"/>
  <c r="L286" i="1"/>
  <c r="G286" i="1"/>
  <c r="E286" i="1"/>
  <c r="D286" i="1"/>
  <c r="C286" i="1"/>
  <c r="P285" i="1"/>
  <c r="L285" i="1"/>
  <c r="G285" i="1"/>
  <c r="E285" i="1"/>
  <c r="D285" i="1"/>
  <c r="C285" i="1"/>
  <c r="P284" i="1"/>
  <c r="L284" i="1"/>
  <c r="G284" i="1"/>
  <c r="E284" i="1"/>
  <c r="D284" i="1"/>
  <c r="C284" i="1"/>
  <c r="P283" i="1"/>
  <c r="L283" i="1"/>
  <c r="G283" i="1"/>
  <c r="E283" i="1"/>
  <c r="D283" i="1"/>
  <c r="C283" i="1"/>
  <c r="P282" i="1"/>
  <c r="G282" i="1"/>
  <c r="E282" i="1"/>
  <c r="D282" i="1"/>
  <c r="C282" i="1"/>
  <c r="P281" i="1"/>
  <c r="G281" i="1"/>
  <c r="E281" i="1"/>
  <c r="D281" i="1"/>
  <c r="C281" i="1"/>
  <c r="P280" i="1"/>
  <c r="L280" i="1"/>
  <c r="G280" i="1"/>
  <c r="E280" i="1"/>
  <c r="D280" i="1"/>
  <c r="C280" i="1"/>
  <c r="P279" i="1"/>
  <c r="G279" i="1"/>
  <c r="E279" i="1"/>
  <c r="D279" i="1"/>
  <c r="C279" i="1"/>
  <c r="P278" i="1"/>
  <c r="L278" i="1"/>
  <c r="G278" i="1"/>
  <c r="E278" i="1"/>
  <c r="D278" i="1"/>
  <c r="C278" i="1"/>
  <c r="P277" i="1"/>
  <c r="L277" i="1"/>
  <c r="G277" i="1"/>
  <c r="E277" i="1"/>
  <c r="D277" i="1"/>
  <c r="C277" i="1"/>
  <c r="P276" i="1"/>
  <c r="L276" i="1"/>
  <c r="G276" i="1"/>
  <c r="E276" i="1"/>
  <c r="D276" i="1"/>
  <c r="C276" i="1"/>
  <c r="P275" i="1"/>
  <c r="L275" i="1"/>
  <c r="G275" i="1"/>
  <c r="E275" i="1"/>
  <c r="D275" i="1"/>
  <c r="C275" i="1"/>
  <c r="P274" i="1"/>
  <c r="G274" i="1"/>
  <c r="E274" i="1"/>
  <c r="D274" i="1"/>
  <c r="C274" i="1"/>
  <c r="P273" i="1"/>
  <c r="L273" i="1"/>
  <c r="G273" i="1"/>
  <c r="E273" i="1"/>
  <c r="D273" i="1"/>
  <c r="C273" i="1"/>
  <c r="P272" i="1"/>
  <c r="L272" i="1"/>
  <c r="G272" i="1"/>
  <c r="E272" i="1"/>
  <c r="D272" i="1"/>
  <c r="C272" i="1"/>
  <c r="P271" i="1"/>
  <c r="G271" i="1"/>
  <c r="E271" i="1"/>
  <c r="D271" i="1"/>
  <c r="C271" i="1"/>
  <c r="P270" i="1"/>
  <c r="L270" i="1"/>
  <c r="G270" i="1"/>
  <c r="E270" i="1"/>
  <c r="D270" i="1"/>
  <c r="C270" i="1"/>
  <c r="P269" i="1"/>
  <c r="L269" i="1"/>
  <c r="G269" i="1"/>
  <c r="E269" i="1"/>
  <c r="D269" i="1"/>
  <c r="C269" i="1"/>
  <c r="P268" i="1"/>
  <c r="L268" i="1"/>
  <c r="G268" i="1"/>
  <c r="E268" i="1"/>
  <c r="D268" i="1"/>
  <c r="C268" i="1"/>
  <c r="P267" i="1"/>
  <c r="L267" i="1"/>
  <c r="G267" i="1"/>
  <c r="E267" i="1"/>
  <c r="D267" i="1"/>
  <c r="C267" i="1"/>
  <c r="P266" i="1"/>
  <c r="G266" i="1"/>
  <c r="E266" i="1"/>
  <c r="D266" i="1"/>
  <c r="C266" i="1"/>
  <c r="P265" i="1"/>
  <c r="G265" i="1"/>
  <c r="E265" i="1"/>
  <c r="D265" i="1"/>
  <c r="C265" i="1"/>
  <c r="P264" i="1"/>
  <c r="L264" i="1"/>
  <c r="G264" i="1"/>
  <c r="E264" i="1"/>
  <c r="D264" i="1"/>
  <c r="C264" i="1"/>
  <c r="P263" i="1"/>
  <c r="L263" i="1"/>
  <c r="G263" i="1"/>
  <c r="E263" i="1"/>
  <c r="D263" i="1"/>
  <c r="C263" i="1"/>
  <c r="P262" i="1"/>
  <c r="L262" i="1"/>
  <c r="G262" i="1"/>
  <c r="E262" i="1"/>
  <c r="D262" i="1"/>
  <c r="C262" i="1"/>
  <c r="P261" i="1"/>
  <c r="L261" i="1"/>
  <c r="G261" i="1"/>
  <c r="E261" i="1"/>
  <c r="D261" i="1"/>
  <c r="C261" i="1"/>
  <c r="P260" i="1"/>
  <c r="L260" i="1"/>
  <c r="G260" i="1"/>
  <c r="E260" i="1"/>
  <c r="D260" i="1"/>
  <c r="C260" i="1"/>
  <c r="P259" i="1"/>
  <c r="L259" i="1"/>
  <c r="G259" i="1"/>
  <c r="E259" i="1"/>
  <c r="D259" i="1"/>
  <c r="C259" i="1"/>
  <c r="P258" i="1"/>
  <c r="G258" i="1"/>
  <c r="E258" i="1"/>
  <c r="D258" i="1"/>
  <c r="C258" i="1"/>
  <c r="P257" i="1"/>
  <c r="G257" i="1"/>
  <c r="E257" i="1"/>
  <c r="D257" i="1"/>
  <c r="C257" i="1"/>
  <c r="P256" i="1"/>
  <c r="L256" i="1"/>
  <c r="G256" i="1"/>
  <c r="E256" i="1"/>
  <c r="D256" i="1"/>
  <c r="C256" i="1"/>
  <c r="P255" i="1"/>
  <c r="L255" i="1"/>
  <c r="G255" i="1"/>
  <c r="E255" i="1"/>
  <c r="D255" i="1"/>
  <c r="C255" i="1"/>
  <c r="P254" i="1"/>
  <c r="L254" i="1"/>
  <c r="G254" i="1"/>
  <c r="E254" i="1"/>
  <c r="D254" i="1"/>
  <c r="C254" i="1"/>
  <c r="P253" i="1"/>
  <c r="L253" i="1"/>
  <c r="G253" i="1"/>
  <c r="E253" i="1"/>
  <c r="D253" i="1"/>
  <c r="C253" i="1"/>
  <c r="P252" i="1"/>
  <c r="L252" i="1"/>
  <c r="G252" i="1"/>
  <c r="E252" i="1"/>
  <c r="D252" i="1"/>
  <c r="C252" i="1"/>
  <c r="P251" i="1"/>
  <c r="L251" i="1"/>
  <c r="G251" i="1"/>
  <c r="E251" i="1"/>
  <c r="D251" i="1"/>
  <c r="C251" i="1"/>
  <c r="P250" i="1"/>
  <c r="G250" i="1"/>
  <c r="E250" i="1"/>
  <c r="D250" i="1"/>
  <c r="C250" i="1"/>
  <c r="P249" i="1"/>
  <c r="L249" i="1"/>
  <c r="G249" i="1"/>
  <c r="E249" i="1"/>
  <c r="D249" i="1"/>
  <c r="C249" i="1"/>
  <c r="P248" i="1"/>
  <c r="L248" i="1"/>
  <c r="G248" i="1"/>
  <c r="E248" i="1"/>
  <c r="D248" i="1"/>
  <c r="C248" i="1"/>
  <c r="P247" i="1"/>
  <c r="L247" i="1"/>
  <c r="G247" i="1"/>
  <c r="E247" i="1"/>
  <c r="D247" i="1"/>
  <c r="C247" i="1"/>
  <c r="P246" i="1"/>
  <c r="L246" i="1"/>
  <c r="G246" i="1"/>
  <c r="E246" i="1"/>
  <c r="D246" i="1"/>
  <c r="C246" i="1"/>
  <c r="P245" i="1"/>
  <c r="L245" i="1"/>
  <c r="G245" i="1"/>
  <c r="E245" i="1"/>
  <c r="D245" i="1"/>
  <c r="C245" i="1"/>
  <c r="P244" i="1"/>
  <c r="L244" i="1"/>
  <c r="G244" i="1"/>
  <c r="E244" i="1"/>
  <c r="D244" i="1"/>
  <c r="C244" i="1"/>
  <c r="P243" i="1"/>
  <c r="L243" i="1"/>
  <c r="G243" i="1"/>
  <c r="E243" i="1"/>
  <c r="D243" i="1"/>
  <c r="C243" i="1"/>
  <c r="P242" i="1"/>
  <c r="G242" i="1"/>
  <c r="E242" i="1"/>
  <c r="D242" i="1"/>
  <c r="C242" i="1"/>
  <c r="P241" i="1"/>
  <c r="L241" i="1"/>
  <c r="G241" i="1"/>
  <c r="E241" i="1"/>
  <c r="D241" i="1"/>
  <c r="C241" i="1"/>
  <c r="P240" i="1"/>
  <c r="L240" i="1"/>
  <c r="G240" i="1"/>
  <c r="E240" i="1"/>
  <c r="D240" i="1"/>
  <c r="C240" i="1"/>
  <c r="P239" i="1"/>
  <c r="G239" i="1"/>
  <c r="E239" i="1"/>
  <c r="D239" i="1"/>
  <c r="C239" i="1"/>
  <c r="P238" i="1"/>
  <c r="L238" i="1"/>
  <c r="G238" i="1"/>
  <c r="E238" i="1"/>
  <c r="D238" i="1"/>
  <c r="C238" i="1"/>
  <c r="P237" i="1"/>
  <c r="L237" i="1"/>
  <c r="G237" i="1"/>
  <c r="E237" i="1"/>
  <c r="D237" i="1"/>
  <c r="C237" i="1"/>
  <c r="P236" i="1"/>
  <c r="L236" i="1"/>
  <c r="G236" i="1"/>
  <c r="E236" i="1"/>
  <c r="D236" i="1"/>
  <c r="C236" i="1"/>
  <c r="P235" i="1"/>
  <c r="L235" i="1"/>
  <c r="G235" i="1"/>
  <c r="E235" i="1"/>
  <c r="D235" i="1"/>
  <c r="C235" i="1"/>
  <c r="P234" i="1"/>
  <c r="G234" i="1"/>
  <c r="E234" i="1"/>
  <c r="D234" i="1"/>
  <c r="C234" i="1"/>
  <c r="P233" i="1"/>
  <c r="L233" i="1"/>
  <c r="G233" i="1"/>
  <c r="E233" i="1"/>
  <c r="D233" i="1"/>
  <c r="C233" i="1"/>
  <c r="P232" i="1"/>
  <c r="L232" i="1"/>
  <c r="G232" i="1"/>
  <c r="E232" i="1"/>
  <c r="D232" i="1"/>
  <c r="C232" i="1"/>
  <c r="P231" i="1"/>
  <c r="G231" i="1"/>
  <c r="E231" i="1"/>
  <c r="D231" i="1"/>
  <c r="C231" i="1"/>
  <c r="P230" i="1"/>
  <c r="L230" i="1"/>
  <c r="G230" i="1"/>
  <c r="E230" i="1"/>
  <c r="D230" i="1"/>
  <c r="C230" i="1"/>
  <c r="P229" i="1"/>
  <c r="L229" i="1"/>
  <c r="G229" i="1"/>
  <c r="E229" i="1"/>
  <c r="D229" i="1"/>
  <c r="C229" i="1"/>
  <c r="P228" i="1"/>
  <c r="L228" i="1"/>
  <c r="G228" i="1"/>
  <c r="E228" i="1"/>
  <c r="D228" i="1"/>
  <c r="C228" i="1"/>
  <c r="L227" i="1"/>
  <c r="G227" i="1"/>
  <c r="E227" i="1"/>
  <c r="D227" i="1"/>
  <c r="C227" i="1"/>
  <c r="P226" i="1"/>
  <c r="L226" i="1"/>
  <c r="G226" i="1"/>
  <c r="E226" i="1"/>
  <c r="D226" i="1"/>
  <c r="C226" i="1"/>
  <c r="P225" i="1"/>
  <c r="L225" i="1"/>
  <c r="G225" i="1"/>
  <c r="E225" i="1"/>
  <c r="D225" i="1"/>
  <c r="C225" i="1"/>
  <c r="P224" i="1"/>
  <c r="L224" i="1"/>
  <c r="G224" i="1"/>
  <c r="E224" i="1"/>
  <c r="D224" i="1"/>
  <c r="C224" i="1"/>
  <c r="P223" i="1"/>
  <c r="G223" i="1"/>
  <c r="E223" i="1"/>
  <c r="D223" i="1"/>
  <c r="C223" i="1"/>
  <c r="P222" i="1"/>
  <c r="L222" i="1"/>
  <c r="G222" i="1"/>
  <c r="E222" i="1"/>
  <c r="D222" i="1"/>
  <c r="C222" i="1"/>
  <c r="P221" i="1"/>
  <c r="L221" i="1"/>
  <c r="G221" i="1"/>
  <c r="E221" i="1"/>
  <c r="D221" i="1"/>
  <c r="C221" i="1"/>
  <c r="P220" i="1"/>
  <c r="L220" i="1"/>
  <c r="G220" i="1"/>
  <c r="E220" i="1"/>
  <c r="D220" i="1"/>
  <c r="C220" i="1"/>
  <c r="P219" i="1"/>
  <c r="L219" i="1"/>
  <c r="G219" i="1"/>
  <c r="E219" i="1"/>
  <c r="D219" i="1"/>
  <c r="C219" i="1"/>
  <c r="P218" i="1"/>
  <c r="L218" i="1"/>
  <c r="G218" i="1"/>
  <c r="E218" i="1"/>
  <c r="D218" i="1"/>
  <c r="C218" i="1"/>
  <c r="P217" i="1"/>
  <c r="L217" i="1"/>
  <c r="G217" i="1"/>
  <c r="E217" i="1"/>
  <c r="D217" i="1"/>
  <c r="C217" i="1"/>
  <c r="P216" i="1"/>
  <c r="L216" i="1"/>
  <c r="G216" i="1"/>
  <c r="E216" i="1"/>
  <c r="D216" i="1"/>
  <c r="C216" i="1"/>
  <c r="P215" i="1"/>
  <c r="G215" i="1"/>
  <c r="E215" i="1"/>
  <c r="D215" i="1"/>
  <c r="C215" i="1"/>
  <c r="P214" i="1"/>
  <c r="L214" i="1"/>
  <c r="G214" i="1"/>
  <c r="E214" i="1"/>
  <c r="D214" i="1"/>
  <c r="C214" i="1"/>
  <c r="P213" i="1"/>
  <c r="L213" i="1"/>
  <c r="G213" i="1"/>
  <c r="E213" i="1"/>
  <c r="D213" i="1"/>
  <c r="C213" i="1"/>
  <c r="P212" i="1"/>
  <c r="L212" i="1"/>
  <c r="G212" i="1"/>
  <c r="E212" i="1"/>
  <c r="D212" i="1"/>
  <c r="C212" i="1"/>
  <c r="P211" i="1"/>
  <c r="L211" i="1"/>
  <c r="G211" i="1"/>
  <c r="E211" i="1"/>
  <c r="D211" i="1"/>
  <c r="C211" i="1"/>
  <c r="P210" i="1"/>
  <c r="L210" i="1"/>
  <c r="G210" i="1"/>
  <c r="E210" i="1"/>
  <c r="D210" i="1"/>
  <c r="C210" i="1"/>
  <c r="P209" i="1"/>
  <c r="L209" i="1"/>
  <c r="G209" i="1"/>
  <c r="E209" i="1"/>
  <c r="D209" i="1"/>
  <c r="C209" i="1"/>
  <c r="P208" i="1"/>
  <c r="L208" i="1"/>
  <c r="G208" i="1"/>
  <c r="E208" i="1"/>
  <c r="D208" i="1"/>
  <c r="C208" i="1"/>
  <c r="P207" i="1"/>
  <c r="G207" i="1"/>
  <c r="E207" i="1"/>
  <c r="D207" i="1"/>
  <c r="C207" i="1"/>
  <c r="P206" i="1"/>
  <c r="L206" i="1"/>
  <c r="G206" i="1"/>
  <c r="E206" i="1"/>
  <c r="D206" i="1"/>
  <c r="C206" i="1"/>
  <c r="P205" i="1"/>
  <c r="L205" i="1"/>
  <c r="G205" i="1"/>
  <c r="E205" i="1"/>
  <c r="D205" i="1"/>
  <c r="C205" i="1"/>
  <c r="P204" i="1"/>
  <c r="L204" i="1"/>
  <c r="G204" i="1"/>
  <c r="E204" i="1"/>
  <c r="D204" i="1"/>
  <c r="C204" i="1"/>
  <c r="P203" i="1"/>
  <c r="L203" i="1"/>
  <c r="G203" i="1"/>
  <c r="E203" i="1"/>
  <c r="D203" i="1"/>
  <c r="C203" i="1"/>
  <c r="P202" i="1"/>
  <c r="L202" i="1"/>
  <c r="G202" i="1"/>
  <c r="E202" i="1"/>
  <c r="D202" i="1"/>
  <c r="C202" i="1"/>
  <c r="P201" i="1"/>
  <c r="L201" i="1"/>
  <c r="G201" i="1"/>
  <c r="E201" i="1"/>
  <c r="D201" i="1"/>
  <c r="C201" i="1"/>
  <c r="P200" i="1"/>
  <c r="L200" i="1"/>
  <c r="G200" i="1"/>
  <c r="E200" i="1"/>
  <c r="D200" i="1"/>
  <c r="C200" i="1"/>
  <c r="P199" i="1"/>
  <c r="G199" i="1"/>
  <c r="E199" i="1"/>
  <c r="D199" i="1"/>
  <c r="C199" i="1"/>
  <c r="P198" i="1"/>
  <c r="L198" i="1"/>
  <c r="G198" i="1"/>
  <c r="E198" i="1"/>
  <c r="D198" i="1"/>
  <c r="C198" i="1"/>
  <c r="P197" i="1"/>
  <c r="L197" i="1"/>
  <c r="G197" i="1"/>
  <c r="E197" i="1"/>
  <c r="D197" i="1"/>
  <c r="C197" i="1"/>
  <c r="P196" i="1"/>
  <c r="L196" i="1"/>
  <c r="G196" i="1"/>
  <c r="E196" i="1"/>
  <c r="D196" i="1"/>
  <c r="C196" i="1"/>
  <c r="P195" i="1"/>
  <c r="L195" i="1"/>
  <c r="G195" i="1"/>
  <c r="E195" i="1"/>
  <c r="D195" i="1"/>
  <c r="C195" i="1"/>
  <c r="P194" i="1"/>
  <c r="L194" i="1"/>
  <c r="G194" i="1"/>
  <c r="E194" i="1"/>
  <c r="D194" i="1"/>
  <c r="C194" i="1"/>
  <c r="P193" i="1"/>
  <c r="L193" i="1"/>
  <c r="G193" i="1"/>
  <c r="E193" i="1"/>
  <c r="D193" i="1"/>
  <c r="C193" i="1"/>
  <c r="P192" i="1"/>
  <c r="L192" i="1"/>
  <c r="G192" i="1"/>
  <c r="E192" i="1"/>
  <c r="D192" i="1"/>
  <c r="C192" i="1"/>
  <c r="P191" i="1"/>
  <c r="G191" i="1"/>
  <c r="E191" i="1"/>
  <c r="D191" i="1"/>
  <c r="C191" i="1"/>
  <c r="P190" i="1"/>
  <c r="L190" i="1"/>
  <c r="G190" i="1"/>
  <c r="E190" i="1"/>
  <c r="D190" i="1"/>
  <c r="C190" i="1"/>
  <c r="P189" i="1"/>
  <c r="L189" i="1"/>
  <c r="G189" i="1"/>
  <c r="E189" i="1"/>
  <c r="D189" i="1"/>
  <c r="C189" i="1"/>
  <c r="P188" i="1"/>
  <c r="L188" i="1"/>
  <c r="G188" i="1"/>
  <c r="E188" i="1"/>
  <c r="D188" i="1"/>
  <c r="C188" i="1"/>
  <c r="P187" i="1"/>
  <c r="L187" i="1"/>
  <c r="G187" i="1"/>
  <c r="E187" i="1"/>
  <c r="D187" i="1"/>
  <c r="C187" i="1"/>
  <c r="P186" i="1"/>
  <c r="L186" i="1"/>
  <c r="G186" i="1"/>
  <c r="E186" i="1"/>
  <c r="D186" i="1"/>
  <c r="C186" i="1"/>
  <c r="P185" i="1"/>
  <c r="L185" i="1"/>
  <c r="G185" i="1"/>
  <c r="E185" i="1"/>
  <c r="D185" i="1"/>
  <c r="C185" i="1"/>
  <c r="P184" i="1"/>
  <c r="L184" i="1"/>
  <c r="G184" i="1"/>
  <c r="E184" i="1"/>
  <c r="D184" i="1"/>
  <c r="C184" i="1"/>
  <c r="P183" i="1"/>
  <c r="G183" i="1"/>
  <c r="E183" i="1"/>
  <c r="D183" i="1"/>
  <c r="C183" i="1"/>
  <c r="P182" i="1"/>
  <c r="L182" i="1"/>
  <c r="G182" i="1"/>
  <c r="E182" i="1"/>
  <c r="D182" i="1"/>
  <c r="C182" i="1"/>
  <c r="P181" i="1"/>
  <c r="L181" i="1"/>
  <c r="G181" i="1"/>
  <c r="E181" i="1"/>
  <c r="D181" i="1"/>
  <c r="C181" i="1"/>
  <c r="P180" i="1"/>
  <c r="L180" i="1"/>
  <c r="G180" i="1"/>
  <c r="E180" i="1"/>
  <c r="D180" i="1"/>
  <c r="C180" i="1"/>
  <c r="P179" i="1"/>
  <c r="L179" i="1"/>
  <c r="G179" i="1"/>
  <c r="E179" i="1"/>
  <c r="D179" i="1"/>
  <c r="C179" i="1"/>
  <c r="P178" i="1"/>
  <c r="L178" i="1"/>
  <c r="G178" i="1"/>
  <c r="E178" i="1"/>
  <c r="D178" i="1"/>
  <c r="C178" i="1"/>
  <c r="P177" i="1"/>
  <c r="L177" i="1"/>
  <c r="G177" i="1"/>
  <c r="E177" i="1"/>
  <c r="D177" i="1"/>
  <c r="C177" i="1"/>
  <c r="P176" i="1"/>
  <c r="L176" i="1"/>
  <c r="G176" i="1"/>
  <c r="E176" i="1"/>
  <c r="D176" i="1"/>
  <c r="C176" i="1"/>
  <c r="P175" i="1"/>
  <c r="G175" i="1"/>
  <c r="E175" i="1"/>
  <c r="D175" i="1"/>
  <c r="C175" i="1"/>
  <c r="P174" i="1"/>
  <c r="L174" i="1"/>
  <c r="G174" i="1"/>
  <c r="E174" i="1"/>
  <c r="D174" i="1"/>
  <c r="C174" i="1"/>
  <c r="P173" i="1"/>
  <c r="L173" i="1"/>
  <c r="G173" i="1"/>
  <c r="E173" i="1"/>
  <c r="D173" i="1"/>
  <c r="C173" i="1"/>
  <c r="P172" i="1"/>
  <c r="L172" i="1"/>
  <c r="G172" i="1"/>
  <c r="E172" i="1"/>
  <c r="D172" i="1"/>
  <c r="C172" i="1"/>
  <c r="P171" i="1"/>
  <c r="L171" i="1"/>
  <c r="G171" i="1"/>
  <c r="E171" i="1"/>
  <c r="D171" i="1"/>
  <c r="C171" i="1"/>
  <c r="P170" i="1"/>
  <c r="L170" i="1"/>
  <c r="G170" i="1"/>
  <c r="E170" i="1"/>
  <c r="D170" i="1"/>
  <c r="C170" i="1"/>
  <c r="P169" i="1"/>
  <c r="L169" i="1"/>
  <c r="G169" i="1"/>
  <c r="E169" i="1"/>
  <c r="D169" i="1"/>
  <c r="C169" i="1"/>
  <c r="P168" i="1"/>
  <c r="L168" i="1"/>
  <c r="G168" i="1"/>
  <c r="E168" i="1"/>
  <c r="D168" i="1"/>
  <c r="C168" i="1"/>
  <c r="P167" i="1"/>
  <c r="G167" i="1"/>
  <c r="E167" i="1"/>
  <c r="D167" i="1"/>
  <c r="C167" i="1"/>
  <c r="P166" i="1"/>
  <c r="L166" i="1"/>
  <c r="G166" i="1"/>
  <c r="E166" i="1"/>
  <c r="D166" i="1"/>
  <c r="C166" i="1"/>
  <c r="P165" i="1"/>
  <c r="L165" i="1"/>
  <c r="G165" i="1"/>
  <c r="E165" i="1"/>
  <c r="D165" i="1"/>
  <c r="C165" i="1"/>
  <c r="P164" i="1"/>
  <c r="L164" i="1"/>
  <c r="G164" i="1"/>
  <c r="E164" i="1"/>
  <c r="D164" i="1"/>
  <c r="C164" i="1"/>
  <c r="P163" i="1"/>
  <c r="L163" i="1"/>
  <c r="G163" i="1"/>
  <c r="E163" i="1"/>
  <c r="D163" i="1"/>
  <c r="C163" i="1"/>
  <c r="P162" i="1"/>
  <c r="L162" i="1"/>
  <c r="G162" i="1"/>
  <c r="E162" i="1"/>
  <c r="D162" i="1"/>
  <c r="C162" i="1"/>
  <c r="P161" i="1"/>
  <c r="L161" i="1"/>
  <c r="G161" i="1"/>
  <c r="E161" i="1"/>
  <c r="D161" i="1"/>
  <c r="C161" i="1"/>
  <c r="P160" i="1"/>
  <c r="L160" i="1"/>
  <c r="G160" i="1"/>
  <c r="E160" i="1"/>
  <c r="D160" i="1"/>
  <c r="C160" i="1"/>
  <c r="P159" i="1"/>
  <c r="G159" i="1"/>
  <c r="E159" i="1"/>
  <c r="D159" i="1"/>
  <c r="C159" i="1"/>
  <c r="P158" i="1"/>
  <c r="L158" i="1"/>
  <c r="G158" i="1"/>
  <c r="E158" i="1"/>
  <c r="D158" i="1"/>
  <c r="C158" i="1"/>
  <c r="P157" i="1"/>
  <c r="L157" i="1"/>
  <c r="G157" i="1"/>
  <c r="E157" i="1"/>
  <c r="D157" i="1"/>
  <c r="C157" i="1"/>
  <c r="P156" i="1"/>
  <c r="L156" i="1"/>
  <c r="G156" i="1"/>
  <c r="E156" i="1"/>
  <c r="D156" i="1"/>
  <c r="C156" i="1"/>
  <c r="P155" i="1"/>
  <c r="L155" i="1"/>
  <c r="G155" i="1"/>
  <c r="E155" i="1"/>
  <c r="D155" i="1"/>
  <c r="C155" i="1"/>
  <c r="P154" i="1"/>
  <c r="L154" i="1"/>
  <c r="G154" i="1"/>
  <c r="E154" i="1"/>
  <c r="D154" i="1"/>
  <c r="C154" i="1"/>
  <c r="P153" i="1"/>
  <c r="L153" i="1"/>
  <c r="G153" i="1"/>
  <c r="E153" i="1"/>
  <c r="D153" i="1"/>
  <c r="C153" i="1"/>
  <c r="P152" i="1"/>
  <c r="L152" i="1"/>
  <c r="G152" i="1"/>
  <c r="E152" i="1"/>
  <c r="D152" i="1"/>
  <c r="C152" i="1"/>
  <c r="P151" i="1"/>
  <c r="G151" i="1"/>
  <c r="E151" i="1"/>
  <c r="D151" i="1"/>
  <c r="C151" i="1"/>
  <c r="P150" i="1"/>
  <c r="L150" i="1"/>
  <c r="G150" i="1"/>
  <c r="E150" i="1"/>
  <c r="D150" i="1"/>
  <c r="C150" i="1"/>
  <c r="P149" i="1"/>
  <c r="L149" i="1"/>
  <c r="G149" i="1"/>
  <c r="E149" i="1"/>
  <c r="D149" i="1"/>
  <c r="C149" i="1"/>
  <c r="P148" i="1"/>
  <c r="L148" i="1"/>
  <c r="G148" i="1"/>
  <c r="E148" i="1"/>
  <c r="D148" i="1"/>
  <c r="C148" i="1"/>
  <c r="P147" i="1"/>
  <c r="L147" i="1"/>
  <c r="G147" i="1"/>
  <c r="E147" i="1"/>
  <c r="D147" i="1"/>
  <c r="C147" i="1"/>
  <c r="P146" i="1"/>
  <c r="L146" i="1"/>
  <c r="G146" i="1"/>
  <c r="E146" i="1"/>
  <c r="D146" i="1"/>
  <c r="C146" i="1"/>
  <c r="P145" i="1"/>
  <c r="L145" i="1"/>
  <c r="G145" i="1"/>
  <c r="E145" i="1"/>
  <c r="D145" i="1"/>
  <c r="C145" i="1"/>
  <c r="P144" i="1"/>
  <c r="L144" i="1"/>
  <c r="G144" i="1"/>
  <c r="E144" i="1"/>
  <c r="D144" i="1"/>
  <c r="C144" i="1"/>
  <c r="P143" i="1"/>
  <c r="G143" i="1"/>
  <c r="E143" i="1"/>
  <c r="D143" i="1"/>
  <c r="C143" i="1"/>
  <c r="P142" i="1"/>
  <c r="L142" i="1"/>
  <c r="G142" i="1"/>
  <c r="E142" i="1"/>
  <c r="D142" i="1"/>
  <c r="C142" i="1"/>
  <c r="P141" i="1"/>
  <c r="L141" i="1"/>
  <c r="G141" i="1"/>
  <c r="E141" i="1"/>
  <c r="D141" i="1"/>
  <c r="C141" i="1"/>
  <c r="P140" i="1"/>
  <c r="L140" i="1"/>
  <c r="G140" i="1"/>
  <c r="E140" i="1"/>
  <c r="D140" i="1"/>
  <c r="C140" i="1"/>
  <c r="P139" i="1"/>
  <c r="L139" i="1"/>
  <c r="G139" i="1"/>
  <c r="E139" i="1"/>
  <c r="D139" i="1"/>
  <c r="C139" i="1"/>
  <c r="P138" i="1"/>
  <c r="L138" i="1"/>
  <c r="G138" i="1"/>
  <c r="E138" i="1"/>
  <c r="D138" i="1"/>
  <c r="C138" i="1"/>
  <c r="P137" i="1"/>
  <c r="L137" i="1"/>
  <c r="G137" i="1"/>
  <c r="E137" i="1"/>
  <c r="D137" i="1"/>
  <c r="C137" i="1"/>
  <c r="P136" i="1"/>
  <c r="L136" i="1"/>
  <c r="G136" i="1"/>
  <c r="E136" i="1"/>
  <c r="D136" i="1"/>
  <c r="C136" i="1"/>
  <c r="P135" i="1"/>
  <c r="G135" i="1"/>
  <c r="E135" i="1"/>
  <c r="D135" i="1"/>
  <c r="C135" i="1"/>
  <c r="P134" i="1"/>
  <c r="L134" i="1"/>
  <c r="G134" i="1"/>
  <c r="E134" i="1"/>
  <c r="D134" i="1"/>
  <c r="C134" i="1"/>
  <c r="P133" i="1"/>
  <c r="L133" i="1"/>
  <c r="G133" i="1"/>
  <c r="E133" i="1"/>
  <c r="D133" i="1"/>
  <c r="C133" i="1"/>
  <c r="P132" i="1"/>
  <c r="L132" i="1"/>
  <c r="G132" i="1"/>
  <c r="E132" i="1"/>
  <c r="D132" i="1"/>
  <c r="C132" i="1"/>
  <c r="P131" i="1"/>
  <c r="L131" i="1"/>
  <c r="G131" i="1"/>
  <c r="E131" i="1"/>
  <c r="D131" i="1"/>
  <c r="C131" i="1"/>
  <c r="P130" i="1"/>
  <c r="L130" i="1"/>
  <c r="G130" i="1"/>
  <c r="E130" i="1"/>
  <c r="D130" i="1"/>
  <c r="C130" i="1"/>
  <c r="P129" i="1"/>
  <c r="L129" i="1"/>
  <c r="G129" i="1"/>
  <c r="E129" i="1"/>
  <c r="D129" i="1"/>
  <c r="C129" i="1"/>
  <c r="P128" i="1"/>
  <c r="L128" i="1"/>
  <c r="G128" i="1"/>
  <c r="E128" i="1"/>
  <c r="D128" i="1"/>
  <c r="C128" i="1"/>
  <c r="P127" i="1"/>
  <c r="G127" i="1"/>
  <c r="E127" i="1"/>
  <c r="D127" i="1"/>
  <c r="C127" i="1"/>
  <c r="P126" i="1"/>
  <c r="L126" i="1"/>
  <c r="G126" i="1"/>
  <c r="E126" i="1"/>
  <c r="D126" i="1"/>
  <c r="C126" i="1"/>
  <c r="P125" i="1"/>
  <c r="L125" i="1"/>
  <c r="G125" i="1"/>
  <c r="E125" i="1"/>
  <c r="D125" i="1"/>
  <c r="C125" i="1"/>
  <c r="P124" i="1"/>
  <c r="L124" i="1"/>
  <c r="G124" i="1"/>
  <c r="E124" i="1"/>
  <c r="D124" i="1"/>
  <c r="C124" i="1"/>
  <c r="P123" i="1"/>
  <c r="L123" i="1"/>
  <c r="G123" i="1"/>
  <c r="E123" i="1"/>
  <c r="D123" i="1"/>
  <c r="C123" i="1"/>
  <c r="P122" i="1"/>
  <c r="L122" i="1"/>
  <c r="G122" i="1"/>
  <c r="E122" i="1"/>
  <c r="D122" i="1"/>
  <c r="C122" i="1"/>
  <c r="P121" i="1"/>
  <c r="L121" i="1"/>
  <c r="G121" i="1"/>
  <c r="E121" i="1"/>
  <c r="D121" i="1"/>
  <c r="C121" i="1"/>
  <c r="P120" i="1"/>
  <c r="L120" i="1"/>
  <c r="G120" i="1"/>
  <c r="E120" i="1"/>
  <c r="D120" i="1"/>
  <c r="C120" i="1"/>
  <c r="P119" i="1"/>
  <c r="G119" i="1"/>
  <c r="E119" i="1"/>
  <c r="D119" i="1"/>
  <c r="C119" i="1"/>
  <c r="P118" i="1"/>
  <c r="L118" i="1"/>
  <c r="G118" i="1"/>
  <c r="E118" i="1"/>
  <c r="D118" i="1"/>
  <c r="C118" i="1"/>
  <c r="P117" i="1"/>
  <c r="L117" i="1"/>
  <c r="G117" i="1"/>
  <c r="E117" i="1"/>
  <c r="D117" i="1"/>
  <c r="C117" i="1"/>
  <c r="P116" i="1"/>
  <c r="L116" i="1"/>
  <c r="G116" i="1"/>
  <c r="E116" i="1"/>
  <c r="D116" i="1"/>
  <c r="C116" i="1"/>
  <c r="P115" i="1"/>
  <c r="L115" i="1"/>
  <c r="G115" i="1"/>
  <c r="E115" i="1"/>
  <c r="D115" i="1"/>
  <c r="C115" i="1"/>
  <c r="P114" i="1"/>
  <c r="L114" i="1"/>
  <c r="G114" i="1"/>
  <c r="E114" i="1"/>
  <c r="D114" i="1"/>
  <c r="C114" i="1"/>
  <c r="P113" i="1"/>
  <c r="L113" i="1"/>
  <c r="G113" i="1"/>
  <c r="E113" i="1"/>
  <c r="D113" i="1"/>
  <c r="C113" i="1"/>
  <c r="P112" i="1"/>
  <c r="L112" i="1"/>
  <c r="G112" i="1"/>
  <c r="E112" i="1"/>
  <c r="D112" i="1"/>
  <c r="C112" i="1"/>
  <c r="P111" i="1"/>
  <c r="G111" i="1"/>
  <c r="E111" i="1"/>
  <c r="D111" i="1"/>
  <c r="C111" i="1"/>
  <c r="P110" i="1"/>
  <c r="L110" i="1"/>
  <c r="G110" i="1"/>
  <c r="E110" i="1"/>
  <c r="D110" i="1"/>
  <c r="C110" i="1"/>
  <c r="P109" i="1"/>
  <c r="L109" i="1"/>
  <c r="G109" i="1"/>
  <c r="E109" i="1"/>
  <c r="D109" i="1"/>
  <c r="C109" i="1"/>
  <c r="P108" i="1"/>
  <c r="L108" i="1"/>
  <c r="G108" i="1"/>
  <c r="E108" i="1"/>
  <c r="D108" i="1"/>
  <c r="C108" i="1"/>
  <c r="P107" i="1"/>
  <c r="L107" i="1"/>
  <c r="G107" i="1"/>
  <c r="E107" i="1"/>
  <c r="D107" i="1"/>
  <c r="C107" i="1"/>
  <c r="P106" i="1"/>
  <c r="L106" i="1"/>
  <c r="G106" i="1"/>
  <c r="E106" i="1"/>
  <c r="D106" i="1"/>
  <c r="C106" i="1"/>
  <c r="P105" i="1"/>
  <c r="L105" i="1"/>
  <c r="G105" i="1"/>
  <c r="E105" i="1"/>
  <c r="D105" i="1"/>
  <c r="C105" i="1"/>
  <c r="P104" i="1"/>
  <c r="L104" i="1"/>
  <c r="G104" i="1"/>
  <c r="E104" i="1"/>
  <c r="D104" i="1"/>
  <c r="C104" i="1"/>
  <c r="P103" i="1"/>
  <c r="G103" i="1"/>
  <c r="E103" i="1"/>
  <c r="D103" i="1"/>
  <c r="C103" i="1"/>
  <c r="P102" i="1"/>
  <c r="L102" i="1"/>
  <c r="G102" i="1"/>
  <c r="E102" i="1"/>
  <c r="D102" i="1"/>
  <c r="C102" i="1"/>
  <c r="P101" i="1"/>
  <c r="L101" i="1"/>
  <c r="G101" i="1"/>
  <c r="E101" i="1"/>
  <c r="D101" i="1"/>
  <c r="C101" i="1"/>
  <c r="P100" i="1"/>
  <c r="L100" i="1"/>
  <c r="G100" i="1"/>
  <c r="E100" i="1"/>
  <c r="D100" i="1"/>
  <c r="C100" i="1"/>
  <c r="P99" i="1"/>
  <c r="L99" i="1"/>
  <c r="G99" i="1"/>
  <c r="E99" i="1"/>
  <c r="D99" i="1"/>
  <c r="C99" i="1"/>
  <c r="P98" i="1"/>
  <c r="L98" i="1"/>
  <c r="G98" i="1"/>
  <c r="E98" i="1"/>
  <c r="D98" i="1"/>
  <c r="C98" i="1"/>
  <c r="P97" i="1"/>
  <c r="L97" i="1"/>
  <c r="G97" i="1"/>
  <c r="E97" i="1"/>
  <c r="D97" i="1"/>
  <c r="C97" i="1"/>
  <c r="P96" i="1"/>
  <c r="L96" i="1"/>
  <c r="G96" i="1"/>
  <c r="E96" i="1"/>
  <c r="D96" i="1"/>
  <c r="C96" i="1"/>
  <c r="P95" i="1"/>
  <c r="G95" i="1"/>
  <c r="E95" i="1"/>
  <c r="D95" i="1"/>
  <c r="C95" i="1"/>
  <c r="P94" i="1"/>
  <c r="L94" i="1"/>
  <c r="G94" i="1"/>
  <c r="E94" i="1"/>
  <c r="D94" i="1"/>
  <c r="C94" i="1"/>
  <c r="P93" i="1"/>
  <c r="L93" i="1"/>
  <c r="G93" i="1"/>
  <c r="E93" i="1"/>
  <c r="D93" i="1"/>
  <c r="C93" i="1"/>
  <c r="P92" i="1"/>
  <c r="L92" i="1"/>
  <c r="G92" i="1"/>
  <c r="E92" i="1"/>
  <c r="D92" i="1"/>
  <c r="C92" i="1"/>
  <c r="P91" i="1"/>
  <c r="L91" i="1"/>
  <c r="G91" i="1"/>
  <c r="E91" i="1"/>
  <c r="D91" i="1"/>
  <c r="C91" i="1"/>
  <c r="P90" i="1"/>
  <c r="L90" i="1"/>
  <c r="G90" i="1"/>
  <c r="E90" i="1"/>
  <c r="D90" i="1"/>
  <c r="C90" i="1"/>
  <c r="P89" i="1"/>
  <c r="L89" i="1"/>
  <c r="G89" i="1"/>
  <c r="E89" i="1"/>
  <c r="D89" i="1"/>
  <c r="C89" i="1"/>
  <c r="P88" i="1"/>
  <c r="L88" i="1"/>
  <c r="G88" i="1"/>
  <c r="E88" i="1"/>
  <c r="D88" i="1"/>
  <c r="C88" i="1"/>
  <c r="P87" i="1"/>
  <c r="G87" i="1"/>
  <c r="E87" i="1"/>
  <c r="D87" i="1"/>
  <c r="C87" i="1"/>
  <c r="P86" i="1"/>
  <c r="L86" i="1"/>
  <c r="G86" i="1"/>
  <c r="E86" i="1"/>
  <c r="D86" i="1"/>
  <c r="C86" i="1"/>
  <c r="P85" i="1"/>
  <c r="L85" i="1"/>
  <c r="G85" i="1"/>
  <c r="E85" i="1"/>
  <c r="D85" i="1"/>
  <c r="C85" i="1"/>
  <c r="P84" i="1"/>
  <c r="L84" i="1"/>
  <c r="G84" i="1"/>
  <c r="E84" i="1"/>
  <c r="D84" i="1"/>
  <c r="C84" i="1"/>
  <c r="P83" i="1"/>
  <c r="L83" i="1"/>
  <c r="G83" i="1"/>
  <c r="E83" i="1"/>
  <c r="D83" i="1"/>
  <c r="C83" i="1"/>
  <c r="P82" i="1"/>
  <c r="L82" i="1"/>
  <c r="G82" i="1"/>
  <c r="E82" i="1"/>
  <c r="D82" i="1"/>
  <c r="C82" i="1"/>
  <c r="P81" i="1"/>
  <c r="L81" i="1"/>
  <c r="G81" i="1"/>
  <c r="E81" i="1"/>
  <c r="D81" i="1"/>
  <c r="C81" i="1"/>
  <c r="P80" i="1"/>
  <c r="L80" i="1"/>
  <c r="G80" i="1"/>
  <c r="E80" i="1"/>
  <c r="D80" i="1"/>
  <c r="C80" i="1"/>
  <c r="P79" i="1"/>
  <c r="G79" i="1"/>
  <c r="E79" i="1"/>
  <c r="D79" i="1"/>
  <c r="C79" i="1"/>
  <c r="P78" i="1"/>
  <c r="L78" i="1"/>
  <c r="G78" i="1"/>
  <c r="E78" i="1"/>
  <c r="D78" i="1"/>
  <c r="C78" i="1"/>
  <c r="P77" i="1"/>
  <c r="L77" i="1"/>
  <c r="G77" i="1"/>
  <c r="E77" i="1"/>
  <c r="D77" i="1"/>
  <c r="C77" i="1"/>
  <c r="P76" i="1"/>
  <c r="L76" i="1"/>
  <c r="G76" i="1"/>
  <c r="E76" i="1"/>
  <c r="D76" i="1"/>
  <c r="C76" i="1"/>
  <c r="P75" i="1"/>
  <c r="L75" i="1"/>
  <c r="G75" i="1"/>
  <c r="E75" i="1"/>
  <c r="D75" i="1"/>
  <c r="C75" i="1"/>
  <c r="P74" i="1"/>
  <c r="L74" i="1"/>
  <c r="G74" i="1"/>
  <c r="E74" i="1"/>
  <c r="D74" i="1"/>
  <c r="C74" i="1"/>
  <c r="P73" i="1"/>
  <c r="L73" i="1"/>
  <c r="G73" i="1"/>
  <c r="E73" i="1"/>
  <c r="D73" i="1"/>
  <c r="C73" i="1"/>
  <c r="P72" i="1"/>
  <c r="L72" i="1"/>
  <c r="G72" i="1"/>
  <c r="E72" i="1"/>
  <c r="D72" i="1"/>
  <c r="C72" i="1"/>
  <c r="P71" i="1"/>
  <c r="G71" i="1"/>
  <c r="E71" i="1"/>
  <c r="D71" i="1"/>
  <c r="C71" i="1"/>
  <c r="P70" i="1"/>
  <c r="L70" i="1"/>
  <c r="G70" i="1"/>
  <c r="E70" i="1"/>
  <c r="D70" i="1"/>
  <c r="C70" i="1"/>
  <c r="P69" i="1"/>
  <c r="L69" i="1"/>
  <c r="G69" i="1"/>
  <c r="E69" i="1"/>
  <c r="D69" i="1"/>
  <c r="C69" i="1"/>
  <c r="P68" i="1"/>
  <c r="L68" i="1"/>
  <c r="G68" i="1"/>
  <c r="E68" i="1"/>
  <c r="D68" i="1"/>
  <c r="C68" i="1"/>
  <c r="P67" i="1"/>
  <c r="L67" i="1"/>
  <c r="G67" i="1"/>
  <c r="E67" i="1"/>
  <c r="D67" i="1"/>
  <c r="C67" i="1"/>
  <c r="P66" i="1"/>
  <c r="L66" i="1"/>
  <c r="G66" i="1"/>
  <c r="E66" i="1"/>
  <c r="D66" i="1"/>
  <c r="C66" i="1"/>
  <c r="P65" i="1"/>
  <c r="L65" i="1"/>
  <c r="G65" i="1"/>
  <c r="E65" i="1"/>
  <c r="D65" i="1"/>
  <c r="C65" i="1"/>
  <c r="P64" i="1"/>
  <c r="L64" i="1"/>
  <c r="G64" i="1"/>
  <c r="E64" i="1"/>
  <c r="D64" i="1"/>
  <c r="C64" i="1"/>
  <c r="P63" i="1"/>
  <c r="G63" i="1"/>
  <c r="E63" i="1"/>
  <c r="D63" i="1"/>
  <c r="C63" i="1"/>
  <c r="P62" i="1"/>
  <c r="L62" i="1"/>
  <c r="G62" i="1"/>
  <c r="E62" i="1"/>
  <c r="D62" i="1"/>
  <c r="C62" i="1"/>
  <c r="P61" i="1"/>
  <c r="L61" i="1"/>
  <c r="G61" i="1"/>
  <c r="E61" i="1"/>
  <c r="D61" i="1"/>
  <c r="C61" i="1"/>
  <c r="P60" i="1"/>
  <c r="L60" i="1"/>
  <c r="G60" i="1"/>
  <c r="E60" i="1"/>
  <c r="D60" i="1"/>
  <c r="C60" i="1"/>
  <c r="P59" i="1"/>
  <c r="L59" i="1"/>
  <c r="G59" i="1"/>
  <c r="E59" i="1"/>
  <c r="D59" i="1"/>
  <c r="C59" i="1"/>
  <c r="P58" i="1"/>
  <c r="L58" i="1"/>
  <c r="G58" i="1"/>
  <c r="E58" i="1"/>
  <c r="D58" i="1"/>
  <c r="C58" i="1"/>
  <c r="P57" i="1"/>
  <c r="L57" i="1"/>
  <c r="G57" i="1"/>
  <c r="E57" i="1"/>
  <c r="D57" i="1"/>
  <c r="C57" i="1"/>
  <c r="P56" i="1"/>
  <c r="L56" i="1"/>
  <c r="G56" i="1"/>
  <c r="E56" i="1"/>
  <c r="D56" i="1"/>
  <c r="C56" i="1"/>
  <c r="P55" i="1"/>
  <c r="G55" i="1"/>
  <c r="E55" i="1"/>
  <c r="D55" i="1"/>
  <c r="C55" i="1"/>
  <c r="P54" i="1"/>
  <c r="L54" i="1"/>
  <c r="G54" i="1"/>
  <c r="E54" i="1"/>
  <c r="D54" i="1"/>
  <c r="C54" i="1"/>
  <c r="P53" i="1"/>
  <c r="L53" i="1"/>
  <c r="G53" i="1"/>
  <c r="E53" i="1"/>
  <c r="D53" i="1"/>
  <c r="C53" i="1"/>
  <c r="P52" i="1"/>
  <c r="L52" i="1"/>
  <c r="G52" i="1"/>
  <c r="E52" i="1"/>
  <c r="D52" i="1"/>
  <c r="C52" i="1"/>
  <c r="P51" i="1"/>
  <c r="L51" i="1"/>
  <c r="G51" i="1"/>
  <c r="E51" i="1"/>
  <c r="D51" i="1"/>
  <c r="C51" i="1"/>
  <c r="P50" i="1"/>
  <c r="L50" i="1"/>
  <c r="G50" i="1"/>
  <c r="E50" i="1"/>
  <c r="D50" i="1"/>
  <c r="C50" i="1"/>
  <c r="P49" i="1"/>
  <c r="L49" i="1"/>
  <c r="G49" i="1"/>
  <c r="E49" i="1"/>
  <c r="D49" i="1"/>
  <c r="C49" i="1"/>
  <c r="P48" i="1"/>
  <c r="L48" i="1"/>
  <c r="G48" i="1"/>
  <c r="E48" i="1"/>
  <c r="D48" i="1"/>
  <c r="C48" i="1"/>
  <c r="P47" i="1"/>
  <c r="G47" i="1"/>
  <c r="E47" i="1"/>
  <c r="D47" i="1"/>
  <c r="C47" i="1"/>
  <c r="P46" i="1"/>
  <c r="L46" i="1"/>
  <c r="G46" i="1"/>
  <c r="E46" i="1"/>
  <c r="D46" i="1"/>
  <c r="C46" i="1"/>
  <c r="P45" i="1"/>
  <c r="L45" i="1"/>
  <c r="G45" i="1"/>
  <c r="E45" i="1"/>
  <c r="D45" i="1"/>
  <c r="C45" i="1"/>
  <c r="P44" i="1"/>
  <c r="L44" i="1"/>
  <c r="G44" i="1"/>
  <c r="E44" i="1"/>
  <c r="D44" i="1"/>
  <c r="C44" i="1"/>
  <c r="P43" i="1"/>
  <c r="L43" i="1"/>
  <c r="G43" i="1"/>
  <c r="E43" i="1"/>
  <c r="D43" i="1"/>
  <c r="C43" i="1"/>
  <c r="P42" i="1"/>
  <c r="L42" i="1"/>
  <c r="G42" i="1"/>
  <c r="E42" i="1"/>
  <c r="D42" i="1"/>
  <c r="C42" i="1"/>
  <c r="P41" i="1"/>
  <c r="L41" i="1"/>
  <c r="G41" i="1"/>
  <c r="E41" i="1"/>
  <c r="D41" i="1"/>
  <c r="C41" i="1"/>
  <c r="P40" i="1"/>
  <c r="L40" i="1"/>
  <c r="G40" i="1"/>
  <c r="E40" i="1"/>
  <c r="D40" i="1"/>
  <c r="C40" i="1"/>
  <c r="P39" i="1"/>
  <c r="G39" i="1"/>
  <c r="E39" i="1"/>
  <c r="D39" i="1"/>
  <c r="C39" i="1"/>
  <c r="P38" i="1"/>
  <c r="L38" i="1"/>
  <c r="G38" i="1"/>
  <c r="E38" i="1"/>
  <c r="D38" i="1"/>
  <c r="C38" i="1"/>
  <c r="P37" i="1"/>
  <c r="L37" i="1"/>
  <c r="G37" i="1"/>
  <c r="E37" i="1"/>
  <c r="D37" i="1"/>
  <c r="C37" i="1"/>
  <c r="P36" i="1"/>
  <c r="L36" i="1"/>
  <c r="G36" i="1"/>
  <c r="E36" i="1"/>
  <c r="D36" i="1"/>
  <c r="C36" i="1"/>
  <c r="P35" i="1"/>
  <c r="L35" i="1"/>
  <c r="G35" i="1"/>
  <c r="E35" i="1"/>
  <c r="D35" i="1"/>
  <c r="C35" i="1"/>
  <c r="P34" i="1"/>
  <c r="L34" i="1"/>
  <c r="G34" i="1"/>
  <c r="E34" i="1"/>
  <c r="D34" i="1"/>
  <c r="C34" i="1"/>
  <c r="P33" i="1"/>
  <c r="L33" i="1"/>
  <c r="G33" i="1"/>
  <c r="E33" i="1"/>
  <c r="D33" i="1"/>
  <c r="C33" i="1"/>
  <c r="P32" i="1"/>
  <c r="L32" i="1"/>
  <c r="G32" i="1"/>
  <c r="E32" i="1"/>
  <c r="D32" i="1"/>
  <c r="C32" i="1"/>
  <c r="P31" i="1"/>
  <c r="G31" i="1"/>
  <c r="E31" i="1"/>
  <c r="D31" i="1"/>
  <c r="C31" i="1"/>
  <c r="P30" i="1"/>
  <c r="L30" i="1"/>
  <c r="G30" i="1"/>
  <c r="E30" i="1"/>
  <c r="D30" i="1"/>
  <c r="C30" i="1"/>
  <c r="P29" i="1"/>
  <c r="L29" i="1"/>
  <c r="G29" i="1"/>
  <c r="E29" i="1"/>
  <c r="D29" i="1"/>
  <c r="C29" i="1"/>
  <c r="P28" i="1"/>
  <c r="L28" i="1"/>
  <c r="G28" i="1"/>
  <c r="E28" i="1"/>
  <c r="D28" i="1"/>
  <c r="C28" i="1"/>
  <c r="P27" i="1"/>
  <c r="L27" i="1"/>
  <c r="G27" i="1"/>
  <c r="E27" i="1"/>
  <c r="D27" i="1"/>
  <c r="C27" i="1"/>
  <c r="P26" i="1"/>
  <c r="L26" i="1"/>
  <c r="G26" i="1"/>
  <c r="E26" i="1"/>
  <c r="D26" i="1"/>
  <c r="C26" i="1"/>
  <c r="P25" i="1"/>
  <c r="L25" i="1"/>
  <c r="G25" i="1"/>
  <c r="E25" i="1"/>
  <c r="D25" i="1"/>
  <c r="C25" i="1"/>
  <c r="P24" i="1"/>
  <c r="L24" i="1"/>
  <c r="G24" i="1"/>
  <c r="E24" i="1"/>
  <c r="D24" i="1"/>
  <c r="C24" i="1"/>
  <c r="P23" i="1"/>
  <c r="G23" i="1"/>
  <c r="E23" i="1"/>
  <c r="D23" i="1"/>
  <c r="C23" i="1"/>
  <c r="P22" i="1"/>
  <c r="L22" i="1"/>
  <c r="G22" i="1"/>
  <c r="E22" i="1"/>
  <c r="D22" i="1"/>
  <c r="C22" i="1"/>
  <c r="P21" i="1"/>
  <c r="L21" i="1"/>
  <c r="G21" i="1"/>
  <c r="E21" i="1"/>
  <c r="D21" i="1"/>
  <c r="C21" i="1"/>
  <c r="P20" i="1"/>
  <c r="L20" i="1"/>
  <c r="G20" i="1"/>
  <c r="E20" i="1"/>
  <c r="D20" i="1"/>
  <c r="C20" i="1"/>
  <c r="P19" i="1"/>
  <c r="L19" i="1"/>
  <c r="G19" i="1"/>
  <c r="E19" i="1"/>
  <c r="D19" i="1"/>
  <c r="C19" i="1"/>
  <c r="P18" i="1"/>
  <c r="G18" i="1"/>
  <c r="E18" i="1"/>
  <c r="D18" i="1"/>
  <c r="C18" i="1"/>
  <c r="P17" i="1"/>
  <c r="L17" i="1"/>
  <c r="G17" i="1"/>
  <c r="E17" i="1"/>
  <c r="D17" i="1"/>
  <c r="C17" i="1"/>
  <c r="P16" i="1"/>
  <c r="L16" i="1"/>
  <c r="G16" i="1"/>
  <c r="E16" i="1"/>
  <c r="D16" i="1"/>
  <c r="C16" i="1"/>
  <c r="P15" i="1"/>
  <c r="L15" i="1"/>
  <c r="G15" i="1"/>
  <c r="E15" i="1"/>
  <c r="D15" i="1"/>
  <c r="C15" i="1"/>
  <c r="P14" i="1"/>
  <c r="G14" i="1"/>
  <c r="E14" i="1"/>
  <c r="D14" i="1"/>
  <c r="C14" i="1"/>
  <c r="P13" i="1"/>
  <c r="L13" i="1"/>
  <c r="G13" i="1"/>
  <c r="E13" i="1"/>
  <c r="D13" i="1"/>
  <c r="C13" i="1"/>
  <c r="P12" i="1"/>
  <c r="G12" i="1"/>
  <c r="E12" i="1"/>
  <c r="D12" i="1"/>
  <c r="C12" i="1"/>
  <c r="P11" i="1"/>
  <c r="L11" i="1"/>
  <c r="G11" i="1"/>
  <c r="E11" i="1"/>
  <c r="D11" i="1"/>
  <c r="C11" i="1"/>
  <c r="P10" i="1"/>
  <c r="G10" i="1"/>
  <c r="E10" i="1"/>
  <c r="D10" i="1"/>
  <c r="C10" i="1"/>
  <c r="P9" i="1"/>
  <c r="L9" i="1"/>
  <c r="G9" i="1"/>
  <c r="E9" i="1"/>
  <c r="D9" i="1"/>
  <c r="C9" i="1"/>
  <c r="P8" i="1"/>
  <c r="L8" i="1"/>
  <c r="G8" i="1"/>
  <c r="E8" i="1"/>
  <c r="D8" i="1"/>
  <c r="C8" i="1"/>
  <c r="P7" i="1"/>
  <c r="L7" i="1"/>
  <c r="G7" i="1"/>
  <c r="E7" i="1"/>
  <c r="D7" i="1"/>
  <c r="C7" i="1"/>
  <c r="P6" i="1"/>
  <c r="G6" i="1"/>
  <c r="E6" i="1"/>
  <c r="D6" i="1"/>
  <c r="C6" i="1"/>
  <c r="L5" i="1"/>
  <c r="G5" i="1"/>
  <c r="E5" i="1"/>
  <c r="D5" i="1"/>
  <c r="C5" i="1"/>
  <c r="P4" i="1"/>
  <c r="L4" i="1"/>
  <c r="G4" i="1"/>
  <c r="E4" i="1"/>
  <c r="D4" i="1"/>
  <c r="C4" i="1"/>
  <c r="P3" i="1"/>
  <c r="L3" i="1"/>
  <c r="G3" i="1"/>
  <c r="E3" i="1"/>
  <c r="D3" i="1"/>
  <c r="C3" i="1"/>
  <c r="P2" i="1"/>
  <c r="L2" i="1"/>
  <c r="G2" i="1"/>
  <c r="E2" i="1"/>
  <c r="D2" i="1"/>
  <c r="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Kelle Socorro Mendes Guignoni</author>
  </authors>
  <commentList>
    <comment ref="B1" authorId="0" shapeId="0" xr:uid="{00000000-0006-0000-0000-000001000000}">
      <text>
        <r>
          <rPr>
            <b/>
            <sz val="9"/>
            <rFont val="Segoe UI"/>
            <charset val="1"/>
          </rPr>
          <t xml:space="preserve">Kelle Socorro Mendes Guignoni: </t>
        </r>
        <r>
          <rPr>
            <sz val="9"/>
            <rFont val="Segoe UI"/>
            <charset val="134"/>
          </rPr>
          <t>Não mexer, área com formula</t>
        </r>
        <r>
          <rPr>
            <sz val="9"/>
            <rFont val="Segoe UI"/>
            <charset val="1"/>
          </rPr>
          <t xml:space="preserve">
</t>
        </r>
      </text>
    </comment>
    <comment ref="C1" authorId="0" shapeId="0" xr:uid="{00000000-0006-0000-0000-000002000000}">
      <text>
        <r>
          <rPr>
            <b/>
            <sz val="9"/>
            <rFont val="Segoe UI"/>
            <charset val="1"/>
          </rPr>
          <t>Kelle Socorro Mendes Guignoni:</t>
        </r>
        <r>
          <rPr>
            <sz val="9"/>
            <rFont val="Segoe UI"/>
            <charset val="1"/>
          </rPr>
          <t xml:space="preserve">
Não mexer, área com formula</t>
        </r>
      </text>
    </comment>
    <comment ref="D1" authorId="0" shapeId="0" xr:uid="{00000000-0006-0000-0000-000003000000}">
      <text>
        <r>
          <rPr>
            <b/>
            <sz val="9"/>
            <rFont val="Segoe UI"/>
            <charset val="1"/>
          </rPr>
          <t>Kelle Socorro Mendes Guignoni:</t>
        </r>
        <r>
          <rPr>
            <sz val="9"/>
            <rFont val="Segoe UI"/>
            <charset val="1"/>
          </rPr>
          <t xml:space="preserve">
Não mexer, área com formula</t>
        </r>
      </text>
    </comment>
    <comment ref="E1" authorId="0" shapeId="0" xr:uid="{00000000-0006-0000-0000-000004000000}">
      <text>
        <r>
          <rPr>
            <b/>
            <sz val="9"/>
            <rFont val="Segoe UI"/>
            <charset val="1"/>
          </rPr>
          <t>Kelle Socorro Mendes Guignoni:</t>
        </r>
        <r>
          <rPr>
            <sz val="9"/>
            <rFont val="Segoe UI"/>
            <charset val="1"/>
          </rPr>
          <t xml:space="preserve">
Não mexer, área com formula</t>
        </r>
      </text>
    </comment>
    <comment ref="F1" authorId="0" shapeId="0" xr:uid="{00000000-0006-0000-0000-000005000000}">
      <text>
        <r>
          <rPr>
            <b/>
            <sz val="9"/>
            <rFont val="Segoe UI"/>
            <charset val="1"/>
          </rPr>
          <t>Kelle Socorro Mendes Guignoni:</t>
        </r>
        <r>
          <rPr>
            <sz val="9"/>
            <rFont val="Segoe UI"/>
            <charset val="1"/>
          </rPr>
          <t xml:space="preserve">
Não mexer, área com formula</t>
        </r>
      </text>
    </comment>
    <comment ref="G1" authorId="0" shapeId="0" xr:uid="{00000000-0006-0000-0000-000006000000}">
      <text>
        <r>
          <rPr>
            <b/>
            <sz val="9"/>
            <rFont val="Segoe UI"/>
            <charset val="134"/>
          </rPr>
          <t xml:space="preserve">Kelle Socorro Mendes Guignoni: </t>
        </r>
        <r>
          <rPr>
            <sz val="9"/>
            <rFont val="Segoe UI"/>
            <charset val="134"/>
          </rPr>
          <t xml:space="preserve">
Não mexer, área com formula</t>
        </r>
      </text>
    </comment>
  </commentList>
</comments>
</file>

<file path=xl/sharedStrings.xml><?xml version="1.0" encoding="utf-8"?>
<sst xmlns="http://schemas.openxmlformats.org/spreadsheetml/2006/main" count="10902" uniqueCount="354">
  <si>
    <t>ID Treinamento</t>
  </si>
  <si>
    <t>Matrícula</t>
  </si>
  <si>
    <t>Nome do Colaborador</t>
  </si>
  <si>
    <t xml:space="preserve">Setor </t>
  </si>
  <si>
    <t>Cargo</t>
  </si>
  <si>
    <t>Código do Procedimento</t>
  </si>
  <si>
    <t>Procedimento</t>
  </si>
  <si>
    <t>ELABORADOR</t>
  </si>
  <si>
    <t>Data do Treinamento</t>
  </si>
  <si>
    <t>Validade (meses)</t>
  </si>
  <si>
    <t>Data de Vencimento</t>
  </si>
  <si>
    <t>Status do Treinamento</t>
  </si>
  <si>
    <t>Responsável pelo Treinamento</t>
  </si>
  <si>
    <t>Tipo de Treinamento</t>
  </si>
  <si>
    <t>Avaliação de Eficácia?</t>
  </si>
  <si>
    <t>Data Avaliação de Eficácia</t>
  </si>
  <si>
    <t>Data realização Avaliação de Eficácia</t>
  </si>
  <si>
    <t>Forma de Treinamento</t>
  </si>
  <si>
    <t>Carga Horária (h)</t>
  </si>
  <si>
    <t>PCG 0001</t>
  </si>
  <si>
    <t>LIDIANA FERREIRA E RICARDO MACIEL</t>
  </si>
  <si>
    <t>Reciclagem</t>
  </si>
  <si>
    <t>Sim</t>
  </si>
  <si>
    <t>Online</t>
  </si>
  <si>
    <t>PCG 0002</t>
  </si>
  <si>
    <t>PCG 0004</t>
  </si>
  <si>
    <t>PCG 0006</t>
  </si>
  <si>
    <t>Presencial</t>
  </si>
  <si>
    <t>Não</t>
  </si>
  <si>
    <t>PCG 0014</t>
  </si>
  <si>
    <t>THIALISSON SILVA MORAES</t>
  </si>
  <si>
    <t>PCG 0017</t>
  </si>
  <si>
    <t>PCG 0016</t>
  </si>
  <si>
    <t>PCG 0024</t>
  </si>
  <si>
    <t>PCG 0026</t>
  </si>
  <si>
    <t>PCG 0031</t>
  </si>
  <si>
    <t>PCG 0015</t>
  </si>
  <si>
    <t>PCG 0028</t>
  </si>
  <si>
    <t>PCG 0027</t>
  </si>
  <si>
    <t>PCG 0025</t>
  </si>
  <si>
    <t>LUCAS LOPES VIEIRA</t>
  </si>
  <si>
    <t>PCG 0007</t>
  </si>
  <si>
    <t>JOAO WILKER RIBEIRO B LIMA</t>
  </si>
  <si>
    <t>PCG 0008</t>
  </si>
  <si>
    <t>PCG 0009</t>
  </si>
  <si>
    <t>PCG 0011</t>
  </si>
  <si>
    <t>POL 0003</t>
  </si>
  <si>
    <t>SAÚDE OCUPACIONAL</t>
  </si>
  <si>
    <t>POL 0002</t>
  </si>
  <si>
    <t>PCG 0018</t>
  </si>
  <si>
    <t>RAYANE BEZERRA DE JESUS</t>
  </si>
  <si>
    <t>PCG 0019</t>
  </si>
  <si>
    <t>PCG 0020</t>
  </si>
  <si>
    <t>PCG 0021</t>
  </si>
  <si>
    <t>PCG 0022</t>
  </si>
  <si>
    <t>PCG 0023</t>
  </si>
  <si>
    <t>JULIANA DE CASTRO ALMEIDA</t>
  </si>
  <si>
    <t>RICARDO MACIEL DE L NUNES</t>
  </si>
  <si>
    <t>POL 0001</t>
  </si>
  <si>
    <t>PCG 0012</t>
  </si>
  <si>
    <t>JOAO WILKER  LIMA</t>
  </si>
  <si>
    <t>PCG 0013</t>
  </si>
  <si>
    <t>PCG 0034</t>
  </si>
  <si>
    <t>PCG 0035</t>
  </si>
  <si>
    <t>PCG 0029</t>
  </si>
  <si>
    <t>LIDIANA FERREIRA</t>
  </si>
  <si>
    <t>PCG 0033</t>
  </si>
  <si>
    <t>PCG 0003</t>
  </si>
  <si>
    <t>PCG 0005</t>
  </si>
  <si>
    <t>PCG 0032</t>
  </si>
  <si>
    <t>THIALISSON MORAES</t>
  </si>
  <si>
    <t>JOÃO WILKER LIMA</t>
  </si>
  <si>
    <t>RAYANE DE JESUS</t>
  </si>
  <si>
    <t>PCG 0030</t>
  </si>
  <si>
    <t>POP 0008</t>
  </si>
  <si>
    <t>POP 0010</t>
  </si>
  <si>
    <t>POP 0012</t>
  </si>
  <si>
    <t>POP 0014</t>
  </si>
  <si>
    <t>POP 0019</t>
  </si>
  <si>
    <t>POP 0033</t>
  </si>
  <si>
    <t>POP 0031</t>
  </si>
  <si>
    <t>POP 0032</t>
  </si>
  <si>
    <t xml:space="preserve">PCG 0007 </t>
  </si>
  <si>
    <t>POL 0004</t>
  </si>
  <si>
    <t>NOR 0001</t>
  </si>
  <si>
    <t>PCG 0036</t>
  </si>
  <si>
    <t>PCG 0037</t>
  </si>
  <si>
    <t>PCG 0038</t>
  </si>
  <si>
    <t>PCG 0039</t>
  </si>
  <si>
    <t>PCG 0040</t>
  </si>
  <si>
    <t>POP 0036</t>
  </si>
  <si>
    <t>POP 0037</t>
  </si>
  <si>
    <t>POP 0038</t>
  </si>
  <si>
    <t>POP 0041</t>
  </si>
  <si>
    <t>PRT 0001</t>
  </si>
  <si>
    <t>PRT 0002</t>
  </si>
  <si>
    <t>PRT 0003</t>
  </si>
  <si>
    <t>PRT 0004</t>
  </si>
  <si>
    <t>PRT 0005</t>
  </si>
  <si>
    <t>PRT 0006</t>
  </si>
  <si>
    <t>PRT 0007</t>
  </si>
  <si>
    <t>PRT 0008</t>
  </si>
  <si>
    <t>PRT 0009</t>
  </si>
  <si>
    <t>PRT 0010</t>
  </si>
  <si>
    <t>PRT 0011</t>
  </si>
  <si>
    <t>PRT 0012</t>
  </si>
  <si>
    <t>PRT 0013</t>
  </si>
  <si>
    <t>PRT 0014</t>
  </si>
  <si>
    <t>PRT 0015</t>
  </si>
  <si>
    <t>PRT 0016</t>
  </si>
  <si>
    <t>PRT 0017</t>
  </si>
  <si>
    <t>PRT 0018</t>
  </si>
  <si>
    <t>PRT 0019</t>
  </si>
  <si>
    <t>PRT 0020</t>
  </si>
  <si>
    <t>PRT 0021</t>
  </si>
  <si>
    <t>PRT 0022</t>
  </si>
  <si>
    <t>PRT 0023</t>
  </si>
  <si>
    <t>PRT 0024</t>
  </si>
  <si>
    <t>PRT 0025</t>
  </si>
  <si>
    <t>Setor</t>
  </si>
  <si>
    <t>ADRIANE MENDES ROSA</t>
  </si>
  <si>
    <t>REGIONAL CENTRAL</t>
  </si>
  <si>
    <t>ENFERMEIRA DO TRABALHO</t>
  </si>
  <si>
    <t>ALANA RODRIGUES FERREIRA</t>
  </si>
  <si>
    <t>REGIONAL LESTE</t>
  </si>
  <si>
    <t>COORDENADOR DE SSMA</t>
  </si>
  <si>
    <t>ANA CRISTINA GONÇALVES NUNES</t>
  </si>
  <si>
    <t>ENFERMEIRA</t>
  </si>
  <si>
    <t>BIANCA GUEDES SILVA ALMEIDA</t>
  </si>
  <si>
    <t>NUTRICIONISTA</t>
  </si>
  <si>
    <t>BRUNO ARRUDA DE AMORIM OLIVEIRA</t>
  </si>
  <si>
    <t>MÉDICO DO TRABALHO</t>
  </si>
  <si>
    <t>CAIO VINICIUS PEREIRA DO NASCIMENTO</t>
  </si>
  <si>
    <t>REGIONAL SUL</t>
  </si>
  <si>
    <t>TÉCNICO DE MEIO AMBIENTE</t>
  </si>
  <si>
    <t>CAMILA CHAVES SILVA</t>
  </si>
  <si>
    <t>DIRETORIA</t>
  </si>
  <si>
    <t>ASSESSOR JURÍDICO</t>
  </si>
  <si>
    <t>CAMILA RODRIGUES GOMES</t>
  </si>
  <si>
    <t>SEGURANÇA DO TRABALHO</t>
  </si>
  <si>
    <t>TÉCNICO DE SEGURANÇA DO TRABALHO</t>
  </si>
  <si>
    <t>CAMYLA CRYSTYNE RABELO LIMA</t>
  </si>
  <si>
    <t>COORDENAÇÃO ADMINISTRATIVA</t>
  </si>
  <si>
    <t>ANALISTA ADMINISTRATIVO</t>
  </si>
  <si>
    <t>MEIO AMBIENTE</t>
  </si>
  <si>
    <t>ENGENHEIRO DE MEIO AMBIENTE</t>
  </si>
  <si>
    <t>DANIEL ELISON GUSMÃO PEREIRA</t>
  </si>
  <si>
    <t>GESTÃO INTEGRADA</t>
  </si>
  <si>
    <t>ASSISTENTE ADMINISTRATIVO</t>
  </si>
  <si>
    <t>DENISE DE SOUSA RIBEIRO SANTOS</t>
  </si>
  <si>
    <t>SAULLO VINICIUS FELIX COSTA</t>
  </si>
  <si>
    <t>ENEAS GALVAO MAGALHAES BRITO</t>
  </si>
  <si>
    <t>ERMANDO VIEIRA DE MOURA NETO</t>
  </si>
  <si>
    <t>ESTER MOREIRA AMBROSIO DE CARVALHO</t>
  </si>
  <si>
    <t>ENFERMEIRO DO TRABALHO</t>
  </si>
  <si>
    <t>FABIOLA SOUSA MOURA BORGES</t>
  </si>
  <si>
    <t>GERENTE DE SAÚDE OCUPACIONAL</t>
  </si>
  <si>
    <t>JOHNATHAN GARCES DURANS</t>
  </si>
  <si>
    <t>ENGENHEIRO DE SEGURANÇA DO TRABALHO</t>
  </si>
  <si>
    <t>FERNANDA FRANCA RIBEIRO DE OLIVEIRA</t>
  </si>
  <si>
    <t>COORDENADOR ADMINISTRATIVO</t>
  </si>
  <si>
    <t>FLAVIA AROUCHE GAMA</t>
  </si>
  <si>
    <t>FYAMA SANTOS SILVA</t>
  </si>
  <si>
    <t>GERUSA LOURDES CHAVES ALVES DA SILVA</t>
  </si>
  <si>
    <t>ASSESSOR CLINICO(A)</t>
  </si>
  <si>
    <t>GUILHERME LEÃO DOS SANTOS</t>
  </si>
  <si>
    <t>HWGO AUGUSTO ALMEIDA</t>
  </si>
  <si>
    <t>IANKA PRAZERES CUNHA</t>
  </si>
  <si>
    <t>ANALISTA DE GESTÃO INTEGRADA</t>
  </si>
  <si>
    <t>IGOR WARWICK SANTOS DE CASTRO</t>
  </si>
  <si>
    <t>JACIARA VIEIRA DA CRUZ DE AGUIAR</t>
  </si>
  <si>
    <t>GERENTE DE MEIO AMBIENTE</t>
  </si>
  <si>
    <t>JACILENE BELO LIMA</t>
  </si>
  <si>
    <t>JAIME VIEIRA GALVAO</t>
  </si>
  <si>
    <t>JOAO WILKER RIBEIRO BARROS LIMA</t>
  </si>
  <si>
    <t>COORDENADOR DE SEGURANÇA DO TRABALHO</t>
  </si>
  <si>
    <t>JONATHAN SILVA ALVES</t>
  </si>
  <si>
    <t>JORGE CARLOS ARAUJO DE ARAUJO</t>
  </si>
  <si>
    <t>DIRETOR GERAL</t>
  </si>
  <si>
    <t>JOSE ANTONIO ALVES MAGALHAES</t>
  </si>
  <si>
    <t>GERENTE DE GESTÃO INTEGRADA</t>
  </si>
  <si>
    <t>JOSE CLEITON SILVA DE OLIVEIRA</t>
  </si>
  <si>
    <t>JOYCE CLEIA MIRANDA BARROS</t>
  </si>
  <si>
    <t>KARINY DE SOUZA COSTA</t>
  </si>
  <si>
    <t>KELLE SOCORRO MENDES GUIGNONI</t>
  </si>
  <si>
    <t>LAIS FERREIRA CAMPOS MINEIRO</t>
  </si>
  <si>
    <t>FISIOTERAPEUTA</t>
  </si>
  <si>
    <t>LAYANA KARINE SILVA BARBOSA</t>
  </si>
  <si>
    <t>LAYLLA EMANUELLY DA SILVA ARAUJO</t>
  </si>
  <si>
    <t>LEANNDRO JOSE SOUSA DA SILVA</t>
  </si>
  <si>
    <t>LEONARDO ESPINDOLA FONSECA ROCHA</t>
  </si>
  <si>
    <t>GERENTE GERAL</t>
  </si>
  <si>
    <t>LIDIANA CRISTINA MIRANDA FERREIRA</t>
  </si>
  <si>
    <t>COORDENADOR DE GESTÃO INTEGRADA</t>
  </si>
  <si>
    <t>LUCIANA BARBOSA SODRE</t>
  </si>
  <si>
    <t>LUCIO JOSE DA COSTA LOPES</t>
  </si>
  <si>
    <t>MAIARA MONTEIRO MARQUES CASTELO BRANCO</t>
  </si>
  <si>
    <t>MARIANA CRISTINA FEITOSA SANTOS</t>
  </si>
  <si>
    <t>TÉCNICA DE SEGURANÇA DO TRABALHO</t>
  </si>
  <si>
    <t>CLAUDIA LIMA GONÇALVES</t>
  </si>
  <si>
    <t>NATHALIA CRISTINA DOS SANTOS RODRIGUES</t>
  </si>
  <si>
    <t>ASSISTENTE DE MEIO AMBIENTE</t>
  </si>
  <si>
    <t>RAFAEL FREITAS DE PAULA</t>
  </si>
  <si>
    <t>ANALISTA DA QUALIDADE</t>
  </si>
  <si>
    <t>RAIMUNDO TAVARES PESSOA</t>
  </si>
  <si>
    <t>TÉCNICO DE ENFERMAGEM DO TRABALHO</t>
  </si>
  <si>
    <t>FABIANA DE AQUINO SOARES</t>
  </si>
  <si>
    <t>RONILSON FERREIRA OLIVEIRA</t>
  </si>
  <si>
    <t>ROSEANE CUSTODIO LIMA</t>
  </si>
  <si>
    <t>SAMIRIS COSTA DA SILVA</t>
  </si>
  <si>
    <t>TAHYNAN FREITAS SILVA COSTA</t>
  </si>
  <si>
    <t>THIAGO MARIO LIMA GLERIA</t>
  </si>
  <si>
    <t>GERENTE DE SEGURANÇA DO TRABALHO</t>
  </si>
  <si>
    <t>ANALISTA DE MEIO AMBIENTE</t>
  </si>
  <si>
    <t>VINNICYUS ANTONIO DE CARVALHO RIBEIRO</t>
  </si>
  <si>
    <t>TASSO CHAVES DE OLIVEIRA</t>
  </si>
  <si>
    <t>ASSESSOR DE GESTÃO INTEGRADA</t>
  </si>
  <si>
    <t>JAMILLY VITORIA FERREIRA BARBOSA</t>
  </si>
  <si>
    <t>ALANY LIMA SOARES CHAGAS</t>
  </si>
  <si>
    <t>MÉDICA</t>
  </si>
  <si>
    <t>ANNA MARIA ARAUJO PIORSKI</t>
  </si>
  <si>
    <t>ASSESSOR(A) DE NUTRIÇÃO</t>
  </si>
  <si>
    <t>BIANCA ALINE SANTOS DA SILVA DO NASCIMENTO</t>
  </si>
  <si>
    <t>DENISE CRISTRINA CASTRO</t>
  </si>
  <si>
    <t>ASSESSOR(A) DE SERVIÇO SOCIAL</t>
  </si>
  <si>
    <t>FABIANA SILVA COSTA</t>
  </si>
  <si>
    <t>ASSESSOR(A) DE FISIOTERAPIA</t>
  </si>
  <si>
    <t>MARCIO AUGUSTO SILVA MIRANDA</t>
  </si>
  <si>
    <t>ASSESSOR (A) CLINICO</t>
  </si>
  <si>
    <t>SAMMY RAYANA L. SANTOS</t>
  </si>
  <si>
    <t>SAMYA FERNANDA NOLLETO SOUSA LEITE</t>
  </si>
  <si>
    <t>CARDIOLOGISTA</t>
  </si>
  <si>
    <t>TAYNAH SOARES DE SOUZA CAMARAO</t>
  </si>
  <si>
    <t>ANA BEATRIZ DA SILVA MENDES AMARAL</t>
  </si>
  <si>
    <t>JOVEM APRENDIZ</t>
  </si>
  <si>
    <t>DAVID DE JESUS PEREIRA FONSECA</t>
  </si>
  <si>
    <t>JUAN PABLO SOUSA FARIAS</t>
  </si>
  <si>
    <t>YASMIN KARINE DE OLIVEIRA SOARES</t>
  </si>
  <si>
    <t>Nome do Procedimento</t>
  </si>
  <si>
    <t>Validade Padrão (meses)</t>
  </si>
  <si>
    <t>PROCEDIMENTO DE GERENCIAMENTO DE RISCOS</t>
  </si>
  <si>
    <t>POP 0001</t>
  </si>
  <si>
    <t>PROCEDIMENTO PARA TRÂMITE DOS MEMORANDOS DA OUVIDORIA - Jurídico</t>
  </si>
  <si>
    <t>POP 0002</t>
  </si>
  <si>
    <t>PROCEDIMENTO PARA ANÁLISE DE PROCESSOS ADMINISTRATIVOS - Jurídico</t>
  </si>
  <si>
    <t>POLÍTICA DE QUALIDADE DA DIRETORIA</t>
  </si>
  <si>
    <t>DIRETRIZES PARA DOCUMENTOS NORMATIVOS</t>
  </si>
  <si>
    <t>DIRETRIZES  PARA PROGRAMA 5S</t>
  </si>
  <si>
    <t>SISTEMATICA DE ROTINA DE REUNIÕES DA DESSMA</t>
  </si>
  <si>
    <t>GARANTIA DA QUALIDADE</t>
  </si>
  <si>
    <t>GESTÃO INDICADORES</t>
  </si>
  <si>
    <t>RESPONSABILIDADES E AUTORIDADES DO SGQ</t>
  </si>
  <si>
    <t>PROCEDIMENTO GESTÃO DE MUDANÇA SGQ</t>
  </si>
  <si>
    <t>AVALIAÇÃO DESEMPENHO</t>
  </si>
  <si>
    <t>AQUISIÇÃO DE BENS E SERVIÇOS E AVALIAÇÃO PROVEDORES EXTERNOS</t>
  </si>
  <si>
    <t>AGENDAMENTO DE REUNIÕES E CHECAGEM DE E-MAIL</t>
  </si>
  <si>
    <t>RECEBIMENTO E MOVIMENTAÇÃO DE PROCESSOS E DEMAIS DOCUMENTOS</t>
  </si>
  <si>
    <t>ABERTURA DE PROCESSOS DA DESSMA</t>
  </si>
  <si>
    <t>ABASTECIMENTO DE SUPRIMENTOS PARA DIRETORIA</t>
  </si>
  <si>
    <t>SOLICITAÇÃO DE MANUTENÇÃO PREDIAL E VISTORIA DO SERVIÇO DE LIMPEZA PREDIAL</t>
  </si>
  <si>
    <t>ABERTURA DE PROCESSO DE PAGAMENTO</t>
  </si>
  <si>
    <t>POLÍTICA MEIO AMBIENTE EMSERH</t>
  </si>
  <si>
    <t>COLETA SELETIVA DESSMA</t>
  </si>
  <si>
    <t>GESTÃO DE PRODUTOS QUÍMICOS</t>
  </si>
  <si>
    <t>GESTÃO DE LEVANTAMENTO DE ASPECTOS E IMPACTOS AMBIENTAIS</t>
  </si>
  <si>
    <t>GESTÃO DE COMUNICAÇÃO, CLASSIFICAÇÃO E INVESTIGAÇÃO DE OCORRÊNCIAS AMBIENTAIS</t>
  </si>
  <si>
    <t>GESTÃO DE INSPEÇÕES AMBIENTAIS</t>
  </si>
  <si>
    <t>GESTÃO DE ÁGUAS E EFLUENTES</t>
  </si>
  <si>
    <t>GESTÃO DE LICENCIAMENTO AMBIENTAL</t>
  </si>
  <si>
    <t>GESTÃO DE CONDICIONANTES DE LICENCIAMENTO AMBIENTAL</t>
  </si>
  <si>
    <t>GESTÃO DE RESÍDUOS SÓLIDOS DE SERVIÇOS DE SAÚDE</t>
  </si>
  <si>
    <t>PROCEDIMENTO DE AFERIÇÃO DE FUMAÇA PRETA</t>
  </si>
  <si>
    <t>POL 0004 - POLÍTICA DE QUALIDADE ASSISTENCIAL</t>
  </si>
  <si>
    <t>NOR - 0001 - NORMAS DE BIOSSEGURANÇA</t>
  </si>
  <si>
    <t>DIRETRIZES PARA REALIZAÇÃO DE EXAMES OCUPACIONAIS</t>
  </si>
  <si>
    <t>DIRETRIZES PARA ENTREGA DE ATESTADOS MÉDICOS E ODONTOLÓGICOS</t>
  </si>
  <si>
    <t>DIRETRIZES E ACOMPANHAMENTO  DE ACIDENTE COM MATERIAL BIOLOGICO</t>
  </si>
  <si>
    <t>DIRETRIZES PARA MONITORAMENTO DE GESTANTE</t>
  </si>
  <si>
    <t>DIRETRIZES DE IMUNIZAÇÃO OCUPACIONAL</t>
  </si>
  <si>
    <t>DIRETRIZES PARA ACOMPANHAMENTO DE AFASTADOS</t>
  </si>
  <si>
    <t>ATENDIMENTO FISIOTERÁPICO NO ESPAÇO CUIDARH</t>
  </si>
  <si>
    <t>ATENDIMENTO PSICOLÓGICO NO ESPAÇO CUIDARH</t>
  </si>
  <si>
    <t>POLÍTICA DE SAÚDE E SEGURANÇA DO TRABALHO EMSERH</t>
  </si>
  <si>
    <t>DIRETRIZES PARA COMUNICAÇÃO E INVESTIGAÇÃO DE ACIDENTES</t>
  </si>
  <si>
    <t>DIÁLOGO DE SAÚDE E SEGURANÇA - DSS</t>
  </si>
  <si>
    <t>DIRETRIZES PARA GESTÃO DE EQUIPAMENTOS DE PROTEÇÃO INDIVIDUAL - EPI'S</t>
  </si>
  <si>
    <t>CONSTITUIÇÃO INTERNA DE PREVENÇÃO DE ACIDENTES E DE ASSÉDIOS - CIPA</t>
  </si>
  <si>
    <t>GERENCIAMENTO DE RISCOS DE SAÚDE, SEGURANÇA E PROCESSOS</t>
  </si>
  <si>
    <t>PROCEDIMENTO DE INSPEÇÃO DE SEGURANÇA</t>
  </si>
  <si>
    <t>DIRETRIZES PARA ENVIO E RECEBIMENTO DE DOSÍMETRO</t>
  </si>
  <si>
    <t>DIÁRIO DE BORDO DOS TÉCNICOS DE SEGURANÇA DO TRABALHO DA EMSERH E IADVH</t>
  </si>
  <si>
    <t>PLANO DE CONTIGÊNCIA ESPAÇO CUIDAR</t>
  </si>
  <si>
    <t>PROGRAMA DE CONTROLE DE INFECÇÃO RELACIONADA À ASSISTÊNCIA À SAÚDE – CCIRAS - ASSISTÊNCIA AMBULATORIAL</t>
  </si>
  <si>
    <t>PLANO ANUAL DE SEGURANÇA DO PACIENTE - NSP</t>
  </si>
  <si>
    <t>PLANO ANUAL COMISSÃO BIOSSEGURANÇA</t>
  </si>
  <si>
    <t>PLANO ANUAL DA COMISSÃO DE REVISÃO DE PRONTUÁRIO</t>
  </si>
  <si>
    <t>PROCEDIMENTO DE ATENDIMENTO DA NUTRIÇÃO</t>
  </si>
  <si>
    <t>PROCEDIMENTO PARA ATENDIMENTO SOCIAL</t>
  </si>
  <si>
    <t>PROCEDIMENTO PARA GESTÃO DE PRONTUÁRIO</t>
  </si>
  <si>
    <t>ATENDIMENTO PSICOLÓGICO EM FOLLOW UP NO ESPAÇO CUIDAR</t>
  </si>
  <si>
    <t>PROTOCOLO DE CONSENTIMENTO INFORMADO</t>
  </si>
  <si>
    <t>PROTOCOLO DE NOTIFICAÇÃO COMPULSORIA - ESPAÇO CUIDAR/EMSERH</t>
  </si>
  <si>
    <t>PROTOCOLO PARA HIGIENIZAÇÃO DAS MÃOS</t>
  </si>
  <si>
    <t>PROTOCOLO DE PREVENÇÃO DE QUEDAS</t>
  </si>
  <si>
    <t>PROTOCOLO INSTITUCIONAL DE CONDUTA ETICA NO ATENDIMENTO MULTIPROFISSIONAL NO ESPAÇO CUIDAR</t>
  </si>
  <si>
    <t>PROTOCOLO PARA LIMPEZA DE ÁREAS E SUPERFÍCIES NO ESPAÇO CUIDAR</t>
  </si>
  <si>
    <t>PROTOCOLO DE ATENDIMENTO PSIQUIATRICO NO ESPAÇO CUIDAR DA EMSERH</t>
  </si>
  <si>
    <t>PROTOCOLO DE MANEJO DE SURTO</t>
  </si>
  <si>
    <t>PROTOCOLO DE TRANSPORTE SEGURO NO ESPAÇO CUIDAR</t>
  </si>
  <si>
    <t>PROTOCOLO DE ATENDIMENTO À PESSOA COM COMPORTAMENTO SUÍCIDA</t>
  </si>
  <si>
    <t>PROTOCOLO DE BIOSSEGURANÇA</t>
  </si>
  <si>
    <t>PROTOCOLO IDENTIFICAÇÃO E MANEJO DA EVOLUÇÃO DESFAVORÁVEL DO PACIENTE NO ESPAÇO CUIDAR</t>
  </si>
  <si>
    <t>PROTOCOLO DE DETERIORAÇÃO CLÍNICA</t>
  </si>
  <si>
    <t>PROTOCOLO DE COMUNICAÇÃO DE NOTÍCIAS DIFÍCEIS</t>
  </si>
  <si>
    <t>PROTOCOLO PARA ATENDIMENTO DO (A) ASSISTENTE SOCIAL NO AMBULATÓRIO DO ESPAÇO CUIDAR</t>
  </si>
  <si>
    <t>ROTOCOLO DE ASSISTÊNCIA NUTRICIONAL AMBULATÓRIAL PARA ADULTOS E IDOSOS COM SOBREPESO E OBESIDADE</t>
  </si>
  <si>
    <t>PROTOCOLO DE AGENDAMENTO</t>
  </si>
  <si>
    <t>PROTOCOLO DE IDENTIFICAÇÃO DE SINAIS SUSGETIVOS DE VIOLÊNCIA - ESPAÇO CUIDAR/ EMSERH</t>
  </si>
  <si>
    <t>PROTOCOLO DE IDENTIFICAÇÃO SEGURA</t>
  </si>
  <si>
    <t>PROTOCOLO DE NORMAS E ROTINAS PARA COMUNICAÇÃO DO ESTADO DE SAÚDE DO PACIENTE</t>
  </si>
  <si>
    <t>PROTOCOLO DE COMUNICAÇÃO EFETIVA EM PRÁTICAS DE SAÚDE</t>
  </si>
  <si>
    <t>PROTOCOLO DE NORMAS E ROTINAS DE ADMISSÃO, TRIAGEM E ALTA</t>
  </si>
  <si>
    <t>PROTOCOLO DE SEGURANÇA NA PRESCRIÇÃO, USO E ADMINISTRAÇÃO DE MEDICAMENTOS ESPAÇO CUIDAR</t>
  </si>
  <si>
    <t>NORMA E ROTINA DA TRANSIÇÃO DE CUIDADOS</t>
  </si>
  <si>
    <t>PROTOCOLO DE ASSISTÊNCIA FISIOTERAPÊUTICA DO ESPAÇO CUIDAR</t>
  </si>
  <si>
    <t>LEI</t>
  </si>
  <si>
    <t>LEI GERAL DE PROTEÇÃO DE DADOS - POLÍTICA E PROTEÇÃO E PRIVACIDADE DE DADOS PESSOAIS</t>
  </si>
  <si>
    <t>POL 0005</t>
  </si>
  <si>
    <t>POLÍTICA DE GESTÃO FINANCEIRA</t>
  </si>
  <si>
    <t>GOV</t>
  </si>
  <si>
    <t>GOVERNANÇA CLÍNICA NO ESPAÇO CUIDAR</t>
  </si>
  <si>
    <t>PLAN 0001</t>
  </si>
  <si>
    <t>PLANEJAMENTO ESTRATÉGICO - ESPAÇO CUIDAR</t>
  </si>
  <si>
    <t>Treinamento Obrigatório (Sim/Não)</t>
  </si>
  <si>
    <t>POP 0039</t>
  </si>
  <si>
    <t>POP 0040</t>
  </si>
  <si>
    <t>Status do Treinamento:</t>
  </si>
  <si>
    <t>Tipo</t>
  </si>
  <si>
    <t>forma</t>
  </si>
  <si>
    <t>SIM</t>
  </si>
  <si>
    <t>EM DIA</t>
  </si>
  <si>
    <t>Inicial</t>
  </si>
  <si>
    <t>NÃO</t>
  </si>
  <si>
    <t>A VENCER</t>
  </si>
  <si>
    <t>AGUARDANDO</t>
  </si>
  <si>
    <t>VENCIDO</t>
  </si>
  <si>
    <t>Emergencial</t>
  </si>
  <si>
    <t>Individual</t>
  </si>
  <si>
    <t>REPROVADO</t>
  </si>
  <si>
    <t>Coletivo</t>
  </si>
  <si>
    <t>Nome</t>
  </si>
  <si>
    <t>Treinamento</t>
  </si>
  <si>
    <t>Data</t>
  </si>
  <si>
    <t>PSICÓLOGA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</si>
</sst>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11"/>
      <color theme="1"/>
      <name val="Calibri"/>
      <charset val="134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</font>
    <font>
      <b/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11"/>
      <color theme="0"/>
      <name val="Calibri"/>
      <charset val="134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theme="1"/>
      <name val="Quattrocento Sans"/>
      <charset val="134"/>
    </font>
    <font>
      <sz val="9"/>
      <color theme="1"/>
      <name val="Arimo"/>
      <charset val="134"/>
    </font>
    <font>
      <sz val="10"/>
      <color rgb="FF000000"/>
      <name val="Calibri"/>
      <charset val="134"/>
    </font>
    <font>
      <sz val="10"/>
      <color theme="1"/>
      <name val="Calibri"/>
      <charset val="134"/>
    </font>
    <font>
      <b/>
      <sz val="9"/>
      <name val="Segoe UI"/>
      <charset val="134"/>
    </font>
    <font>
      <sz val="9"/>
      <name val="Segoe UI"/>
      <charset val="134"/>
    </font>
    <font>
      <b/>
      <sz val="9"/>
      <name val="Segoe UI"/>
      <charset val="1"/>
    </font>
    <font>
      <sz val="9"/>
      <name val="Segoe UI"/>
      <charset val="1"/>
    </font>
    <font>
      <sz val="10"/>
      <color theme="1"/>
      <name val="Calibri"/>
      <family val="2"/>
    </font>
    <font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CCC0D9"/>
        <bgColor rgb="FFCCC0D9"/>
      </patternFill>
    </fill>
    <fill>
      <patternFill patternType="solid">
        <fgColor rgb="FFFABF8F"/>
        <bgColor rgb="FFFABF8F"/>
      </patternFill>
    </fill>
    <fill>
      <patternFill patternType="solid">
        <fgColor rgb="FF92D050"/>
        <bgColor rgb="FF92D050"/>
      </patternFill>
    </fill>
    <fill>
      <patternFill patternType="solid">
        <fgColor rgb="FFBFBFBF"/>
        <bgColor rgb="FFBFBFBF"/>
      </patternFill>
    </fill>
    <fill>
      <patternFill patternType="solid">
        <fgColor rgb="FF002060"/>
        <bgColor rgb="FF002060"/>
      </patternFill>
    </fill>
    <fill>
      <patternFill patternType="solid">
        <fgColor rgb="FFC4BD97"/>
        <bgColor rgb="FFC4BD97"/>
      </patternFill>
    </fill>
    <fill>
      <patternFill patternType="solid">
        <fgColor rgb="FF92CDDC"/>
        <bgColor rgb="FF92CDDC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8F9FA"/>
        <bgColor rgb="FFF8F9FA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/>
    <xf numFmtId="0" fontId="2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14" fontId="3" fillId="0" borderId="1" xfId="0" applyNumberFormat="1" applyFont="1" applyBorder="1" applyAlignment="1">
      <alignment horizontal="center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0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1" fillId="0" borderId="3" xfId="0" applyFont="1" applyBorder="1" applyAlignment="1">
      <alignment horizontal="center" vertical="center" wrapText="1"/>
    </xf>
    <xf numFmtId="14" fontId="13" fillId="11" borderId="1" xfId="0" applyNumberFormat="1" applyFont="1" applyFill="1" applyBorder="1" applyAlignment="1">
      <alignment horizontal="center" vertical="center"/>
    </xf>
    <xf numFmtId="14" fontId="13" fillId="11" borderId="4" xfId="0" applyNumberFormat="1" applyFont="1" applyFill="1" applyBorder="1" applyAlignment="1">
      <alignment horizontal="center" vertical="center"/>
    </xf>
    <xf numFmtId="14" fontId="13" fillId="10" borderId="1" xfId="0" applyNumberFormat="1" applyFont="1" applyFill="1" applyBorder="1" applyAlignment="1">
      <alignment horizontal="center" vertical="center"/>
    </xf>
    <xf numFmtId="14" fontId="13" fillId="10" borderId="1" xfId="0" applyNumberFormat="1" applyFont="1" applyFill="1" applyBorder="1" applyAlignment="1">
      <alignment horizontal="center"/>
    </xf>
    <xf numFmtId="14" fontId="13" fillId="10" borderId="4" xfId="0" applyNumberFormat="1" applyFont="1" applyFill="1" applyBorder="1" applyAlignment="1">
      <alignment horizontal="center" vertical="center"/>
    </xf>
    <xf numFmtId="14" fontId="13" fillId="10" borderId="4" xfId="0" applyNumberFormat="1" applyFont="1" applyFill="1" applyBorder="1" applyAlignment="1">
      <alignment horizontal="center"/>
    </xf>
    <xf numFmtId="14" fontId="13" fillId="10" borderId="5" xfId="0" applyNumberFormat="1" applyFont="1" applyFill="1" applyBorder="1" applyAlignment="1">
      <alignment horizontal="center"/>
    </xf>
    <xf numFmtId="0" fontId="14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/>
    </xf>
    <xf numFmtId="0" fontId="11" fillId="10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13" fillId="11" borderId="6" xfId="0" applyNumberFormat="1" applyFont="1" applyFill="1" applyBorder="1" applyAlignment="1">
      <alignment horizontal="center" vertical="center"/>
    </xf>
    <xf numFmtId="14" fontId="13" fillId="10" borderId="6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DB3E2"/>
  </sheetPr>
  <dimension ref="A1:T2742"/>
  <sheetViews>
    <sheetView tabSelected="1" zoomScale="70" zoomScaleNormal="70" workbookViewId="0">
      <pane xSplit="3" ySplit="1" topLeftCell="D20" activePane="bottomRight" state="frozen"/>
      <selection pane="topRight"/>
      <selection pane="bottomLeft"/>
      <selection pane="bottomRight" activeCell="H2248" sqref="H2248"/>
    </sheetView>
  </sheetViews>
  <sheetFormatPr defaultColWidth="14.44140625" defaultRowHeight="15" customHeight="1"/>
  <cols>
    <col min="1" max="1" width="11.77734375" customWidth="1"/>
    <col min="2" max="2" width="9.6640625" customWidth="1"/>
    <col min="3" max="3" width="40.6640625" customWidth="1"/>
    <col min="4" max="4" width="27" customWidth="1"/>
    <col min="5" max="5" width="36.77734375" customWidth="1"/>
    <col min="6" max="6" width="14.44140625" customWidth="1"/>
    <col min="7" max="7" width="73.109375" customWidth="1"/>
    <col min="8" max="9" width="17.44140625" customWidth="1"/>
    <col min="10" max="10" width="11.88671875" customWidth="1"/>
    <col min="11" max="11" width="15.5546875" customWidth="1"/>
    <col min="12" max="12" width="15.88671875" customWidth="1"/>
    <col min="13" max="13" width="34.6640625" customWidth="1"/>
    <col min="14" max="14" width="16" customWidth="1"/>
    <col min="15" max="15" width="16.5546875" customWidth="1"/>
    <col min="16" max="18" width="18.44140625" customWidth="1"/>
    <col min="19" max="20" width="15.33203125" customWidth="1"/>
  </cols>
  <sheetData>
    <row r="1" spans="1:20" ht="42" customHeight="1">
      <c r="A1" s="18" t="s">
        <v>0</v>
      </c>
      <c r="B1" s="19" t="s">
        <v>1</v>
      </c>
      <c r="C1" s="20" t="s">
        <v>2</v>
      </c>
      <c r="D1" s="19" t="s">
        <v>3</v>
      </c>
      <c r="E1" s="19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6" t="s">
        <v>11</v>
      </c>
      <c r="M1" s="26" t="s">
        <v>12</v>
      </c>
      <c r="N1" s="26" t="s">
        <v>13</v>
      </c>
      <c r="O1" s="27" t="s">
        <v>14</v>
      </c>
      <c r="P1" s="27" t="s">
        <v>15</v>
      </c>
      <c r="Q1" s="30" t="s">
        <v>16</v>
      </c>
      <c r="R1" s="30"/>
      <c r="S1" s="26" t="s">
        <v>17</v>
      </c>
      <c r="T1" s="26" t="s">
        <v>18</v>
      </c>
    </row>
    <row r="2" spans="1:20" ht="14.25" customHeight="1">
      <c r="A2" s="22">
        <v>1</v>
      </c>
      <c r="B2" s="23">
        <v>14785</v>
      </c>
      <c r="C2" s="22" t="str">
        <f>IFERROR(VLOOKUP(B2,Colaboradores!A:D,2,),"")</f>
        <v>ROSEANE CUSTODIO LIMA</v>
      </c>
      <c r="D2" s="22" t="str">
        <f>IFERROR(VLOOKUP(B2,Colaboradores!A:D,3,),"")</f>
        <v>REGIONAL CENTRAL</v>
      </c>
      <c r="E2" s="22" t="str">
        <f>IFERROR(VLOOKUP(B2,Colaboradores!A:D,4,),"")</f>
        <v>ASSISTENTE DE MEIO AMBIENTE</v>
      </c>
      <c r="F2" s="22" t="s">
        <v>19</v>
      </c>
      <c r="G2" s="24" t="str">
        <f>IFERROR(VLOOKUP(F2,Procedimentos!A:C,2,),"")</f>
        <v>DIRETRIZES PARA DOCUMENTOS NORMATIVOS</v>
      </c>
      <c r="H2" s="25"/>
      <c r="I2" s="25">
        <v>45860</v>
      </c>
      <c r="J2" s="22">
        <v>12</v>
      </c>
      <c r="K2" s="25">
        <f>IF(AND(I2&lt;&gt;"",J2&lt;&gt;""),DATE(YEAR(I2),MONTH(I2)+J2,DAY(I2)),"")</f>
        <v>46225</v>
      </c>
      <c r="L2" s="28" t="str">
        <f t="shared" ref="L2:L64" ca="1" si="0">IF(K2="","",IF(K2&lt;TODAY(),"Vencido",IF(K2&lt;=TODAY()+30,"A vencer","Em dia")))</f>
        <v>Em dia</v>
      </c>
      <c r="M2" s="22" t="s">
        <v>20</v>
      </c>
      <c r="N2" s="28" t="s">
        <v>21</v>
      </c>
      <c r="O2" s="29" t="s">
        <v>22</v>
      </c>
      <c r="P2" s="25">
        <f>EDATE(I2,3)</f>
        <v>45952</v>
      </c>
      <c r="Q2" s="25"/>
      <c r="R2" s="25"/>
      <c r="S2" s="28" t="s">
        <v>23</v>
      </c>
      <c r="T2" s="28">
        <v>1</v>
      </c>
    </row>
    <row r="3" spans="1:20" ht="14.25" customHeight="1">
      <c r="A3" s="22">
        <v>2</v>
      </c>
      <c r="B3" s="22">
        <v>14767</v>
      </c>
      <c r="C3" s="22" t="str">
        <f>IFERROR(VLOOKUP(B3,Colaboradores!A:D,2,),"")</f>
        <v>CAIO VINICIUS PEREIRA DO NASCIMENTO</v>
      </c>
      <c r="D3" s="22" t="str">
        <f>IFERROR(VLOOKUP(B3,Colaboradores!A:D,3,),"")</f>
        <v>REGIONAL SUL</v>
      </c>
      <c r="E3" s="22" t="str">
        <f>IFERROR(VLOOKUP(B3,Colaboradores!A:D,4,),"")</f>
        <v>TÉCNICO DE MEIO AMBIENTE</v>
      </c>
      <c r="F3" s="22" t="s">
        <v>19</v>
      </c>
      <c r="G3" s="24" t="str">
        <f>IFERROR(VLOOKUP(F3,Procedimentos!A:C,2,),"")</f>
        <v>DIRETRIZES PARA DOCUMENTOS NORMATIVOS</v>
      </c>
      <c r="H3" s="25"/>
      <c r="I3" s="25">
        <v>45860</v>
      </c>
      <c r="J3" s="22">
        <v>12</v>
      </c>
      <c r="K3" s="25">
        <f t="shared" ref="K3:K66" si="1">IF(AND(I3&lt;&gt;"",J3&lt;&gt;""),DATE(YEAR(I3),MONTH(I3)+J3,DAY(I3)),"")</f>
        <v>46225</v>
      </c>
      <c r="L3" s="28" t="str">
        <f t="shared" ca="1" si="0"/>
        <v>Em dia</v>
      </c>
      <c r="M3" s="22" t="s">
        <v>20</v>
      </c>
      <c r="N3" s="28" t="s">
        <v>21</v>
      </c>
      <c r="O3" s="29" t="s">
        <v>22</v>
      </c>
      <c r="P3" s="25">
        <f t="shared" ref="P3:P226" si="2">EDATE(I3,3)</f>
        <v>45952</v>
      </c>
      <c r="Q3" s="25"/>
      <c r="R3" s="25"/>
      <c r="S3" s="28" t="s">
        <v>23</v>
      </c>
      <c r="T3" s="28">
        <v>1</v>
      </c>
    </row>
    <row r="4" spans="1:20" ht="14.25" customHeight="1">
      <c r="A4" s="22">
        <v>4</v>
      </c>
      <c r="B4" s="22">
        <v>14354</v>
      </c>
      <c r="C4" s="22" t="str">
        <f>IFERROR(VLOOKUP(B4,Colaboradores!A:D,2,),"")</f>
        <v>JOSE CLEITON SILVA DE OLIVEIRA</v>
      </c>
      <c r="D4" s="22" t="str">
        <f>IFERROR(VLOOKUP(B4,Colaboradores!A:D,3,),"")</f>
        <v>REGIONAL CENTRAL</v>
      </c>
      <c r="E4" s="22" t="str">
        <f>IFERROR(VLOOKUP(B4,Colaboradores!A:D,4,),"")</f>
        <v>TÉCNICO DE SEGURANÇA DO TRABALHO</v>
      </c>
      <c r="F4" s="22" t="s">
        <v>19</v>
      </c>
      <c r="G4" s="24" t="str">
        <f>IFERROR(VLOOKUP(F4,Procedimentos!A:C,2,),"")</f>
        <v>DIRETRIZES PARA DOCUMENTOS NORMATIVOS</v>
      </c>
      <c r="H4" s="25"/>
      <c r="I4" s="25">
        <v>45860</v>
      </c>
      <c r="J4" s="22">
        <v>12</v>
      </c>
      <c r="K4" s="25">
        <f t="shared" si="1"/>
        <v>46225</v>
      </c>
      <c r="L4" s="28" t="str">
        <f t="shared" ca="1" si="0"/>
        <v>Em dia</v>
      </c>
      <c r="M4" s="22" t="s">
        <v>20</v>
      </c>
      <c r="N4" s="28" t="s">
        <v>21</v>
      </c>
      <c r="O4" s="29" t="s">
        <v>22</v>
      </c>
      <c r="P4" s="25">
        <f t="shared" si="2"/>
        <v>45952</v>
      </c>
      <c r="Q4" s="25"/>
      <c r="R4" s="25"/>
      <c r="S4" s="28" t="s">
        <v>23</v>
      </c>
      <c r="T4" s="28">
        <v>1</v>
      </c>
    </row>
    <row r="5" spans="1:20" ht="14.25" customHeight="1">
      <c r="A5" s="22">
        <v>5</v>
      </c>
      <c r="B5" s="22">
        <v>13822</v>
      </c>
      <c r="C5" s="22" t="str">
        <f>IFERROR(VLOOKUP(B5,Colaboradores!A:D,2,),"")</f>
        <v>JULIANA DE CASTRO ALMEIDA</v>
      </c>
      <c r="D5" s="22" t="str">
        <f>IFERROR(VLOOKUP(B5,Colaboradores!A:D,3,),"")</f>
        <v>REGIONAL CENTRAL</v>
      </c>
      <c r="E5" s="22" t="str">
        <f>IFERROR(VLOOKUP(B5,Colaboradores!A:D,4,),"")</f>
        <v>COORDENADOR DE SSMA</v>
      </c>
      <c r="F5" s="22" t="s">
        <v>19</v>
      </c>
      <c r="G5" s="24" t="str">
        <f>IFERROR(VLOOKUP(F5,Procedimentos!A:C,2,),"")</f>
        <v>DIRETRIZES PARA DOCUMENTOS NORMATIVOS</v>
      </c>
      <c r="H5" s="25"/>
      <c r="I5" s="25">
        <v>45860</v>
      </c>
      <c r="J5" s="22">
        <v>12</v>
      </c>
      <c r="K5" s="25">
        <f t="shared" si="1"/>
        <v>46225</v>
      </c>
      <c r="L5" s="28" t="str">
        <f t="shared" ca="1" si="0"/>
        <v>Em dia</v>
      </c>
      <c r="M5" s="22" t="s">
        <v>20</v>
      </c>
      <c r="N5" s="28" t="s">
        <v>21</v>
      </c>
      <c r="O5" s="29" t="s">
        <v>22</v>
      </c>
      <c r="P5" s="25">
        <f>EDATE(I5,3)</f>
        <v>45952</v>
      </c>
      <c r="Q5" s="25"/>
      <c r="R5" s="25"/>
      <c r="S5" s="28" t="s">
        <v>23</v>
      </c>
      <c r="T5" s="28">
        <v>1</v>
      </c>
    </row>
    <row r="6" spans="1:20" ht="14.25" customHeight="1">
      <c r="A6" s="22">
        <v>6</v>
      </c>
      <c r="B6" s="1">
        <v>15134</v>
      </c>
      <c r="C6" s="22" t="str">
        <f>IFERROR(VLOOKUP(B6,Colaboradores!A:D,2,),"")</f>
        <v>ADRIANE MENDES ROSA</v>
      </c>
      <c r="D6" s="22" t="str">
        <f>IFERROR(VLOOKUP(B6,Colaboradores!A:D,3,),"")</f>
        <v>REGIONAL CENTRAL</v>
      </c>
      <c r="E6" s="22" t="str">
        <f>IFERROR(VLOOKUP(B6,Colaboradores!A:D,4,),"")</f>
        <v>ENFERMEIRA DO TRABALHO</v>
      </c>
      <c r="F6" s="22" t="s">
        <v>19</v>
      </c>
      <c r="G6" s="24" t="str">
        <f>IFERROR(VLOOKUP(F6,Procedimentos!A:C,2,),"")</f>
        <v>DIRETRIZES PARA DOCUMENTOS NORMATIVOS</v>
      </c>
      <c r="H6" s="25"/>
      <c r="I6" s="25">
        <v>45860</v>
      </c>
      <c r="J6" s="22">
        <v>12</v>
      </c>
      <c r="K6" s="25">
        <f t="shared" si="1"/>
        <v>46225</v>
      </c>
      <c r="L6" s="28" t="str">
        <f ca="1">IF(K6="","",IF(K6&lt;TODAY(),"Vencido",IF(K6&lt;=TODAY()+30,"A vencer","Em dia")))</f>
        <v>Em dia</v>
      </c>
      <c r="M6" s="22" t="s">
        <v>20</v>
      </c>
      <c r="N6" s="28" t="s">
        <v>21</v>
      </c>
      <c r="O6" s="29" t="s">
        <v>22</v>
      </c>
      <c r="P6" s="25">
        <f t="shared" si="2"/>
        <v>45952</v>
      </c>
      <c r="Q6" s="25"/>
      <c r="R6" s="25"/>
      <c r="S6" s="28" t="s">
        <v>23</v>
      </c>
      <c r="T6" s="28">
        <v>1</v>
      </c>
    </row>
    <row r="7" spans="1:20" ht="14.25" customHeight="1">
      <c r="A7" s="22">
        <v>7</v>
      </c>
      <c r="B7" s="23">
        <v>15042</v>
      </c>
      <c r="C7" s="22" t="str">
        <f>IFERROR(VLOOKUP(B7,Colaboradores!A:D,2,),"")</f>
        <v>MARIANA CRISTINA FEITOSA SANTOS</v>
      </c>
      <c r="D7" s="22" t="str">
        <f>IFERROR(VLOOKUP(B7,Colaboradores!A:D,3,),"")</f>
        <v>REGIONAL SUL</v>
      </c>
      <c r="E7" s="22" t="str">
        <f>IFERROR(VLOOKUP(B7,Colaboradores!A:D,4,),"")</f>
        <v>TÉCNICA DE SEGURANÇA DO TRABALHO</v>
      </c>
      <c r="F7" s="22" t="s">
        <v>19</v>
      </c>
      <c r="G7" s="24" t="str">
        <f>IFERROR(VLOOKUP(F7,Procedimentos!A:C,2,),"")</f>
        <v>DIRETRIZES PARA DOCUMENTOS NORMATIVOS</v>
      </c>
      <c r="H7" s="25"/>
      <c r="I7" s="25">
        <v>45860</v>
      </c>
      <c r="J7" s="22">
        <v>12</v>
      </c>
      <c r="K7" s="25">
        <f t="shared" si="1"/>
        <v>46225</v>
      </c>
      <c r="L7" s="28" t="str">
        <f t="shared" ca="1" si="0"/>
        <v>Em dia</v>
      </c>
      <c r="M7" s="22" t="s">
        <v>20</v>
      </c>
      <c r="N7" s="28" t="s">
        <v>21</v>
      </c>
      <c r="O7" s="29" t="s">
        <v>22</v>
      </c>
      <c r="P7" s="25">
        <f t="shared" si="2"/>
        <v>45952</v>
      </c>
      <c r="Q7" s="25"/>
      <c r="R7" s="25"/>
      <c r="S7" s="28" t="s">
        <v>23</v>
      </c>
      <c r="T7" s="28">
        <v>1</v>
      </c>
    </row>
    <row r="8" spans="1:20" ht="14.25" customHeight="1">
      <c r="A8" s="22">
        <v>8</v>
      </c>
      <c r="B8" s="22">
        <v>14321</v>
      </c>
      <c r="C8" s="22" t="str">
        <f>IFERROR(VLOOKUP(B8,Colaboradores!A:D,2,),"")</f>
        <v>LAYANA KARINE SILVA BARBOSA</v>
      </c>
      <c r="D8" s="22" t="str">
        <f>IFERROR(VLOOKUP(B8,Colaboradores!A:D,3,),"")</f>
        <v>REGIONAL SUL</v>
      </c>
      <c r="E8" s="22" t="str">
        <f>IFERROR(VLOOKUP(B8,Colaboradores!A:D,4,),"")</f>
        <v>ASSISTENTE ADMINISTRATIVO</v>
      </c>
      <c r="F8" s="22" t="s">
        <v>19</v>
      </c>
      <c r="G8" s="24" t="str">
        <f>IFERROR(VLOOKUP(F8,Procedimentos!A:C,2,),"")</f>
        <v>DIRETRIZES PARA DOCUMENTOS NORMATIVOS</v>
      </c>
      <c r="H8" s="25"/>
      <c r="I8" s="25">
        <v>45860</v>
      </c>
      <c r="J8" s="22">
        <v>12</v>
      </c>
      <c r="K8" s="25">
        <f t="shared" si="1"/>
        <v>46225</v>
      </c>
      <c r="L8" s="28" t="str">
        <f t="shared" ca="1" si="0"/>
        <v>Em dia</v>
      </c>
      <c r="M8" s="22" t="s">
        <v>20</v>
      </c>
      <c r="N8" s="28" t="s">
        <v>21</v>
      </c>
      <c r="O8" s="29" t="s">
        <v>22</v>
      </c>
      <c r="P8" s="25">
        <f t="shared" si="2"/>
        <v>45952</v>
      </c>
      <c r="Q8" s="25"/>
      <c r="R8" s="25"/>
      <c r="S8" s="28" t="s">
        <v>23</v>
      </c>
      <c r="T8" s="28">
        <v>1</v>
      </c>
    </row>
    <row r="9" spans="1:20" ht="14.25" customHeight="1">
      <c r="A9" s="22">
        <v>9</v>
      </c>
      <c r="B9" s="22">
        <v>15100</v>
      </c>
      <c r="C9" s="22" t="str">
        <f>IFERROR(VLOOKUP(B9,Colaboradores!A:D,2,),"")</f>
        <v>JONATHAN SILVA ALVES</v>
      </c>
      <c r="D9" s="22" t="str">
        <f>IFERROR(VLOOKUP(B9,Colaboradores!A:D,3,),"")</f>
        <v>REGIONAL SUL</v>
      </c>
      <c r="E9" s="22" t="str">
        <f>IFERROR(VLOOKUP(B9,Colaboradores!A:D,4,),"")</f>
        <v>COORDENADOR DE SSMA</v>
      </c>
      <c r="F9" s="22" t="s">
        <v>19</v>
      </c>
      <c r="G9" s="24" t="str">
        <f>IFERROR(VLOOKUP(F9,Procedimentos!A:C,2,),"")</f>
        <v>DIRETRIZES PARA DOCUMENTOS NORMATIVOS</v>
      </c>
      <c r="H9" s="25"/>
      <c r="I9" s="25">
        <v>45860</v>
      </c>
      <c r="J9" s="22">
        <v>12</v>
      </c>
      <c r="K9" s="25">
        <f t="shared" si="1"/>
        <v>46225</v>
      </c>
      <c r="L9" s="28" t="str">
        <f t="shared" ca="1" si="0"/>
        <v>Em dia</v>
      </c>
      <c r="M9" s="22" t="s">
        <v>20</v>
      </c>
      <c r="N9" s="28" t="s">
        <v>21</v>
      </c>
      <c r="O9" s="29" t="s">
        <v>22</v>
      </c>
      <c r="P9" s="25">
        <f t="shared" si="2"/>
        <v>45952</v>
      </c>
      <c r="Q9" s="25"/>
      <c r="R9" s="25"/>
      <c r="S9" s="28" t="s">
        <v>23</v>
      </c>
      <c r="T9" s="28">
        <v>1</v>
      </c>
    </row>
    <row r="10" spans="1:20" ht="14.25" customHeight="1">
      <c r="A10" s="22">
        <v>10</v>
      </c>
      <c r="B10" s="22">
        <v>15059</v>
      </c>
      <c r="C10" s="22" t="str">
        <f>IFERROR(VLOOKUP(B10,Colaboradores!A:D,2,),"")</f>
        <v>GUILHERME LEÃO DOS SANTOS</v>
      </c>
      <c r="D10" s="22" t="str">
        <f>IFERROR(VLOOKUP(B10,Colaboradores!A:D,3,),"")</f>
        <v>SAÚDE OCUPACIONAL</v>
      </c>
      <c r="E10" s="22" t="str">
        <f>IFERROR(VLOOKUP(B10,Colaboradores!A:D,4,),"")</f>
        <v>ASSISTENTE ADMINISTRATIVO</v>
      </c>
      <c r="F10" s="22" t="s">
        <v>19</v>
      </c>
      <c r="G10" s="24" t="str">
        <f>IFERROR(VLOOKUP(F10,Procedimentos!A:C,2,),"")</f>
        <v>DIRETRIZES PARA DOCUMENTOS NORMATIVOS</v>
      </c>
      <c r="H10" s="25"/>
      <c r="I10" s="25">
        <v>45861</v>
      </c>
      <c r="J10" s="22">
        <v>12</v>
      </c>
      <c r="K10" s="25">
        <f t="shared" si="1"/>
        <v>46226</v>
      </c>
      <c r="L10" s="28" t="str">
        <f t="shared" ca="1" si="0"/>
        <v>Em dia</v>
      </c>
      <c r="M10" s="22" t="s">
        <v>20</v>
      </c>
      <c r="N10" s="28" t="s">
        <v>21</v>
      </c>
      <c r="O10" s="29" t="s">
        <v>22</v>
      </c>
      <c r="P10" s="25">
        <f t="shared" si="2"/>
        <v>45953</v>
      </c>
      <c r="Q10" s="25"/>
      <c r="R10" s="25"/>
      <c r="S10" s="28" t="s">
        <v>23</v>
      </c>
      <c r="T10" s="28">
        <v>1</v>
      </c>
    </row>
    <row r="11" spans="1:20" ht="14.25" customHeight="1">
      <c r="A11" s="22">
        <v>11</v>
      </c>
      <c r="B11" s="22">
        <v>7147</v>
      </c>
      <c r="C11" s="22" t="str">
        <f>IFERROR(VLOOKUP(B11,Colaboradores!A:D,2,),"")</f>
        <v>MAIARA MONTEIRO MARQUES CASTELO BRANCO</v>
      </c>
      <c r="D11" s="22" t="str">
        <f>IFERROR(VLOOKUP(B11,Colaboradores!A:D,3,),"")</f>
        <v>SAÚDE OCUPACIONAL</v>
      </c>
      <c r="E11" s="22" t="str">
        <f>IFERROR(VLOOKUP(B11,Colaboradores!A:D,4,),"")</f>
        <v>PSICÓLOGA</v>
      </c>
      <c r="F11" s="22" t="s">
        <v>19</v>
      </c>
      <c r="G11" s="24" t="str">
        <f>IFERROR(VLOOKUP(F11,Procedimentos!A:C,2,),"")</f>
        <v>DIRETRIZES PARA DOCUMENTOS NORMATIVOS</v>
      </c>
      <c r="H11" s="25"/>
      <c r="I11" s="25">
        <v>45861</v>
      </c>
      <c r="J11" s="22">
        <v>12</v>
      </c>
      <c r="K11" s="25">
        <f t="shared" si="1"/>
        <v>46226</v>
      </c>
      <c r="L11" s="28" t="str">
        <f t="shared" ca="1" si="0"/>
        <v>Em dia</v>
      </c>
      <c r="M11" s="22" t="s">
        <v>20</v>
      </c>
      <c r="N11" s="28" t="s">
        <v>21</v>
      </c>
      <c r="O11" s="29" t="s">
        <v>22</v>
      </c>
      <c r="P11" s="25">
        <f t="shared" si="2"/>
        <v>45953</v>
      </c>
      <c r="Q11" s="25"/>
      <c r="R11" s="25"/>
      <c r="S11" s="28" t="s">
        <v>23</v>
      </c>
      <c r="T11" s="28">
        <v>1</v>
      </c>
    </row>
    <row r="12" spans="1:20" ht="14.25" customHeight="1">
      <c r="A12" s="22">
        <v>12</v>
      </c>
      <c r="B12" s="22">
        <v>14499</v>
      </c>
      <c r="C12" s="22" t="str">
        <f>IFERROR(VLOOKUP(B12,Colaboradores!A:D,2,),"")</f>
        <v>SAMIRIS COSTA DA SILVA</v>
      </c>
      <c r="D12" s="22" t="str">
        <f>IFERROR(VLOOKUP(B12,Colaboradores!A:D,3,),"")</f>
        <v>SAÚDE OCUPACIONAL</v>
      </c>
      <c r="E12" s="22" t="str">
        <f>IFERROR(VLOOKUP(B12,Colaboradores!A:D,4,),"")</f>
        <v>PSICÓLOGA</v>
      </c>
      <c r="F12" s="22" t="s">
        <v>19</v>
      </c>
      <c r="G12" s="24" t="str">
        <f>IFERROR(VLOOKUP(F12,Procedimentos!A:C,2,),"")</f>
        <v>DIRETRIZES PARA DOCUMENTOS NORMATIVOS</v>
      </c>
      <c r="H12" s="25"/>
      <c r="I12" s="25">
        <v>45861</v>
      </c>
      <c r="J12" s="22">
        <v>12</v>
      </c>
      <c r="K12" s="25">
        <f t="shared" si="1"/>
        <v>46226</v>
      </c>
      <c r="L12" s="28" t="str">
        <f t="shared" ca="1" si="0"/>
        <v>Em dia</v>
      </c>
      <c r="M12" s="22" t="s">
        <v>20</v>
      </c>
      <c r="N12" s="28" t="s">
        <v>21</v>
      </c>
      <c r="O12" s="29" t="s">
        <v>22</v>
      </c>
      <c r="P12" s="25">
        <f t="shared" si="2"/>
        <v>45953</v>
      </c>
      <c r="Q12" s="25"/>
      <c r="R12" s="25"/>
      <c r="S12" s="28" t="s">
        <v>23</v>
      </c>
      <c r="T12" s="28">
        <v>1</v>
      </c>
    </row>
    <row r="13" spans="1:20" ht="14.25" customHeight="1">
      <c r="A13" s="22">
        <v>13</v>
      </c>
      <c r="B13" s="22">
        <v>14083</v>
      </c>
      <c r="C13" s="22" t="str">
        <f>IFERROR(VLOOKUP(B13,Colaboradores!A:D,2,),"")</f>
        <v>TAHYNAN FREITAS SILVA COSTA</v>
      </c>
      <c r="D13" s="22" t="str">
        <f>IFERROR(VLOOKUP(B13,Colaboradores!A:D,3,),"")</f>
        <v>SAÚDE OCUPACIONAL</v>
      </c>
      <c r="E13" s="22" t="str">
        <f>IFERROR(VLOOKUP(B13,Colaboradores!A:D,4,),"")</f>
        <v>TÉCNICO DE ENFERMAGEM DO TRABALHO</v>
      </c>
      <c r="F13" s="22" t="s">
        <v>19</v>
      </c>
      <c r="G13" s="24" t="str">
        <f>IFERROR(VLOOKUP(F13,Procedimentos!A:C,2,),"")</f>
        <v>DIRETRIZES PARA DOCUMENTOS NORMATIVOS</v>
      </c>
      <c r="H13" s="25"/>
      <c r="I13" s="25">
        <v>45861</v>
      </c>
      <c r="J13" s="22">
        <v>12</v>
      </c>
      <c r="K13" s="25">
        <f t="shared" si="1"/>
        <v>46226</v>
      </c>
      <c r="L13" s="28" t="str">
        <f t="shared" ca="1" si="0"/>
        <v>Em dia</v>
      </c>
      <c r="M13" s="22" t="s">
        <v>20</v>
      </c>
      <c r="N13" s="28" t="s">
        <v>21</v>
      </c>
      <c r="O13" s="29" t="s">
        <v>22</v>
      </c>
      <c r="P13" s="25">
        <f t="shared" si="2"/>
        <v>45953</v>
      </c>
      <c r="Q13" s="25"/>
      <c r="R13" s="25"/>
      <c r="S13" s="28" t="s">
        <v>23</v>
      </c>
      <c r="T13" s="28">
        <v>1</v>
      </c>
    </row>
    <row r="14" spans="1:20" ht="14.25" customHeight="1">
      <c r="A14" s="22">
        <v>14</v>
      </c>
      <c r="B14" s="22">
        <v>12330</v>
      </c>
      <c r="C14" s="22" t="str">
        <f>IFERROR(VLOOKUP(B14,Colaboradores!A:D,2,),"")</f>
        <v>BIANCA GUEDES SILVA ALMEIDA</v>
      </c>
      <c r="D14" s="22" t="str">
        <f>IFERROR(VLOOKUP(B14,Colaboradores!A:D,3,),"")</f>
        <v>SAÚDE OCUPACIONAL</v>
      </c>
      <c r="E14" s="22" t="str">
        <f>IFERROR(VLOOKUP(B14,Colaboradores!A:D,4,),"")</f>
        <v>NUTRICIONISTA</v>
      </c>
      <c r="F14" s="22" t="s">
        <v>19</v>
      </c>
      <c r="G14" s="24" t="str">
        <f>IFERROR(VLOOKUP(F14,Procedimentos!A:C,2,),"")</f>
        <v>DIRETRIZES PARA DOCUMENTOS NORMATIVOS</v>
      </c>
      <c r="H14" s="25"/>
      <c r="I14" s="25">
        <v>45861</v>
      </c>
      <c r="J14" s="22">
        <v>12</v>
      </c>
      <c r="K14" s="25">
        <f t="shared" si="1"/>
        <v>46226</v>
      </c>
      <c r="L14" s="28" t="str">
        <f t="shared" ca="1" si="0"/>
        <v>Em dia</v>
      </c>
      <c r="M14" s="22" t="s">
        <v>20</v>
      </c>
      <c r="N14" s="28" t="s">
        <v>21</v>
      </c>
      <c r="O14" s="29" t="s">
        <v>22</v>
      </c>
      <c r="P14" s="25">
        <f t="shared" si="2"/>
        <v>45953</v>
      </c>
      <c r="Q14" s="25"/>
      <c r="R14" s="25"/>
      <c r="S14" s="28" t="s">
        <v>23</v>
      </c>
      <c r="T14" s="28">
        <v>1</v>
      </c>
    </row>
    <row r="15" spans="1:20" ht="14.25" customHeight="1">
      <c r="A15" s="22">
        <v>15</v>
      </c>
      <c r="B15" s="22">
        <v>12684</v>
      </c>
      <c r="C15" s="22" t="str">
        <f>IFERROR(VLOOKUP(B15,Colaboradores!A:D,2,),"")</f>
        <v>JACIARA VIEIRA DA CRUZ DE AGUIAR</v>
      </c>
      <c r="D15" s="22" t="str">
        <f>IFERROR(VLOOKUP(B15,Colaboradores!A:D,3,),"")</f>
        <v>MEIO AMBIENTE</v>
      </c>
      <c r="E15" s="22" t="str">
        <f>IFERROR(VLOOKUP(B15,Colaboradores!A:D,4,),"")</f>
        <v>GERENTE DE MEIO AMBIENTE</v>
      </c>
      <c r="F15" s="22" t="s">
        <v>19</v>
      </c>
      <c r="G15" s="24" t="str">
        <f>IFERROR(VLOOKUP(F15,Procedimentos!A:C,2,),"")</f>
        <v>DIRETRIZES PARA DOCUMENTOS NORMATIVOS</v>
      </c>
      <c r="H15" s="25"/>
      <c r="I15" s="25">
        <v>45861</v>
      </c>
      <c r="J15" s="22">
        <v>12</v>
      </c>
      <c r="K15" s="25">
        <f t="shared" si="1"/>
        <v>46226</v>
      </c>
      <c r="L15" s="28" t="str">
        <f t="shared" ca="1" si="0"/>
        <v>Em dia</v>
      </c>
      <c r="M15" s="22" t="s">
        <v>20</v>
      </c>
      <c r="N15" s="28" t="s">
        <v>21</v>
      </c>
      <c r="O15" s="29" t="s">
        <v>22</v>
      </c>
      <c r="P15" s="25">
        <f t="shared" si="2"/>
        <v>45953</v>
      </c>
      <c r="Q15" s="25"/>
      <c r="R15" s="25"/>
      <c r="S15" s="28" t="s">
        <v>23</v>
      </c>
      <c r="T15" s="28">
        <v>1</v>
      </c>
    </row>
    <row r="16" spans="1:20" ht="14.25" customHeight="1">
      <c r="A16" s="22">
        <v>16</v>
      </c>
      <c r="B16" s="23">
        <v>14785</v>
      </c>
      <c r="C16" s="22" t="str">
        <f>IFERROR(VLOOKUP(B16,Colaboradores!A:D,2,),"")</f>
        <v>ROSEANE CUSTODIO LIMA</v>
      </c>
      <c r="D16" s="22" t="str">
        <f>IFERROR(VLOOKUP(B16,Colaboradores!A:D,3,),"")</f>
        <v>REGIONAL CENTRAL</v>
      </c>
      <c r="E16" s="22" t="str">
        <f>IFERROR(VLOOKUP(B16,Colaboradores!A:D,4,),"")</f>
        <v>ASSISTENTE DE MEIO AMBIENTE</v>
      </c>
      <c r="F16" s="22" t="s">
        <v>24</v>
      </c>
      <c r="G16" s="24" t="str">
        <f>IFERROR(VLOOKUP(F16,Procedimentos!A:C,2,),"")</f>
        <v>DIRETRIZES  PARA PROGRAMA 5S</v>
      </c>
      <c r="H16" s="25"/>
      <c r="I16" s="25">
        <v>45860</v>
      </c>
      <c r="J16" s="22">
        <v>12</v>
      </c>
      <c r="K16" s="25">
        <f t="shared" si="1"/>
        <v>46225</v>
      </c>
      <c r="L16" s="28" t="str">
        <f t="shared" ca="1" si="0"/>
        <v>Em dia</v>
      </c>
      <c r="M16" s="22" t="s">
        <v>20</v>
      </c>
      <c r="N16" s="28" t="s">
        <v>21</v>
      </c>
      <c r="O16" s="29" t="s">
        <v>22</v>
      </c>
      <c r="P16" s="25">
        <f t="shared" si="2"/>
        <v>45952</v>
      </c>
      <c r="Q16" s="25"/>
      <c r="R16" s="25"/>
      <c r="S16" s="28" t="s">
        <v>23</v>
      </c>
      <c r="T16" s="28">
        <v>1</v>
      </c>
    </row>
    <row r="17" spans="1:20" ht="14.25" customHeight="1">
      <c r="A17" s="22">
        <v>17</v>
      </c>
      <c r="B17" s="22">
        <v>14767</v>
      </c>
      <c r="C17" s="22" t="str">
        <f>IFERROR(VLOOKUP(B17,Colaboradores!A:D,2,),"")</f>
        <v>CAIO VINICIUS PEREIRA DO NASCIMENTO</v>
      </c>
      <c r="D17" s="22" t="str">
        <f>IFERROR(VLOOKUP(B17,Colaboradores!A:D,3,),"")</f>
        <v>REGIONAL SUL</v>
      </c>
      <c r="E17" s="22" t="str">
        <f>IFERROR(VLOOKUP(B17,Colaboradores!A:D,4,),"")</f>
        <v>TÉCNICO DE MEIO AMBIENTE</v>
      </c>
      <c r="F17" s="22" t="s">
        <v>24</v>
      </c>
      <c r="G17" s="24" t="str">
        <f>IFERROR(VLOOKUP(F17,Procedimentos!A:C,2,),"")</f>
        <v>DIRETRIZES  PARA PROGRAMA 5S</v>
      </c>
      <c r="H17" s="25"/>
      <c r="I17" s="25">
        <v>45860</v>
      </c>
      <c r="J17" s="22">
        <v>12</v>
      </c>
      <c r="K17" s="25">
        <f t="shared" si="1"/>
        <v>46225</v>
      </c>
      <c r="L17" s="28" t="str">
        <f t="shared" ca="1" si="0"/>
        <v>Em dia</v>
      </c>
      <c r="M17" s="22" t="s">
        <v>20</v>
      </c>
      <c r="N17" s="28" t="s">
        <v>21</v>
      </c>
      <c r="O17" s="29" t="s">
        <v>22</v>
      </c>
      <c r="P17" s="25">
        <f t="shared" si="2"/>
        <v>45952</v>
      </c>
      <c r="Q17" s="25"/>
      <c r="R17" s="25"/>
      <c r="S17" s="28" t="s">
        <v>23</v>
      </c>
      <c r="T17" s="28">
        <v>1</v>
      </c>
    </row>
    <row r="18" spans="1:20" ht="14.25" customHeight="1">
      <c r="A18" s="22">
        <v>19</v>
      </c>
      <c r="B18" s="22">
        <v>14354</v>
      </c>
      <c r="C18" s="22" t="str">
        <f>IFERROR(VLOOKUP(B18,Colaboradores!A:D,2,),"")</f>
        <v>JOSE CLEITON SILVA DE OLIVEIRA</v>
      </c>
      <c r="D18" s="22" t="str">
        <f>IFERROR(VLOOKUP(B18,Colaboradores!A:D,3,),"")</f>
        <v>REGIONAL CENTRAL</v>
      </c>
      <c r="E18" s="22" t="str">
        <f>IFERROR(VLOOKUP(B18,Colaboradores!A:D,4,),"")</f>
        <v>TÉCNICO DE SEGURANÇA DO TRABALHO</v>
      </c>
      <c r="F18" s="22" t="s">
        <v>24</v>
      </c>
      <c r="G18" s="24" t="str">
        <f>IFERROR(VLOOKUP(F18,Procedimentos!A:C,2,),"")</f>
        <v>DIRETRIZES  PARA PROGRAMA 5S</v>
      </c>
      <c r="H18" s="25"/>
      <c r="I18" s="25">
        <v>45860</v>
      </c>
      <c r="J18" s="22">
        <v>12</v>
      </c>
      <c r="K18" s="25">
        <f t="shared" si="1"/>
        <v>46225</v>
      </c>
      <c r="L18" s="28" t="str">
        <f t="shared" ca="1" si="0"/>
        <v>Em dia</v>
      </c>
      <c r="M18" s="22" t="s">
        <v>20</v>
      </c>
      <c r="N18" s="28" t="s">
        <v>21</v>
      </c>
      <c r="O18" s="29" t="s">
        <v>22</v>
      </c>
      <c r="P18" s="25">
        <f t="shared" si="2"/>
        <v>45952</v>
      </c>
      <c r="Q18" s="25"/>
      <c r="R18" s="25"/>
      <c r="S18" s="28" t="s">
        <v>23</v>
      </c>
      <c r="T18" s="28">
        <v>1</v>
      </c>
    </row>
    <row r="19" spans="1:20" ht="14.25" customHeight="1">
      <c r="A19" s="22">
        <v>20</v>
      </c>
      <c r="B19" s="22">
        <v>13822</v>
      </c>
      <c r="C19" s="22" t="str">
        <f>IFERROR(VLOOKUP(B19,Colaboradores!A:D,2,),"")</f>
        <v>JULIANA DE CASTRO ALMEIDA</v>
      </c>
      <c r="D19" s="22" t="str">
        <f>IFERROR(VLOOKUP(B19,Colaboradores!A:D,3,),"")</f>
        <v>REGIONAL CENTRAL</v>
      </c>
      <c r="E19" s="22" t="str">
        <f>IFERROR(VLOOKUP(B19,Colaboradores!A:D,4,),"")</f>
        <v>COORDENADOR DE SSMA</v>
      </c>
      <c r="F19" s="22" t="s">
        <v>24</v>
      </c>
      <c r="G19" s="24" t="str">
        <f>IFERROR(VLOOKUP(F19,Procedimentos!A:C,2,),"")</f>
        <v>DIRETRIZES  PARA PROGRAMA 5S</v>
      </c>
      <c r="H19" s="25"/>
      <c r="I19" s="25">
        <v>45860</v>
      </c>
      <c r="J19" s="22">
        <v>12</v>
      </c>
      <c r="K19" s="25">
        <f t="shared" si="1"/>
        <v>46225</v>
      </c>
      <c r="L19" s="28" t="str">
        <f t="shared" ca="1" si="0"/>
        <v>Em dia</v>
      </c>
      <c r="M19" s="22" t="s">
        <v>20</v>
      </c>
      <c r="N19" s="28" t="s">
        <v>21</v>
      </c>
      <c r="O19" s="29" t="s">
        <v>22</v>
      </c>
      <c r="P19" s="25">
        <f t="shared" si="2"/>
        <v>45952</v>
      </c>
      <c r="Q19" s="25"/>
      <c r="R19" s="25"/>
      <c r="S19" s="28" t="s">
        <v>23</v>
      </c>
      <c r="T19" s="28">
        <v>1</v>
      </c>
    </row>
    <row r="20" spans="1:20" ht="14.25" customHeight="1">
      <c r="A20" s="22">
        <v>21</v>
      </c>
      <c r="B20" s="1">
        <v>15134</v>
      </c>
      <c r="C20" s="22" t="str">
        <f>IFERROR(VLOOKUP(B20,Colaboradores!A:D,2,),"")</f>
        <v>ADRIANE MENDES ROSA</v>
      </c>
      <c r="D20" s="22" t="str">
        <f>IFERROR(VLOOKUP(B20,Colaboradores!A:D,3,),"")</f>
        <v>REGIONAL CENTRAL</v>
      </c>
      <c r="E20" s="22" t="str">
        <f>IFERROR(VLOOKUP(B20,Colaboradores!A:D,4,),"")</f>
        <v>ENFERMEIRA DO TRABALHO</v>
      </c>
      <c r="F20" s="22" t="s">
        <v>24</v>
      </c>
      <c r="G20" s="24" t="str">
        <f>IFERROR(VLOOKUP(F20,Procedimentos!A:C,2,),"")</f>
        <v>DIRETRIZES  PARA PROGRAMA 5S</v>
      </c>
      <c r="H20" s="25"/>
      <c r="I20" s="25">
        <v>45860</v>
      </c>
      <c r="J20" s="22">
        <v>12</v>
      </c>
      <c r="K20" s="25">
        <f t="shared" si="1"/>
        <v>46225</v>
      </c>
      <c r="L20" s="28" t="str">
        <f t="shared" ca="1" si="0"/>
        <v>Em dia</v>
      </c>
      <c r="M20" s="22" t="s">
        <v>20</v>
      </c>
      <c r="N20" s="28" t="s">
        <v>21</v>
      </c>
      <c r="O20" s="29" t="s">
        <v>22</v>
      </c>
      <c r="P20" s="25">
        <f t="shared" si="2"/>
        <v>45952</v>
      </c>
      <c r="Q20" s="25"/>
      <c r="R20" s="25"/>
      <c r="S20" s="28" t="s">
        <v>23</v>
      </c>
      <c r="T20" s="28">
        <v>1</v>
      </c>
    </row>
    <row r="21" spans="1:20" ht="14.25" customHeight="1">
      <c r="A21" s="22">
        <v>22</v>
      </c>
      <c r="B21" s="23">
        <v>15042</v>
      </c>
      <c r="C21" s="22" t="str">
        <f>IFERROR(VLOOKUP(B21,Colaboradores!A:D,2,),"")</f>
        <v>MARIANA CRISTINA FEITOSA SANTOS</v>
      </c>
      <c r="D21" s="22" t="str">
        <f>IFERROR(VLOOKUP(B21,Colaboradores!A:D,3,),"")</f>
        <v>REGIONAL SUL</v>
      </c>
      <c r="E21" s="22" t="str">
        <f>IFERROR(VLOOKUP(B21,Colaboradores!A:D,4,),"")</f>
        <v>TÉCNICA DE SEGURANÇA DO TRABALHO</v>
      </c>
      <c r="F21" s="22" t="s">
        <v>24</v>
      </c>
      <c r="G21" s="24" t="str">
        <f>IFERROR(VLOOKUP(F21,Procedimentos!A:C,2,),"")</f>
        <v>DIRETRIZES  PARA PROGRAMA 5S</v>
      </c>
      <c r="H21" s="25"/>
      <c r="I21" s="25">
        <v>45860</v>
      </c>
      <c r="J21" s="22">
        <v>12</v>
      </c>
      <c r="K21" s="25">
        <f t="shared" si="1"/>
        <v>46225</v>
      </c>
      <c r="L21" s="28" t="str">
        <f t="shared" ca="1" si="0"/>
        <v>Em dia</v>
      </c>
      <c r="M21" s="22" t="s">
        <v>20</v>
      </c>
      <c r="N21" s="28" t="s">
        <v>21</v>
      </c>
      <c r="O21" s="29" t="s">
        <v>22</v>
      </c>
      <c r="P21" s="25">
        <f t="shared" si="2"/>
        <v>45952</v>
      </c>
      <c r="Q21" s="25"/>
      <c r="R21" s="25"/>
      <c r="S21" s="28" t="s">
        <v>23</v>
      </c>
      <c r="T21" s="28">
        <v>1</v>
      </c>
    </row>
    <row r="22" spans="1:20" ht="14.25" customHeight="1">
      <c r="A22" s="22">
        <v>23</v>
      </c>
      <c r="B22" s="22">
        <v>14321</v>
      </c>
      <c r="C22" s="22" t="str">
        <f>IFERROR(VLOOKUP(B22,Colaboradores!A:D,2,),"")</f>
        <v>LAYANA KARINE SILVA BARBOSA</v>
      </c>
      <c r="D22" s="22" t="str">
        <f>IFERROR(VLOOKUP(B22,Colaboradores!A:D,3,),"")</f>
        <v>REGIONAL SUL</v>
      </c>
      <c r="E22" s="22" t="str">
        <f>IFERROR(VLOOKUP(B22,Colaboradores!A:D,4,),"")</f>
        <v>ASSISTENTE ADMINISTRATIVO</v>
      </c>
      <c r="F22" s="22" t="s">
        <v>24</v>
      </c>
      <c r="G22" s="24" t="str">
        <f>IFERROR(VLOOKUP(F22,Procedimentos!A:C,2,),"")</f>
        <v>DIRETRIZES  PARA PROGRAMA 5S</v>
      </c>
      <c r="H22" s="25"/>
      <c r="I22" s="25">
        <v>45860</v>
      </c>
      <c r="J22" s="22">
        <v>12</v>
      </c>
      <c r="K22" s="25">
        <f t="shared" si="1"/>
        <v>46225</v>
      </c>
      <c r="L22" s="28" t="str">
        <f t="shared" ca="1" si="0"/>
        <v>Em dia</v>
      </c>
      <c r="M22" s="22" t="s">
        <v>20</v>
      </c>
      <c r="N22" s="28" t="s">
        <v>21</v>
      </c>
      <c r="O22" s="29" t="s">
        <v>22</v>
      </c>
      <c r="P22" s="25">
        <f t="shared" si="2"/>
        <v>45952</v>
      </c>
      <c r="Q22" s="25"/>
      <c r="R22" s="25"/>
      <c r="S22" s="28" t="s">
        <v>23</v>
      </c>
      <c r="T22" s="28">
        <v>1</v>
      </c>
    </row>
    <row r="23" spans="1:20" ht="14.25" customHeight="1">
      <c r="A23" s="22">
        <v>24</v>
      </c>
      <c r="B23" s="22">
        <v>15100</v>
      </c>
      <c r="C23" s="22" t="str">
        <f>IFERROR(VLOOKUP(B23,Colaboradores!A:D,2,),"")</f>
        <v>JONATHAN SILVA ALVES</v>
      </c>
      <c r="D23" s="22" t="str">
        <f>IFERROR(VLOOKUP(B23,Colaboradores!A:D,3,),"")</f>
        <v>REGIONAL SUL</v>
      </c>
      <c r="E23" s="22" t="str">
        <f>IFERROR(VLOOKUP(B23,Colaboradores!A:D,4,),"")</f>
        <v>COORDENADOR DE SSMA</v>
      </c>
      <c r="F23" s="22" t="s">
        <v>24</v>
      </c>
      <c r="G23" s="24" t="str">
        <f>IFERROR(VLOOKUP(F23,Procedimentos!A:C,2,),"")</f>
        <v>DIRETRIZES  PARA PROGRAMA 5S</v>
      </c>
      <c r="H23" s="25"/>
      <c r="I23" s="25">
        <v>45860</v>
      </c>
      <c r="J23" s="22">
        <v>12</v>
      </c>
      <c r="K23" s="25">
        <f t="shared" si="1"/>
        <v>46225</v>
      </c>
      <c r="L23" s="28" t="str">
        <f t="shared" ca="1" si="0"/>
        <v>Em dia</v>
      </c>
      <c r="M23" s="22" t="s">
        <v>20</v>
      </c>
      <c r="N23" s="28" t="s">
        <v>21</v>
      </c>
      <c r="O23" s="29" t="s">
        <v>22</v>
      </c>
      <c r="P23" s="25">
        <f t="shared" si="2"/>
        <v>45952</v>
      </c>
      <c r="Q23" s="25"/>
      <c r="R23" s="25"/>
      <c r="S23" s="28" t="s">
        <v>23</v>
      </c>
      <c r="T23" s="28">
        <v>1</v>
      </c>
    </row>
    <row r="24" spans="1:20" ht="14.25" customHeight="1">
      <c r="A24" s="22">
        <v>25</v>
      </c>
      <c r="B24" s="22">
        <v>15059</v>
      </c>
      <c r="C24" s="22" t="str">
        <f>IFERROR(VLOOKUP(B24,Colaboradores!A:D,2,),"")</f>
        <v>GUILHERME LEÃO DOS SANTOS</v>
      </c>
      <c r="D24" s="22" t="str">
        <f>IFERROR(VLOOKUP(B24,Colaboradores!A:D,3,),"")</f>
        <v>SAÚDE OCUPACIONAL</v>
      </c>
      <c r="E24" s="22" t="str">
        <f>IFERROR(VLOOKUP(B24,Colaboradores!A:D,4,),"")</f>
        <v>ASSISTENTE ADMINISTRATIVO</v>
      </c>
      <c r="F24" s="22" t="s">
        <v>24</v>
      </c>
      <c r="G24" s="24" t="str">
        <f>IFERROR(VLOOKUP(F24,Procedimentos!A:C,2,),"")</f>
        <v>DIRETRIZES  PARA PROGRAMA 5S</v>
      </c>
      <c r="H24" s="25"/>
      <c r="I24" s="25">
        <v>45861</v>
      </c>
      <c r="J24" s="22">
        <v>12</v>
      </c>
      <c r="K24" s="25">
        <f t="shared" si="1"/>
        <v>46226</v>
      </c>
      <c r="L24" s="28" t="str">
        <f t="shared" ca="1" si="0"/>
        <v>Em dia</v>
      </c>
      <c r="M24" s="22" t="s">
        <v>20</v>
      </c>
      <c r="N24" s="28" t="s">
        <v>21</v>
      </c>
      <c r="O24" s="29" t="s">
        <v>22</v>
      </c>
      <c r="P24" s="25">
        <f t="shared" si="2"/>
        <v>45953</v>
      </c>
      <c r="Q24" s="25"/>
      <c r="R24" s="25"/>
      <c r="S24" s="28" t="s">
        <v>23</v>
      </c>
      <c r="T24" s="28">
        <v>1</v>
      </c>
    </row>
    <row r="25" spans="1:20" ht="14.25" customHeight="1">
      <c r="A25" s="22">
        <v>26</v>
      </c>
      <c r="B25" s="22">
        <v>7147</v>
      </c>
      <c r="C25" s="22" t="str">
        <f>IFERROR(VLOOKUP(B25,Colaboradores!A:D,2,),"")</f>
        <v>MAIARA MONTEIRO MARQUES CASTELO BRANCO</v>
      </c>
      <c r="D25" s="22" t="str">
        <f>IFERROR(VLOOKUP(B25,Colaboradores!A:D,3,),"")</f>
        <v>SAÚDE OCUPACIONAL</v>
      </c>
      <c r="E25" s="22" t="str">
        <f>IFERROR(VLOOKUP(B25,Colaboradores!A:D,4,),"")</f>
        <v>PSICÓLOGA</v>
      </c>
      <c r="F25" s="22" t="s">
        <v>24</v>
      </c>
      <c r="G25" s="24" t="str">
        <f>IFERROR(VLOOKUP(F25,Procedimentos!A:C,2,),"")</f>
        <v>DIRETRIZES  PARA PROGRAMA 5S</v>
      </c>
      <c r="H25" s="25"/>
      <c r="I25" s="25">
        <v>45861</v>
      </c>
      <c r="J25" s="22">
        <v>12</v>
      </c>
      <c r="K25" s="25">
        <f t="shared" si="1"/>
        <v>46226</v>
      </c>
      <c r="L25" s="28" t="str">
        <f t="shared" ca="1" si="0"/>
        <v>Em dia</v>
      </c>
      <c r="M25" s="22" t="s">
        <v>20</v>
      </c>
      <c r="N25" s="28" t="s">
        <v>21</v>
      </c>
      <c r="O25" s="29" t="s">
        <v>22</v>
      </c>
      <c r="P25" s="25">
        <f t="shared" si="2"/>
        <v>45953</v>
      </c>
      <c r="Q25" s="25"/>
      <c r="R25" s="25"/>
      <c r="S25" s="28" t="s">
        <v>23</v>
      </c>
      <c r="T25" s="28">
        <v>1</v>
      </c>
    </row>
    <row r="26" spans="1:20" ht="14.25" customHeight="1">
      <c r="A26" s="22">
        <v>28</v>
      </c>
      <c r="B26" s="22">
        <v>14083</v>
      </c>
      <c r="C26" s="22" t="str">
        <f>IFERROR(VLOOKUP(B26,Colaboradores!A:D,2,),"")</f>
        <v>TAHYNAN FREITAS SILVA COSTA</v>
      </c>
      <c r="D26" s="22" t="str">
        <f>IFERROR(VLOOKUP(B26,Colaboradores!A:D,3,),"")</f>
        <v>SAÚDE OCUPACIONAL</v>
      </c>
      <c r="E26" s="22" t="str">
        <f>IFERROR(VLOOKUP(B26,Colaboradores!A:D,4,),"")</f>
        <v>TÉCNICO DE ENFERMAGEM DO TRABALHO</v>
      </c>
      <c r="F26" s="22" t="s">
        <v>24</v>
      </c>
      <c r="G26" s="24" t="str">
        <f>IFERROR(VLOOKUP(F26,Procedimentos!A:C,2,),"")</f>
        <v>DIRETRIZES  PARA PROGRAMA 5S</v>
      </c>
      <c r="H26" s="25"/>
      <c r="I26" s="25">
        <v>45861</v>
      </c>
      <c r="J26" s="22">
        <v>12</v>
      </c>
      <c r="K26" s="25">
        <f t="shared" si="1"/>
        <v>46226</v>
      </c>
      <c r="L26" s="28" t="str">
        <f t="shared" ca="1" si="0"/>
        <v>Em dia</v>
      </c>
      <c r="M26" s="22" t="s">
        <v>20</v>
      </c>
      <c r="N26" s="28" t="s">
        <v>21</v>
      </c>
      <c r="O26" s="29" t="s">
        <v>22</v>
      </c>
      <c r="P26" s="25">
        <f t="shared" si="2"/>
        <v>45953</v>
      </c>
      <c r="Q26" s="25"/>
      <c r="R26" s="25"/>
      <c r="S26" s="28" t="s">
        <v>23</v>
      </c>
      <c r="T26" s="28">
        <v>1</v>
      </c>
    </row>
    <row r="27" spans="1:20" ht="14.25" customHeight="1">
      <c r="A27" s="22">
        <v>29</v>
      </c>
      <c r="B27" s="22">
        <v>12330</v>
      </c>
      <c r="C27" s="22" t="str">
        <f>IFERROR(VLOOKUP(B27,Colaboradores!A:D,2,),"")</f>
        <v>BIANCA GUEDES SILVA ALMEIDA</v>
      </c>
      <c r="D27" s="22" t="str">
        <f>IFERROR(VLOOKUP(B27,Colaboradores!A:D,3,),"")</f>
        <v>SAÚDE OCUPACIONAL</v>
      </c>
      <c r="E27" s="22" t="str">
        <f>IFERROR(VLOOKUP(B27,Colaboradores!A:D,4,),"")</f>
        <v>NUTRICIONISTA</v>
      </c>
      <c r="F27" s="22" t="s">
        <v>24</v>
      </c>
      <c r="G27" s="24" t="str">
        <f>IFERROR(VLOOKUP(F27,Procedimentos!A:C,2,),"")</f>
        <v>DIRETRIZES  PARA PROGRAMA 5S</v>
      </c>
      <c r="H27" s="25"/>
      <c r="I27" s="25">
        <v>45861</v>
      </c>
      <c r="J27" s="22">
        <v>12</v>
      </c>
      <c r="K27" s="25">
        <f t="shared" si="1"/>
        <v>46226</v>
      </c>
      <c r="L27" s="28" t="str">
        <f t="shared" ca="1" si="0"/>
        <v>Em dia</v>
      </c>
      <c r="M27" s="22" t="s">
        <v>20</v>
      </c>
      <c r="N27" s="28" t="s">
        <v>21</v>
      </c>
      <c r="O27" s="29" t="s">
        <v>22</v>
      </c>
      <c r="P27" s="25">
        <f t="shared" si="2"/>
        <v>45953</v>
      </c>
      <c r="Q27" s="25"/>
      <c r="R27" s="25"/>
      <c r="S27" s="28" t="s">
        <v>23</v>
      </c>
      <c r="T27" s="28">
        <v>1</v>
      </c>
    </row>
    <row r="28" spans="1:20" ht="14.25" customHeight="1">
      <c r="A28" s="22">
        <v>30</v>
      </c>
      <c r="B28" s="22">
        <v>12684</v>
      </c>
      <c r="C28" s="22" t="str">
        <f>IFERROR(VLOOKUP(B28,Colaboradores!A:D,2,),"")</f>
        <v>JACIARA VIEIRA DA CRUZ DE AGUIAR</v>
      </c>
      <c r="D28" s="22" t="str">
        <f>IFERROR(VLOOKUP(B28,Colaboradores!A:D,3,),"")</f>
        <v>MEIO AMBIENTE</v>
      </c>
      <c r="E28" s="22" t="str">
        <f>IFERROR(VLOOKUP(B28,Colaboradores!A:D,4,),"")</f>
        <v>GERENTE DE MEIO AMBIENTE</v>
      </c>
      <c r="F28" s="22" t="s">
        <v>24</v>
      </c>
      <c r="G28" s="24" t="str">
        <f>IFERROR(VLOOKUP(F28,Procedimentos!A:C,2,),"")</f>
        <v>DIRETRIZES  PARA PROGRAMA 5S</v>
      </c>
      <c r="H28" s="25"/>
      <c r="I28" s="25">
        <v>45861</v>
      </c>
      <c r="J28" s="22">
        <v>12</v>
      </c>
      <c r="K28" s="25">
        <f t="shared" si="1"/>
        <v>46226</v>
      </c>
      <c r="L28" s="28" t="str">
        <f t="shared" ca="1" si="0"/>
        <v>Em dia</v>
      </c>
      <c r="M28" s="22" t="s">
        <v>20</v>
      </c>
      <c r="N28" s="28" t="s">
        <v>21</v>
      </c>
      <c r="O28" s="29" t="s">
        <v>22</v>
      </c>
      <c r="P28" s="25">
        <f t="shared" si="2"/>
        <v>45953</v>
      </c>
      <c r="Q28" s="25"/>
      <c r="R28" s="25"/>
      <c r="S28" s="28" t="s">
        <v>23</v>
      </c>
      <c r="T28" s="28">
        <v>1</v>
      </c>
    </row>
    <row r="29" spans="1:20" ht="14.25" customHeight="1">
      <c r="A29" s="22">
        <v>31</v>
      </c>
      <c r="B29" s="23">
        <v>14785</v>
      </c>
      <c r="C29" s="22" t="str">
        <f>IFERROR(VLOOKUP(B29,Colaboradores!A:D,2,),"")</f>
        <v>ROSEANE CUSTODIO LIMA</v>
      </c>
      <c r="D29" s="22" t="str">
        <f>IFERROR(VLOOKUP(B29,Colaboradores!A:D,3,),"")</f>
        <v>REGIONAL CENTRAL</v>
      </c>
      <c r="E29" s="22" t="str">
        <f>IFERROR(VLOOKUP(B29,Colaboradores!A:D,4,),"")</f>
        <v>ASSISTENTE DE MEIO AMBIENTE</v>
      </c>
      <c r="F29" s="22" t="s">
        <v>25</v>
      </c>
      <c r="G29" s="24" t="str">
        <f>IFERROR(VLOOKUP(F29,Procedimentos!A:C,2,),"")</f>
        <v>GARANTIA DA QUALIDADE</v>
      </c>
      <c r="H29" s="25"/>
      <c r="I29" s="25">
        <v>45860</v>
      </c>
      <c r="J29" s="22">
        <v>12</v>
      </c>
      <c r="K29" s="25">
        <f t="shared" si="1"/>
        <v>46225</v>
      </c>
      <c r="L29" s="28" t="str">
        <f t="shared" ca="1" si="0"/>
        <v>Em dia</v>
      </c>
      <c r="M29" s="22" t="s">
        <v>20</v>
      </c>
      <c r="N29" s="28" t="s">
        <v>21</v>
      </c>
      <c r="O29" s="29" t="s">
        <v>22</v>
      </c>
      <c r="P29" s="25">
        <f t="shared" si="2"/>
        <v>45952</v>
      </c>
      <c r="Q29" s="25"/>
      <c r="R29" s="25"/>
      <c r="S29" s="28" t="s">
        <v>23</v>
      </c>
      <c r="T29" s="28">
        <v>1</v>
      </c>
    </row>
    <row r="30" spans="1:20" ht="14.25" customHeight="1">
      <c r="A30" s="22">
        <v>32</v>
      </c>
      <c r="B30" s="22">
        <v>14767</v>
      </c>
      <c r="C30" s="22" t="str">
        <f>IFERROR(VLOOKUP(B30,Colaboradores!A:D,2,),"")</f>
        <v>CAIO VINICIUS PEREIRA DO NASCIMENTO</v>
      </c>
      <c r="D30" s="22" t="str">
        <f>IFERROR(VLOOKUP(B30,Colaboradores!A:D,3,),"")</f>
        <v>REGIONAL SUL</v>
      </c>
      <c r="E30" s="22" t="str">
        <f>IFERROR(VLOOKUP(B30,Colaboradores!A:D,4,),"")</f>
        <v>TÉCNICO DE MEIO AMBIENTE</v>
      </c>
      <c r="F30" s="22" t="s">
        <v>25</v>
      </c>
      <c r="G30" s="24" t="str">
        <f>IFERROR(VLOOKUP(F30,Procedimentos!A:C,2,),"")</f>
        <v>GARANTIA DA QUALIDADE</v>
      </c>
      <c r="H30" s="25"/>
      <c r="I30" s="25">
        <v>45860</v>
      </c>
      <c r="J30" s="22">
        <v>12</v>
      </c>
      <c r="K30" s="25">
        <f t="shared" si="1"/>
        <v>46225</v>
      </c>
      <c r="L30" s="28" t="str">
        <f t="shared" ca="1" si="0"/>
        <v>Em dia</v>
      </c>
      <c r="M30" s="22" t="s">
        <v>20</v>
      </c>
      <c r="N30" s="28" t="s">
        <v>21</v>
      </c>
      <c r="O30" s="29" t="s">
        <v>22</v>
      </c>
      <c r="P30" s="25">
        <f t="shared" si="2"/>
        <v>45952</v>
      </c>
      <c r="Q30" s="25"/>
      <c r="R30" s="25"/>
      <c r="S30" s="28" t="s">
        <v>23</v>
      </c>
      <c r="T30" s="28">
        <v>1</v>
      </c>
    </row>
    <row r="31" spans="1:20" ht="14.25" customHeight="1">
      <c r="A31" s="22">
        <v>34</v>
      </c>
      <c r="B31" s="22">
        <v>14354</v>
      </c>
      <c r="C31" s="22" t="str">
        <f>IFERROR(VLOOKUP(B31,Colaboradores!A:D,2,),"")</f>
        <v>JOSE CLEITON SILVA DE OLIVEIRA</v>
      </c>
      <c r="D31" s="22" t="str">
        <f>IFERROR(VLOOKUP(B31,Colaboradores!A:D,3,),"")</f>
        <v>REGIONAL CENTRAL</v>
      </c>
      <c r="E31" s="22" t="str">
        <f>IFERROR(VLOOKUP(B31,Colaboradores!A:D,4,),"")</f>
        <v>TÉCNICO DE SEGURANÇA DO TRABALHO</v>
      </c>
      <c r="F31" s="22" t="s">
        <v>25</v>
      </c>
      <c r="G31" s="24" t="str">
        <f>IFERROR(VLOOKUP(F31,Procedimentos!A:C,2,),"")</f>
        <v>GARANTIA DA QUALIDADE</v>
      </c>
      <c r="H31" s="25"/>
      <c r="I31" s="25">
        <v>45860</v>
      </c>
      <c r="J31" s="22">
        <v>12</v>
      </c>
      <c r="K31" s="25">
        <f t="shared" si="1"/>
        <v>46225</v>
      </c>
      <c r="L31" s="28" t="str">
        <f t="shared" ca="1" si="0"/>
        <v>Em dia</v>
      </c>
      <c r="M31" s="22" t="s">
        <v>20</v>
      </c>
      <c r="N31" s="28" t="s">
        <v>21</v>
      </c>
      <c r="O31" s="29" t="s">
        <v>22</v>
      </c>
      <c r="P31" s="25">
        <f t="shared" si="2"/>
        <v>45952</v>
      </c>
      <c r="Q31" s="25"/>
      <c r="R31" s="25"/>
      <c r="S31" s="28" t="s">
        <v>23</v>
      </c>
      <c r="T31" s="28">
        <v>1</v>
      </c>
    </row>
    <row r="32" spans="1:20" ht="14.25" customHeight="1">
      <c r="A32" s="22">
        <v>35</v>
      </c>
      <c r="B32" s="22">
        <v>13822</v>
      </c>
      <c r="C32" s="22" t="str">
        <f>IFERROR(VLOOKUP(B32,Colaboradores!A:D,2,),"")</f>
        <v>JULIANA DE CASTRO ALMEIDA</v>
      </c>
      <c r="D32" s="22" t="str">
        <f>IFERROR(VLOOKUP(B32,Colaboradores!A:D,3,),"")</f>
        <v>REGIONAL CENTRAL</v>
      </c>
      <c r="E32" s="22" t="str">
        <f>IFERROR(VLOOKUP(B32,Colaboradores!A:D,4,),"")</f>
        <v>COORDENADOR DE SSMA</v>
      </c>
      <c r="F32" s="22" t="s">
        <v>25</v>
      </c>
      <c r="G32" s="24" t="str">
        <f>IFERROR(VLOOKUP(F32,Procedimentos!A:C,2,),"")</f>
        <v>GARANTIA DA QUALIDADE</v>
      </c>
      <c r="H32" s="25"/>
      <c r="I32" s="25">
        <v>45860</v>
      </c>
      <c r="J32" s="22">
        <v>12</v>
      </c>
      <c r="K32" s="25">
        <f t="shared" si="1"/>
        <v>46225</v>
      </c>
      <c r="L32" s="28" t="str">
        <f t="shared" ca="1" si="0"/>
        <v>Em dia</v>
      </c>
      <c r="M32" s="22" t="s">
        <v>20</v>
      </c>
      <c r="N32" s="28" t="s">
        <v>21</v>
      </c>
      <c r="O32" s="29" t="s">
        <v>22</v>
      </c>
      <c r="P32" s="25">
        <f t="shared" si="2"/>
        <v>45952</v>
      </c>
      <c r="Q32" s="25"/>
      <c r="R32" s="25"/>
      <c r="S32" s="28" t="s">
        <v>23</v>
      </c>
      <c r="T32" s="28">
        <v>1</v>
      </c>
    </row>
    <row r="33" spans="1:20" ht="14.25" customHeight="1">
      <c r="A33" s="22">
        <v>36</v>
      </c>
      <c r="B33" s="1">
        <v>15134</v>
      </c>
      <c r="C33" s="22" t="str">
        <f>IFERROR(VLOOKUP(B33,Colaboradores!A:D,2,),"")</f>
        <v>ADRIANE MENDES ROSA</v>
      </c>
      <c r="D33" s="22" t="str">
        <f>IFERROR(VLOOKUP(B33,Colaboradores!A:D,3,),"")</f>
        <v>REGIONAL CENTRAL</v>
      </c>
      <c r="E33" s="22" t="str">
        <f>IFERROR(VLOOKUP(B33,Colaboradores!A:D,4,),"")</f>
        <v>ENFERMEIRA DO TRABALHO</v>
      </c>
      <c r="F33" s="22" t="s">
        <v>25</v>
      </c>
      <c r="G33" s="24" t="str">
        <f>IFERROR(VLOOKUP(F33,Procedimentos!A:C,2,),"")</f>
        <v>GARANTIA DA QUALIDADE</v>
      </c>
      <c r="H33" s="25"/>
      <c r="I33" s="25">
        <v>45860</v>
      </c>
      <c r="J33" s="22">
        <v>12</v>
      </c>
      <c r="K33" s="25">
        <f t="shared" si="1"/>
        <v>46225</v>
      </c>
      <c r="L33" s="28" t="str">
        <f t="shared" ca="1" si="0"/>
        <v>Em dia</v>
      </c>
      <c r="M33" s="22" t="s">
        <v>20</v>
      </c>
      <c r="N33" s="28" t="s">
        <v>21</v>
      </c>
      <c r="O33" s="29" t="s">
        <v>22</v>
      </c>
      <c r="P33" s="25">
        <f t="shared" si="2"/>
        <v>45952</v>
      </c>
      <c r="Q33" s="25"/>
      <c r="R33" s="25"/>
      <c r="S33" s="28" t="s">
        <v>23</v>
      </c>
      <c r="T33" s="28">
        <v>1</v>
      </c>
    </row>
    <row r="34" spans="1:20" ht="14.25" customHeight="1">
      <c r="A34" s="22">
        <v>37</v>
      </c>
      <c r="B34" s="23">
        <v>15042</v>
      </c>
      <c r="C34" s="22" t="str">
        <f>IFERROR(VLOOKUP(B34,Colaboradores!A:D,2,),"")</f>
        <v>MARIANA CRISTINA FEITOSA SANTOS</v>
      </c>
      <c r="D34" s="22" t="str">
        <f>IFERROR(VLOOKUP(B34,Colaboradores!A:D,3,),"")</f>
        <v>REGIONAL SUL</v>
      </c>
      <c r="E34" s="22" t="str">
        <f>IFERROR(VLOOKUP(B34,Colaboradores!A:D,4,),"")</f>
        <v>TÉCNICA DE SEGURANÇA DO TRABALHO</v>
      </c>
      <c r="F34" s="22" t="s">
        <v>25</v>
      </c>
      <c r="G34" s="24" t="str">
        <f>IFERROR(VLOOKUP(F34,Procedimentos!A:C,2,),"")</f>
        <v>GARANTIA DA QUALIDADE</v>
      </c>
      <c r="H34" s="25"/>
      <c r="I34" s="25">
        <v>45860</v>
      </c>
      <c r="J34" s="22">
        <v>12</v>
      </c>
      <c r="K34" s="25">
        <f t="shared" si="1"/>
        <v>46225</v>
      </c>
      <c r="L34" s="28" t="str">
        <f t="shared" ca="1" si="0"/>
        <v>Em dia</v>
      </c>
      <c r="M34" s="22" t="s">
        <v>20</v>
      </c>
      <c r="N34" s="28" t="s">
        <v>21</v>
      </c>
      <c r="O34" s="29" t="s">
        <v>22</v>
      </c>
      <c r="P34" s="25">
        <f t="shared" si="2"/>
        <v>45952</v>
      </c>
      <c r="Q34" s="25"/>
      <c r="R34" s="25"/>
      <c r="S34" s="28" t="s">
        <v>23</v>
      </c>
      <c r="T34" s="28">
        <v>1</v>
      </c>
    </row>
    <row r="35" spans="1:20" ht="14.25" customHeight="1">
      <c r="A35" s="22">
        <v>38</v>
      </c>
      <c r="B35" s="22">
        <v>14321</v>
      </c>
      <c r="C35" s="22" t="str">
        <f>IFERROR(VLOOKUP(B35,Colaboradores!A:D,2,),"")</f>
        <v>LAYANA KARINE SILVA BARBOSA</v>
      </c>
      <c r="D35" s="22" t="str">
        <f>IFERROR(VLOOKUP(B35,Colaboradores!A:D,3,),"")</f>
        <v>REGIONAL SUL</v>
      </c>
      <c r="E35" s="22" t="str">
        <f>IFERROR(VLOOKUP(B35,Colaboradores!A:D,4,),"")</f>
        <v>ASSISTENTE ADMINISTRATIVO</v>
      </c>
      <c r="F35" s="22" t="s">
        <v>25</v>
      </c>
      <c r="G35" s="24" t="str">
        <f>IFERROR(VLOOKUP(F35,Procedimentos!A:C,2,),"")</f>
        <v>GARANTIA DA QUALIDADE</v>
      </c>
      <c r="H35" s="25"/>
      <c r="I35" s="25">
        <v>45860</v>
      </c>
      <c r="J35" s="22">
        <v>12</v>
      </c>
      <c r="K35" s="25">
        <f t="shared" si="1"/>
        <v>46225</v>
      </c>
      <c r="L35" s="28" t="str">
        <f t="shared" ca="1" si="0"/>
        <v>Em dia</v>
      </c>
      <c r="M35" s="22" t="s">
        <v>20</v>
      </c>
      <c r="N35" s="28" t="s">
        <v>21</v>
      </c>
      <c r="O35" s="29" t="s">
        <v>22</v>
      </c>
      <c r="P35" s="25">
        <f t="shared" si="2"/>
        <v>45952</v>
      </c>
      <c r="Q35" s="25"/>
      <c r="R35" s="25"/>
      <c r="S35" s="28" t="s">
        <v>23</v>
      </c>
      <c r="T35" s="28">
        <v>1</v>
      </c>
    </row>
    <row r="36" spans="1:20" ht="14.25" customHeight="1">
      <c r="A36" s="22">
        <v>39</v>
      </c>
      <c r="B36" s="22">
        <v>15100</v>
      </c>
      <c r="C36" s="22" t="str">
        <f>IFERROR(VLOOKUP(B36,Colaboradores!A:D,2,),"")</f>
        <v>JONATHAN SILVA ALVES</v>
      </c>
      <c r="D36" s="22" t="str">
        <f>IFERROR(VLOOKUP(B36,Colaboradores!A:D,3,),"")</f>
        <v>REGIONAL SUL</v>
      </c>
      <c r="E36" s="22" t="str">
        <f>IFERROR(VLOOKUP(B36,Colaboradores!A:D,4,),"")</f>
        <v>COORDENADOR DE SSMA</v>
      </c>
      <c r="F36" s="22" t="s">
        <v>25</v>
      </c>
      <c r="G36" s="24" t="str">
        <f>IFERROR(VLOOKUP(F36,Procedimentos!A:C,2,),"")</f>
        <v>GARANTIA DA QUALIDADE</v>
      </c>
      <c r="H36" s="25"/>
      <c r="I36" s="25">
        <v>45860</v>
      </c>
      <c r="J36" s="22">
        <v>12</v>
      </c>
      <c r="K36" s="25">
        <f t="shared" si="1"/>
        <v>46225</v>
      </c>
      <c r="L36" s="28" t="str">
        <f t="shared" ca="1" si="0"/>
        <v>Em dia</v>
      </c>
      <c r="M36" s="22" t="s">
        <v>20</v>
      </c>
      <c r="N36" s="28" t="s">
        <v>21</v>
      </c>
      <c r="O36" s="29" t="s">
        <v>22</v>
      </c>
      <c r="P36" s="25">
        <f t="shared" si="2"/>
        <v>45952</v>
      </c>
      <c r="Q36" s="25"/>
      <c r="R36" s="25"/>
      <c r="S36" s="28" t="s">
        <v>23</v>
      </c>
      <c r="T36" s="28">
        <v>1</v>
      </c>
    </row>
    <row r="37" spans="1:20" ht="14.25" customHeight="1">
      <c r="A37" s="22">
        <v>40</v>
      </c>
      <c r="B37" s="22">
        <v>15059</v>
      </c>
      <c r="C37" s="22" t="str">
        <f>IFERROR(VLOOKUP(B37,Colaboradores!A:D,2,),"")</f>
        <v>GUILHERME LEÃO DOS SANTOS</v>
      </c>
      <c r="D37" s="22" t="str">
        <f>IFERROR(VLOOKUP(B37,Colaboradores!A:D,3,),"")</f>
        <v>SAÚDE OCUPACIONAL</v>
      </c>
      <c r="E37" s="22" t="str">
        <f>IFERROR(VLOOKUP(B37,Colaboradores!A:D,4,),"")</f>
        <v>ASSISTENTE ADMINISTRATIVO</v>
      </c>
      <c r="F37" s="22" t="s">
        <v>25</v>
      </c>
      <c r="G37" s="24" t="str">
        <f>IFERROR(VLOOKUP(F37,Procedimentos!A:C,2,),"")</f>
        <v>GARANTIA DA QUALIDADE</v>
      </c>
      <c r="H37" s="25"/>
      <c r="I37" s="25">
        <v>45861</v>
      </c>
      <c r="J37" s="22">
        <v>12</v>
      </c>
      <c r="K37" s="25">
        <f t="shared" si="1"/>
        <v>46226</v>
      </c>
      <c r="L37" s="28" t="str">
        <f t="shared" ca="1" si="0"/>
        <v>Em dia</v>
      </c>
      <c r="M37" s="22" t="s">
        <v>20</v>
      </c>
      <c r="N37" s="28" t="s">
        <v>21</v>
      </c>
      <c r="O37" s="29" t="s">
        <v>22</v>
      </c>
      <c r="P37" s="25">
        <f t="shared" si="2"/>
        <v>45953</v>
      </c>
      <c r="Q37" s="25"/>
      <c r="R37" s="25"/>
      <c r="S37" s="28" t="s">
        <v>23</v>
      </c>
      <c r="T37" s="28">
        <v>1</v>
      </c>
    </row>
    <row r="38" spans="1:20" ht="14.25" customHeight="1">
      <c r="A38" s="22">
        <v>41</v>
      </c>
      <c r="B38" s="22">
        <v>7147</v>
      </c>
      <c r="C38" s="22" t="str">
        <f>IFERROR(VLOOKUP(B38,Colaboradores!A:D,2,),"")</f>
        <v>MAIARA MONTEIRO MARQUES CASTELO BRANCO</v>
      </c>
      <c r="D38" s="22" t="str">
        <f>IFERROR(VLOOKUP(B38,Colaboradores!A:D,3,),"")</f>
        <v>SAÚDE OCUPACIONAL</v>
      </c>
      <c r="E38" s="22" t="str">
        <f>IFERROR(VLOOKUP(B38,Colaboradores!A:D,4,),"")</f>
        <v>PSICÓLOGA</v>
      </c>
      <c r="F38" s="22" t="s">
        <v>25</v>
      </c>
      <c r="G38" s="24" t="str">
        <f>IFERROR(VLOOKUP(F38,Procedimentos!A:C,2,),"")</f>
        <v>GARANTIA DA QUALIDADE</v>
      </c>
      <c r="H38" s="25"/>
      <c r="I38" s="25">
        <v>45861</v>
      </c>
      <c r="J38" s="22">
        <v>12</v>
      </c>
      <c r="K38" s="25">
        <f t="shared" si="1"/>
        <v>46226</v>
      </c>
      <c r="L38" s="28" t="str">
        <f t="shared" ca="1" si="0"/>
        <v>Em dia</v>
      </c>
      <c r="M38" s="22" t="s">
        <v>20</v>
      </c>
      <c r="N38" s="28" t="s">
        <v>21</v>
      </c>
      <c r="O38" s="29" t="s">
        <v>22</v>
      </c>
      <c r="P38" s="25">
        <f t="shared" si="2"/>
        <v>45953</v>
      </c>
      <c r="Q38" s="25"/>
      <c r="R38" s="25"/>
      <c r="S38" s="28" t="s">
        <v>23</v>
      </c>
      <c r="T38" s="28">
        <v>1</v>
      </c>
    </row>
    <row r="39" spans="1:20" ht="14.25" customHeight="1">
      <c r="A39" s="22">
        <v>42</v>
      </c>
      <c r="B39" s="22">
        <v>14499</v>
      </c>
      <c r="C39" s="22" t="str">
        <f>IFERROR(VLOOKUP(B39,Colaboradores!A:D,2,),"")</f>
        <v>SAMIRIS COSTA DA SILVA</v>
      </c>
      <c r="D39" s="22" t="str">
        <f>IFERROR(VLOOKUP(B39,Colaboradores!A:D,3,),"")</f>
        <v>SAÚDE OCUPACIONAL</v>
      </c>
      <c r="E39" s="22" t="str">
        <f>IFERROR(VLOOKUP(B39,Colaboradores!A:D,4,),"")</f>
        <v>PSICÓLOGA</v>
      </c>
      <c r="F39" s="22" t="s">
        <v>25</v>
      </c>
      <c r="G39" s="24" t="str">
        <f>IFERROR(VLOOKUP(F39,Procedimentos!A:C,2,),"")</f>
        <v>GARANTIA DA QUALIDADE</v>
      </c>
      <c r="H39" s="25"/>
      <c r="I39" s="25">
        <v>45861</v>
      </c>
      <c r="J39" s="22">
        <v>12</v>
      </c>
      <c r="K39" s="25">
        <f t="shared" si="1"/>
        <v>46226</v>
      </c>
      <c r="L39" s="28" t="str">
        <f t="shared" ca="1" si="0"/>
        <v>Em dia</v>
      </c>
      <c r="M39" s="22" t="s">
        <v>20</v>
      </c>
      <c r="N39" s="28" t="s">
        <v>21</v>
      </c>
      <c r="O39" s="29" t="s">
        <v>22</v>
      </c>
      <c r="P39" s="25">
        <f t="shared" si="2"/>
        <v>45953</v>
      </c>
      <c r="Q39" s="25"/>
      <c r="R39" s="25"/>
      <c r="S39" s="28" t="s">
        <v>23</v>
      </c>
      <c r="T39" s="28">
        <v>1</v>
      </c>
    </row>
    <row r="40" spans="1:20" ht="14.25" customHeight="1">
      <c r="A40" s="22">
        <v>43</v>
      </c>
      <c r="B40" s="22">
        <v>14083</v>
      </c>
      <c r="C40" s="22" t="str">
        <f>IFERROR(VLOOKUP(B40,Colaboradores!A:D,2,),"")</f>
        <v>TAHYNAN FREITAS SILVA COSTA</v>
      </c>
      <c r="D40" s="22" t="str">
        <f>IFERROR(VLOOKUP(B40,Colaboradores!A:D,3,),"")</f>
        <v>SAÚDE OCUPACIONAL</v>
      </c>
      <c r="E40" s="22" t="str">
        <f>IFERROR(VLOOKUP(B40,Colaboradores!A:D,4,),"")</f>
        <v>TÉCNICO DE ENFERMAGEM DO TRABALHO</v>
      </c>
      <c r="F40" s="22" t="s">
        <v>25</v>
      </c>
      <c r="G40" s="24" t="str">
        <f>IFERROR(VLOOKUP(F40,Procedimentos!A:C,2,),"")</f>
        <v>GARANTIA DA QUALIDADE</v>
      </c>
      <c r="H40" s="25"/>
      <c r="I40" s="25">
        <v>45861</v>
      </c>
      <c r="J40" s="22">
        <v>12</v>
      </c>
      <c r="K40" s="25">
        <f t="shared" si="1"/>
        <v>46226</v>
      </c>
      <c r="L40" s="28" t="str">
        <f t="shared" ca="1" si="0"/>
        <v>Em dia</v>
      </c>
      <c r="M40" s="22" t="s">
        <v>20</v>
      </c>
      <c r="N40" s="28" t="s">
        <v>21</v>
      </c>
      <c r="O40" s="29" t="s">
        <v>22</v>
      </c>
      <c r="P40" s="25">
        <f t="shared" si="2"/>
        <v>45953</v>
      </c>
      <c r="Q40" s="25"/>
      <c r="R40" s="25"/>
      <c r="S40" s="28" t="s">
        <v>23</v>
      </c>
      <c r="T40" s="28">
        <v>1</v>
      </c>
    </row>
    <row r="41" spans="1:20" ht="14.25" customHeight="1">
      <c r="A41" s="22">
        <v>44</v>
      </c>
      <c r="B41" s="22">
        <v>12330</v>
      </c>
      <c r="C41" s="22" t="str">
        <f>IFERROR(VLOOKUP(B41,Colaboradores!A:D,2,),"")</f>
        <v>BIANCA GUEDES SILVA ALMEIDA</v>
      </c>
      <c r="D41" s="22" t="str">
        <f>IFERROR(VLOOKUP(B41,Colaboradores!A:D,3,),"")</f>
        <v>SAÚDE OCUPACIONAL</v>
      </c>
      <c r="E41" s="22" t="str">
        <f>IFERROR(VLOOKUP(B41,Colaboradores!A:D,4,),"")</f>
        <v>NUTRICIONISTA</v>
      </c>
      <c r="F41" s="22" t="s">
        <v>25</v>
      </c>
      <c r="G41" s="24" t="str">
        <f>IFERROR(VLOOKUP(F41,Procedimentos!A:C,2,),"")</f>
        <v>GARANTIA DA QUALIDADE</v>
      </c>
      <c r="H41" s="25"/>
      <c r="I41" s="25">
        <v>45861</v>
      </c>
      <c r="J41" s="22">
        <v>12</v>
      </c>
      <c r="K41" s="25">
        <f t="shared" si="1"/>
        <v>46226</v>
      </c>
      <c r="L41" s="28" t="str">
        <f t="shared" ca="1" si="0"/>
        <v>Em dia</v>
      </c>
      <c r="M41" s="22" t="s">
        <v>20</v>
      </c>
      <c r="N41" s="28" t="s">
        <v>21</v>
      </c>
      <c r="O41" s="29" t="s">
        <v>22</v>
      </c>
      <c r="P41" s="25">
        <f t="shared" si="2"/>
        <v>45953</v>
      </c>
      <c r="Q41" s="25"/>
      <c r="R41" s="25"/>
      <c r="S41" s="28" t="s">
        <v>23</v>
      </c>
      <c r="T41" s="28">
        <v>1</v>
      </c>
    </row>
    <row r="42" spans="1:20" ht="14.25" customHeight="1">
      <c r="A42" s="22">
        <v>45</v>
      </c>
      <c r="B42" s="22">
        <v>12684</v>
      </c>
      <c r="C42" s="22" t="str">
        <f>IFERROR(VLOOKUP(B42,Colaboradores!A:D,2,),"")</f>
        <v>JACIARA VIEIRA DA CRUZ DE AGUIAR</v>
      </c>
      <c r="D42" s="22" t="str">
        <f>IFERROR(VLOOKUP(B42,Colaboradores!A:D,3,),"")</f>
        <v>MEIO AMBIENTE</v>
      </c>
      <c r="E42" s="22" t="str">
        <f>IFERROR(VLOOKUP(B42,Colaboradores!A:D,4,),"")</f>
        <v>GERENTE DE MEIO AMBIENTE</v>
      </c>
      <c r="F42" s="22" t="s">
        <v>25</v>
      </c>
      <c r="G42" s="24" t="str">
        <f>IFERROR(VLOOKUP(F42,Procedimentos!A:C,2,),"")</f>
        <v>GARANTIA DA QUALIDADE</v>
      </c>
      <c r="H42" s="25"/>
      <c r="I42" s="25">
        <v>45861</v>
      </c>
      <c r="J42" s="22">
        <v>12</v>
      </c>
      <c r="K42" s="25">
        <f t="shared" si="1"/>
        <v>46226</v>
      </c>
      <c r="L42" s="28" t="str">
        <f t="shared" ca="1" si="0"/>
        <v>Em dia</v>
      </c>
      <c r="M42" s="22" t="s">
        <v>20</v>
      </c>
      <c r="N42" s="28" t="s">
        <v>21</v>
      </c>
      <c r="O42" s="29" t="s">
        <v>22</v>
      </c>
      <c r="P42" s="25">
        <f t="shared" si="2"/>
        <v>45953</v>
      </c>
      <c r="Q42" s="25"/>
      <c r="R42" s="25"/>
      <c r="S42" s="28" t="s">
        <v>23</v>
      </c>
      <c r="T42" s="28">
        <v>1</v>
      </c>
    </row>
    <row r="43" spans="1:20" ht="14.25" customHeight="1">
      <c r="A43" s="22">
        <v>46</v>
      </c>
      <c r="B43" s="23">
        <v>14785</v>
      </c>
      <c r="C43" s="22" t="str">
        <f>IFERROR(VLOOKUP(B43,Colaboradores!A:D,2,),"")</f>
        <v>ROSEANE CUSTODIO LIMA</v>
      </c>
      <c r="D43" s="22" t="str">
        <f>IFERROR(VLOOKUP(B43,Colaboradores!A:D,3,),"")</f>
        <v>REGIONAL CENTRAL</v>
      </c>
      <c r="E43" s="22" t="str">
        <f>IFERROR(VLOOKUP(B43,Colaboradores!A:D,4,),"")</f>
        <v>ASSISTENTE DE MEIO AMBIENTE</v>
      </c>
      <c r="F43" s="22" t="s">
        <v>26</v>
      </c>
      <c r="G43" s="24" t="str">
        <f>IFERROR(VLOOKUP(F43,Procedimentos!A:C,2,),"")</f>
        <v>RESPONSABILIDADES E AUTORIDADES DO SGQ</v>
      </c>
      <c r="H43" s="25"/>
      <c r="I43" s="25">
        <v>45860</v>
      </c>
      <c r="J43" s="22">
        <v>12</v>
      </c>
      <c r="K43" s="25">
        <f t="shared" si="1"/>
        <v>46225</v>
      </c>
      <c r="L43" s="28" t="str">
        <f t="shared" ca="1" si="0"/>
        <v>Em dia</v>
      </c>
      <c r="M43" s="22" t="s">
        <v>20</v>
      </c>
      <c r="N43" s="28" t="s">
        <v>21</v>
      </c>
      <c r="O43" s="29" t="s">
        <v>22</v>
      </c>
      <c r="P43" s="25">
        <f t="shared" si="2"/>
        <v>45952</v>
      </c>
      <c r="Q43" s="25"/>
      <c r="R43" s="25"/>
      <c r="S43" s="28" t="s">
        <v>23</v>
      </c>
      <c r="T43" s="28">
        <v>1</v>
      </c>
    </row>
    <row r="44" spans="1:20" ht="14.25" customHeight="1">
      <c r="A44" s="22">
        <v>47</v>
      </c>
      <c r="B44" s="22">
        <v>14767</v>
      </c>
      <c r="C44" s="22" t="str">
        <f>IFERROR(VLOOKUP(B44,Colaboradores!A:D,2,),"")</f>
        <v>CAIO VINICIUS PEREIRA DO NASCIMENTO</v>
      </c>
      <c r="D44" s="22" t="str">
        <f>IFERROR(VLOOKUP(B44,Colaboradores!A:D,3,),"")</f>
        <v>REGIONAL SUL</v>
      </c>
      <c r="E44" s="22" t="str">
        <f>IFERROR(VLOOKUP(B44,Colaboradores!A:D,4,),"")</f>
        <v>TÉCNICO DE MEIO AMBIENTE</v>
      </c>
      <c r="F44" s="22" t="s">
        <v>26</v>
      </c>
      <c r="G44" s="24" t="str">
        <f>IFERROR(VLOOKUP(F44,Procedimentos!A:C,2,),"")</f>
        <v>RESPONSABILIDADES E AUTORIDADES DO SGQ</v>
      </c>
      <c r="H44" s="25"/>
      <c r="I44" s="25">
        <v>45860</v>
      </c>
      <c r="J44" s="22">
        <v>12</v>
      </c>
      <c r="K44" s="25">
        <f t="shared" si="1"/>
        <v>46225</v>
      </c>
      <c r="L44" s="28" t="str">
        <f t="shared" ca="1" si="0"/>
        <v>Em dia</v>
      </c>
      <c r="M44" s="22" t="s">
        <v>20</v>
      </c>
      <c r="N44" s="28" t="s">
        <v>21</v>
      </c>
      <c r="O44" s="29" t="s">
        <v>22</v>
      </c>
      <c r="P44" s="25">
        <f t="shared" si="2"/>
        <v>45952</v>
      </c>
      <c r="Q44" s="25"/>
      <c r="R44" s="25"/>
      <c r="S44" s="28" t="s">
        <v>23</v>
      </c>
      <c r="T44" s="28">
        <v>1</v>
      </c>
    </row>
    <row r="45" spans="1:20" ht="14.25" customHeight="1">
      <c r="A45" s="22">
        <v>49</v>
      </c>
      <c r="B45" s="22">
        <v>14354</v>
      </c>
      <c r="C45" s="22" t="str">
        <f>IFERROR(VLOOKUP(B45,Colaboradores!A:D,2,),"")</f>
        <v>JOSE CLEITON SILVA DE OLIVEIRA</v>
      </c>
      <c r="D45" s="22" t="str">
        <f>IFERROR(VLOOKUP(B45,Colaboradores!A:D,3,),"")</f>
        <v>REGIONAL CENTRAL</v>
      </c>
      <c r="E45" s="22" t="str">
        <f>IFERROR(VLOOKUP(B45,Colaboradores!A:D,4,),"")</f>
        <v>TÉCNICO DE SEGURANÇA DO TRABALHO</v>
      </c>
      <c r="F45" s="22" t="s">
        <v>26</v>
      </c>
      <c r="G45" s="24" t="str">
        <f>IFERROR(VLOOKUP(F45,Procedimentos!A:C,2,),"")</f>
        <v>RESPONSABILIDADES E AUTORIDADES DO SGQ</v>
      </c>
      <c r="H45" s="25"/>
      <c r="I45" s="25">
        <v>45860</v>
      </c>
      <c r="J45" s="22">
        <v>12</v>
      </c>
      <c r="K45" s="25">
        <f t="shared" si="1"/>
        <v>46225</v>
      </c>
      <c r="L45" s="28" t="str">
        <f t="shared" ca="1" si="0"/>
        <v>Em dia</v>
      </c>
      <c r="M45" s="22" t="s">
        <v>20</v>
      </c>
      <c r="N45" s="28" t="s">
        <v>21</v>
      </c>
      <c r="O45" s="29" t="s">
        <v>22</v>
      </c>
      <c r="P45" s="25">
        <f t="shared" si="2"/>
        <v>45952</v>
      </c>
      <c r="Q45" s="25"/>
      <c r="R45" s="25"/>
      <c r="S45" s="28" t="s">
        <v>23</v>
      </c>
      <c r="T45" s="28">
        <v>1</v>
      </c>
    </row>
    <row r="46" spans="1:20" ht="14.25" customHeight="1">
      <c r="A46" s="22">
        <v>50</v>
      </c>
      <c r="B46" s="22">
        <v>13822</v>
      </c>
      <c r="C46" s="22" t="str">
        <f>IFERROR(VLOOKUP(B46,Colaboradores!A:D,2,),"")</f>
        <v>JULIANA DE CASTRO ALMEIDA</v>
      </c>
      <c r="D46" s="22" t="str">
        <f>IFERROR(VLOOKUP(B46,Colaboradores!A:D,3,),"")</f>
        <v>REGIONAL CENTRAL</v>
      </c>
      <c r="E46" s="22" t="str">
        <f>IFERROR(VLOOKUP(B46,Colaboradores!A:D,4,),"")</f>
        <v>COORDENADOR DE SSMA</v>
      </c>
      <c r="F46" s="22" t="s">
        <v>26</v>
      </c>
      <c r="G46" s="24" t="str">
        <f>IFERROR(VLOOKUP(F46,Procedimentos!A:C,2,),"")</f>
        <v>RESPONSABILIDADES E AUTORIDADES DO SGQ</v>
      </c>
      <c r="H46" s="25"/>
      <c r="I46" s="25">
        <v>45860</v>
      </c>
      <c r="J46" s="22">
        <v>12</v>
      </c>
      <c r="K46" s="25">
        <f t="shared" si="1"/>
        <v>46225</v>
      </c>
      <c r="L46" s="28" t="str">
        <f t="shared" ca="1" si="0"/>
        <v>Em dia</v>
      </c>
      <c r="M46" s="22" t="s">
        <v>20</v>
      </c>
      <c r="N46" s="28" t="s">
        <v>21</v>
      </c>
      <c r="O46" s="29" t="s">
        <v>22</v>
      </c>
      <c r="P46" s="25">
        <f t="shared" si="2"/>
        <v>45952</v>
      </c>
      <c r="Q46" s="25"/>
      <c r="R46" s="25"/>
      <c r="S46" s="28" t="s">
        <v>23</v>
      </c>
      <c r="T46" s="28">
        <v>1</v>
      </c>
    </row>
    <row r="47" spans="1:20" ht="14.25" customHeight="1">
      <c r="A47" s="22">
        <v>51</v>
      </c>
      <c r="B47" s="1">
        <v>15134</v>
      </c>
      <c r="C47" s="22" t="str">
        <f>IFERROR(VLOOKUP(B47,Colaboradores!A:D,2,),"")</f>
        <v>ADRIANE MENDES ROSA</v>
      </c>
      <c r="D47" s="22" t="str">
        <f>IFERROR(VLOOKUP(B47,Colaboradores!A:D,3,),"")</f>
        <v>REGIONAL CENTRAL</v>
      </c>
      <c r="E47" s="22" t="str">
        <f>IFERROR(VLOOKUP(B47,Colaboradores!A:D,4,),"")</f>
        <v>ENFERMEIRA DO TRABALHO</v>
      </c>
      <c r="F47" s="22" t="s">
        <v>26</v>
      </c>
      <c r="G47" s="24" t="str">
        <f>IFERROR(VLOOKUP(F47,Procedimentos!A:C,2,),"")</f>
        <v>RESPONSABILIDADES E AUTORIDADES DO SGQ</v>
      </c>
      <c r="H47" s="25"/>
      <c r="I47" s="25">
        <v>45860</v>
      </c>
      <c r="J47" s="22">
        <v>12</v>
      </c>
      <c r="K47" s="25">
        <f t="shared" si="1"/>
        <v>46225</v>
      </c>
      <c r="L47" s="28" t="str">
        <f t="shared" ca="1" si="0"/>
        <v>Em dia</v>
      </c>
      <c r="M47" s="22" t="s">
        <v>20</v>
      </c>
      <c r="N47" s="28" t="s">
        <v>21</v>
      </c>
      <c r="O47" s="29" t="s">
        <v>22</v>
      </c>
      <c r="P47" s="25">
        <f t="shared" si="2"/>
        <v>45952</v>
      </c>
      <c r="Q47" s="25"/>
      <c r="R47" s="25"/>
      <c r="S47" s="28" t="s">
        <v>23</v>
      </c>
      <c r="T47" s="28">
        <v>1</v>
      </c>
    </row>
    <row r="48" spans="1:20" ht="14.25" customHeight="1">
      <c r="A48" s="22">
        <v>52</v>
      </c>
      <c r="B48" s="23">
        <v>15042</v>
      </c>
      <c r="C48" s="22" t="str">
        <f>IFERROR(VLOOKUP(B48,Colaboradores!A:D,2,),"")</f>
        <v>MARIANA CRISTINA FEITOSA SANTOS</v>
      </c>
      <c r="D48" s="22" t="str">
        <f>IFERROR(VLOOKUP(B48,Colaboradores!A:D,3,),"")</f>
        <v>REGIONAL SUL</v>
      </c>
      <c r="E48" s="22" t="str">
        <f>IFERROR(VLOOKUP(B48,Colaboradores!A:D,4,),"")</f>
        <v>TÉCNICA DE SEGURANÇA DO TRABALHO</v>
      </c>
      <c r="F48" s="22" t="s">
        <v>26</v>
      </c>
      <c r="G48" s="24" t="str">
        <f>IFERROR(VLOOKUP(F48,Procedimentos!A:C,2,),"")</f>
        <v>RESPONSABILIDADES E AUTORIDADES DO SGQ</v>
      </c>
      <c r="H48" s="25"/>
      <c r="I48" s="25">
        <v>45860</v>
      </c>
      <c r="J48" s="22">
        <v>12</v>
      </c>
      <c r="K48" s="25">
        <f t="shared" si="1"/>
        <v>46225</v>
      </c>
      <c r="L48" s="28" t="str">
        <f t="shared" ca="1" si="0"/>
        <v>Em dia</v>
      </c>
      <c r="M48" s="22" t="s">
        <v>20</v>
      </c>
      <c r="N48" s="28" t="s">
        <v>21</v>
      </c>
      <c r="O48" s="29" t="s">
        <v>22</v>
      </c>
      <c r="P48" s="25">
        <f t="shared" si="2"/>
        <v>45952</v>
      </c>
      <c r="Q48" s="25"/>
      <c r="R48" s="25"/>
      <c r="S48" s="28" t="s">
        <v>23</v>
      </c>
      <c r="T48" s="28">
        <v>1</v>
      </c>
    </row>
    <row r="49" spans="1:20" ht="14.25" customHeight="1">
      <c r="A49" s="22">
        <v>53</v>
      </c>
      <c r="B49" s="22">
        <v>14321</v>
      </c>
      <c r="C49" s="22" t="str">
        <f>IFERROR(VLOOKUP(B49,Colaboradores!A:D,2,),"")</f>
        <v>LAYANA KARINE SILVA BARBOSA</v>
      </c>
      <c r="D49" s="22" t="str">
        <f>IFERROR(VLOOKUP(B49,Colaboradores!A:D,3,),"")</f>
        <v>REGIONAL SUL</v>
      </c>
      <c r="E49" s="22" t="str">
        <f>IFERROR(VLOOKUP(B49,Colaboradores!A:D,4,),"")</f>
        <v>ASSISTENTE ADMINISTRATIVO</v>
      </c>
      <c r="F49" s="22" t="s">
        <v>26</v>
      </c>
      <c r="G49" s="24" t="str">
        <f>IFERROR(VLOOKUP(F49,Procedimentos!A:C,2,),"")</f>
        <v>RESPONSABILIDADES E AUTORIDADES DO SGQ</v>
      </c>
      <c r="H49" s="25"/>
      <c r="I49" s="25">
        <v>45860</v>
      </c>
      <c r="J49" s="22">
        <v>12</v>
      </c>
      <c r="K49" s="25">
        <f t="shared" si="1"/>
        <v>46225</v>
      </c>
      <c r="L49" s="28" t="str">
        <f t="shared" ca="1" si="0"/>
        <v>Em dia</v>
      </c>
      <c r="M49" s="22" t="s">
        <v>20</v>
      </c>
      <c r="N49" s="28" t="s">
        <v>21</v>
      </c>
      <c r="O49" s="29" t="s">
        <v>22</v>
      </c>
      <c r="P49" s="25">
        <f t="shared" si="2"/>
        <v>45952</v>
      </c>
      <c r="Q49" s="25"/>
      <c r="R49" s="25"/>
      <c r="S49" s="28" t="s">
        <v>23</v>
      </c>
      <c r="T49" s="28">
        <v>1</v>
      </c>
    </row>
    <row r="50" spans="1:20" ht="14.25" customHeight="1">
      <c r="A50" s="22">
        <v>54</v>
      </c>
      <c r="B50" s="22">
        <v>15100</v>
      </c>
      <c r="C50" s="22" t="str">
        <f>IFERROR(VLOOKUP(B50,Colaboradores!A:D,2,),"")</f>
        <v>JONATHAN SILVA ALVES</v>
      </c>
      <c r="D50" s="22" t="str">
        <f>IFERROR(VLOOKUP(B50,Colaboradores!A:D,3,),"")</f>
        <v>REGIONAL SUL</v>
      </c>
      <c r="E50" s="22" t="str">
        <f>IFERROR(VLOOKUP(B50,Colaboradores!A:D,4,),"")</f>
        <v>COORDENADOR DE SSMA</v>
      </c>
      <c r="F50" s="22" t="s">
        <v>26</v>
      </c>
      <c r="G50" s="24" t="str">
        <f>IFERROR(VLOOKUP(F50,Procedimentos!A:C,2,),"")</f>
        <v>RESPONSABILIDADES E AUTORIDADES DO SGQ</v>
      </c>
      <c r="H50" s="25"/>
      <c r="I50" s="25">
        <v>45860</v>
      </c>
      <c r="J50" s="22">
        <v>12</v>
      </c>
      <c r="K50" s="25">
        <f t="shared" si="1"/>
        <v>46225</v>
      </c>
      <c r="L50" s="28" t="str">
        <f t="shared" ca="1" si="0"/>
        <v>Em dia</v>
      </c>
      <c r="M50" s="22" t="s">
        <v>20</v>
      </c>
      <c r="N50" s="28" t="s">
        <v>21</v>
      </c>
      <c r="O50" s="29" t="s">
        <v>22</v>
      </c>
      <c r="P50" s="25">
        <f t="shared" si="2"/>
        <v>45952</v>
      </c>
      <c r="Q50" s="25"/>
      <c r="R50" s="25"/>
      <c r="S50" s="28" t="s">
        <v>23</v>
      </c>
      <c r="T50" s="28">
        <v>1</v>
      </c>
    </row>
    <row r="51" spans="1:20" ht="14.25" customHeight="1">
      <c r="A51" s="22">
        <v>55</v>
      </c>
      <c r="B51" s="22">
        <v>15059</v>
      </c>
      <c r="C51" s="22" t="str">
        <f>IFERROR(VLOOKUP(B51,Colaboradores!A:D,2,),"")</f>
        <v>GUILHERME LEÃO DOS SANTOS</v>
      </c>
      <c r="D51" s="22" t="str">
        <f>IFERROR(VLOOKUP(B51,Colaboradores!A:D,3,),"")</f>
        <v>SAÚDE OCUPACIONAL</v>
      </c>
      <c r="E51" s="22" t="str">
        <f>IFERROR(VLOOKUP(B51,Colaboradores!A:D,4,),"")</f>
        <v>ASSISTENTE ADMINISTRATIVO</v>
      </c>
      <c r="F51" s="22" t="s">
        <v>26</v>
      </c>
      <c r="G51" s="24" t="str">
        <f>IFERROR(VLOOKUP(F51,Procedimentos!A:C,2,),"")</f>
        <v>RESPONSABILIDADES E AUTORIDADES DO SGQ</v>
      </c>
      <c r="H51" s="25"/>
      <c r="I51" s="25">
        <v>45861</v>
      </c>
      <c r="J51" s="22">
        <v>12</v>
      </c>
      <c r="K51" s="25">
        <f t="shared" si="1"/>
        <v>46226</v>
      </c>
      <c r="L51" s="28" t="str">
        <f t="shared" ca="1" si="0"/>
        <v>Em dia</v>
      </c>
      <c r="M51" s="22" t="s">
        <v>20</v>
      </c>
      <c r="N51" s="28" t="s">
        <v>21</v>
      </c>
      <c r="O51" s="29" t="s">
        <v>22</v>
      </c>
      <c r="P51" s="25">
        <f t="shared" si="2"/>
        <v>45953</v>
      </c>
      <c r="Q51" s="25"/>
      <c r="R51" s="25"/>
      <c r="S51" s="28" t="s">
        <v>23</v>
      </c>
      <c r="T51" s="28">
        <v>1</v>
      </c>
    </row>
    <row r="52" spans="1:20" ht="14.25" customHeight="1">
      <c r="A52" s="22">
        <v>56</v>
      </c>
      <c r="B52" s="22">
        <v>7147</v>
      </c>
      <c r="C52" s="22" t="str">
        <f>IFERROR(VLOOKUP(B52,Colaboradores!A:D,2,),"")</f>
        <v>MAIARA MONTEIRO MARQUES CASTELO BRANCO</v>
      </c>
      <c r="D52" s="22" t="str">
        <f>IFERROR(VLOOKUP(B52,Colaboradores!A:D,3,),"")</f>
        <v>SAÚDE OCUPACIONAL</v>
      </c>
      <c r="E52" s="22" t="str">
        <f>IFERROR(VLOOKUP(B52,Colaboradores!A:D,4,),"")</f>
        <v>PSICÓLOGA</v>
      </c>
      <c r="F52" s="22" t="s">
        <v>26</v>
      </c>
      <c r="G52" s="24" t="str">
        <f>IFERROR(VLOOKUP(F52,Procedimentos!A:C,2,),"")</f>
        <v>RESPONSABILIDADES E AUTORIDADES DO SGQ</v>
      </c>
      <c r="H52" s="25"/>
      <c r="I52" s="25">
        <v>45861</v>
      </c>
      <c r="J52" s="22">
        <v>12</v>
      </c>
      <c r="K52" s="25">
        <f t="shared" si="1"/>
        <v>46226</v>
      </c>
      <c r="L52" s="28" t="str">
        <f t="shared" ca="1" si="0"/>
        <v>Em dia</v>
      </c>
      <c r="M52" s="22" t="s">
        <v>20</v>
      </c>
      <c r="N52" s="28" t="s">
        <v>21</v>
      </c>
      <c r="O52" s="29" t="s">
        <v>22</v>
      </c>
      <c r="P52" s="25">
        <f t="shared" si="2"/>
        <v>45953</v>
      </c>
      <c r="Q52" s="25"/>
      <c r="R52" s="25"/>
      <c r="S52" s="28" t="s">
        <v>23</v>
      </c>
      <c r="T52" s="28">
        <v>1</v>
      </c>
    </row>
    <row r="53" spans="1:20" ht="14.25" customHeight="1">
      <c r="A53" s="22">
        <v>57</v>
      </c>
      <c r="B53" s="22">
        <v>14499</v>
      </c>
      <c r="C53" s="22" t="str">
        <f>IFERROR(VLOOKUP(B53,Colaboradores!A:D,2,),"")</f>
        <v>SAMIRIS COSTA DA SILVA</v>
      </c>
      <c r="D53" s="22" t="str">
        <f>IFERROR(VLOOKUP(B53,Colaboradores!A:D,3,),"")</f>
        <v>SAÚDE OCUPACIONAL</v>
      </c>
      <c r="E53" s="22" t="str">
        <f>IFERROR(VLOOKUP(B53,Colaboradores!A:D,4,),"")</f>
        <v>PSICÓLOGA</v>
      </c>
      <c r="F53" s="22" t="s">
        <v>26</v>
      </c>
      <c r="G53" s="24" t="str">
        <f>IFERROR(VLOOKUP(F53,Procedimentos!A:C,2,),"")</f>
        <v>RESPONSABILIDADES E AUTORIDADES DO SGQ</v>
      </c>
      <c r="H53" s="25"/>
      <c r="I53" s="25">
        <v>45861</v>
      </c>
      <c r="J53" s="22">
        <v>12</v>
      </c>
      <c r="K53" s="25">
        <f t="shared" si="1"/>
        <v>46226</v>
      </c>
      <c r="L53" s="28" t="str">
        <f t="shared" ca="1" si="0"/>
        <v>Em dia</v>
      </c>
      <c r="M53" s="22" t="s">
        <v>20</v>
      </c>
      <c r="N53" s="28" t="s">
        <v>21</v>
      </c>
      <c r="O53" s="29" t="s">
        <v>22</v>
      </c>
      <c r="P53" s="25">
        <f t="shared" si="2"/>
        <v>45953</v>
      </c>
      <c r="Q53" s="25"/>
      <c r="R53" s="25"/>
      <c r="S53" s="28" t="s">
        <v>23</v>
      </c>
      <c r="T53" s="28">
        <v>1</v>
      </c>
    </row>
    <row r="54" spans="1:20" ht="14.25" customHeight="1">
      <c r="A54" s="22">
        <v>58</v>
      </c>
      <c r="B54" s="22">
        <v>14083</v>
      </c>
      <c r="C54" s="22" t="str">
        <f>IFERROR(VLOOKUP(B54,Colaboradores!A:D,2,),"")</f>
        <v>TAHYNAN FREITAS SILVA COSTA</v>
      </c>
      <c r="D54" s="22" t="str">
        <f>IFERROR(VLOOKUP(B54,Colaboradores!A:D,3,),"")</f>
        <v>SAÚDE OCUPACIONAL</v>
      </c>
      <c r="E54" s="22" t="str">
        <f>IFERROR(VLOOKUP(B54,Colaboradores!A:D,4,),"")</f>
        <v>TÉCNICO DE ENFERMAGEM DO TRABALHO</v>
      </c>
      <c r="F54" s="22" t="s">
        <v>26</v>
      </c>
      <c r="G54" s="24" t="str">
        <f>IFERROR(VLOOKUP(F54,Procedimentos!A:C,2,),"")</f>
        <v>RESPONSABILIDADES E AUTORIDADES DO SGQ</v>
      </c>
      <c r="H54" s="25"/>
      <c r="I54" s="25">
        <v>45861</v>
      </c>
      <c r="J54" s="22">
        <v>12</v>
      </c>
      <c r="K54" s="25">
        <f t="shared" si="1"/>
        <v>46226</v>
      </c>
      <c r="L54" s="28" t="str">
        <f t="shared" ca="1" si="0"/>
        <v>Em dia</v>
      </c>
      <c r="M54" s="22" t="s">
        <v>20</v>
      </c>
      <c r="N54" s="28" t="s">
        <v>21</v>
      </c>
      <c r="O54" s="29" t="s">
        <v>22</v>
      </c>
      <c r="P54" s="25">
        <f t="shared" si="2"/>
        <v>45953</v>
      </c>
      <c r="Q54" s="25"/>
      <c r="R54" s="25"/>
      <c r="S54" s="28" t="s">
        <v>23</v>
      </c>
      <c r="T54" s="28">
        <v>1</v>
      </c>
    </row>
    <row r="55" spans="1:20" ht="14.25" customHeight="1">
      <c r="A55" s="22">
        <v>59</v>
      </c>
      <c r="B55" s="22">
        <v>12330</v>
      </c>
      <c r="C55" s="22" t="str">
        <f>IFERROR(VLOOKUP(B55,Colaboradores!A:D,2,),"")</f>
        <v>BIANCA GUEDES SILVA ALMEIDA</v>
      </c>
      <c r="D55" s="22" t="str">
        <f>IFERROR(VLOOKUP(B55,Colaboradores!A:D,3,),"")</f>
        <v>SAÚDE OCUPACIONAL</v>
      </c>
      <c r="E55" s="22" t="str">
        <f>IFERROR(VLOOKUP(B55,Colaboradores!A:D,4,),"")</f>
        <v>NUTRICIONISTA</v>
      </c>
      <c r="F55" s="22" t="s">
        <v>26</v>
      </c>
      <c r="G55" s="24" t="str">
        <f>IFERROR(VLOOKUP(F55,Procedimentos!A:C,2,),"")</f>
        <v>RESPONSABILIDADES E AUTORIDADES DO SGQ</v>
      </c>
      <c r="H55" s="25"/>
      <c r="I55" s="25">
        <v>45861</v>
      </c>
      <c r="J55" s="22">
        <v>12</v>
      </c>
      <c r="K55" s="25">
        <f t="shared" si="1"/>
        <v>46226</v>
      </c>
      <c r="L55" s="28" t="str">
        <f t="shared" ca="1" si="0"/>
        <v>Em dia</v>
      </c>
      <c r="M55" s="22" t="s">
        <v>20</v>
      </c>
      <c r="N55" s="28" t="s">
        <v>21</v>
      </c>
      <c r="O55" s="29" t="s">
        <v>22</v>
      </c>
      <c r="P55" s="25">
        <f t="shared" si="2"/>
        <v>45953</v>
      </c>
      <c r="Q55" s="25"/>
      <c r="R55" s="25"/>
      <c r="S55" s="28" t="s">
        <v>23</v>
      </c>
      <c r="T55" s="28">
        <v>1</v>
      </c>
    </row>
    <row r="56" spans="1:20" ht="14.25" customHeight="1">
      <c r="A56" s="22">
        <v>60</v>
      </c>
      <c r="B56" s="22">
        <v>12684</v>
      </c>
      <c r="C56" s="22" t="str">
        <f>IFERROR(VLOOKUP(B56,Colaboradores!A:D,2,),"")</f>
        <v>JACIARA VIEIRA DA CRUZ DE AGUIAR</v>
      </c>
      <c r="D56" s="22" t="str">
        <f>IFERROR(VLOOKUP(B56,Colaboradores!A:D,3,),"")</f>
        <v>MEIO AMBIENTE</v>
      </c>
      <c r="E56" s="22" t="str">
        <f>IFERROR(VLOOKUP(B56,Colaboradores!A:D,4,),"")</f>
        <v>GERENTE DE MEIO AMBIENTE</v>
      </c>
      <c r="F56" s="22" t="s">
        <v>26</v>
      </c>
      <c r="G56" s="24" t="str">
        <f>IFERROR(VLOOKUP(F56,Procedimentos!A:C,2,),"")</f>
        <v>RESPONSABILIDADES E AUTORIDADES DO SGQ</v>
      </c>
      <c r="H56" s="25"/>
      <c r="I56" s="25">
        <v>45861</v>
      </c>
      <c r="J56" s="22">
        <v>12</v>
      </c>
      <c r="K56" s="25">
        <f t="shared" si="1"/>
        <v>46226</v>
      </c>
      <c r="L56" s="28" t="str">
        <f t="shared" ca="1" si="0"/>
        <v>Em dia</v>
      </c>
      <c r="M56" s="22" t="s">
        <v>20</v>
      </c>
      <c r="N56" s="28" t="s">
        <v>21</v>
      </c>
      <c r="O56" s="29" t="s">
        <v>22</v>
      </c>
      <c r="P56" s="25">
        <f t="shared" si="2"/>
        <v>45953</v>
      </c>
      <c r="Q56" s="25"/>
      <c r="R56" s="25"/>
      <c r="S56" s="28" t="s">
        <v>23</v>
      </c>
      <c r="T56" s="28">
        <v>1</v>
      </c>
    </row>
    <row r="57" spans="1:20" ht="14.25" customHeight="1">
      <c r="A57" s="22">
        <v>61</v>
      </c>
      <c r="B57" s="22">
        <v>13741</v>
      </c>
      <c r="C57" s="22" t="str">
        <f>IFERROR(VLOOKUP(B57,Colaboradores!A:D,2,),"")</f>
        <v>LUCAS LOPES VIEIRA</v>
      </c>
      <c r="D57" s="22" t="str">
        <f>IFERROR(VLOOKUP(B57,Colaboradores!A:D,3,),"")</f>
        <v>MEIO AMBIENTE</v>
      </c>
      <c r="E57" s="22" t="str">
        <f>IFERROR(VLOOKUP(B57,Colaboradores!A:D,4,),"")</f>
        <v>ENGENHEIRO DE MEIO AMBIENTE</v>
      </c>
      <c r="F57" s="22" t="s">
        <v>19</v>
      </c>
      <c r="G57" s="24" t="str">
        <f>IFERROR(VLOOKUP(F57,Procedimentos!A:C,2,),"")</f>
        <v>DIRETRIZES PARA DOCUMENTOS NORMATIVOS</v>
      </c>
      <c r="H57" s="25"/>
      <c r="I57" s="25">
        <v>45860</v>
      </c>
      <c r="J57" s="22">
        <v>12</v>
      </c>
      <c r="K57" s="25">
        <f t="shared" si="1"/>
        <v>46225</v>
      </c>
      <c r="L57" s="28" t="str">
        <f t="shared" ca="1" si="0"/>
        <v>Em dia</v>
      </c>
      <c r="M57" s="22" t="s">
        <v>20</v>
      </c>
      <c r="N57" s="28" t="s">
        <v>21</v>
      </c>
      <c r="O57" s="29" t="s">
        <v>22</v>
      </c>
      <c r="P57" s="25">
        <f t="shared" si="2"/>
        <v>45952</v>
      </c>
      <c r="Q57" s="25"/>
      <c r="R57" s="25"/>
      <c r="S57" s="28" t="s">
        <v>27</v>
      </c>
      <c r="T57" s="28">
        <v>1</v>
      </c>
    </row>
    <row r="58" spans="1:20" ht="14.25" customHeight="1">
      <c r="A58" s="22">
        <v>62</v>
      </c>
      <c r="B58" s="22">
        <v>15023</v>
      </c>
      <c r="C58" s="22" t="str">
        <f>IFERROR(VLOOKUP(B58,Colaboradores!A:D,2,),"")</f>
        <v>DANIEL ELISON GUSMÃO PEREIRA</v>
      </c>
      <c r="D58" s="22" t="str">
        <f>IFERROR(VLOOKUP(B58,Colaboradores!A:D,3,),"")</f>
        <v>GESTÃO INTEGRADA</v>
      </c>
      <c r="E58" s="22" t="str">
        <f>IFERROR(VLOOKUP(B58,Colaboradores!A:D,4,),"")</f>
        <v>ASSISTENTE ADMINISTRATIVO</v>
      </c>
      <c r="F58" s="22" t="s">
        <v>19</v>
      </c>
      <c r="G58" s="24" t="str">
        <f>IFERROR(VLOOKUP(F58,Procedimentos!A:C,2,),"")</f>
        <v>DIRETRIZES PARA DOCUMENTOS NORMATIVOS</v>
      </c>
      <c r="H58" s="25"/>
      <c r="I58" s="25">
        <v>45860</v>
      </c>
      <c r="J58" s="22">
        <v>12</v>
      </c>
      <c r="K58" s="25">
        <f t="shared" si="1"/>
        <v>46225</v>
      </c>
      <c r="L58" s="28" t="str">
        <f t="shared" ca="1" si="0"/>
        <v>Em dia</v>
      </c>
      <c r="M58" s="22" t="s">
        <v>20</v>
      </c>
      <c r="N58" s="28" t="s">
        <v>21</v>
      </c>
      <c r="O58" s="29" t="s">
        <v>22</v>
      </c>
      <c r="P58" s="25">
        <f t="shared" si="2"/>
        <v>45952</v>
      </c>
      <c r="Q58" s="25"/>
      <c r="R58" s="25"/>
      <c r="S58" s="28" t="s">
        <v>27</v>
      </c>
      <c r="T58" s="28">
        <v>1</v>
      </c>
    </row>
    <row r="59" spans="1:20" ht="14.25" customHeight="1">
      <c r="A59" s="22">
        <v>63</v>
      </c>
      <c r="B59" s="22">
        <v>12486</v>
      </c>
      <c r="C59" s="22" t="str">
        <f>IFERROR(VLOOKUP(B59,Colaboradores!A:D,2,),"")</f>
        <v>ENEAS GALVAO MAGALHAES BRITO</v>
      </c>
      <c r="D59" s="22" t="str">
        <f>IFERROR(VLOOKUP(B59,Colaboradores!A:D,3,),"")</f>
        <v>MEIO AMBIENTE</v>
      </c>
      <c r="E59" s="22" t="str">
        <f>IFERROR(VLOOKUP(B59,Colaboradores!A:D,4,),"")</f>
        <v>ENGENHEIRO DE MEIO AMBIENTE</v>
      </c>
      <c r="F59" s="22" t="s">
        <v>19</v>
      </c>
      <c r="G59" s="24" t="str">
        <f>IFERROR(VLOOKUP(F59,Procedimentos!A:C,2,),"")</f>
        <v>DIRETRIZES PARA DOCUMENTOS NORMATIVOS</v>
      </c>
      <c r="H59" s="25"/>
      <c r="I59" s="25">
        <v>45860</v>
      </c>
      <c r="J59" s="22">
        <v>12</v>
      </c>
      <c r="K59" s="25">
        <f t="shared" si="1"/>
        <v>46225</v>
      </c>
      <c r="L59" s="28" t="str">
        <f t="shared" ca="1" si="0"/>
        <v>Em dia</v>
      </c>
      <c r="M59" s="22" t="s">
        <v>20</v>
      </c>
      <c r="N59" s="28" t="s">
        <v>21</v>
      </c>
      <c r="O59" s="29" t="s">
        <v>22</v>
      </c>
      <c r="P59" s="25">
        <f t="shared" si="2"/>
        <v>45952</v>
      </c>
      <c r="Q59" s="25"/>
      <c r="R59" s="25"/>
      <c r="S59" s="28" t="s">
        <v>27</v>
      </c>
      <c r="T59" s="28">
        <v>1</v>
      </c>
    </row>
    <row r="60" spans="1:20" ht="14.25" customHeight="1">
      <c r="A60" s="22">
        <v>64</v>
      </c>
      <c r="B60" s="22">
        <v>14246</v>
      </c>
      <c r="C60" s="22" t="str">
        <f>IFERROR(VLOOKUP(B60,Colaboradores!A:D,2,),"")</f>
        <v>THIALISSON SILVA MORAES</v>
      </c>
      <c r="D60" s="22" t="str">
        <f>IFERROR(VLOOKUP(B60,Colaboradores!A:D,3,),"")</f>
        <v>MEIO AMBIENTE</v>
      </c>
      <c r="E60" s="22" t="str">
        <f>IFERROR(VLOOKUP(B60,Colaboradores!A:D,4,),"")</f>
        <v>ANALISTA DE MEIO AMBIENTE</v>
      </c>
      <c r="F60" s="22" t="s">
        <v>19</v>
      </c>
      <c r="G60" s="24" t="str">
        <f>IFERROR(VLOOKUP(F60,Procedimentos!A:C,2,),"")</f>
        <v>DIRETRIZES PARA DOCUMENTOS NORMATIVOS</v>
      </c>
      <c r="H60" s="25"/>
      <c r="I60" s="25">
        <v>45860</v>
      </c>
      <c r="J60" s="22">
        <v>12</v>
      </c>
      <c r="K60" s="25">
        <f t="shared" si="1"/>
        <v>46225</v>
      </c>
      <c r="L60" s="28" t="str">
        <f t="shared" ca="1" si="0"/>
        <v>Em dia</v>
      </c>
      <c r="M60" s="22" t="s">
        <v>20</v>
      </c>
      <c r="N60" s="28" t="s">
        <v>21</v>
      </c>
      <c r="O60" s="29" t="s">
        <v>22</v>
      </c>
      <c r="P60" s="25">
        <f t="shared" si="2"/>
        <v>45952</v>
      </c>
      <c r="Q60" s="25"/>
      <c r="R60" s="25"/>
      <c r="S60" s="28" t="s">
        <v>27</v>
      </c>
      <c r="T60" s="28">
        <v>1</v>
      </c>
    </row>
    <row r="61" spans="1:20" ht="14.25" customHeight="1">
      <c r="A61" s="22">
        <v>65</v>
      </c>
      <c r="B61" s="22">
        <v>14013</v>
      </c>
      <c r="C61" s="22" t="str">
        <f>IFERROR(VLOOKUP(B61,Colaboradores!A:D,2,),"")</f>
        <v>IGOR WARWICK SANTOS DE CASTRO</v>
      </c>
      <c r="D61" s="22" t="str">
        <f>IFERROR(VLOOKUP(B61,Colaboradores!A:D,3,),"")</f>
        <v>MEIO AMBIENTE</v>
      </c>
      <c r="E61" s="22" t="str">
        <f>IFERROR(VLOOKUP(B61,Colaboradores!A:D,4,),"")</f>
        <v>ASSISTENTE ADMINISTRATIVO</v>
      </c>
      <c r="F61" s="22" t="s">
        <v>19</v>
      </c>
      <c r="G61" s="24" t="str">
        <f>IFERROR(VLOOKUP(F61,Procedimentos!A:C,2,),"")</f>
        <v>DIRETRIZES PARA DOCUMENTOS NORMATIVOS</v>
      </c>
      <c r="H61" s="25"/>
      <c r="I61" s="25">
        <v>45860</v>
      </c>
      <c r="J61" s="22">
        <v>12</v>
      </c>
      <c r="K61" s="25">
        <f t="shared" si="1"/>
        <v>46225</v>
      </c>
      <c r="L61" s="28" t="str">
        <f t="shared" ca="1" si="0"/>
        <v>Em dia</v>
      </c>
      <c r="M61" s="22" t="s">
        <v>20</v>
      </c>
      <c r="N61" s="28" t="s">
        <v>21</v>
      </c>
      <c r="O61" s="29" t="s">
        <v>22</v>
      </c>
      <c r="P61" s="25">
        <f t="shared" si="2"/>
        <v>45952</v>
      </c>
      <c r="Q61" s="25"/>
      <c r="R61" s="25"/>
      <c r="S61" s="28" t="s">
        <v>27</v>
      </c>
      <c r="T61" s="28">
        <v>1</v>
      </c>
    </row>
    <row r="62" spans="1:20" ht="14.25" customHeight="1">
      <c r="A62" s="22">
        <v>66</v>
      </c>
      <c r="B62" s="22">
        <v>14824</v>
      </c>
      <c r="C62" s="22" t="str">
        <f>IFERROR(VLOOKUP(B62,Colaboradores!A:D,2,),"")</f>
        <v>DENISE DE SOUSA RIBEIRO SANTOS</v>
      </c>
      <c r="D62" s="22" t="str">
        <f>IFERROR(VLOOKUP(B62,Colaboradores!A:D,3,),"")</f>
        <v>COORDENAÇÃO ADMINISTRATIVA</v>
      </c>
      <c r="E62" s="22" t="str">
        <f>IFERROR(VLOOKUP(B62,Colaboradores!A:D,4,),"")</f>
        <v>ASSISTENTE ADMINISTRATIVO</v>
      </c>
      <c r="F62" s="22" t="s">
        <v>19</v>
      </c>
      <c r="G62" s="24" t="str">
        <f>IFERROR(VLOOKUP(F62,Procedimentos!A:C,2,),"")</f>
        <v>DIRETRIZES PARA DOCUMENTOS NORMATIVOS</v>
      </c>
      <c r="H62" s="25"/>
      <c r="I62" s="25">
        <v>45860</v>
      </c>
      <c r="J62" s="22">
        <v>12</v>
      </c>
      <c r="K62" s="25">
        <f t="shared" si="1"/>
        <v>46225</v>
      </c>
      <c r="L62" s="28" t="str">
        <f t="shared" ca="1" si="0"/>
        <v>Em dia</v>
      </c>
      <c r="M62" s="22" t="s">
        <v>20</v>
      </c>
      <c r="N62" s="28" t="s">
        <v>21</v>
      </c>
      <c r="O62" s="29" t="s">
        <v>22</v>
      </c>
      <c r="P62" s="25">
        <f t="shared" si="2"/>
        <v>45952</v>
      </c>
      <c r="Q62" s="25"/>
      <c r="R62" s="25"/>
      <c r="S62" s="28" t="s">
        <v>27</v>
      </c>
      <c r="T62" s="28">
        <v>1</v>
      </c>
    </row>
    <row r="63" spans="1:20" ht="14.25" customHeight="1">
      <c r="A63" s="22">
        <v>67</v>
      </c>
      <c r="B63" s="22">
        <v>11149</v>
      </c>
      <c r="C63" s="22" t="str">
        <f>IFERROR(VLOOKUP(B63,Colaboradores!A:D,2,),"")</f>
        <v>CAMYLA CRYSTYNE RABELO LIMA</v>
      </c>
      <c r="D63" s="22" t="str">
        <f>IFERROR(VLOOKUP(B63,Colaboradores!A:D,3,),"")</f>
        <v>COORDENAÇÃO ADMINISTRATIVA</v>
      </c>
      <c r="E63" s="22" t="str">
        <f>IFERROR(VLOOKUP(B63,Colaboradores!A:D,4,),"")</f>
        <v>ANALISTA ADMINISTRATIVO</v>
      </c>
      <c r="F63" s="22" t="s">
        <v>19</v>
      </c>
      <c r="G63" s="24" t="str">
        <f>IFERROR(VLOOKUP(F63,Procedimentos!A:C,2,),"")</f>
        <v>DIRETRIZES PARA DOCUMENTOS NORMATIVOS</v>
      </c>
      <c r="H63" s="25"/>
      <c r="I63" s="25">
        <v>45860</v>
      </c>
      <c r="J63" s="22">
        <v>12</v>
      </c>
      <c r="K63" s="25">
        <f t="shared" si="1"/>
        <v>46225</v>
      </c>
      <c r="L63" s="28" t="str">
        <f t="shared" ca="1" si="0"/>
        <v>Em dia</v>
      </c>
      <c r="M63" s="22" t="s">
        <v>20</v>
      </c>
      <c r="N63" s="28" t="s">
        <v>21</v>
      </c>
      <c r="O63" s="29" t="s">
        <v>22</v>
      </c>
      <c r="P63" s="25">
        <f t="shared" si="2"/>
        <v>45952</v>
      </c>
      <c r="Q63" s="25"/>
      <c r="R63" s="25"/>
      <c r="S63" s="28" t="s">
        <v>27</v>
      </c>
      <c r="T63" s="28">
        <v>1</v>
      </c>
    </row>
    <row r="64" spans="1:20" ht="14.25" customHeight="1">
      <c r="A64" s="22">
        <v>68</v>
      </c>
      <c r="B64" s="22">
        <v>13741</v>
      </c>
      <c r="C64" s="22" t="str">
        <f>IFERROR(VLOOKUP(B64,Colaboradores!A:D,2,),"")</f>
        <v>LUCAS LOPES VIEIRA</v>
      </c>
      <c r="D64" s="22" t="str">
        <f>IFERROR(VLOOKUP(B64,Colaboradores!A:D,3,),"")</f>
        <v>MEIO AMBIENTE</v>
      </c>
      <c r="E64" s="22" t="str">
        <f>IFERROR(VLOOKUP(B64,Colaboradores!A:D,4,),"")</f>
        <v>ENGENHEIRO DE MEIO AMBIENTE</v>
      </c>
      <c r="F64" s="22" t="s">
        <v>24</v>
      </c>
      <c r="G64" s="24" t="str">
        <f>IFERROR(VLOOKUP(F64,Procedimentos!A:C,2,),"")</f>
        <v>DIRETRIZES  PARA PROGRAMA 5S</v>
      </c>
      <c r="H64" s="25"/>
      <c r="I64" s="25">
        <v>45860</v>
      </c>
      <c r="J64" s="22">
        <v>12</v>
      </c>
      <c r="K64" s="25">
        <f t="shared" si="1"/>
        <v>46225</v>
      </c>
      <c r="L64" s="28" t="str">
        <f t="shared" ca="1" si="0"/>
        <v>Em dia</v>
      </c>
      <c r="M64" s="22" t="s">
        <v>20</v>
      </c>
      <c r="N64" s="28" t="s">
        <v>21</v>
      </c>
      <c r="O64" s="29" t="s">
        <v>22</v>
      </c>
      <c r="P64" s="25">
        <f t="shared" si="2"/>
        <v>45952</v>
      </c>
      <c r="Q64" s="25"/>
      <c r="R64" s="25"/>
      <c r="S64" s="28" t="s">
        <v>27</v>
      </c>
      <c r="T64" s="28">
        <v>1</v>
      </c>
    </row>
    <row r="65" spans="1:20" ht="14.25" customHeight="1">
      <c r="A65" s="22">
        <v>69</v>
      </c>
      <c r="B65" s="22">
        <v>15023</v>
      </c>
      <c r="C65" s="22" t="str">
        <f>IFERROR(VLOOKUP(B65,Colaboradores!A:D,2,),"")</f>
        <v>DANIEL ELISON GUSMÃO PEREIRA</v>
      </c>
      <c r="D65" s="22" t="str">
        <f>IFERROR(VLOOKUP(B65,Colaboradores!A:D,3,),"")</f>
        <v>GESTÃO INTEGRADA</v>
      </c>
      <c r="E65" s="22" t="str">
        <f>IFERROR(VLOOKUP(B65,Colaboradores!A:D,4,),"")</f>
        <v>ASSISTENTE ADMINISTRATIVO</v>
      </c>
      <c r="F65" s="22" t="s">
        <v>24</v>
      </c>
      <c r="G65" s="24" t="str">
        <f>IFERROR(VLOOKUP(F65,Procedimentos!A:C,2,),"")</f>
        <v>DIRETRIZES  PARA PROGRAMA 5S</v>
      </c>
      <c r="H65" s="25"/>
      <c r="I65" s="25">
        <v>45860</v>
      </c>
      <c r="J65" s="22">
        <v>12</v>
      </c>
      <c r="K65" s="25">
        <f t="shared" si="1"/>
        <v>46225</v>
      </c>
      <c r="L65" s="28" t="str">
        <f t="shared" ref="L65:L128" ca="1" si="3">IF(K65="","",IF(K65&lt;TODAY(),"Vencido",IF(K65&lt;=TODAY()+30,"A vencer","Em dia")))</f>
        <v>Em dia</v>
      </c>
      <c r="M65" s="22" t="s">
        <v>20</v>
      </c>
      <c r="N65" s="28" t="s">
        <v>21</v>
      </c>
      <c r="O65" s="29" t="s">
        <v>22</v>
      </c>
      <c r="P65" s="25">
        <f t="shared" si="2"/>
        <v>45952</v>
      </c>
      <c r="Q65" s="25"/>
      <c r="R65" s="25"/>
      <c r="S65" s="28" t="s">
        <v>27</v>
      </c>
      <c r="T65" s="28">
        <v>1</v>
      </c>
    </row>
    <row r="66" spans="1:20" ht="14.25" customHeight="1">
      <c r="A66" s="22">
        <v>70</v>
      </c>
      <c r="B66" s="22">
        <v>12486</v>
      </c>
      <c r="C66" s="22" t="str">
        <f>IFERROR(VLOOKUP(B66,Colaboradores!A:D,2,),"")</f>
        <v>ENEAS GALVAO MAGALHAES BRITO</v>
      </c>
      <c r="D66" s="22" t="str">
        <f>IFERROR(VLOOKUP(B66,Colaboradores!A:D,3,),"")</f>
        <v>MEIO AMBIENTE</v>
      </c>
      <c r="E66" s="22" t="str">
        <f>IFERROR(VLOOKUP(B66,Colaboradores!A:D,4,),"")</f>
        <v>ENGENHEIRO DE MEIO AMBIENTE</v>
      </c>
      <c r="F66" s="22" t="s">
        <v>24</v>
      </c>
      <c r="G66" s="24" t="str">
        <f>IFERROR(VLOOKUP(F66,Procedimentos!A:C,2,),"")</f>
        <v>DIRETRIZES  PARA PROGRAMA 5S</v>
      </c>
      <c r="H66" s="25"/>
      <c r="I66" s="25">
        <v>45860</v>
      </c>
      <c r="J66" s="22">
        <v>12</v>
      </c>
      <c r="K66" s="25">
        <f t="shared" si="1"/>
        <v>46225</v>
      </c>
      <c r="L66" s="28" t="str">
        <f t="shared" ca="1" si="3"/>
        <v>Em dia</v>
      </c>
      <c r="M66" s="22" t="s">
        <v>20</v>
      </c>
      <c r="N66" s="28" t="s">
        <v>21</v>
      </c>
      <c r="O66" s="29" t="s">
        <v>22</v>
      </c>
      <c r="P66" s="25">
        <f t="shared" si="2"/>
        <v>45952</v>
      </c>
      <c r="Q66" s="25"/>
      <c r="R66" s="25"/>
      <c r="S66" s="28" t="s">
        <v>27</v>
      </c>
      <c r="T66" s="28">
        <v>1</v>
      </c>
    </row>
    <row r="67" spans="1:20" ht="14.25" customHeight="1">
      <c r="A67" s="22">
        <v>71</v>
      </c>
      <c r="B67" s="22">
        <v>14246</v>
      </c>
      <c r="C67" s="22" t="str">
        <f>IFERROR(VLOOKUP(B67,Colaboradores!A:D,2,),"")</f>
        <v>THIALISSON SILVA MORAES</v>
      </c>
      <c r="D67" s="22" t="str">
        <f>IFERROR(VLOOKUP(B67,Colaboradores!A:D,3,),"")</f>
        <v>MEIO AMBIENTE</v>
      </c>
      <c r="E67" s="22" t="str">
        <f>IFERROR(VLOOKUP(B67,Colaboradores!A:D,4,),"")</f>
        <v>ANALISTA DE MEIO AMBIENTE</v>
      </c>
      <c r="F67" s="22" t="s">
        <v>24</v>
      </c>
      <c r="G67" s="24" t="str">
        <f>IFERROR(VLOOKUP(F67,Procedimentos!A:C,2,),"")</f>
        <v>DIRETRIZES  PARA PROGRAMA 5S</v>
      </c>
      <c r="H67" s="25"/>
      <c r="I67" s="25">
        <v>45860</v>
      </c>
      <c r="J67" s="22">
        <v>12</v>
      </c>
      <c r="K67" s="25">
        <f t="shared" ref="K67:K130" si="4">IF(AND(I67&lt;&gt;"",J67&lt;&gt;""),DATE(YEAR(I67),MONTH(I67)+J67,DAY(I67)),"")</f>
        <v>46225</v>
      </c>
      <c r="L67" s="28" t="str">
        <f t="shared" ca="1" si="3"/>
        <v>Em dia</v>
      </c>
      <c r="M67" s="22" t="s">
        <v>20</v>
      </c>
      <c r="N67" s="28" t="s">
        <v>21</v>
      </c>
      <c r="O67" s="29" t="s">
        <v>22</v>
      </c>
      <c r="P67" s="25">
        <f t="shared" si="2"/>
        <v>45952</v>
      </c>
      <c r="Q67" s="25"/>
      <c r="R67" s="25"/>
      <c r="S67" s="28" t="s">
        <v>27</v>
      </c>
      <c r="T67" s="28">
        <v>1</v>
      </c>
    </row>
    <row r="68" spans="1:20" ht="14.25" customHeight="1">
      <c r="A68" s="22">
        <v>72</v>
      </c>
      <c r="B68" s="22">
        <v>14013</v>
      </c>
      <c r="C68" s="22" t="str">
        <f>IFERROR(VLOOKUP(B68,Colaboradores!A:D,2,),"")</f>
        <v>IGOR WARWICK SANTOS DE CASTRO</v>
      </c>
      <c r="D68" s="22" t="str">
        <f>IFERROR(VLOOKUP(B68,Colaboradores!A:D,3,),"")</f>
        <v>MEIO AMBIENTE</v>
      </c>
      <c r="E68" s="22" t="str">
        <f>IFERROR(VLOOKUP(B68,Colaboradores!A:D,4,),"")</f>
        <v>ASSISTENTE ADMINISTRATIVO</v>
      </c>
      <c r="F68" s="22" t="s">
        <v>24</v>
      </c>
      <c r="G68" s="24" t="str">
        <f>IFERROR(VLOOKUP(F68,Procedimentos!A:C,2,),"")</f>
        <v>DIRETRIZES  PARA PROGRAMA 5S</v>
      </c>
      <c r="H68" s="25"/>
      <c r="I68" s="25">
        <v>45860</v>
      </c>
      <c r="J68" s="22">
        <v>12</v>
      </c>
      <c r="K68" s="25">
        <f t="shared" si="4"/>
        <v>46225</v>
      </c>
      <c r="L68" s="28" t="str">
        <f t="shared" ca="1" si="3"/>
        <v>Em dia</v>
      </c>
      <c r="M68" s="22" t="s">
        <v>20</v>
      </c>
      <c r="N68" s="28" t="s">
        <v>21</v>
      </c>
      <c r="O68" s="29" t="s">
        <v>22</v>
      </c>
      <c r="P68" s="25">
        <f t="shared" si="2"/>
        <v>45952</v>
      </c>
      <c r="Q68" s="25"/>
      <c r="R68" s="25"/>
      <c r="S68" s="28" t="s">
        <v>27</v>
      </c>
      <c r="T68" s="28">
        <v>1</v>
      </c>
    </row>
    <row r="69" spans="1:20" ht="14.25" customHeight="1">
      <c r="A69" s="22">
        <v>73</v>
      </c>
      <c r="B69" s="22">
        <v>14824</v>
      </c>
      <c r="C69" s="22" t="str">
        <f>IFERROR(VLOOKUP(B69,Colaboradores!A:D,2,),"")</f>
        <v>DENISE DE SOUSA RIBEIRO SANTOS</v>
      </c>
      <c r="D69" s="22" t="str">
        <f>IFERROR(VLOOKUP(B69,Colaboradores!A:D,3,),"")</f>
        <v>COORDENAÇÃO ADMINISTRATIVA</v>
      </c>
      <c r="E69" s="22" t="str">
        <f>IFERROR(VLOOKUP(B69,Colaboradores!A:D,4,),"")</f>
        <v>ASSISTENTE ADMINISTRATIVO</v>
      </c>
      <c r="F69" s="22" t="s">
        <v>24</v>
      </c>
      <c r="G69" s="24" t="str">
        <f>IFERROR(VLOOKUP(F69,Procedimentos!A:C,2,),"")</f>
        <v>DIRETRIZES  PARA PROGRAMA 5S</v>
      </c>
      <c r="H69" s="25"/>
      <c r="I69" s="25">
        <v>45860</v>
      </c>
      <c r="J69" s="22">
        <v>12</v>
      </c>
      <c r="K69" s="25">
        <f t="shared" si="4"/>
        <v>46225</v>
      </c>
      <c r="L69" s="28" t="str">
        <f t="shared" ca="1" si="3"/>
        <v>Em dia</v>
      </c>
      <c r="M69" s="22" t="s">
        <v>20</v>
      </c>
      <c r="N69" s="28" t="s">
        <v>21</v>
      </c>
      <c r="O69" s="29" t="s">
        <v>22</v>
      </c>
      <c r="P69" s="25">
        <f t="shared" si="2"/>
        <v>45952</v>
      </c>
      <c r="Q69" s="25"/>
      <c r="R69" s="25"/>
      <c r="S69" s="28" t="s">
        <v>27</v>
      </c>
      <c r="T69" s="28">
        <v>1</v>
      </c>
    </row>
    <row r="70" spans="1:20" ht="14.25" customHeight="1">
      <c r="A70" s="22">
        <v>74</v>
      </c>
      <c r="B70" s="22">
        <v>11149</v>
      </c>
      <c r="C70" s="22" t="str">
        <f>IFERROR(VLOOKUP(B70,Colaboradores!A:D,2,),"")</f>
        <v>CAMYLA CRYSTYNE RABELO LIMA</v>
      </c>
      <c r="D70" s="22" t="str">
        <f>IFERROR(VLOOKUP(B70,Colaboradores!A:D,3,),"")</f>
        <v>COORDENAÇÃO ADMINISTRATIVA</v>
      </c>
      <c r="E70" s="22" t="str">
        <f>IFERROR(VLOOKUP(B70,Colaboradores!A:D,4,),"")</f>
        <v>ANALISTA ADMINISTRATIVO</v>
      </c>
      <c r="F70" s="22" t="s">
        <v>24</v>
      </c>
      <c r="G70" s="24" t="str">
        <f>IFERROR(VLOOKUP(F70,Procedimentos!A:C,2,),"")</f>
        <v>DIRETRIZES  PARA PROGRAMA 5S</v>
      </c>
      <c r="H70" s="25"/>
      <c r="I70" s="25">
        <v>45860</v>
      </c>
      <c r="J70" s="22">
        <v>12</v>
      </c>
      <c r="K70" s="25">
        <f t="shared" si="4"/>
        <v>46225</v>
      </c>
      <c r="L70" s="28" t="str">
        <f t="shared" ca="1" si="3"/>
        <v>Em dia</v>
      </c>
      <c r="M70" s="22" t="s">
        <v>20</v>
      </c>
      <c r="N70" s="28" t="s">
        <v>21</v>
      </c>
      <c r="O70" s="29" t="s">
        <v>22</v>
      </c>
      <c r="P70" s="25">
        <f t="shared" si="2"/>
        <v>45952</v>
      </c>
      <c r="Q70" s="25"/>
      <c r="R70" s="25"/>
      <c r="S70" s="28" t="s">
        <v>27</v>
      </c>
      <c r="T70" s="28">
        <v>1</v>
      </c>
    </row>
    <row r="71" spans="1:20" ht="14.25" customHeight="1">
      <c r="A71" s="22">
        <v>75</v>
      </c>
      <c r="B71" s="22">
        <v>14525</v>
      </c>
      <c r="C71" s="22" t="str">
        <f>IFERROR(VLOOKUP(B71,Colaboradores!A:D,2,),"")</f>
        <v>IANKA PRAZERES CUNHA</v>
      </c>
      <c r="D71" s="22" t="str">
        <f>IFERROR(VLOOKUP(B71,Colaboradores!A:D,3,),"")</f>
        <v>GESTÃO INTEGRADA</v>
      </c>
      <c r="E71" s="22" t="str">
        <f>IFERROR(VLOOKUP(B71,Colaboradores!A:D,4,),"")</f>
        <v>ANALISTA DE GESTÃO INTEGRADA</v>
      </c>
      <c r="F71" s="22" t="s">
        <v>25</v>
      </c>
      <c r="G71" s="24" t="str">
        <f>IFERROR(VLOOKUP(F71,Procedimentos!A:C,2,),"")</f>
        <v>GARANTIA DA QUALIDADE</v>
      </c>
      <c r="H71" s="22"/>
      <c r="I71" s="25">
        <v>45860</v>
      </c>
      <c r="J71" s="22">
        <v>12</v>
      </c>
      <c r="K71" s="25">
        <f t="shared" si="4"/>
        <v>46225</v>
      </c>
      <c r="L71" s="28" t="str">
        <f t="shared" ca="1" si="3"/>
        <v>Em dia</v>
      </c>
      <c r="M71" s="22" t="s">
        <v>20</v>
      </c>
      <c r="N71" s="28" t="s">
        <v>21</v>
      </c>
      <c r="O71" s="29" t="s">
        <v>22</v>
      </c>
      <c r="P71" s="25">
        <f t="shared" si="2"/>
        <v>45952</v>
      </c>
      <c r="Q71" s="25"/>
      <c r="R71" s="25"/>
      <c r="S71" s="28" t="s">
        <v>27</v>
      </c>
      <c r="T71" s="28">
        <v>1</v>
      </c>
    </row>
    <row r="72" spans="1:20" ht="14.25" customHeight="1">
      <c r="A72" s="22">
        <v>76</v>
      </c>
      <c r="B72" s="22">
        <v>13741</v>
      </c>
      <c r="C72" s="22" t="str">
        <f>IFERROR(VLOOKUP(B72,Colaboradores!A:D,2,),"")</f>
        <v>LUCAS LOPES VIEIRA</v>
      </c>
      <c r="D72" s="22" t="str">
        <f>IFERROR(VLOOKUP(B72,Colaboradores!A:D,3,),"")</f>
        <v>MEIO AMBIENTE</v>
      </c>
      <c r="E72" s="22" t="str">
        <f>IFERROR(VLOOKUP(B72,Colaboradores!A:D,4,),"")</f>
        <v>ENGENHEIRO DE MEIO AMBIENTE</v>
      </c>
      <c r="F72" s="22" t="s">
        <v>25</v>
      </c>
      <c r="G72" s="24" t="str">
        <f>IFERROR(VLOOKUP(F72,Procedimentos!A:C,2,),"")</f>
        <v>GARANTIA DA QUALIDADE</v>
      </c>
      <c r="H72" s="25"/>
      <c r="I72" s="25">
        <v>45860</v>
      </c>
      <c r="J72" s="22">
        <v>12</v>
      </c>
      <c r="K72" s="25">
        <f t="shared" si="4"/>
        <v>46225</v>
      </c>
      <c r="L72" s="28" t="str">
        <f t="shared" ca="1" si="3"/>
        <v>Em dia</v>
      </c>
      <c r="M72" s="22" t="s">
        <v>20</v>
      </c>
      <c r="N72" s="28" t="s">
        <v>21</v>
      </c>
      <c r="O72" s="29" t="s">
        <v>22</v>
      </c>
      <c r="P72" s="25">
        <f t="shared" si="2"/>
        <v>45952</v>
      </c>
      <c r="Q72" s="25"/>
      <c r="R72" s="25"/>
      <c r="S72" s="28" t="s">
        <v>27</v>
      </c>
      <c r="T72" s="28">
        <v>1</v>
      </c>
    </row>
    <row r="73" spans="1:20" ht="14.25" customHeight="1">
      <c r="A73" s="22">
        <v>77</v>
      </c>
      <c r="B73" s="22">
        <v>15023</v>
      </c>
      <c r="C73" s="22" t="str">
        <f>IFERROR(VLOOKUP(B73,Colaboradores!A:D,2,),"")</f>
        <v>DANIEL ELISON GUSMÃO PEREIRA</v>
      </c>
      <c r="D73" s="22" t="str">
        <f>IFERROR(VLOOKUP(B73,Colaboradores!A:D,3,),"")</f>
        <v>GESTÃO INTEGRADA</v>
      </c>
      <c r="E73" s="22" t="str">
        <f>IFERROR(VLOOKUP(B73,Colaboradores!A:D,4,),"")</f>
        <v>ASSISTENTE ADMINISTRATIVO</v>
      </c>
      <c r="F73" s="22" t="s">
        <v>25</v>
      </c>
      <c r="G73" s="24" t="str">
        <f>IFERROR(VLOOKUP(F73,Procedimentos!A:C,2,),"")</f>
        <v>GARANTIA DA QUALIDADE</v>
      </c>
      <c r="H73" s="25"/>
      <c r="I73" s="25">
        <v>45860</v>
      </c>
      <c r="J73" s="22">
        <v>12</v>
      </c>
      <c r="K73" s="25">
        <f t="shared" si="4"/>
        <v>46225</v>
      </c>
      <c r="L73" s="28" t="str">
        <f t="shared" ca="1" si="3"/>
        <v>Em dia</v>
      </c>
      <c r="M73" s="22" t="s">
        <v>20</v>
      </c>
      <c r="N73" s="28" t="s">
        <v>21</v>
      </c>
      <c r="O73" s="29" t="s">
        <v>22</v>
      </c>
      <c r="P73" s="25">
        <f t="shared" si="2"/>
        <v>45952</v>
      </c>
      <c r="Q73" s="25"/>
      <c r="R73" s="25"/>
      <c r="S73" s="28" t="s">
        <v>27</v>
      </c>
      <c r="T73" s="28">
        <v>1</v>
      </c>
    </row>
    <row r="74" spans="1:20" ht="14.25" customHeight="1">
      <c r="A74" s="22">
        <v>78</v>
      </c>
      <c r="B74" s="22">
        <v>13787</v>
      </c>
      <c r="C74" s="22" t="str">
        <f>IFERROR(VLOOKUP(B74,Colaboradores!A:D,2,),"")</f>
        <v>KELLE SOCORRO MENDES GUIGNONI</v>
      </c>
      <c r="D74" s="22" t="str">
        <f>IFERROR(VLOOKUP(B74,Colaboradores!A:D,3,),"")</f>
        <v>GESTÃO INTEGRADA</v>
      </c>
      <c r="E74" s="22" t="str">
        <f>IFERROR(VLOOKUP(B74,Colaboradores!A:D,4,),"")</f>
        <v>ANALISTA DE GESTÃO INTEGRADA</v>
      </c>
      <c r="F74" s="22" t="s">
        <v>25</v>
      </c>
      <c r="G74" s="24" t="str">
        <f>IFERROR(VLOOKUP(F74,Procedimentos!A:C,2,),"")</f>
        <v>GARANTIA DA QUALIDADE</v>
      </c>
      <c r="H74" s="25"/>
      <c r="I74" s="25">
        <v>45860</v>
      </c>
      <c r="J74" s="22">
        <v>12</v>
      </c>
      <c r="K74" s="25">
        <f t="shared" si="4"/>
        <v>46225</v>
      </c>
      <c r="L74" s="28" t="str">
        <f t="shared" ca="1" si="3"/>
        <v>Em dia</v>
      </c>
      <c r="M74" s="22" t="s">
        <v>20</v>
      </c>
      <c r="N74" s="28" t="s">
        <v>21</v>
      </c>
      <c r="O74" s="29" t="s">
        <v>22</v>
      </c>
      <c r="P74" s="25">
        <f t="shared" si="2"/>
        <v>45952</v>
      </c>
      <c r="Q74" s="25"/>
      <c r="R74" s="25"/>
      <c r="S74" s="28" t="s">
        <v>27</v>
      </c>
      <c r="T74" s="28">
        <v>1</v>
      </c>
    </row>
    <row r="75" spans="1:20" ht="14.25" customHeight="1">
      <c r="A75" s="22">
        <v>79</v>
      </c>
      <c r="B75" s="22">
        <v>12486</v>
      </c>
      <c r="C75" s="22" t="str">
        <f>IFERROR(VLOOKUP(B75,Colaboradores!A:D,2,),"")</f>
        <v>ENEAS GALVAO MAGALHAES BRITO</v>
      </c>
      <c r="D75" s="22" t="str">
        <f>IFERROR(VLOOKUP(B75,Colaboradores!A:D,3,),"")</f>
        <v>MEIO AMBIENTE</v>
      </c>
      <c r="E75" s="22" t="str">
        <f>IFERROR(VLOOKUP(B75,Colaboradores!A:D,4,),"")</f>
        <v>ENGENHEIRO DE MEIO AMBIENTE</v>
      </c>
      <c r="F75" s="22" t="s">
        <v>25</v>
      </c>
      <c r="G75" s="24" t="str">
        <f>IFERROR(VLOOKUP(F75,Procedimentos!A:C,2,),"")</f>
        <v>GARANTIA DA QUALIDADE</v>
      </c>
      <c r="H75" s="25"/>
      <c r="I75" s="25">
        <v>45860</v>
      </c>
      <c r="J75" s="22">
        <v>12</v>
      </c>
      <c r="K75" s="25">
        <f t="shared" si="4"/>
        <v>46225</v>
      </c>
      <c r="L75" s="28" t="str">
        <f t="shared" ca="1" si="3"/>
        <v>Em dia</v>
      </c>
      <c r="M75" s="22" t="s">
        <v>20</v>
      </c>
      <c r="N75" s="28" t="s">
        <v>21</v>
      </c>
      <c r="O75" s="29" t="s">
        <v>22</v>
      </c>
      <c r="P75" s="25">
        <f t="shared" si="2"/>
        <v>45952</v>
      </c>
      <c r="Q75" s="25"/>
      <c r="R75" s="25"/>
      <c r="S75" s="28" t="s">
        <v>27</v>
      </c>
      <c r="T75" s="28">
        <v>1</v>
      </c>
    </row>
    <row r="76" spans="1:20" ht="14.25" customHeight="1">
      <c r="A76" s="22">
        <v>80</v>
      </c>
      <c r="B76" s="22">
        <v>14246</v>
      </c>
      <c r="C76" s="22" t="str">
        <f>IFERROR(VLOOKUP(B76,Colaboradores!A:D,2,),"")</f>
        <v>THIALISSON SILVA MORAES</v>
      </c>
      <c r="D76" s="22" t="str">
        <f>IFERROR(VLOOKUP(B76,Colaboradores!A:D,3,),"")</f>
        <v>MEIO AMBIENTE</v>
      </c>
      <c r="E76" s="22" t="str">
        <f>IFERROR(VLOOKUP(B76,Colaboradores!A:D,4,),"")</f>
        <v>ANALISTA DE MEIO AMBIENTE</v>
      </c>
      <c r="F76" s="22" t="s">
        <v>25</v>
      </c>
      <c r="G76" s="24" t="str">
        <f>IFERROR(VLOOKUP(F76,Procedimentos!A:C,2,),"")</f>
        <v>GARANTIA DA QUALIDADE</v>
      </c>
      <c r="H76" s="25"/>
      <c r="I76" s="25">
        <v>45860</v>
      </c>
      <c r="J76" s="22">
        <v>12</v>
      </c>
      <c r="K76" s="25">
        <f t="shared" si="4"/>
        <v>46225</v>
      </c>
      <c r="L76" s="28" t="str">
        <f t="shared" ca="1" si="3"/>
        <v>Em dia</v>
      </c>
      <c r="M76" s="22" t="s">
        <v>20</v>
      </c>
      <c r="N76" s="28" t="s">
        <v>21</v>
      </c>
      <c r="O76" s="29" t="s">
        <v>22</v>
      </c>
      <c r="P76" s="25">
        <f t="shared" si="2"/>
        <v>45952</v>
      </c>
      <c r="Q76" s="25"/>
      <c r="R76" s="25"/>
      <c r="S76" s="28" t="s">
        <v>27</v>
      </c>
      <c r="T76" s="28">
        <v>1</v>
      </c>
    </row>
    <row r="77" spans="1:20" ht="14.25" customHeight="1">
      <c r="A77" s="22">
        <v>81</v>
      </c>
      <c r="B77" s="22">
        <v>14013</v>
      </c>
      <c r="C77" s="22" t="str">
        <f>IFERROR(VLOOKUP(B77,Colaboradores!A:D,2,),"")</f>
        <v>IGOR WARWICK SANTOS DE CASTRO</v>
      </c>
      <c r="D77" s="22" t="str">
        <f>IFERROR(VLOOKUP(B77,Colaboradores!A:D,3,),"")</f>
        <v>MEIO AMBIENTE</v>
      </c>
      <c r="E77" s="22" t="str">
        <f>IFERROR(VLOOKUP(B77,Colaboradores!A:D,4,),"")</f>
        <v>ASSISTENTE ADMINISTRATIVO</v>
      </c>
      <c r="F77" s="22" t="s">
        <v>25</v>
      </c>
      <c r="G77" s="24" t="str">
        <f>IFERROR(VLOOKUP(F77,Procedimentos!A:C,2,),"")</f>
        <v>GARANTIA DA QUALIDADE</v>
      </c>
      <c r="H77" s="25"/>
      <c r="I77" s="25">
        <v>45860</v>
      </c>
      <c r="J77" s="22">
        <v>12</v>
      </c>
      <c r="K77" s="25">
        <f t="shared" si="4"/>
        <v>46225</v>
      </c>
      <c r="L77" s="28" t="str">
        <f t="shared" ca="1" si="3"/>
        <v>Em dia</v>
      </c>
      <c r="M77" s="22" t="s">
        <v>20</v>
      </c>
      <c r="N77" s="28" t="s">
        <v>21</v>
      </c>
      <c r="O77" s="29" t="s">
        <v>22</v>
      </c>
      <c r="P77" s="25">
        <f t="shared" si="2"/>
        <v>45952</v>
      </c>
      <c r="Q77" s="25"/>
      <c r="R77" s="25"/>
      <c r="S77" s="28" t="s">
        <v>27</v>
      </c>
      <c r="T77" s="28">
        <v>1</v>
      </c>
    </row>
    <row r="78" spans="1:20" ht="14.25" customHeight="1">
      <c r="A78" s="22">
        <v>82</v>
      </c>
      <c r="B78" s="22">
        <v>14824</v>
      </c>
      <c r="C78" s="22" t="str">
        <f>IFERROR(VLOOKUP(B78,Colaboradores!A:D,2,),"")</f>
        <v>DENISE DE SOUSA RIBEIRO SANTOS</v>
      </c>
      <c r="D78" s="22" t="str">
        <f>IFERROR(VLOOKUP(B78,Colaboradores!A:D,3,),"")</f>
        <v>COORDENAÇÃO ADMINISTRATIVA</v>
      </c>
      <c r="E78" s="22" t="str">
        <f>IFERROR(VLOOKUP(B78,Colaboradores!A:D,4,),"")</f>
        <v>ASSISTENTE ADMINISTRATIVO</v>
      </c>
      <c r="F78" s="22" t="s">
        <v>25</v>
      </c>
      <c r="G78" s="24" t="str">
        <f>IFERROR(VLOOKUP(F78,Procedimentos!A:C,2,),"")</f>
        <v>GARANTIA DA QUALIDADE</v>
      </c>
      <c r="H78" s="25"/>
      <c r="I78" s="25">
        <v>45860</v>
      </c>
      <c r="J78" s="22">
        <v>12</v>
      </c>
      <c r="K78" s="25">
        <f t="shared" si="4"/>
        <v>46225</v>
      </c>
      <c r="L78" s="28" t="str">
        <f t="shared" ca="1" si="3"/>
        <v>Em dia</v>
      </c>
      <c r="M78" s="22" t="s">
        <v>20</v>
      </c>
      <c r="N78" s="28" t="s">
        <v>21</v>
      </c>
      <c r="O78" s="29" t="s">
        <v>22</v>
      </c>
      <c r="P78" s="25">
        <f t="shared" si="2"/>
        <v>45952</v>
      </c>
      <c r="Q78" s="25"/>
      <c r="R78" s="25"/>
      <c r="S78" s="28" t="s">
        <v>27</v>
      </c>
      <c r="T78" s="28">
        <v>1</v>
      </c>
    </row>
    <row r="79" spans="1:20" ht="14.25" customHeight="1">
      <c r="A79" s="22">
        <v>83</v>
      </c>
      <c r="B79" s="22">
        <v>11149</v>
      </c>
      <c r="C79" s="22" t="str">
        <f>IFERROR(VLOOKUP(B79,Colaboradores!A:D,2,),"")</f>
        <v>CAMYLA CRYSTYNE RABELO LIMA</v>
      </c>
      <c r="D79" s="22" t="str">
        <f>IFERROR(VLOOKUP(B79,Colaboradores!A:D,3,),"")</f>
        <v>COORDENAÇÃO ADMINISTRATIVA</v>
      </c>
      <c r="E79" s="22" t="str">
        <f>IFERROR(VLOOKUP(B79,Colaboradores!A:D,4,),"")</f>
        <v>ANALISTA ADMINISTRATIVO</v>
      </c>
      <c r="F79" s="22" t="s">
        <v>25</v>
      </c>
      <c r="G79" s="24" t="str">
        <f>IFERROR(VLOOKUP(F79,Procedimentos!A:C,2,),"")</f>
        <v>GARANTIA DA QUALIDADE</v>
      </c>
      <c r="H79" s="25"/>
      <c r="I79" s="25">
        <v>45860</v>
      </c>
      <c r="J79" s="22">
        <v>12</v>
      </c>
      <c r="K79" s="25">
        <f t="shared" si="4"/>
        <v>46225</v>
      </c>
      <c r="L79" s="28" t="str">
        <f t="shared" ca="1" si="3"/>
        <v>Em dia</v>
      </c>
      <c r="M79" s="22" t="s">
        <v>20</v>
      </c>
      <c r="N79" s="28" t="s">
        <v>21</v>
      </c>
      <c r="O79" s="29" t="s">
        <v>22</v>
      </c>
      <c r="P79" s="25">
        <f t="shared" si="2"/>
        <v>45952</v>
      </c>
      <c r="Q79" s="25"/>
      <c r="R79" s="25"/>
      <c r="S79" s="28" t="s">
        <v>27</v>
      </c>
      <c r="T79" s="28">
        <v>1</v>
      </c>
    </row>
    <row r="80" spans="1:20" ht="14.25" customHeight="1">
      <c r="A80" s="22">
        <v>84</v>
      </c>
      <c r="B80" s="22">
        <v>13741</v>
      </c>
      <c r="C80" s="22" t="str">
        <f>IFERROR(VLOOKUP(B80,Colaboradores!A:D,2,),"")</f>
        <v>LUCAS LOPES VIEIRA</v>
      </c>
      <c r="D80" s="22" t="str">
        <f>IFERROR(VLOOKUP(B80,Colaboradores!A:D,3,),"")</f>
        <v>MEIO AMBIENTE</v>
      </c>
      <c r="E80" s="22" t="str">
        <f>IFERROR(VLOOKUP(B80,Colaboradores!A:D,4,),"")</f>
        <v>ENGENHEIRO DE MEIO AMBIENTE</v>
      </c>
      <c r="F80" s="22" t="s">
        <v>26</v>
      </c>
      <c r="G80" s="24" t="str">
        <f>IFERROR(VLOOKUP(F80,Procedimentos!A:C,2,),"")</f>
        <v>RESPONSABILIDADES E AUTORIDADES DO SGQ</v>
      </c>
      <c r="H80" s="25"/>
      <c r="I80" s="25">
        <v>45860</v>
      </c>
      <c r="J80" s="22">
        <v>12</v>
      </c>
      <c r="K80" s="25">
        <f t="shared" si="4"/>
        <v>46225</v>
      </c>
      <c r="L80" s="28" t="str">
        <f t="shared" ca="1" si="3"/>
        <v>Em dia</v>
      </c>
      <c r="M80" s="22" t="s">
        <v>20</v>
      </c>
      <c r="N80" s="28" t="s">
        <v>21</v>
      </c>
      <c r="O80" s="29" t="s">
        <v>22</v>
      </c>
      <c r="P80" s="25">
        <f t="shared" si="2"/>
        <v>45952</v>
      </c>
      <c r="Q80" s="25"/>
      <c r="R80" s="25"/>
      <c r="S80" s="28" t="s">
        <v>27</v>
      </c>
      <c r="T80" s="28">
        <v>1</v>
      </c>
    </row>
    <row r="81" spans="1:20" ht="14.25" customHeight="1">
      <c r="A81" s="22">
        <v>85</v>
      </c>
      <c r="B81" s="22">
        <v>15023</v>
      </c>
      <c r="C81" s="22" t="str">
        <f>IFERROR(VLOOKUP(B81,Colaboradores!A:D,2,),"")</f>
        <v>DANIEL ELISON GUSMÃO PEREIRA</v>
      </c>
      <c r="D81" s="22" t="str">
        <f>IFERROR(VLOOKUP(B81,Colaboradores!A:D,3,),"")</f>
        <v>GESTÃO INTEGRADA</v>
      </c>
      <c r="E81" s="22" t="str">
        <f>IFERROR(VLOOKUP(B81,Colaboradores!A:D,4,),"")</f>
        <v>ASSISTENTE ADMINISTRATIVO</v>
      </c>
      <c r="F81" s="22" t="s">
        <v>26</v>
      </c>
      <c r="G81" s="24" t="str">
        <f>IFERROR(VLOOKUP(F81,Procedimentos!A:C,2,),"")</f>
        <v>RESPONSABILIDADES E AUTORIDADES DO SGQ</v>
      </c>
      <c r="H81" s="25"/>
      <c r="I81" s="25">
        <v>45860</v>
      </c>
      <c r="J81" s="22">
        <v>12</v>
      </c>
      <c r="K81" s="25">
        <f t="shared" si="4"/>
        <v>46225</v>
      </c>
      <c r="L81" s="28" t="str">
        <f t="shared" ca="1" si="3"/>
        <v>Em dia</v>
      </c>
      <c r="M81" s="22" t="s">
        <v>20</v>
      </c>
      <c r="N81" s="28" t="s">
        <v>21</v>
      </c>
      <c r="O81" s="29" t="s">
        <v>22</v>
      </c>
      <c r="P81" s="25">
        <f t="shared" si="2"/>
        <v>45952</v>
      </c>
      <c r="Q81" s="25"/>
      <c r="R81" s="25"/>
      <c r="S81" s="28" t="s">
        <v>27</v>
      </c>
      <c r="T81" s="28">
        <v>1</v>
      </c>
    </row>
    <row r="82" spans="1:20" ht="14.25" customHeight="1">
      <c r="A82" s="22">
        <v>86</v>
      </c>
      <c r="B82" s="22">
        <v>12486</v>
      </c>
      <c r="C82" s="22" t="str">
        <f>IFERROR(VLOOKUP(B82,Colaboradores!A:D,2,),"")</f>
        <v>ENEAS GALVAO MAGALHAES BRITO</v>
      </c>
      <c r="D82" s="22" t="str">
        <f>IFERROR(VLOOKUP(B82,Colaboradores!A:D,3,),"")</f>
        <v>MEIO AMBIENTE</v>
      </c>
      <c r="E82" s="22" t="str">
        <f>IFERROR(VLOOKUP(B82,Colaboradores!A:D,4,),"")</f>
        <v>ENGENHEIRO DE MEIO AMBIENTE</v>
      </c>
      <c r="F82" s="22" t="s">
        <v>26</v>
      </c>
      <c r="G82" s="24" t="str">
        <f>IFERROR(VLOOKUP(F82,Procedimentos!A:C,2,),"")</f>
        <v>RESPONSABILIDADES E AUTORIDADES DO SGQ</v>
      </c>
      <c r="H82" s="25"/>
      <c r="I82" s="25">
        <v>45860</v>
      </c>
      <c r="J82" s="22">
        <v>12</v>
      </c>
      <c r="K82" s="25">
        <f t="shared" si="4"/>
        <v>46225</v>
      </c>
      <c r="L82" s="28" t="str">
        <f t="shared" ca="1" si="3"/>
        <v>Em dia</v>
      </c>
      <c r="M82" s="22" t="s">
        <v>20</v>
      </c>
      <c r="N82" s="28" t="s">
        <v>21</v>
      </c>
      <c r="O82" s="22" t="s">
        <v>28</v>
      </c>
      <c r="P82" s="25">
        <f t="shared" si="2"/>
        <v>45952</v>
      </c>
      <c r="Q82" s="25"/>
      <c r="R82" s="25"/>
      <c r="S82" s="28" t="s">
        <v>27</v>
      </c>
      <c r="T82" s="28">
        <v>1</v>
      </c>
    </row>
    <row r="83" spans="1:20" ht="14.25" customHeight="1">
      <c r="A83" s="22">
        <v>87</v>
      </c>
      <c r="B83" s="22">
        <v>14246</v>
      </c>
      <c r="C83" s="22" t="str">
        <f>IFERROR(VLOOKUP(B83,Colaboradores!A:D,2,),"")</f>
        <v>THIALISSON SILVA MORAES</v>
      </c>
      <c r="D83" s="22" t="str">
        <f>IFERROR(VLOOKUP(B83,Colaboradores!A:D,3,),"")</f>
        <v>MEIO AMBIENTE</v>
      </c>
      <c r="E83" s="22" t="str">
        <f>IFERROR(VLOOKUP(B83,Colaboradores!A:D,4,),"")</f>
        <v>ANALISTA DE MEIO AMBIENTE</v>
      </c>
      <c r="F83" s="22" t="s">
        <v>26</v>
      </c>
      <c r="G83" s="24" t="str">
        <f>IFERROR(VLOOKUP(F83,Procedimentos!A:C,2,),"")</f>
        <v>RESPONSABILIDADES E AUTORIDADES DO SGQ</v>
      </c>
      <c r="H83" s="25"/>
      <c r="I83" s="25">
        <v>45860</v>
      </c>
      <c r="J83" s="22">
        <v>12</v>
      </c>
      <c r="K83" s="25">
        <f t="shared" si="4"/>
        <v>46225</v>
      </c>
      <c r="L83" s="28" t="str">
        <f t="shared" ca="1" si="3"/>
        <v>Em dia</v>
      </c>
      <c r="M83" s="22" t="s">
        <v>20</v>
      </c>
      <c r="N83" s="28" t="s">
        <v>21</v>
      </c>
      <c r="O83" s="22" t="s">
        <v>28</v>
      </c>
      <c r="P83" s="25">
        <f t="shared" si="2"/>
        <v>45952</v>
      </c>
      <c r="Q83" s="25"/>
      <c r="R83" s="25"/>
      <c r="S83" s="28" t="s">
        <v>27</v>
      </c>
      <c r="T83" s="28">
        <v>1</v>
      </c>
    </row>
    <row r="84" spans="1:20" ht="14.25" customHeight="1">
      <c r="A84" s="22">
        <v>88</v>
      </c>
      <c r="B84" s="22">
        <v>14013</v>
      </c>
      <c r="C84" s="22" t="str">
        <f>IFERROR(VLOOKUP(B84,Colaboradores!A:D,2,),"")</f>
        <v>IGOR WARWICK SANTOS DE CASTRO</v>
      </c>
      <c r="D84" s="22" t="str">
        <f>IFERROR(VLOOKUP(B84,Colaboradores!A:D,3,),"")</f>
        <v>MEIO AMBIENTE</v>
      </c>
      <c r="E84" s="22" t="str">
        <f>IFERROR(VLOOKUP(B84,Colaboradores!A:D,4,),"")</f>
        <v>ASSISTENTE ADMINISTRATIVO</v>
      </c>
      <c r="F84" s="22" t="s">
        <v>26</v>
      </c>
      <c r="G84" s="24" t="str">
        <f>IFERROR(VLOOKUP(F84,Procedimentos!A:C,2,),"")</f>
        <v>RESPONSABILIDADES E AUTORIDADES DO SGQ</v>
      </c>
      <c r="H84" s="25"/>
      <c r="I84" s="25">
        <v>45860</v>
      </c>
      <c r="J84" s="22">
        <v>12</v>
      </c>
      <c r="K84" s="25">
        <f t="shared" si="4"/>
        <v>46225</v>
      </c>
      <c r="L84" s="28" t="str">
        <f t="shared" ca="1" si="3"/>
        <v>Em dia</v>
      </c>
      <c r="M84" s="22" t="s">
        <v>20</v>
      </c>
      <c r="N84" s="28" t="s">
        <v>21</v>
      </c>
      <c r="O84" s="22" t="s">
        <v>28</v>
      </c>
      <c r="P84" s="25">
        <f t="shared" si="2"/>
        <v>45952</v>
      </c>
      <c r="Q84" s="25"/>
      <c r="R84" s="25"/>
      <c r="S84" s="28" t="s">
        <v>27</v>
      </c>
      <c r="T84" s="28">
        <v>1</v>
      </c>
    </row>
    <row r="85" spans="1:20" ht="14.25" customHeight="1">
      <c r="A85" s="22">
        <v>89</v>
      </c>
      <c r="B85" s="22">
        <v>14824</v>
      </c>
      <c r="C85" s="22" t="str">
        <f>IFERROR(VLOOKUP(B85,Colaboradores!A:D,2,),"")</f>
        <v>DENISE DE SOUSA RIBEIRO SANTOS</v>
      </c>
      <c r="D85" s="22" t="str">
        <f>IFERROR(VLOOKUP(B85,Colaboradores!A:D,3,),"")</f>
        <v>COORDENAÇÃO ADMINISTRATIVA</v>
      </c>
      <c r="E85" s="22" t="str">
        <f>IFERROR(VLOOKUP(B85,Colaboradores!A:D,4,),"")</f>
        <v>ASSISTENTE ADMINISTRATIVO</v>
      </c>
      <c r="F85" s="22" t="s">
        <v>26</v>
      </c>
      <c r="G85" s="24" t="str">
        <f>IFERROR(VLOOKUP(F85,Procedimentos!A:C,2,),"")</f>
        <v>RESPONSABILIDADES E AUTORIDADES DO SGQ</v>
      </c>
      <c r="H85" s="25"/>
      <c r="I85" s="25">
        <v>45860</v>
      </c>
      <c r="J85" s="22">
        <v>12</v>
      </c>
      <c r="K85" s="25">
        <f t="shared" si="4"/>
        <v>46225</v>
      </c>
      <c r="L85" s="28" t="str">
        <f t="shared" ca="1" si="3"/>
        <v>Em dia</v>
      </c>
      <c r="M85" s="22" t="s">
        <v>20</v>
      </c>
      <c r="N85" s="28" t="s">
        <v>21</v>
      </c>
      <c r="O85" s="22" t="s">
        <v>28</v>
      </c>
      <c r="P85" s="25">
        <f t="shared" si="2"/>
        <v>45952</v>
      </c>
      <c r="Q85" s="25"/>
      <c r="R85" s="25"/>
      <c r="S85" s="28" t="s">
        <v>27</v>
      </c>
      <c r="T85" s="28">
        <v>1</v>
      </c>
    </row>
    <row r="86" spans="1:20" ht="14.25" customHeight="1">
      <c r="A86" s="22">
        <v>90</v>
      </c>
      <c r="B86" s="22">
        <v>11149</v>
      </c>
      <c r="C86" s="22" t="str">
        <f>IFERROR(VLOOKUP(B86,Colaboradores!A:D,2,),"")</f>
        <v>CAMYLA CRYSTYNE RABELO LIMA</v>
      </c>
      <c r="D86" s="22" t="str">
        <f>IFERROR(VLOOKUP(B86,Colaboradores!A:D,3,),"")</f>
        <v>COORDENAÇÃO ADMINISTRATIVA</v>
      </c>
      <c r="E86" s="22" t="str">
        <f>IFERROR(VLOOKUP(B86,Colaboradores!A:D,4,),"")</f>
        <v>ANALISTA ADMINISTRATIVO</v>
      </c>
      <c r="F86" s="22" t="s">
        <v>26</v>
      </c>
      <c r="G86" s="24" t="str">
        <f>IFERROR(VLOOKUP(F86,Procedimentos!A:C,2,),"")</f>
        <v>RESPONSABILIDADES E AUTORIDADES DO SGQ</v>
      </c>
      <c r="H86" s="25"/>
      <c r="I86" s="25">
        <v>45860</v>
      </c>
      <c r="J86" s="22">
        <v>12</v>
      </c>
      <c r="K86" s="25">
        <f t="shared" si="4"/>
        <v>46225</v>
      </c>
      <c r="L86" s="28" t="str">
        <f t="shared" ca="1" si="3"/>
        <v>Em dia</v>
      </c>
      <c r="M86" s="22" t="s">
        <v>20</v>
      </c>
      <c r="N86" s="28" t="s">
        <v>21</v>
      </c>
      <c r="O86" s="22" t="s">
        <v>28</v>
      </c>
      <c r="P86" s="25">
        <f t="shared" si="2"/>
        <v>45952</v>
      </c>
      <c r="Q86" s="25"/>
      <c r="R86" s="25"/>
      <c r="S86" s="28" t="s">
        <v>27</v>
      </c>
      <c r="T86" s="28">
        <v>1</v>
      </c>
    </row>
    <row r="87" spans="1:20" ht="14.25" customHeight="1">
      <c r="A87" s="22">
        <v>91</v>
      </c>
      <c r="B87" s="22">
        <v>13766</v>
      </c>
      <c r="C87" s="22" t="str">
        <f>IFERROR(VLOOKUP(B87,Colaboradores!A:D,2,),"")</f>
        <v>RAIMUNDO TAVARES PESSOA</v>
      </c>
      <c r="D87" s="22" t="str">
        <f>IFERROR(VLOOKUP(B87,Colaboradores!A:D,3,),"")</f>
        <v>COORDENAÇÃO ADMINISTRATIVA</v>
      </c>
      <c r="E87" s="22" t="str">
        <f>IFERROR(VLOOKUP(B87,Colaboradores!A:D,4,),"")</f>
        <v>ANALISTA ADMINISTRATIVO</v>
      </c>
      <c r="F87" s="22" t="s">
        <v>19</v>
      </c>
      <c r="G87" s="24" t="str">
        <f>IFERROR(VLOOKUP(F87,Procedimentos!A:C,2,),"")</f>
        <v>DIRETRIZES PARA DOCUMENTOS NORMATIVOS</v>
      </c>
      <c r="H87" s="25"/>
      <c r="I87" s="25">
        <v>45861</v>
      </c>
      <c r="J87" s="22">
        <v>12</v>
      </c>
      <c r="K87" s="25">
        <f t="shared" si="4"/>
        <v>46226</v>
      </c>
      <c r="L87" s="28" t="str">
        <f t="shared" ca="1" si="3"/>
        <v>Em dia</v>
      </c>
      <c r="M87" s="22" t="s">
        <v>20</v>
      </c>
      <c r="N87" s="28" t="s">
        <v>21</v>
      </c>
      <c r="O87" s="22" t="s">
        <v>28</v>
      </c>
      <c r="P87" s="25">
        <f t="shared" si="2"/>
        <v>45953</v>
      </c>
      <c r="Q87" s="25"/>
      <c r="R87" s="25"/>
      <c r="S87" s="28" t="s">
        <v>27</v>
      </c>
      <c r="T87" s="28">
        <v>1</v>
      </c>
    </row>
    <row r="88" spans="1:20" ht="14.25" customHeight="1">
      <c r="A88" s="22">
        <v>92</v>
      </c>
      <c r="B88" s="22">
        <v>15011</v>
      </c>
      <c r="C88" s="22" t="str">
        <f>IFERROR(VLOOKUP(B88,Colaboradores!A:D,2,),"")</f>
        <v>RAFAEL FREITAS DE PAULA</v>
      </c>
      <c r="D88" s="22" t="str">
        <f>IFERROR(VLOOKUP(B88,Colaboradores!A:D,3,),"")</f>
        <v>GESTÃO INTEGRADA</v>
      </c>
      <c r="E88" s="22" t="str">
        <f>IFERROR(VLOOKUP(B88,Colaboradores!A:D,4,),"")</f>
        <v>ANALISTA DA QUALIDADE</v>
      </c>
      <c r="F88" s="22" t="s">
        <v>19</v>
      </c>
      <c r="G88" s="24" t="str">
        <f>IFERROR(VLOOKUP(F88,Procedimentos!A:C,2,),"")</f>
        <v>DIRETRIZES PARA DOCUMENTOS NORMATIVOS</v>
      </c>
      <c r="H88" s="25"/>
      <c r="I88" s="25">
        <v>45861</v>
      </c>
      <c r="J88" s="22">
        <v>12</v>
      </c>
      <c r="K88" s="25">
        <f t="shared" si="4"/>
        <v>46226</v>
      </c>
      <c r="L88" s="28" t="str">
        <f t="shared" ca="1" si="3"/>
        <v>Em dia</v>
      </c>
      <c r="M88" s="22" t="s">
        <v>20</v>
      </c>
      <c r="N88" s="28" t="s">
        <v>21</v>
      </c>
      <c r="O88" s="22" t="s">
        <v>28</v>
      </c>
      <c r="P88" s="25">
        <f t="shared" si="2"/>
        <v>45953</v>
      </c>
      <c r="Q88" s="25"/>
      <c r="R88" s="25"/>
      <c r="S88" s="28" t="s">
        <v>27</v>
      </c>
      <c r="T88" s="28">
        <v>1</v>
      </c>
    </row>
    <row r="89" spans="1:20" ht="14.25" customHeight="1">
      <c r="A89" s="22">
        <v>93</v>
      </c>
      <c r="B89" s="22">
        <v>14526</v>
      </c>
      <c r="C89" s="22" t="str">
        <f>IFERROR(VLOOKUP(B89,Colaboradores!A:D,2,),"")</f>
        <v>VINNICYUS ANTONIO DE CARVALHO RIBEIRO</v>
      </c>
      <c r="D89" s="22" t="str">
        <f>IFERROR(VLOOKUP(B89,Colaboradores!A:D,3,),"")</f>
        <v>MEIO AMBIENTE</v>
      </c>
      <c r="E89" s="22" t="str">
        <f>IFERROR(VLOOKUP(B89,Colaboradores!A:D,4,),"")</f>
        <v>ENGENHEIRO DE MEIO AMBIENTE</v>
      </c>
      <c r="F89" s="22" t="s">
        <v>19</v>
      </c>
      <c r="G89" s="24" t="str">
        <f>IFERROR(VLOOKUP(F89,Procedimentos!A:C,2,),"")</f>
        <v>DIRETRIZES PARA DOCUMENTOS NORMATIVOS</v>
      </c>
      <c r="H89" s="25"/>
      <c r="I89" s="25">
        <v>45861</v>
      </c>
      <c r="J89" s="22">
        <v>12</v>
      </c>
      <c r="K89" s="25">
        <f t="shared" si="4"/>
        <v>46226</v>
      </c>
      <c r="L89" s="28" t="str">
        <f t="shared" ca="1" si="3"/>
        <v>Em dia</v>
      </c>
      <c r="M89" s="22" t="s">
        <v>20</v>
      </c>
      <c r="N89" s="28" t="s">
        <v>21</v>
      </c>
      <c r="O89" s="22" t="s">
        <v>28</v>
      </c>
      <c r="P89" s="25">
        <f t="shared" si="2"/>
        <v>45953</v>
      </c>
      <c r="Q89" s="25"/>
      <c r="R89" s="25"/>
      <c r="S89" s="28" t="s">
        <v>27</v>
      </c>
      <c r="T89" s="28">
        <v>1</v>
      </c>
    </row>
    <row r="90" spans="1:20" ht="14.25" customHeight="1">
      <c r="A90" s="22">
        <v>96</v>
      </c>
      <c r="B90" s="22">
        <v>14565</v>
      </c>
      <c r="C90" s="22" t="str">
        <f>IFERROR(VLOOKUP(B90,Colaboradores!A:D,2,),"")</f>
        <v>CAMILA RODRIGUES GOMES</v>
      </c>
      <c r="D90" s="22" t="str">
        <f>IFERROR(VLOOKUP(B90,Colaboradores!A:D,3,),"")</f>
        <v>SEGURANÇA DO TRABALHO</v>
      </c>
      <c r="E90" s="22" t="str">
        <f>IFERROR(VLOOKUP(B90,Colaboradores!A:D,4,),"")</f>
        <v>TÉCNICO DE SEGURANÇA DO TRABALHO</v>
      </c>
      <c r="F90" s="22" t="s">
        <v>19</v>
      </c>
      <c r="G90" s="24" t="str">
        <f>IFERROR(VLOOKUP(F90,Procedimentos!A:C,2,),"")</f>
        <v>DIRETRIZES PARA DOCUMENTOS NORMATIVOS</v>
      </c>
      <c r="H90" s="25"/>
      <c r="I90" s="25">
        <v>45861</v>
      </c>
      <c r="J90" s="22">
        <v>12</v>
      </c>
      <c r="K90" s="25">
        <f t="shared" si="4"/>
        <v>46226</v>
      </c>
      <c r="L90" s="28" t="str">
        <f t="shared" ca="1" si="3"/>
        <v>Em dia</v>
      </c>
      <c r="M90" s="22" t="s">
        <v>20</v>
      </c>
      <c r="N90" s="28" t="s">
        <v>21</v>
      </c>
      <c r="O90" s="22" t="s">
        <v>28</v>
      </c>
      <c r="P90" s="25">
        <f t="shared" si="2"/>
        <v>45953</v>
      </c>
      <c r="Q90" s="25"/>
      <c r="R90" s="25"/>
      <c r="S90" s="28" t="s">
        <v>27</v>
      </c>
      <c r="T90" s="28">
        <v>1</v>
      </c>
    </row>
    <row r="91" spans="1:20" ht="14.25" customHeight="1">
      <c r="A91" s="22">
        <v>97</v>
      </c>
      <c r="B91" s="22">
        <v>7601</v>
      </c>
      <c r="C91" s="22" t="str">
        <f>IFERROR(VLOOKUP(B91,Colaboradores!A:D,2,),"")</f>
        <v>RAYANE BEZERRA DE JESUS</v>
      </c>
      <c r="D91" s="22" t="str">
        <f>IFERROR(VLOOKUP(B91,Colaboradores!A:D,3,),"")</f>
        <v>SAÚDE OCUPACIONAL</v>
      </c>
      <c r="E91" s="22" t="str">
        <f>IFERROR(VLOOKUP(B91,Colaboradores!A:D,4,),"")</f>
        <v>TÉCNICO DE ENFERMAGEM DO TRABALHO</v>
      </c>
      <c r="F91" s="22" t="s">
        <v>19</v>
      </c>
      <c r="G91" s="24" t="str">
        <f>IFERROR(VLOOKUP(F91,Procedimentos!A:C,2,),"")</f>
        <v>DIRETRIZES PARA DOCUMENTOS NORMATIVOS</v>
      </c>
      <c r="H91" s="25"/>
      <c r="I91" s="25">
        <v>45861</v>
      </c>
      <c r="J91" s="22">
        <v>12</v>
      </c>
      <c r="K91" s="25">
        <f t="shared" si="4"/>
        <v>46226</v>
      </c>
      <c r="L91" s="28" t="str">
        <f t="shared" ca="1" si="3"/>
        <v>Em dia</v>
      </c>
      <c r="M91" s="22" t="s">
        <v>20</v>
      </c>
      <c r="N91" s="28" t="s">
        <v>21</v>
      </c>
      <c r="O91" s="22" t="s">
        <v>28</v>
      </c>
      <c r="P91" s="25">
        <f t="shared" si="2"/>
        <v>45953</v>
      </c>
      <c r="Q91" s="25"/>
      <c r="R91" s="25"/>
      <c r="S91" s="28" t="s">
        <v>27</v>
      </c>
      <c r="T91" s="28">
        <v>1</v>
      </c>
    </row>
    <row r="92" spans="1:20" ht="14.25" customHeight="1">
      <c r="A92" s="22">
        <v>98</v>
      </c>
      <c r="B92" s="22">
        <v>13766</v>
      </c>
      <c r="C92" s="22" t="str">
        <f>IFERROR(VLOOKUP(B92,Colaboradores!A:D,2,),"")</f>
        <v>RAIMUNDO TAVARES PESSOA</v>
      </c>
      <c r="D92" s="22" t="str">
        <f>IFERROR(VLOOKUP(B92,Colaboradores!A:D,3,),"")</f>
        <v>COORDENAÇÃO ADMINISTRATIVA</v>
      </c>
      <c r="E92" s="22" t="str">
        <f>IFERROR(VLOOKUP(B92,Colaboradores!A:D,4,),"")</f>
        <v>ANALISTA ADMINISTRATIVO</v>
      </c>
      <c r="F92" s="22" t="s">
        <v>24</v>
      </c>
      <c r="G92" s="24" t="str">
        <f>IFERROR(VLOOKUP(F92,Procedimentos!A:C,2,),"")</f>
        <v>DIRETRIZES  PARA PROGRAMA 5S</v>
      </c>
      <c r="H92" s="25"/>
      <c r="I92" s="25">
        <v>45861</v>
      </c>
      <c r="J92" s="22">
        <v>12</v>
      </c>
      <c r="K92" s="25">
        <f t="shared" si="4"/>
        <v>46226</v>
      </c>
      <c r="L92" s="28" t="str">
        <f t="shared" ca="1" si="3"/>
        <v>Em dia</v>
      </c>
      <c r="M92" s="22" t="s">
        <v>20</v>
      </c>
      <c r="N92" s="28" t="s">
        <v>21</v>
      </c>
      <c r="O92" s="22" t="s">
        <v>28</v>
      </c>
      <c r="P92" s="25">
        <f t="shared" si="2"/>
        <v>45953</v>
      </c>
      <c r="Q92" s="25"/>
      <c r="R92" s="25"/>
      <c r="S92" s="28" t="s">
        <v>27</v>
      </c>
      <c r="T92" s="28">
        <v>1</v>
      </c>
    </row>
    <row r="93" spans="1:20" ht="14.25" customHeight="1">
      <c r="A93" s="22">
        <v>99</v>
      </c>
      <c r="B93" s="22">
        <v>15011</v>
      </c>
      <c r="C93" s="22" t="str">
        <f>IFERROR(VLOOKUP(B93,Colaboradores!A:D,2,),"")</f>
        <v>RAFAEL FREITAS DE PAULA</v>
      </c>
      <c r="D93" s="22" t="str">
        <f>IFERROR(VLOOKUP(B93,Colaboradores!A:D,3,),"")</f>
        <v>GESTÃO INTEGRADA</v>
      </c>
      <c r="E93" s="22" t="str">
        <f>IFERROR(VLOOKUP(B93,Colaboradores!A:D,4,),"")</f>
        <v>ANALISTA DA QUALIDADE</v>
      </c>
      <c r="F93" s="22" t="s">
        <v>24</v>
      </c>
      <c r="G93" s="24" t="str">
        <f>IFERROR(VLOOKUP(F93,Procedimentos!A:C,2,),"")</f>
        <v>DIRETRIZES  PARA PROGRAMA 5S</v>
      </c>
      <c r="H93" s="25"/>
      <c r="I93" s="25">
        <v>45861</v>
      </c>
      <c r="J93" s="22">
        <v>12</v>
      </c>
      <c r="K93" s="25">
        <f t="shared" si="4"/>
        <v>46226</v>
      </c>
      <c r="L93" s="28" t="str">
        <f t="shared" ca="1" si="3"/>
        <v>Em dia</v>
      </c>
      <c r="M93" s="22" t="s">
        <v>20</v>
      </c>
      <c r="N93" s="28" t="s">
        <v>21</v>
      </c>
      <c r="O93" s="22" t="s">
        <v>28</v>
      </c>
      <c r="P93" s="25">
        <f t="shared" si="2"/>
        <v>45953</v>
      </c>
      <c r="Q93" s="25"/>
      <c r="R93" s="25"/>
      <c r="S93" s="28" t="s">
        <v>27</v>
      </c>
      <c r="T93" s="28">
        <v>1</v>
      </c>
    </row>
    <row r="94" spans="1:20" ht="14.25" customHeight="1">
      <c r="A94" s="22">
        <v>100</v>
      </c>
      <c r="B94" s="22">
        <v>14526</v>
      </c>
      <c r="C94" s="22" t="str">
        <f>IFERROR(VLOOKUP(B94,Colaboradores!A:D,2,),"")</f>
        <v>VINNICYUS ANTONIO DE CARVALHO RIBEIRO</v>
      </c>
      <c r="D94" s="22" t="str">
        <f>IFERROR(VLOOKUP(B94,Colaboradores!A:D,3,),"")</f>
        <v>MEIO AMBIENTE</v>
      </c>
      <c r="E94" s="22" t="str">
        <f>IFERROR(VLOOKUP(B94,Colaboradores!A:D,4,),"")</f>
        <v>ENGENHEIRO DE MEIO AMBIENTE</v>
      </c>
      <c r="F94" s="22" t="s">
        <v>24</v>
      </c>
      <c r="G94" s="24" t="str">
        <f>IFERROR(VLOOKUP(F94,Procedimentos!A:C,2,),"")</f>
        <v>DIRETRIZES  PARA PROGRAMA 5S</v>
      </c>
      <c r="H94" s="25"/>
      <c r="I94" s="25">
        <v>45861</v>
      </c>
      <c r="J94" s="22">
        <v>12</v>
      </c>
      <c r="K94" s="25">
        <f t="shared" si="4"/>
        <v>46226</v>
      </c>
      <c r="L94" s="28" t="str">
        <f t="shared" ca="1" si="3"/>
        <v>Em dia</v>
      </c>
      <c r="M94" s="22" t="s">
        <v>20</v>
      </c>
      <c r="N94" s="28" t="s">
        <v>21</v>
      </c>
      <c r="O94" s="22" t="s">
        <v>28</v>
      </c>
      <c r="P94" s="25">
        <f t="shared" si="2"/>
        <v>45953</v>
      </c>
      <c r="Q94" s="25"/>
      <c r="R94" s="25"/>
      <c r="S94" s="28" t="s">
        <v>27</v>
      </c>
      <c r="T94" s="28">
        <v>1</v>
      </c>
    </row>
    <row r="95" spans="1:20" ht="14.25" customHeight="1">
      <c r="A95" s="22">
        <v>103</v>
      </c>
      <c r="B95" s="22">
        <v>14565</v>
      </c>
      <c r="C95" s="22" t="str">
        <f>IFERROR(VLOOKUP(B95,Colaboradores!A:D,2,),"")</f>
        <v>CAMILA RODRIGUES GOMES</v>
      </c>
      <c r="D95" s="22" t="str">
        <f>IFERROR(VLOOKUP(B95,Colaboradores!A:D,3,),"")</f>
        <v>SEGURANÇA DO TRABALHO</v>
      </c>
      <c r="E95" s="22" t="str">
        <f>IFERROR(VLOOKUP(B95,Colaboradores!A:D,4,),"")</f>
        <v>TÉCNICO DE SEGURANÇA DO TRABALHO</v>
      </c>
      <c r="F95" s="22" t="s">
        <v>24</v>
      </c>
      <c r="G95" s="24" t="str">
        <f>IFERROR(VLOOKUP(F95,Procedimentos!A:C,2,),"")</f>
        <v>DIRETRIZES  PARA PROGRAMA 5S</v>
      </c>
      <c r="H95" s="25"/>
      <c r="I95" s="25">
        <v>45861</v>
      </c>
      <c r="J95" s="22">
        <v>12</v>
      </c>
      <c r="K95" s="25">
        <f t="shared" si="4"/>
        <v>46226</v>
      </c>
      <c r="L95" s="28" t="str">
        <f t="shared" ca="1" si="3"/>
        <v>Em dia</v>
      </c>
      <c r="M95" s="22" t="s">
        <v>20</v>
      </c>
      <c r="N95" s="28" t="s">
        <v>21</v>
      </c>
      <c r="O95" s="22" t="s">
        <v>28</v>
      </c>
      <c r="P95" s="25">
        <f t="shared" si="2"/>
        <v>45953</v>
      </c>
      <c r="Q95" s="25"/>
      <c r="R95" s="25"/>
      <c r="S95" s="28" t="s">
        <v>27</v>
      </c>
      <c r="T95" s="28">
        <v>1</v>
      </c>
    </row>
    <row r="96" spans="1:20" ht="14.25" customHeight="1">
      <c r="A96" s="22">
        <v>104</v>
      </c>
      <c r="B96" s="22">
        <v>7601</v>
      </c>
      <c r="C96" s="22" t="str">
        <f>IFERROR(VLOOKUP(B96,Colaboradores!A:D,2,),"")</f>
        <v>RAYANE BEZERRA DE JESUS</v>
      </c>
      <c r="D96" s="22" t="str">
        <f>IFERROR(VLOOKUP(B96,Colaboradores!A:D,3,),"")</f>
        <v>SAÚDE OCUPACIONAL</v>
      </c>
      <c r="E96" s="22" t="str">
        <f>IFERROR(VLOOKUP(B96,Colaboradores!A:D,4,),"")</f>
        <v>TÉCNICO DE ENFERMAGEM DO TRABALHO</v>
      </c>
      <c r="F96" s="22" t="s">
        <v>24</v>
      </c>
      <c r="G96" s="24" t="str">
        <f>IFERROR(VLOOKUP(F96,Procedimentos!A:C,2,),"")</f>
        <v>DIRETRIZES  PARA PROGRAMA 5S</v>
      </c>
      <c r="H96" s="25"/>
      <c r="I96" s="25">
        <v>45861</v>
      </c>
      <c r="J96" s="22">
        <v>12</v>
      </c>
      <c r="K96" s="25">
        <f t="shared" si="4"/>
        <v>46226</v>
      </c>
      <c r="L96" s="28" t="str">
        <f t="shared" ca="1" si="3"/>
        <v>Em dia</v>
      </c>
      <c r="M96" s="22" t="s">
        <v>20</v>
      </c>
      <c r="N96" s="28" t="s">
        <v>21</v>
      </c>
      <c r="O96" s="22" t="s">
        <v>28</v>
      </c>
      <c r="P96" s="25">
        <f t="shared" si="2"/>
        <v>45953</v>
      </c>
      <c r="Q96" s="25"/>
      <c r="R96" s="25"/>
      <c r="S96" s="28" t="s">
        <v>27</v>
      </c>
      <c r="T96" s="28">
        <v>1</v>
      </c>
    </row>
    <row r="97" spans="1:20" ht="14.25" customHeight="1">
      <c r="A97" s="22">
        <v>105</v>
      </c>
      <c r="B97" s="22">
        <v>13766</v>
      </c>
      <c r="C97" s="22" t="str">
        <f>IFERROR(VLOOKUP(B97,Colaboradores!A:D,2,),"")</f>
        <v>RAIMUNDO TAVARES PESSOA</v>
      </c>
      <c r="D97" s="22" t="str">
        <f>IFERROR(VLOOKUP(B97,Colaboradores!A:D,3,),"")</f>
        <v>COORDENAÇÃO ADMINISTRATIVA</v>
      </c>
      <c r="E97" s="22" t="str">
        <f>IFERROR(VLOOKUP(B97,Colaboradores!A:D,4,),"")</f>
        <v>ANALISTA ADMINISTRATIVO</v>
      </c>
      <c r="F97" s="22" t="s">
        <v>25</v>
      </c>
      <c r="G97" s="24" t="str">
        <f>IFERROR(VLOOKUP(F97,Procedimentos!A:C,2,),"")</f>
        <v>GARANTIA DA QUALIDADE</v>
      </c>
      <c r="H97" s="25"/>
      <c r="I97" s="25">
        <v>45861</v>
      </c>
      <c r="J97" s="22">
        <v>12</v>
      </c>
      <c r="K97" s="25">
        <f t="shared" si="4"/>
        <v>46226</v>
      </c>
      <c r="L97" s="28" t="str">
        <f t="shared" ca="1" si="3"/>
        <v>Em dia</v>
      </c>
      <c r="M97" s="22" t="s">
        <v>20</v>
      </c>
      <c r="N97" s="28" t="s">
        <v>21</v>
      </c>
      <c r="O97" s="22" t="s">
        <v>28</v>
      </c>
      <c r="P97" s="25">
        <f t="shared" si="2"/>
        <v>45953</v>
      </c>
      <c r="Q97" s="25"/>
      <c r="R97" s="25"/>
      <c r="S97" s="28" t="s">
        <v>27</v>
      </c>
      <c r="T97" s="28">
        <v>1</v>
      </c>
    </row>
    <row r="98" spans="1:20" ht="14.25" customHeight="1">
      <c r="A98" s="22">
        <v>106</v>
      </c>
      <c r="B98" s="22">
        <v>15011</v>
      </c>
      <c r="C98" s="22" t="str">
        <f>IFERROR(VLOOKUP(B98,Colaboradores!A:D,2,),"")</f>
        <v>RAFAEL FREITAS DE PAULA</v>
      </c>
      <c r="D98" s="22" t="str">
        <f>IFERROR(VLOOKUP(B98,Colaboradores!A:D,3,),"")</f>
        <v>GESTÃO INTEGRADA</v>
      </c>
      <c r="E98" s="22" t="str">
        <f>IFERROR(VLOOKUP(B98,Colaboradores!A:D,4,),"")</f>
        <v>ANALISTA DA QUALIDADE</v>
      </c>
      <c r="F98" s="22" t="s">
        <v>25</v>
      </c>
      <c r="G98" s="24" t="str">
        <f>IFERROR(VLOOKUP(F98,Procedimentos!A:C,2,),"")</f>
        <v>GARANTIA DA QUALIDADE</v>
      </c>
      <c r="H98" s="25"/>
      <c r="I98" s="25">
        <v>45861</v>
      </c>
      <c r="J98" s="22">
        <v>12</v>
      </c>
      <c r="K98" s="25">
        <f t="shared" si="4"/>
        <v>46226</v>
      </c>
      <c r="L98" s="28" t="str">
        <f t="shared" ca="1" si="3"/>
        <v>Em dia</v>
      </c>
      <c r="M98" s="22" t="s">
        <v>20</v>
      </c>
      <c r="N98" s="28" t="s">
        <v>21</v>
      </c>
      <c r="O98" s="22" t="s">
        <v>28</v>
      </c>
      <c r="P98" s="25">
        <f t="shared" si="2"/>
        <v>45953</v>
      </c>
      <c r="Q98" s="25"/>
      <c r="R98" s="25"/>
      <c r="S98" s="28" t="s">
        <v>27</v>
      </c>
      <c r="T98" s="28">
        <v>1</v>
      </c>
    </row>
    <row r="99" spans="1:20" ht="14.25" customHeight="1">
      <c r="A99" s="22">
        <v>107</v>
      </c>
      <c r="B99" s="22">
        <v>14526</v>
      </c>
      <c r="C99" s="22" t="str">
        <f>IFERROR(VLOOKUP(B99,Colaboradores!A:D,2,),"")</f>
        <v>VINNICYUS ANTONIO DE CARVALHO RIBEIRO</v>
      </c>
      <c r="D99" s="22" t="str">
        <f>IFERROR(VLOOKUP(B99,Colaboradores!A:D,3,),"")</f>
        <v>MEIO AMBIENTE</v>
      </c>
      <c r="E99" s="22" t="str">
        <f>IFERROR(VLOOKUP(B99,Colaboradores!A:D,4,),"")</f>
        <v>ENGENHEIRO DE MEIO AMBIENTE</v>
      </c>
      <c r="F99" s="22" t="s">
        <v>25</v>
      </c>
      <c r="G99" s="24" t="str">
        <f>IFERROR(VLOOKUP(F99,Procedimentos!A:C,2,),"")</f>
        <v>GARANTIA DA QUALIDADE</v>
      </c>
      <c r="H99" s="25"/>
      <c r="I99" s="25">
        <v>45861</v>
      </c>
      <c r="J99" s="22">
        <v>12</v>
      </c>
      <c r="K99" s="25">
        <f t="shared" si="4"/>
        <v>46226</v>
      </c>
      <c r="L99" s="28" t="str">
        <f t="shared" ca="1" si="3"/>
        <v>Em dia</v>
      </c>
      <c r="M99" s="22" t="s">
        <v>20</v>
      </c>
      <c r="N99" s="28" t="s">
        <v>21</v>
      </c>
      <c r="O99" s="22" t="s">
        <v>28</v>
      </c>
      <c r="P99" s="25">
        <f t="shared" si="2"/>
        <v>45953</v>
      </c>
      <c r="Q99" s="25"/>
      <c r="R99" s="25"/>
      <c r="S99" s="28" t="s">
        <v>27</v>
      </c>
      <c r="T99" s="28">
        <v>1</v>
      </c>
    </row>
    <row r="100" spans="1:20" ht="14.25" customHeight="1">
      <c r="A100" s="22">
        <v>110</v>
      </c>
      <c r="B100" s="22">
        <v>14565</v>
      </c>
      <c r="C100" s="22" t="str">
        <f>IFERROR(VLOOKUP(B100,Colaboradores!A:D,2,),"")</f>
        <v>CAMILA RODRIGUES GOMES</v>
      </c>
      <c r="D100" s="22" t="str">
        <f>IFERROR(VLOOKUP(B100,Colaboradores!A:D,3,),"")</f>
        <v>SEGURANÇA DO TRABALHO</v>
      </c>
      <c r="E100" s="22" t="str">
        <f>IFERROR(VLOOKUP(B100,Colaboradores!A:D,4,),"")</f>
        <v>TÉCNICO DE SEGURANÇA DO TRABALHO</v>
      </c>
      <c r="F100" s="22" t="s">
        <v>25</v>
      </c>
      <c r="G100" s="24" t="str">
        <f>IFERROR(VLOOKUP(F100,Procedimentos!A:C,2,),"")</f>
        <v>GARANTIA DA QUALIDADE</v>
      </c>
      <c r="H100" s="25"/>
      <c r="I100" s="25">
        <v>45861</v>
      </c>
      <c r="J100" s="22">
        <v>12</v>
      </c>
      <c r="K100" s="25">
        <f t="shared" si="4"/>
        <v>46226</v>
      </c>
      <c r="L100" s="28" t="str">
        <f t="shared" ca="1" si="3"/>
        <v>Em dia</v>
      </c>
      <c r="M100" s="22" t="s">
        <v>20</v>
      </c>
      <c r="N100" s="28" t="s">
        <v>21</v>
      </c>
      <c r="O100" s="22" t="s">
        <v>28</v>
      </c>
      <c r="P100" s="25">
        <f t="shared" si="2"/>
        <v>45953</v>
      </c>
      <c r="Q100" s="25"/>
      <c r="R100" s="25"/>
      <c r="S100" s="28" t="s">
        <v>27</v>
      </c>
      <c r="T100" s="28">
        <v>1</v>
      </c>
    </row>
    <row r="101" spans="1:20" ht="14.25" customHeight="1">
      <c r="A101" s="22">
        <v>111</v>
      </c>
      <c r="B101" s="22">
        <v>7601</v>
      </c>
      <c r="C101" s="22" t="str">
        <f>IFERROR(VLOOKUP(B101,Colaboradores!A:D,2,),"")</f>
        <v>RAYANE BEZERRA DE JESUS</v>
      </c>
      <c r="D101" s="22" t="str">
        <f>IFERROR(VLOOKUP(B101,Colaboradores!A:D,3,),"")</f>
        <v>SAÚDE OCUPACIONAL</v>
      </c>
      <c r="E101" s="22" t="str">
        <f>IFERROR(VLOOKUP(B101,Colaboradores!A:D,4,),"")</f>
        <v>TÉCNICO DE ENFERMAGEM DO TRABALHO</v>
      </c>
      <c r="F101" s="22" t="s">
        <v>25</v>
      </c>
      <c r="G101" s="24" t="str">
        <f>IFERROR(VLOOKUP(F101,Procedimentos!A:C,2,),"")</f>
        <v>GARANTIA DA QUALIDADE</v>
      </c>
      <c r="H101" s="25"/>
      <c r="I101" s="25">
        <v>45861</v>
      </c>
      <c r="J101" s="22">
        <v>12</v>
      </c>
      <c r="K101" s="25">
        <f t="shared" si="4"/>
        <v>46226</v>
      </c>
      <c r="L101" s="28" t="str">
        <f t="shared" ca="1" si="3"/>
        <v>Em dia</v>
      </c>
      <c r="M101" s="22" t="s">
        <v>20</v>
      </c>
      <c r="N101" s="28" t="s">
        <v>21</v>
      </c>
      <c r="O101" s="22" t="s">
        <v>28</v>
      </c>
      <c r="P101" s="25">
        <f t="shared" si="2"/>
        <v>45953</v>
      </c>
      <c r="Q101" s="25"/>
      <c r="R101" s="25"/>
      <c r="S101" s="28" t="s">
        <v>27</v>
      </c>
      <c r="T101" s="28">
        <v>1</v>
      </c>
    </row>
    <row r="102" spans="1:20" ht="14.25" customHeight="1">
      <c r="A102" s="22">
        <v>112</v>
      </c>
      <c r="B102" s="22">
        <v>13766</v>
      </c>
      <c r="C102" s="22" t="str">
        <f>IFERROR(VLOOKUP(B102,Colaboradores!A:D,2,),"")</f>
        <v>RAIMUNDO TAVARES PESSOA</v>
      </c>
      <c r="D102" s="22" t="str">
        <f>IFERROR(VLOOKUP(B102,Colaboradores!A:D,3,),"")</f>
        <v>COORDENAÇÃO ADMINISTRATIVA</v>
      </c>
      <c r="E102" s="22" t="str">
        <f>IFERROR(VLOOKUP(B102,Colaboradores!A:D,4,),"")</f>
        <v>ANALISTA ADMINISTRATIVO</v>
      </c>
      <c r="F102" s="22" t="s">
        <v>26</v>
      </c>
      <c r="G102" s="24" t="str">
        <f>IFERROR(VLOOKUP(F102,Procedimentos!A:C,2,),"")</f>
        <v>RESPONSABILIDADES E AUTORIDADES DO SGQ</v>
      </c>
      <c r="H102" s="25"/>
      <c r="I102" s="25">
        <v>45861</v>
      </c>
      <c r="J102" s="22">
        <v>12</v>
      </c>
      <c r="K102" s="25">
        <f t="shared" si="4"/>
        <v>46226</v>
      </c>
      <c r="L102" s="28" t="str">
        <f t="shared" ca="1" si="3"/>
        <v>Em dia</v>
      </c>
      <c r="M102" s="22" t="s">
        <v>20</v>
      </c>
      <c r="N102" s="28" t="s">
        <v>21</v>
      </c>
      <c r="O102" s="22" t="s">
        <v>28</v>
      </c>
      <c r="P102" s="25">
        <f t="shared" si="2"/>
        <v>45953</v>
      </c>
      <c r="Q102" s="25"/>
      <c r="R102" s="25"/>
      <c r="S102" s="28" t="s">
        <v>27</v>
      </c>
      <c r="T102" s="28">
        <v>1</v>
      </c>
    </row>
    <row r="103" spans="1:20" ht="14.25" customHeight="1">
      <c r="A103" s="22">
        <v>113</v>
      </c>
      <c r="B103" s="22">
        <v>15011</v>
      </c>
      <c r="C103" s="22" t="str">
        <f>IFERROR(VLOOKUP(B103,Colaboradores!A:D,2,),"")</f>
        <v>RAFAEL FREITAS DE PAULA</v>
      </c>
      <c r="D103" s="22" t="str">
        <f>IFERROR(VLOOKUP(B103,Colaboradores!A:D,3,),"")</f>
        <v>GESTÃO INTEGRADA</v>
      </c>
      <c r="E103" s="22" t="str">
        <f>IFERROR(VLOOKUP(B103,Colaboradores!A:D,4,),"")</f>
        <v>ANALISTA DA QUALIDADE</v>
      </c>
      <c r="F103" s="22" t="s">
        <v>26</v>
      </c>
      <c r="G103" s="24" t="str">
        <f>IFERROR(VLOOKUP(F103,Procedimentos!A:C,2,),"")</f>
        <v>RESPONSABILIDADES E AUTORIDADES DO SGQ</v>
      </c>
      <c r="H103" s="25"/>
      <c r="I103" s="25">
        <v>45861</v>
      </c>
      <c r="J103" s="22">
        <v>12</v>
      </c>
      <c r="K103" s="25">
        <f t="shared" si="4"/>
        <v>46226</v>
      </c>
      <c r="L103" s="28" t="str">
        <f t="shared" ca="1" si="3"/>
        <v>Em dia</v>
      </c>
      <c r="M103" s="22" t="s">
        <v>20</v>
      </c>
      <c r="N103" s="28" t="s">
        <v>21</v>
      </c>
      <c r="O103" s="22" t="s">
        <v>28</v>
      </c>
      <c r="P103" s="25">
        <f t="shared" si="2"/>
        <v>45953</v>
      </c>
      <c r="Q103" s="25"/>
      <c r="R103" s="25"/>
      <c r="S103" s="28" t="s">
        <v>27</v>
      </c>
      <c r="T103" s="28">
        <v>1</v>
      </c>
    </row>
    <row r="104" spans="1:20" ht="14.25" customHeight="1">
      <c r="A104" s="22">
        <v>114</v>
      </c>
      <c r="B104" s="22">
        <v>14526</v>
      </c>
      <c r="C104" s="22" t="str">
        <f>IFERROR(VLOOKUP(B104,Colaboradores!A:D,2,),"")</f>
        <v>VINNICYUS ANTONIO DE CARVALHO RIBEIRO</v>
      </c>
      <c r="D104" s="22" t="str">
        <f>IFERROR(VLOOKUP(B104,Colaboradores!A:D,3,),"")</f>
        <v>MEIO AMBIENTE</v>
      </c>
      <c r="E104" s="22" t="str">
        <f>IFERROR(VLOOKUP(B104,Colaboradores!A:D,4,),"")</f>
        <v>ENGENHEIRO DE MEIO AMBIENTE</v>
      </c>
      <c r="F104" s="22" t="s">
        <v>26</v>
      </c>
      <c r="G104" s="24" t="str">
        <f>IFERROR(VLOOKUP(F104,Procedimentos!A:C,2,),"")</f>
        <v>RESPONSABILIDADES E AUTORIDADES DO SGQ</v>
      </c>
      <c r="H104" s="25"/>
      <c r="I104" s="25">
        <v>45861</v>
      </c>
      <c r="J104" s="22">
        <v>12</v>
      </c>
      <c r="K104" s="25">
        <f t="shared" si="4"/>
        <v>46226</v>
      </c>
      <c r="L104" s="28" t="str">
        <f t="shared" ca="1" si="3"/>
        <v>Em dia</v>
      </c>
      <c r="M104" s="22" t="s">
        <v>20</v>
      </c>
      <c r="N104" s="28" t="s">
        <v>21</v>
      </c>
      <c r="O104" s="22" t="s">
        <v>28</v>
      </c>
      <c r="P104" s="25">
        <f t="shared" si="2"/>
        <v>45953</v>
      </c>
      <c r="Q104" s="25"/>
      <c r="R104" s="25"/>
      <c r="S104" s="28" t="s">
        <v>27</v>
      </c>
      <c r="T104" s="28">
        <v>1</v>
      </c>
    </row>
    <row r="105" spans="1:20" ht="14.25" customHeight="1">
      <c r="A105" s="22">
        <v>117</v>
      </c>
      <c r="B105" s="22">
        <v>14565</v>
      </c>
      <c r="C105" s="22" t="str">
        <f>IFERROR(VLOOKUP(B105,Colaboradores!A:D,2,),"")</f>
        <v>CAMILA RODRIGUES GOMES</v>
      </c>
      <c r="D105" s="22" t="str">
        <f>IFERROR(VLOOKUP(B105,Colaboradores!A:D,3,),"")</f>
        <v>SEGURANÇA DO TRABALHO</v>
      </c>
      <c r="E105" s="22" t="str">
        <f>IFERROR(VLOOKUP(B105,Colaboradores!A:D,4,),"")</f>
        <v>TÉCNICO DE SEGURANÇA DO TRABALHO</v>
      </c>
      <c r="F105" s="22" t="s">
        <v>26</v>
      </c>
      <c r="G105" s="24" t="str">
        <f>IFERROR(VLOOKUP(F105,Procedimentos!A:C,2,),"")</f>
        <v>RESPONSABILIDADES E AUTORIDADES DO SGQ</v>
      </c>
      <c r="H105" s="25"/>
      <c r="I105" s="25">
        <v>45861</v>
      </c>
      <c r="J105" s="22">
        <v>12</v>
      </c>
      <c r="K105" s="25">
        <f t="shared" si="4"/>
        <v>46226</v>
      </c>
      <c r="L105" s="28" t="str">
        <f t="shared" ca="1" si="3"/>
        <v>Em dia</v>
      </c>
      <c r="M105" s="22" t="s">
        <v>20</v>
      </c>
      <c r="N105" s="28" t="s">
        <v>21</v>
      </c>
      <c r="O105" s="22" t="s">
        <v>28</v>
      </c>
      <c r="P105" s="25">
        <f t="shared" si="2"/>
        <v>45953</v>
      </c>
      <c r="Q105" s="25"/>
      <c r="R105" s="25"/>
      <c r="S105" s="28" t="s">
        <v>27</v>
      </c>
      <c r="T105" s="28">
        <v>1</v>
      </c>
    </row>
    <row r="106" spans="1:20" ht="14.25" customHeight="1">
      <c r="A106" s="22">
        <v>118</v>
      </c>
      <c r="B106" s="22">
        <v>7601</v>
      </c>
      <c r="C106" s="22" t="str">
        <f>IFERROR(VLOOKUP(B106,Colaboradores!A:D,2,),"")</f>
        <v>RAYANE BEZERRA DE JESUS</v>
      </c>
      <c r="D106" s="22" t="str">
        <f>IFERROR(VLOOKUP(B106,Colaboradores!A:D,3,),"")</f>
        <v>SAÚDE OCUPACIONAL</v>
      </c>
      <c r="E106" s="22" t="str">
        <f>IFERROR(VLOOKUP(B106,Colaboradores!A:D,4,),"")</f>
        <v>TÉCNICO DE ENFERMAGEM DO TRABALHO</v>
      </c>
      <c r="F106" s="22" t="s">
        <v>26</v>
      </c>
      <c r="G106" s="24" t="str">
        <f>IFERROR(VLOOKUP(F106,Procedimentos!A:C,2,),"")</f>
        <v>RESPONSABILIDADES E AUTORIDADES DO SGQ</v>
      </c>
      <c r="H106" s="25"/>
      <c r="I106" s="25">
        <v>45861</v>
      </c>
      <c r="J106" s="22">
        <v>12</v>
      </c>
      <c r="K106" s="25">
        <f t="shared" si="4"/>
        <v>46226</v>
      </c>
      <c r="L106" s="28" t="str">
        <f t="shared" ca="1" si="3"/>
        <v>Em dia</v>
      </c>
      <c r="M106" s="22" t="s">
        <v>20</v>
      </c>
      <c r="N106" s="28" t="s">
        <v>21</v>
      </c>
      <c r="O106" s="22" t="s">
        <v>28</v>
      </c>
      <c r="P106" s="25">
        <f t="shared" si="2"/>
        <v>45953</v>
      </c>
      <c r="Q106" s="25"/>
      <c r="R106" s="25"/>
      <c r="S106" s="28" t="s">
        <v>27</v>
      </c>
      <c r="T106" s="28">
        <v>1</v>
      </c>
    </row>
    <row r="107" spans="1:20" ht="14.25" customHeight="1">
      <c r="A107" s="22">
        <v>119</v>
      </c>
      <c r="B107" s="22">
        <v>12685</v>
      </c>
      <c r="C107" s="22" t="str">
        <f>IFERROR(VLOOKUP(B107,Colaboradores!A:D,2,),"")</f>
        <v>LIDIANA CRISTINA MIRANDA FERREIRA</v>
      </c>
      <c r="D107" s="22" t="str">
        <f>IFERROR(VLOOKUP(B107,Colaboradores!A:D,3,),"")</f>
        <v>GESTÃO INTEGRADA</v>
      </c>
      <c r="E107" s="22" t="str">
        <f>IFERROR(VLOOKUP(B107,Colaboradores!A:D,4,),"")</f>
        <v>COORDENADOR DE GESTÃO INTEGRADA</v>
      </c>
      <c r="F107" s="22" t="s">
        <v>29</v>
      </c>
      <c r="G107" s="24" t="str">
        <f>IFERROR(VLOOKUP(F107,Procedimentos!A:C,2,),"")</f>
        <v>COLETA SELETIVA DESSMA</v>
      </c>
      <c r="H107" s="25"/>
      <c r="I107" s="25">
        <v>45862</v>
      </c>
      <c r="J107" s="22">
        <v>12</v>
      </c>
      <c r="K107" s="25">
        <f t="shared" si="4"/>
        <v>46227</v>
      </c>
      <c r="L107" s="28" t="str">
        <f t="shared" ca="1" si="3"/>
        <v>Em dia</v>
      </c>
      <c r="M107" s="31" t="s">
        <v>30</v>
      </c>
      <c r="N107" s="28" t="s">
        <v>21</v>
      </c>
      <c r="O107" s="22" t="s">
        <v>28</v>
      </c>
      <c r="P107" s="25">
        <f t="shared" si="2"/>
        <v>45954</v>
      </c>
      <c r="Q107" s="25"/>
      <c r="R107" s="25"/>
      <c r="S107" s="28" t="s">
        <v>27</v>
      </c>
      <c r="T107" s="28">
        <v>1</v>
      </c>
    </row>
    <row r="108" spans="1:20" ht="14.25" customHeight="1">
      <c r="A108" s="22">
        <v>120</v>
      </c>
      <c r="B108" s="22">
        <v>14013</v>
      </c>
      <c r="C108" s="22" t="str">
        <f>IFERROR(VLOOKUP(B108,Colaboradores!A:D,2,),"")</f>
        <v>IGOR WARWICK SANTOS DE CASTRO</v>
      </c>
      <c r="D108" s="22" t="str">
        <f>IFERROR(VLOOKUP(B108,Colaboradores!A:D,3,),"")</f>
        <v>MEIO AMBIENTE</v>
      </c>
      <c r="E108" s="22" t="str">
        <f>IFERROR(VLOOKUP(B108,Colaboradores!A:D,4,),"")</f>
        <v>ASSISTENTE ADMINISTRATIVO</v>
      </c>
      <c r="F108" s="22" t="s">
        <v>29</v>
      </c>
      <c r="G108" s="24" t="str">
        <f>IFERROR(VLOOKUP(F108,Procedimentos!A:C,2,),"")</f>
        <v>COLETA SELETIVA DESSMA</v>
      </c>
      <c r="H108" s="25"/>
      <c r="I108" s="25">
        <v>45862</v>
      </c>
      <c r="J108" s="22">
        <v>12</v>
      </c>
      <c r="K108" s="25">
        <f t="shared" si="4"/>
        <v>46227</v>
      </c>
      <c r="L108" s="28" t="str">
        <f t="shared" ca="1" si="3"/>
        <v>Em dia</v>
      </c>
      <c r="M108" s="31" t="s">
        <v>30</v>
      </c>
      <c r="N108" s="28" t="s">
        <v>21</v>
      </c>
      <c r="O108" s="22" t="s">
        <v>28</v>
      </c>
      <c r="P108" s="25">
        <f t="shared" si="2"/>
        <v>45954</v>
      </c>
      <c r="Q108" s="25"/>
      <c r="R108" s="25"/>
      <c r="S108" s="28" t="s">
        <v>27</v>
      </c>
      <c r="T108" s="28">
        <v>1</v>
      </c>
    </row>
    <row r="109" spans="1:20" ht="14.25" customHeight="1">
      <c r="A109" s="22">
        <v>121</v>
      </c>
      <c r="B109" s="22">
        <v>14525</v>
      </c>
      <c r="C109" s="22" t="str">
        <f>IFERROR(VLOOKUP(B109,Colaboradores!A:D,2,),"")</f>
        <v>IANKA PRAZERES CUNHA</v>
      </c>
      <c r="D109" s="22" t="str">
        <f>IFERROR(VLOOKUP(B109,Colaboradores!A:D,3,),"")</f>
        <v>GESTÃO INTEGRADA</v>
      </c>
      <c r="E109" s="22" t="str">
        <f>IFERROR(VLOOKUP(B109,Colaboradores!A:D,4,),"")</f>
        <v>ANALISTA DE GESTÃO INTEGRADA</v>
      </c>
      <c r="F109" s="22" t="s">
        <v>29</v>
      </c>
      <c r="G109" s="24" t="str">
        <f>IFERROR(VLOOKUP(F109,Procedimentos!A:C,2,),"")</f>
        <v>COLETA SELETIVA DESSMA</v>
      </c>
      <c r="H109" s="25"/>
      <c r="I109" s="25">
        <v>45862</v>
      </c>
      <c r="J109" s="22">
        <v>12</v>
      </c>
      <c r="K109" s="25">
        <f t="shared" si="4"/>
        <v>46227</v>
      </c>
      <c r="L109" s="28" t="str">
        <f t="shared" ca="1" si="3"/>
        <v>Em dia</v>
      </c>
      <c r="M109" s="31" t="s">
        <v>30</v>
      </c>
      <c r="N109" s="28" t="s">
        <v>21</v>
      </c>
      <c r="O109" s="22" t="s">
        <v>28</v>
      </c>
      <c r="P109" s="25">
        <f t="shared" si="2"/>
        <v>45954</v>
      </c>
      <c r="Q109" s="25"/>
      <c r="R109" s="25"/>
      <c r="S109" s="28" t="s">
        <v>27</v>
      </c>
      <c r="T109" s="28">
        <v>1</v>
      </c>
    </row>
    <row r="110" spans="1:20" ht="14.25" customHeight="1">
      <c r="A110" s="22">
        <v>122</v>
      </c>
      <c r="B110" s="22">
        <v>15068</v>
      </c>
      <c r="C110" s="22" t="str">
        <f>IFERROR(VLOOKUP(B110,Colaboradores!A:D,2,),"")</f>
        <v>TASSO CHAVES DE OLIVEIRA</v>
      </c>
      <c r="D110" s="22" t="str">
        <f>IFERROR(VLOOKUP(B110,Colaboradores!A:D,3,),"")</f>
        <v>GESTÃO INTEGRADA</v>
      </c>
      <c r="E110" s="22" t="str">
        <f>IFERROR(VLOOKUP(B110,Colaboradores!A:D,4,),"")</f>
        <v>ASSESSOR DE GESTÃO INTEGRADA</v>
      </c>
      <c r="F110" s="22" t="s">
        <v>29</v>
      </c>
      <c r="G110" s="24" t="str">
        <f>IFERROR(VLOOKUP(F110,Procedimentos!A:C,2,),"")</f>
        <v>COLETA SELETIVA DESSMA</v>
      </c>
      <c r="H110" s="25"/>
      <c r="I110" s="25">
        <v>45862</v>
      </c>
      <c r="J110" s="22">
        <v>12</v>
      </c>
      <c r="K110" s="25">
        <f t="shared" si="4"/>
        <v>46227</v>
      </c>
      <c r="L110" s="28" t="str">
        <f t="shared" ca="1" si="3"/>
        <v>Em dia</v>
      </c>
      <c r="M110" s="31" t="s">
        <v>30</v>
      </c>
      <c r="N110" s="28" t="s">
        <v>21</v>
      </c>
      <c r="O110" s="22" t="s">
        <v>28</v>
      </c>
      <c r="P110" s="25">
        <f t="shared" si="2"/>
        <v>45954</v>
      </c>
      <c r="Q110" s="25"/>
      <c r="R110" s="25"/>
      <c r="S110" s="28" t="s">
        <v>27</v>
      </c>
      <c r="T110" s="28">
        <v>1</v>
      </c>
    </row>
    <row r="111" spans="1:20" ht="14.25" customHeight="1">
      <c r="A111" s="22">
        <v>123</v>
      </c>
      <c r="B111" s="22">
        <v>15023</v>
      </c>
      <c r="C111" s="22" t="str">
        <f>IFERROR(VLOOKUP(B111,Colaboradores!A:D,2,),"")</f>
        <v>DANIEL ELISON GUSMÃO PEREIRA</v>
      </c>
      <c r="D111" s="22" t="str">
        <f>IFERROR(VLOOKUP(B111,Colaboradores!A:D,3,),"")</f>
        <v>GESTÃO INTEGRADA</v>
      </c>
      <c r="E111" s="22" t="str">
        <f>IFERROR(VLOOKUP(B111,Colaboradores!A:D,4,),"")</f>
        <v>ASSISTENTE ADMINISTRATIVO</v>
      </c>
      <c r="F111" s="22" t="s">
        <v>29</v>
      </c>
      <c r="G111" s="24" t="str">
        <f>IFERROR(VLOOKUP(F111,Procedimentos!A:C,2,),"")</f>
        <v>COLETA SELETIVA DESSMA</v>
      </c>
      <c r="H111" s="25"/>
      <c r="I111" s="25">
        <v>45862</v>
      </c>
      <c r="J111" s="22">
        <v>12</v>
      </c>
      <c r="K111" s="25">
        <f t="shared" si="4"/>
        <v>46227</v>
      </c>
      <c r="L111" s="28" t="str">
        <f t="shared" ca="1" si="3"/>
        <v>Em dia</v>
      </c>
      <c r="M111" s="31" t="s">
        <v>30</v>
      </c>
      <c r="N111" s="28" t="s">
        <v>21</v>
      </c>
      <c r="O111" s="22" t="s">
        <v>28</v>
      </c>
      <c r="P111" s="25">
        <f t="shared" si="2"/>
        <v>45954</v>
      </c>
      <c r="Q111" s="25"/>
      <c r="R111" s="25"/>
      <c r="S111" s="28" t="s">
        <v>27</v>
      </c>
      <c r="T111" s="28">
        <v>1</v>
      </c>
    </row>
    <row r="112" spans="1:20" ht="14.25" customHeight="1">
      <c r="A112" s="22">
        <v>124</v>
      </c>
      <c r="B112" s="22">
        <v>14565</v>
      </c>
      <c r="C112" s="22" t="str">
        <f>IFERROR(VLOOKUP(B112,Colaboradores!A:D,2,),"")</f>
        <v>CAMILA RODRIGUES GOMES</v>
      </c>
      <c r="D112" s="22" t="str">
        <f>IFERROR(VLOOKUP(B112,Colaboradores!A:D,3,),"")</f>
        <v>SEGURANÇA DO TRABALHO</v>
      </c>
      <c r="E112" s="22" t="str">
        <f>IFERROR(VLOOKUP(B112,Colaboradores!A:D,4,),"")</f>
        <v>TÉCNICO DE SEGURANÇA DO TRABALHO</v>
      </c>
      <c r="F112" s="22" t="s">
        <v>29</v>
      </c>
      <c r="G112" s="24" t="str">
        <f>IFERROR(VLOOKUP(F112,Procedimentos!A:C,2,),"")</f>
        <v>COLETA SELETIVA DESSMA</v>
      </c>
      <c r="H112" s="25"/>
      <c r="I112" s="25">
        <v>45862</v>
      </c>
      <c r="J112" s="22">
        <v>12</v>
      </c>
      <c r="K112" s="25">
        <f t="shared" si="4"/>
        <v>46227</v>
      </c>
      <c r="L112" s="28" t="str">
        <f t="shared" ca="1" si="3"/>
        <v>Em dia</v>
      </c>
      <c r="M112" s="31" t="s">
        <v>30</v>
      </c>
      <c r="N112" s="28" t="s">
        <v>21</v>
      </c>
      <c r="O112" s="22" t="s">
        <v>28</v>
      </c>
      <c r="P112" s="25">
        <f t="shared" si="2"/>
        <v>45954</v>
      </c>
      <c r="Q112" s="25"/>
      <c r="R112" s="25"/>
      <c r="S112" s="28" t="s">
        <v>27</v>
      </c>
      <c r="T112" s="28">
        <v>1</v>
      </c>
    </row>
    <row r="113" spans="1:20" ht="14.25" customHeight="1">
      <c r="A113" s="22">
        <v>125</v>
      </c>
      <c r="B113" s="22">
        <v>13766</v>
      </c>
      <c r="C113" s="22" t="str">
        <f>IFERROR(VLOOKUP(B113,Colaboradores!A:D,2,),"")</f>
        <v>RAIMUNDO TAVARES PESSOA</v>
      </c>
      <c r="D113" s="22" t="str">
        <f>IFERROR(VLOOKUP(B113,Colaboradores!A:D,3,),"")</f>
        <v>COORDENAÇÃO ADMINISTRATIVA</v>
      </c>
      <c r="E113" s="22" t="str">
        <f>IFERROR(VLOOKUP(B113,Colaboradores!A:D,4,),"")</f>
        <v>ANALISTA ADMINISTRATIVO</v>
      </c>
      <c r="F113" s="22" t="s">
        <v>29</v>
      </c>
      <c r="G113" s="24" t="str">
        <f>IFERROR(VLOOKUP(F113,Procedimentos!A:C,2,),"")</f>
        <v>COLETA SELETIVA DESSMA</v>
      </c>
      <c r="H113" s="25"/>
      <c r="I113" s="25">
        <v>45862</v>
      </c>
      <c r="J113" s="22">
        <v>12</v>
      </c>
      <c r="K113" s="25">
        <f t="shared" si="4"/>
        <v>46227</v>
      </c>
      <c r="L113" s="28" t="str">
        <f t="shared" ca="1" si="3"/>
        <v>Em dia</v>
      </c>
      <c r="M113" s="31" t="s">
        <v>30</v>
      </c>
      <c r="N113" s="28" t="s">
        <v>21</v>
      </c>
      <c r="O113" s="22" t="s">
        <v>28</v>
      </c>
      <c r="P113" s="25">
        <f t="shared" si="2"/>
        <v>45954</v>
      </c>
      <c r="Q113" s="25"/>
      <c r="R113" s="25"/>
      <c r="S113" s="28" t="s">
        <v>27</v>
      </c>
      <c r="T113" s="28">
        <v>1</v>
      </c>
    </row>
    <row r="114" spans="1:20" ht="14.25" customHeight="1">
      <c r="A114" s="22">
        <v>126</v>
      </c>
      <c r="B114" s="22">
        <v>11149</v>
      </c>
      <c r="C114" s="22" t="str">
        <f>IFERROR(VLOOKUP(B114,Colaboradores!A:D,2,),"")</f>
        <v>CAMYLA CRYSTYNE RABELO LIMA</v>
      </c>
      <c r="D114" s="22" t="str">
        <f>IFERROR(VLOOKUP(B114,Colaboradores!A:D,3,),"")</f>
        <v>COORDENAÇÃO ADMINISTRATIVA</v>
      </c>
      <c r="E114" s="22" t="str">
        <f>IFERROR(VLOOKUP(B114,Colaboradores!A:D,4,),"")</f>
        <v>ANALISTA ADMINISTRATIVO</v>
      </c>
      <c r="F114" s="22" t="s">
        <v>29</v>
      </c>
      <c r="G114" s="24" t="str">
        <f>IFERROR(VLOOKUP(F114,Procedimentos!A:C,2,),"")</f>
        <v>COLETA SELETIVA DESSMA</v>
      </c>
      <c r="H114" s="25"/>
      <c r="I114" s="25">
        <v>45862</v>
      </c>
      <c r="J114" s="22">
        <v>12</v>
      </c>
      <c r="K114" s="25">
        <f t="shared" si="4"/>
        <v>46227</v>
      </c>
      <c r="L114" s="28" t="str">
        <f t="shared" ca="1" si="3"/>
        <v>Em dia</v>
      </c>
      <c r="M114" s="31" t="s">
        <v>30</v>
      </c>
      <c r="N114" s="28" t="s">
        <v>21</v>
      </c>
      <c r="O114" s="22" t="s">
        <v>28</v>
      </c>
      <c r="P114" s="25">
        <f t="shared" si="2"/>
        <v>45954</v>
      </c>
      <c r="Q114" s="25"/>
      <c r="R114" s="25"/>
      <c r="S114" s="28" t="s">
        <v>27</v>
      </c>
      <c r="T114" s="28">
        <v>1</v>
      </c>
    </row>
    <row r="115" spans="1:20" ht="14.25" customHeight="1">
      <c r="A115" s="22">
        <v>127</v>
      </c>
      <c r="B115" s="22">
        <v>14824</v>
      </c>
      <c r="C115" s="22" t="str">
        <f>IFERROR(VLOOKUP(B115,Colaboradores!A:D,2,),"")</f>
        <v>DENISE DE SOUSA RIBEIRO SANTOS</v>
      </c>
      <c r="D115" s="22" t="str">
        <f>IFERROR(VLOOKUP(B115,Colaboradores!A:D,3,),"")</f>
        <v>COORDENAÇÃO ADMINISTRATIVA</v>
      </c>
      <c r="E115" s="22" t="str">
        <f>IFERROR(VLOOKUP(B115,Colaboradores!A:D,4,),"")</f>
        <v>ASSISTENTE ADMINISTRATIVO</v>
      </c>
      <c r="F115" s="22" t="s">
        <v>29</v>
      </c>
      <c r="G115" s="24" t="str">
        <f>IFERROR(VLOOKUP(F115,Procedimentos!A:C,2,),"")</f>
        <v>COLETA SELETIVA DESSMA</v>
      </c>
      <c r="H115" s="25"/>
      <c r="I115" s="25">
        <v>45862</v>
      </c>
      <c r="J115" s="22">
        <v>12</v>
      </c>
      <c r="K115" s="25">
        <f t="shared" si="4"/>
        <v>46227</v>
      </c>
      <c r="L115" s="28" t="str">
        <f t="shared" ca="1" si="3"/>
        <v>Em dia</v>
      </c>
      <c r="M115" s="31" t="s">
        <v>30</v>
      </c>
      <c r="N115" s="28" t="s">
        <v>21</v>
      </c>
      <c r="O115" s="22" t="s">
        <v>28</v>
      </c>
      <c r="P115" s="25">
        <f t="shared" si="2"/>
        <v>45954</v>
      </c>
      <c r="Q115" s="25"/>
      <c r="R115" s="25"/>
      <c r="S115" s="28" t="s">
        <v>27</v>
      </c>
      <c r="T115" s="28">
        <v>1</v>
      </c>
    </row>
    <row r="116" spans="1:20" ht="14.25" customHeight="1">
      <c r="A116" s="22">
        <v>129</v>
      </c>
      <c r="B116" s="22">
        <v>13787</v>
      </c>
      <c r="C116" s="22" t="str">
        <f>IFERROR(VLOOKUP(B116,Colaboradores!A:D,2,),"")</f>
        <v>KELLE SOCORRO MENDES GUIGNONI</v>
      </c>
      <c r="D116" s="22" t="str">
        <f>IFERROR(VLOOKUP(B116,Colaboradores!A:D,3,),"")</f>
        <v>GESTÃO INTEGRADA</v>
      </c>
      <c r="E116" s="22" t="str">
        <f>IFERROR(VLOOKUP(B116,Colaboradores!A:D,4,),"")</f>
        <v>ANALISTA DE GESTÃO INTEGRADA</v>
      </c>
      <c r="F116" s="22" t="s">
        <v>29</v>
      </c>
      <c r="G116" s="24" t="str">
        <f>IFERROR(VLOOKUP(F116,Procedimentos!A:C,2,),"")</f>
        <v>COLETA SELETIVA DESSMA</v>
      </c>
      <c r="H116" s="25"/>
      <c r="I116" s="25">
        <v>45862</v>
      </c>
      <c r="J116" s="22">
        <v>12</v>
      </c>
      <c r="K116" s="25">
        <f t="shared" si="4"/>
        <v>46227</v>
      </c>
      <c r="L116" s="28" t="str">
        <f t="shared" ca="1" si="3"/>
        <v>Em dia</v>
      </c>
      <c r="M116" s="31" t="s">
        <v>30</v>
      </c>
      <c r="N116" s="28" t="s">
        <v>21</v>
      </c>
      <c r="O116" s="22" t="s">
        <v>28</v>
      </c>
      <c r="P116" s="25">
        <f t="shared" si="2"/>
        <v>45954</v>
      </c>
      <c r="Q116" s="25"/>
      <c r="R116" s="25"/>
      <c r="S116" s="28" t="s">
        <v>27</v>
      </c>
      <c r="T116" s="28">
        <v>1</v>
      </c>
    </row>
    <row r="117" spans="1:20" ht="14.25" customHeight="1">
      <c r="A117" s="22">
        <v>130</v>
      </c>
      <c r="B117" s="22">
        <v>12685</v>
      </c>
      <c r="C117" s="22" t="str">
        <f>IFERROR(VLOOKUP(B117,Colaboradores!A:D,2,),"")</f>
        <v>LIDIANA CRISTINA MIRANDA FERREIRA</v>
      </c>
      <c r="D117" s="22" t="str">
        <f>IFERROR(VLOOKUP(B117,Colaboradores!A:D,3,),"")</f>
        <v>GESTÃO INTEGRADA</v>
      </c>
      <c r="E117" s="22" t="str">
        <f>IFERROR(VLOOKUP(B117,Colaboradores!A:D,4,),"")</f>
        <v>COORDENADOR DE GESTÃO INTEGRADA</v>
      </c>
      <c r="F117" s="22" t="s">
        <v>31</v>
      </c>
      <c r="G117" s="24" t="str">
        <f>IFERROR(VLOOKUP(F117,Procedimentos!A:C,2,),"")</f>
        <v>GESTÃO DE COMUNICAÇÃO, CLASSIFICAÇÃO E INVESTIGAÇÃO DE OCORRÊNCIAS AMBIENTAIS</v>
      </c>
      <c r="H117" s="25"/>
      <c r="I117" s="25">
        <v>45862</v>
      </c>
      <c r="J117" s="22">
        <v>12</v>
      </c>
      <c r="K117" s="25">
        <f t="shared" si="4"/>
        <v>46227</v>
      </c>
      <c r="L117" s="28" t="str">
        <f t="shared" ca="1" si="3"/>
        <v>Em dia</v>
      </c>
      <c r="M117" s="31" t="s">
        <v>30</v>
      </c>
      <c r="N117" s="28" t="s">
        <v>21</v>
      </c>
      <c r="O117" s="22" t="s">
        <v>28</v>
      </c>
      <c r="P117" s="25">
        <f t="shared" si="2"/>
        <v>45954</v>
      </c>
      <c r="Q117" s="25"/>
      <c r="R117" s="25"/>
      <c r="S117" s="28" t="s">
        <v>27</v>
      </c>
      <c r="T117" s="28">
        <v>1</v>
      </c>
    </row>
    <row r="118" spans="1:20" ht="14.25" customHeight="1">
      <c r="A118" s="22">
        <v>131</v>
      </c>
      <c r="B118" s="22">
        <v>14013</v>
      </c>
      <c r="C118" s="22" t="str">
        <f>IFERROR(VLOOKUP(B118,Colaboradores!A:D,2,),"")</f>
        <v>IGOR WARWICK SANTOS DE CASTRO</v>
      </c>
      <c r="D118" s="22" t="str">
        <f>IFERROR(VLOOKUP(B118,Colaboradores!A:D,3,),"")</f>
        <v>MEIO AMBIENTE</v>
      </c>
      <c r="E118" s="22" t="str">
        <f>IFERROR(VLOOKUP(B118,Colaboradores!A:D,4,),"")</f>
        <v>ASSISTENTE ADMINISTRATIVO</v>
      </c>
      <c r="F118" s="22" t="s">
        <v>31</v>
      </c>
      <c r="G118" s="24" t="str">
        <f>IFERROR(VLOOKUP(F118,Procedimentos!A:C,2,),"")</f>
        <v>GESTÃO DE COMUNICAÇÃO, CLASSIFICAÇÃO E INVESTIGAÇÃO DE OCORRÊNCIAS AMBIENTAIS</v>
      </c>
      <c r="H118" s="25"/>
      <c r="I118" s="25">
        <v>45862</v>
      </c>
      <c r="J118" s="22">
        <v>12</v>
      </c>
      <c r="K118" s="25">
        <f t="shared" si="4"/>
        <v>46227</v>
      </c>
      <c r="L118" s="28" t="str">
        <f t="shared" ca="1" si="3"/>
        <v>Em dia</v>
      </c>
      <c r="M118" s="31" t="s">
        <v>30</v>
      </c>
      <c r="N118" s="28" t="s">
        <v>21</v>
      </c>
      <c r="O118" s="22" t="s">
        <v>28</v>
      </c>
      <c r="P118" s="25">
        <f t="shared" si="2"/>
        <v>45954</v>
      </c>
      <c r="Q118" s="25"/>
      <c r="R118" s="25"/>
      <c r="S118" s="28" t="s">
        <v>27</v>
      </c>
      <c r="T118" s="28">
        <v>1</v>
      </c>
    </row>
    <row r="119" spans="1:20" ht="14.25" customHeight="1">
      <c r="A119" s="22">
        <v>132</v>
      </c>
      <c r="B119" s="22">
        <v>14525</v>
      </c>
      <c r="C119" s="22" t="str">
        <f>IFERROR(VLOOKUP(B119,Colaboradores!A:D,2,),"")</f>
        <v>IANKA PRAZERES CUNHA</v>
      </c>
      <c r="D119" s="22" t="str">
        <f>IFERROR(VLOOKUP(B119,Colaboradores!A:D,3,),"")</f>
        <v>GESTÃO INTEGRADA</v>
      </c>
      <c r="E119" s="22" t="str">
        <f>IFERROR(VLOOKUP(B119,Colaboradores!A:D,4,),"")</f>
        <v>ANALISTA DE GESTÃO INTEGRADA</v>
      </c>
      <c r="F119" s="22" t="s">
        <v>31</v>
      </c>
      <c r="G119" s="24" t="str">
        <f>IFERROR(VLOOKUP(F119,Procedimentos!A:C,2,),"")</f>
        <v>GESTÃO DE COMUNICAÇÃO, CLASSIFICAÇÃO E INVESTIGAÇÃO DE OCORRÊNCIAS AMBIENTAIS</v>
      </c>
      <c r="H119" s="25"/>
      <c r="I119" s="25">
        <v>45862</v>
      </c>
      <c r="J119" s="22">
        <v>12</v>
      </c>
      <c r="K119" s="25">
        <f t="shared" si="4"/>
        <v>46227</v>
      </c>
      <c r="L119" s="28" t="str">
        <f t="shared" ca="1" si="3"/>
        <v>Em dia</v>
      </c>
      <c r="M119" s="31" t="s">
        <v>30</v>
      </c>
      <c r="N119" s="28" t="s">
        <v>21</v>
      </c>
      <c r="O119" s="22" t="s">
        <v>28</v>
      </c>
      <c r="P119" s="25">
        <f t="shared" si="2"/>
        <v>45954</v>
      </c>
      <c r="Q119" s="25"/>
      <c r="R119" s="25"/>
      <c r="S119" s="28" t="s">
        <v>27</v>
      </c>
      <c r="T119" s="28">
        <v>1</v>
      </c>
    </row>
    <row r="120" spans="1:20" ht="14.25" customHeight="1">
      <c r="A120" s="22">
        <v>133</v>
      </c>
      <c r="B120" s="22">
        <v>15068</v>
      </c>
      <c r="C120" s="22" t="str">
        <f>IFERROR(VLOOKUP(B120,Colaboradores!A:D,2,),"")</f>
        <v>TASSO CHAVES DE OLIVEIRA</v>
      </c>
      <c r="D120" s="22" t="str">
        <f>IFERROR(VLOOKUP(B120,Colaboradores!A:D,3,),"")</f>
        <v>GESTÃO INTEGRADA</v>
      </c>
      <c r="E120" s="22" t="str">
        <f>IFERROR(VLOOKUP(B120,Colaboradores!A:D,4,),"")</f>
        <v>ASSESSOR DE GESTÃO INTEGRADA</v>
      </c>
      <c r="F120" s="22" t="s">
        <v>31</v>
      </c>
      <c r="G120" s="24" t="str">
        <f>IFERROR(VLOOKUP(F120,Procedimentos!A:C,2,),"")</f>
        <v>GESTÃO DE COMUNICAÇÃO, CLASSIFICAÇÃO E INVESTIGAÇÃO DE OCORRÊNCIAS AMBIENTAIS</v>
      </c>
      <c r="H120" s="25"/>
      <c r="I120" s="25">
        <v>45862</v>
      </c>
      <c r="J120" s="22">
        <v>12</v>
      </c>
      <c r="K120" s="25">
        <f t="shared" si="4"/>
        <v>46227</v>
      </c>
      <c r="L120" s="28" t="str">
        <f t="shared" ca="1" si="3"/>
        <v>Em dia</v>
      </c>
      <c r="M120" s="31" t="s">
        <v>30</v>
      </c>
      <c r="N120" s="28" t="s">
        <v>21</v>
      </c>
      <c r="O120" s="22" t="s">
        <v>28</v>
      </c>
      <c r="P120" s="25">
        <f t="shared" si="2"/>
        <v>45954</v>
      </c>
      <c r="Q120" s="25"/>
      <c r="R120" s="25"/>
      <c r="S120" s="28" t="s">
        <v>27</v>
      </c>
      <c r="T120" s="28">
        <v>1</v>
      </c>
    </row>
    <row r="121" spans="1:20" ht="14.25" customHeight="1">
      <c r="A121" s="22">
        <v>134</v>
      </c>
      <c r="B121" s="22">
        <v>15023</v>
      </c>
      <c r="C121" s="22" t="str">
        <f>IFERROR(VLOOKUP(B121,Colaboradores!A:D,2,),"")</f>
        <v>DANIEL ELISON GUSMÃO PEREIRA</v>
      </c>
      <c r="D121" s="22" t="str">
        <f>IFERROR(VLOOKUP(B121,Colaboradores!A:D,3,),"")</f>
        <v>GESTÃO INTEGRADA</v>
      </c>
      <c r="E121" s="22" t="str">
        <f>IFERROR(VLOOKUP(B121,Colaboradores!A:D,4,),"")</f>
        <v>ASSISTENTE ADMINISTRATIVO</v>
      </c>
      <c r="F121" s="22" t="s">
        <v>31</v>
      </c>
      <c r="G121" s="24" t="str">
        <f>IFERROR(VLOOKUP(F121,Procedimentos!A:C,2,),"")</f>
        <v>GESTÃO DE COMUNICAÇÃO, CLASSIFICAÇÃO E INVESTIGAÇÃO DE OCORRÊNCIAS AMBIENTAIS</v>
      </c>
      <c r="H121" s="25"/>
      <c r="I121" s="25">
        <v>45862</v>
      </c>
      <c r="J121" s="22">
        <v>12</v>
      </c>
      <c r="K121" s="25">
        <f t="shared" si="4"/>
        <v>46227</v>
      </c>
      <c r="L121" s="28" t="str">
        <f t="shared" ca="1" si="3"/>
        <v>Em dia</v>
      </c>
      <c r="M121" s="31" t="s">
        <v>30</v>
      </c>
      <c r="N121" s="28" t="s">
        <v>21</v>
      </c>
      <c r="O121" s="22" t="s">
        <v>28</v>
      </c>
      <c r="P121" s="25">
        <f t="shared" si="2"/>
        <v>45954</v>
      </c>
      <c r="Q121" s="25"/>
      <c r="R121" s="25"/>
      <c r="S121" s="28" t="s">
        <v>27</v>
      </c>
      <c r="T121" s="28">
        <v>1</v>
      </c>
    </row>
    <row r="122" spans="1:20" ht="14.25" customHeight="1">
      <c r="A122" s="22">
        <v>135</v>
      </c>
      <c r="B122" s="22">
        <v>14565</v>
      </c>
      <c r="C122" s="22" t="str">
        <f>IFERROR(VLOOKUP(B122,Colaboradores!A:D,2,),"")</f>
        <v>CAMILA RODRIGUES GOMES</v>
      </c>
      <c r="D122" s="22" t="str">
        <f>IFERROR(VLOOKUP(B122,Colaboradores!A:D,3,),"")</f>
        <v>SEGURANÇA DO TRABALHO</v>
      </c>
      <c r="E122" s="22" t="str">
        <f>IFERROR(VLOOKUP(B122,Colaboradores!A:D,4,),"")</f>
        <v>TÉCNICO DE SEGURANÇA DO TRABALHO</v>
      </c>
      <c r="F122" s="22" t="s">
        <v>31</v>
      </c>
      <c r="G122" s="24" t="str">
        <f>IFERROR(VLOOKUP(F122,Procedimentos!A:C,2,),"")</f>
        <v>GESTÃO DE COMUNICAÇÃO, CLASSIFICAÇÃO E INVESTIGAÇÃO DE OCORRÊNCIAS AMBIENTAIS</v>
      </c>
      <c r="H122" s="25"/>
      <c r="I122" s="25">
        <v>45862</v>
      </c>
      <c r="J122" s="22">
        <v>12</v>
      </c>
      <c r="K122" s="25">
        <f t="shared" si="4"/>
        <v>46227</v>
      </c>
      <c r="L122" s="28" t="str">
        <f t="shared" ca="1" si="3"/>
        <v>Em dia</v>
      </c>
      <c r="M122" s="31" t="s">
        <v>30</v>
      </c>
      <c r="N122" s="28" t="s">
        <v>21</v>
      </c>
      <c r="O122" s="22" t="s">
        <v>28</v>
      </c>
      <c r="P122" s="25">
        <f t="shared" si="2"/>
        <v>45954</v>
      </c>
      <c r="Q122" s="25"/>
      <c r="R122" s="25"/>
      <c r="S122" s="28" t="s">
        <v>27</v>
      </c>
      <c r="T122" s="28">
        <v>1</v>
      </c>
    </row>
    <row r="123" spans="1:20" ht="14.25" customHeight="1">
      <c r="A123" s="22">
        <v>136</v>
      </c>
      <c r="B123" s="22">
        <v>13766</v>
      </c>
      <c r="C123" s="22" t="str">
        <f>IFERROR(VLOOKUP(B123,Colaboradores!A:D,2,),"")</f>
        <v>RAIMUNDO TAVARES PESSOA</v>
      </c>
      <c r="D123" s="22" t="str">
        <f>IFERROR(VLOOKUP(B123,Colaboradores!A:D,3,),"")</f>
        <v>COORDENAÇÃO ADMINISTRATIVA</v>
      </c>
      <c r="E123" s="22" t="str">
        <f>IFERROR(VLOOKUP(B123,Colaboradores!A:D,4,),"")</f>
        <v>ANALISTA ADMINISTRATIVO</v>
      </c>
      <c r="F123" s="22" t="s">
        <v>31</v>
      </c>
      <c r="G123" s="24" t="str">
        <f>IFERROR(VLOOKUP(F123,Procedimentos!A:C,2,),"")</f>
        <v>GESTÃO DE COMUNICAÇÃO, CLASSIFICAÇÃO E INVESTIGAÇÃO DE OCORRÊNCIAS AMBIENTAIS</v>
      </c>
      <c r="H123" s="25"/>
      <c r="I123" s="25">
        <v>45862</v>
      </c>
      <c r="J123" s="22">
        <v>12</v>
      </c>
      <c r="K123" s="25">
        <f t="shared" si="4"/>
        <v>46227</v>
      </c>
      <c r="L123" s="28" t="str">
        <f t="shared" ca="1" si="3"/>
        <v>Em dia</v>
      </c>
      <c r="M123" s="31" t="s">
        <v>30</v>
      </c>
      <c r="N123" s="28" t="s">
        <v>21</v>
      </c>
      <c r="O123" s="22" t="s">
        <v>28</v>
      </c>
      <c r="P123" s="25">
        <f t="shared" si="2"/>
        <v>45954</v>
      </c>
      <c r="Q123" s="25"/>
      <c r="R123" s="25"/>
      <c r="S123" s="28" t="s">
        <v>27</v>
      </c>
      <c r="T123" s="28">
        <v>1</v>
      </c>
    </row>
    <row r="124" spans="1:20" ht="14.25" customHeight="1">
      <c r="A124" s="22">
        <v>137</v>
      </c>
      <c r="B124" s="22">
        <v>11149</v>
      </c>
      <c r="C124" s="22" t="str">
        <f>IFERROR(VLOOKUP(B124,Colaboradores!A:D,2,),"")</f>
        <v>CAMYLA CRYSTYNE RABELO LIMA</v>
      </c>
      <c r="D124" s="22" t="str">
        <f>IFERROR(VLOOKUP(B124,Colaboradores!A:D,3,),"")</f>
        <v>COORDENAÇÃO ADMINISTRATIVA</v>
      </c>
      <c r="E124" s="22" t="str">
        <f>IFERROR(VLOOKUP(B124,Colaboradores!A:D,4,),"")</f>
        <v>ANALISTA ADMINISTRATIVO</v>
      </c>
      <c r="F124" s="22" t="s">
        <v>31</v>
      </c>
      <c r="G124" s="24" t="str">
        <f>IFERROR(VLOOKUP(F124,Procedimentos!A:C,2,),"")</f>
        <v>GESTÃO DE COMUNICAÇÃO, CLASSIFICAÇÃO E INVESTIGAÇÃO DE OCORRÊNCIAS AMBIENTAIS</v>
      </c>
      <c r="H124" s="25"/>
      <c r="I124" s="25">
        <v>45862</v>
      </c>
      <c r="J124" s="22">
        <v>12</v>
      </c>
      <c r="K124" s="25">
        <f t="shared" si="4"/>
        <v>46227</v>
      </c>
      <c r="L124" s="28" t="str">
        <f t="shared" ca="1" si="3"/>
        <v>Em dia</v>
      </c>
      <c r="M124" s="31" t="s">
        <v>30</v>
      </c>
      <c r="N124" s="28" t="s">
        <v>21</v>
      </c>
      <c r="O124" s="22" t="s">
        <v>28</v>
      </c>
      <c r="P124" s="25">
        <f t="shared" si="2"/>
        <v>45954</v>
      </c>
      <c r="Q124" s="25"/>
      <c r="R124" s="25"/>
      <c r="S124" s="28" t="s">
        <v>27</v>
      </c>
      <c r="T124" s="28">
        <v>1</v>
      </c>
    </row>
    <row r="125" spans="1:20" ht="14.25" customHeight="1">
      <c r="A125" s="22">
        <v>138</v>
      </c>
      <c r="B125" s="22">
        <v>14824</v>
      </c>
      <c r="C125" s="22" t="str">
        <f>IFERROR(VLOOKUP(B125,Colaboradores!A:D,2,),"")</f>
        <v>DENISE DE SOUSA RIBEIRO SANTOS</v>
      </c>
      <c r="D125" s="22" t="str">
        <f>IFERROR(VLOOKUP(B125,Colaboradores!A:D,3,),"")</f>
        <v>COORDENAÇÃO ADMINISTRATIVA</v>
      </c>
      <c r="E125" s="22" t="str">
        <f>IFERROR(VLOOKUP(B125,Colaboradores!A:D,4,),"")</f>
        <v>ASSISTENTE ADMINISTRATIVO</v>
      </c>
      <c r="F125" s="22" t="s">
        <v>31</v>
      </c>
      <c r="G125" s="24" t="str">
        <f>IFERROR(VLOOKUP(F125,Procedimentos!A:C,2,),"")</f>
        <v>GESTÃO DE COMUNICAÇÃO, CLASSIFICAÇÃO E INVESTIGAÇÃO DE OCORRÊNCIAS AMBIENTAIS</v>
      </c>
      <c r="H125" s="25"/>
      <c r="I125" s="25">
        <v>45862</v>
      </c>
      <c r="J125" s="22">
        <v>12</v>
      </c>
      <c r="K125" s="25">
        <f t="shared" si="4"/>
        <v>46227</v>
      </c>
      <c r="L125" s="28" t="str">
        <f t="shared" ca="1" si="3"/>
        <v>Em dia</v>
      </c>
      <c r="M125" s="31" t="s">
        <v>30</v>
      </c>
      <c r="N125" s="28" t="s">
        <v>21</v>
      </c>
      <c r="O125" s="22" t="s">
        <v>28</v>
      </c>
      <c r="P125" s="25">
        <f t="shared" si="2"/>
        <v>45954</v>
      </c>
      <c r="Q125" s="25"/>
      <c r="R125" s="25"/>
      <c r="S125" s="28" t="s">
        <v>27</v>
      </c>
      <c r="T125" s="28">
        <v>1</v>
      </c>
    </row>
    <row r="126" spans="1:20" ht="14.25" customHeight="1">
      <c r="A126" s="22">
        <v>140</v>
      </c>
      <c r="B126" s="22">
        <v>13787</v>
      </c>
      <c r="C126" s="22" t="str">
        <f>IFERROR(VLOOKUP(B126,Colaboradores!A:D,2,),"")</f>
        <v>KELLE SOCORRO MENDES GUIGNONI</v>
      </c>
      <c r="D126" s="22" t="str">
        <f>IFERROR(VLOOKUP(B126,Colaboradores!A:D,3,),"")</f>
        <v>GESTÃO INTEGRADA</v>
      </c>
      <c r="E126" s="22" t="str">
        <f>IFERROR(VLOOKUP(B126,Colaboradores!A:D,4,),"")</f>
        <v>ANALISTA DE GESTÃO INTEGRADA</v>
      </c>
      <c r="F126" s="22" t="s">
        <v>31</v>
      </c>
      <c r="G126" s="24" t="str">
        <f>IFERROR(VLOOKUP(F126,Procedimentos!A:C,2,),"")</f>
        <v>GESTÃO DE COMUNICAÇÃO, CLASSIFICAÇÃO E INVESTIGAÇÃO DE OCORRÊNCIAS AMBIENTAIS</v>
      </c>
      <c r="H126" s="25"/>
      <c r="I126" s="25">
        <v>45862</v>
      </c>
      <c r="J126" s="22">
        <v>12</v>
      </c>
      <c r="K126" s="25">
        <f t="shared" si="4"/>
        <v>46227</v>
      </c>
      <c r="L126" s="28" t="str">
        <f t="shared" ca="1" si="3"/>
        <v>Em dia</v>
      </c>
      <c r="M126" s="31" t="s">
        <v>30</v>
      </c>
      <c r="N126" s="28" t="s">
        <v>21</v>
      </c>
      <c r="O126" s="22" t="s">
        <v>28</v>
      </c>
      <c r="P126" s="25">
        <f t="shared" si="2"/>
        <v>45954</v>
      </c>
      <c r="Q126" s="25"/>
      <c r="R126" s="25"/>
      <c r="S126" s="28" t="s">
        <v>27</v>
      </c>
      <c r="T126" s="28">
        <v>1</v>
      </c>
    </row>
    <row r="127" spans="1:20" ht="14.25" customHeight="1">
      <c r="A127" s="22">
        <v>141</v>
      </c>
      <c r="B127" s="22">
        <v>12685</v>
      </c>
      <c r="C127" s="22" t="str">
        <f>IFERROR(VLOOKUP(B127,Colaboradores!A:D,2,),"")</f>
        <v>LIDIANA CRISTINA MIRANDA FERREIRA</v>
      </c>
      <c r="D127" s="22" t="str">
        <f>IFERROR(VLOOKUP(B127,Colaboradores!A:D,3,),"")</f>
        <v>GESTÃO INTEGRADA</v>
      </c>
      <c r="E127" s="22" t="str">
        <f>IFERROR(VLOOKUP(B127,Colaboradores!A:D,4,),"")</f>
        <v>COORDENADOR DE GESTÃO INTEGRADA</v>
      </c>
      <c r="F127" s="22" t="s">
        <v>32</v>
      </c>
      <c r="G127" s="24" t="str">
        <f>IFERROR(VLOOKUP(F127,Procedimentos!A:C,2,),"")</f>
        <v>GESTÃO DE LEVANTAMENTO DE ASPECTOS E IMPACTOS AMBIENTAIS</v>
      </c>
      <c r="H127" s="25"/>
      <c r="I127" s="25">
        <v>45862</v>
      </c>
      <c r="J127" s="22">
        <v>12</v>
      </c>
      <c r="K127" s="25">
        <f t="shared" si="4"/>
        <v>46227</v>
      </c>
      <c r="L127" s="28" t="str">
        <f t="shared" ca="1" si="3"/>
        <v>Em dia</v>
      </c>
      <c r="M127" s="31" t="s">
        <v>30</v>
      </c>
      <c r="N127" s="28" t="s">
        <v>21</v>
      </c>
      <c r="O127" s="22" t="s">
        <v>28</v>
      </c>
      <c r="P127" s="25">
        <f t="shared" si="2"/>
        <v>45954</v>
      </c>
      <c r="Q127" s="25"/>
      <c r="R127" s="25"/>
      <c r="S127" s="28" t="s">
        <v>27</v>
      </c>
      <c r="T127" s="28">
        <v>1</v>
      </c>
    </row>
    <row r="128" spans="1:20" ht="14.25" customHeight="1">
      <c r="A128" s="22">
        <v>142</v>
      </c>
      <c r="B128" s="22">
        <v>14013</v>
      </c>
      <c r="C128" s="22" t="str">
        <f>IFERROR(VLOOKUP(B128,Colaboradores!A:D,2,),"")</f>
        <v>IGOR WARWICK SANTOS DE CASTRO</v>
      </c>
      <c r="D128" s="22" t="str">
        <f>IFERROR(VLOOKUP(B128,Colaboradores!A:D,3,),"")</f>
        <v>MEIO AMBIENTE</v>
      </c>
      <c r="E128" s="22" t="str">
        <f>IFERROR(VLOOKUP(B128,Colaboradores!A:D,4,),"")</f>
        <v>ASSISTENTE ADMINISTRATIVO</v>
      </c>
      <c r="F128" s="22" t="s">
        <v>32</v>
      </c>
      <c r="G128" s="24" t="str">
        <f>IFERROR(VLOOKUP(F128,Procedimentos!A:C,2,),"")</f>
        <v>GESTÃO DE LEVANTAMENTO DE ASPECTOS E IMPACTOS AMBIENTAIS</v>
      </c>
      <c r="H128" s="25"/>
      <c r="I128" s="25">
        <v>45862</v>
      </c>
      <c r="J128" s="22">
        <v>12</v>
      </c>
      <c r="K128" s="25">
        <f t="shared" si="4"/>
        <v>46227</v>
      </c>
      <c r="L128" s="28" t="str">
        <f t="shared" ca="1" si="3"/>
        <v>Em dia</v>
      </c>
      <c r="M128" s="31" t="s">
        <v>30</v>
      </c>
      <c r="N128" s="28" t="s">
        <v>21</v>
      </c>
      <c r="O128" s="22" t="s">
        <v>28</v>
      </c>
      <c r="P128" s="25">
        <f t="shared" si="2"/>
        <v>45954</v>
      </c>
      <c r="Q128" s="25"/>
      <c r="R128" s="25"/>
      <c r="S128" s="28" t="s">
        <v>27</v>
      </c>
      <c r="T128" s="28">
        <v>1</v>
      </c>
    </row>
    <row r="129" spans="1:20" ht="14.25" customHeight="1">
      <c r="A129" s="22">
        <v>143</v>
      </c>
      <c r="B129" s="22">
        <v>14525</v>
      </c>
      <c r="C129" s="22" t="str">
        <f>IFERROR(VLOOKUP(B129,Colaboradores!A:D,2,),"")</f>
        <v>IANKA PRAZERES CUNHA</v>
      </c>
      <c r="D129" s="22" t="str">
        <f>IFERROR(VLOOKUP(B129,Colaboradores!A:D,3,),"")</f>
        <v>GESTÃO INTEGRADA</v>
      </c>
      <c r="E129" s="22" t="str">
        <f>IFERROR(VLOOKUP(B129,Colaboradores!A:D,4,),"")</f>
        <v>ANALISTA DE GESTÃO INTEGRADA</v>
      </c>
      <c r="F129" s="22" t="s">
        <v>32</v>
      </c>
      <c r="G129" s="24" t="str">
        <f>IFERROR(VLOOKUP(F129,Procedimentos!A:C,2,),"")</f>
        <v>GESTÃO DE LEVANTAMENTO DE ASPECTOS E IMPACTOS AMBIENTAIS</v>
      </c>
      <c r="H129" s="25"/>
      <c r="I129" s="25">
        <v>45862</v>
      </c>
      <c r="J129" s="22">
        <v>12</v>
      </c>
      <c r="K129" s="25">
        <f t="shared" si="4"/>
        <v>46227</v>
      </c>
      <c r="L129" s="28" t="str">
        <f t="shared" ref="L129:L192" ca="1" si="5">IF(K129="","",IF(K129&lt;TODAY(),"Vencido",IF(K129&lt;=TODAY()+30,"A vencer","Em dia")))</f>
        <v>Em dia</v>
      </c>
      <c r="M129" s="31" t="s">
        <v>30</v>
      </c>
      <c r="N129" s="28" t="s">
        <v>21</v>
      </c>
      <c r="O129" s="22" t="s">
        <v>28</v>
      </c>
      <c r="P129" s="25">
        <f t="shared" si="2"/>
        <v>45954</v>
      </c>
      <c r="Q129" s="25"/>
      <c r="R129" s="25"/>
      <c r="S129" s="28" t="s">
        <v>27</v>
      </c>
      <c r="T129" s="28">
        <v>1</v>
      </c>
    </row>
    <row r="130" spans="1:20" ht="14.25" customHeight="1">
      <c r="A130" s="22">
        <v>144</v>
      </c>
      <c r="B130" s="22">
        <v>15068</v>
      </c>
      <c r="C130" s="22" t="str">
        <f>IFERROR(VLOOKUP(B130,Colaboradores!A:D,2,),"")</f>
        <v>TASSO CHAVES DE OLIVEIRA</v>
      </c>
      <c r="D130" s="22" t="str">
        <f>IFERROR(VLOOKUP(B130,Colaboradores!A:D,3,),"")</f>
        <v>GESTÃO INTEGRADA</v>
      </c>
      <c r="E130" s="22" t="str">
        <f>IFERROR(VLOOKUP(B130,Colaboradores!A:D,4,),"")</f>
        <v>ASSESSOR DE GESTÃO INTEGRADA</v>
      </c>
      <c r="F130" s="22" t="s">
        <v>32</v>
      </c>
      <c r="G130" s="24" t="str">
        <f>IFERROR(VLOOKUP(F130,Procedimentos!A:C,2,),"")</f>
        <v>GESTÃO DE LEVANTAMENTO DE ASPECTOS E IMPACTOS AMBIENTAIS</v>
      </c>
      <c r="H130" s="25"/>
      <c r="I130" s="25">
        <v>45862</v>
      </c>
      <c r="J130" s="22">
        <v>12</v>
      </c>
      <c r="K130" s="25">
        <f t="shared" si="4"/>
        <v>46227</v>
      </c>
      <c r="L130" s="28" t="str">
        <f t="shared" ca="1" si="5"/>
        <v>Em dia</v>
      </c>
      <c r="M130" s="31" t="s">
        <v>30</v>
      </c>
      <c r="N130" s="28" t="s">
        <v>21</v>
      </c>
      <c r="O130" s="22" t="s">
        <v>28</v>
      </c>
      <c r="P130" s="25">
        <f t="shared" si="2"/>
        <v>45954</v>
      </c>
      <c r="Q130" s="25"/>
      <c r="R130" s="25"/>
      <c r="S130" s="28" t="s">
        <v>27</v>
      </c>
      <c r="T130" s="28">
        <v>1</v>
      </c>
    </row>
    <row r="131" spans="1:20" ht="14.25" customHeight="1">
      <c r="A131" s="22">
        <v>145</v>
      </c>
      <c r="B131" s="22">
        <v>15023</v>
      </c>
      <c r="C131" s="22" t="str">
        <f>IFERROR(VLOOKUP(B131,Colaboradores!A:D,2,),"")</f>
        <v>DANIEL ELISON GUSMÃO PEREIRA</v>
      </c>
      <c r="D131" s="22" t="str">
        <f>IFERROR(VLOOKUP(B131,Colaboradores!A:D,3,),"")</f>
        <v>GESTÃO INTEGRADA</v>
      </c>
      <c r="E131" s="22" t="str">
        <f>IFERROR(VLOOKUP(B131,Colaboradores!A:D,4,),"")</f>
        <v>ASSISTENTE ADMINISTRATIVO</v>
      </c>
      <c r="F131" s="22" t="s">
        <v>32</v>
      </c>
      <c r="G131" s="24" t="str">
        <f>IFERROR(VLOOKUP(F131,Procedimentos!A:C,2,),"")</f>
        <v>GESTÃO DE LEVANTAMENTO DE ASPECTOS E IMPACTOS AMBIENTAIS</v>
      </c>
      <c r="H131" s="25"/>
      <c r="I131" s="25">
        <v>45862</v>
      </c>
      <c r="J131" s="22">
        <v>12</v>
      </c>
      <c r="K131" s="25">
        <f t="shared" ref="K131:K194" si="6">IF(AND(I131&lt;&gt;"",J131&lt;&gt;""),DATE(YEAR(I131),MONTH(I131)+J131,DAY(I131)),"")</f>
        <v>46227</v>
      </c>
      <c r="L131" s="28" t="str">
        <f t="shared" ca="1" si="5"/>
        <v>Em dia</v>
      </c>
      <c r="M131" s="31" t="s">
        <v>30</v>
      </c>
      <c r="N131" s="28" t="s">
        <v>21</v>
      </c>
      <c r="O131" s="22" t="s">
        <v>28</v>
      </c>
      <c r="P131" s="25">
        <f t="shared" si="2"/>
        <v>45954</v>
      </c>
      <c r="Q131" s="25"/>
      <c r="R131" s="25"/>
      <c r="S131" s="28" t="s">
        <v>27</v>
      </c>
      <c r="T131" s="28">
        <v>1</v>
      </c>
    </row>
    <row r="132" spans="1:20" ht="14.25" customHeight="1">
      <c r="A132" s="22">
        <v>146</v>
      </c>
      <c r="B132" s="22">
        <v>14565</v>
      </c>
      <c r="C132" s="22" t="str">
        <f>IFERROR(VLOOKUP(B132,Colaboradores!A:D,2,),"")</f>
        <v>CAMILA RODRIGUES GOMES</v>
      </c>
      <c r="D132" s="22" t="str">
        <f>IFERROR(VLOOKUP(B132,Colaboradores!A:D,3,),"")</f>
        <v>SEGURANÇA DO TRABALHO</v>
      </c>
      <c r="E132" s="22" t="str">
        <f>IFERROR(VLOOKUP(B132,Colaboradores!A:D,4,),"")</f>
        <v>TÉCNICO DE SEGURANÇA DO TRABALHO</v>
      </c>
      <c r="F132" s="22" t="s">
        <v>32</v>
      </c>
      <c r="G132" s="24" t="str">
        <f>IFERROR(VLOOKUP(F132,Procedimentos!A:C,2,),"")</f>
        <v>GESTÃO DE LEVANTAMENTO DE ASPECTOS E IMPACTOS AMBIENTAIS</v>
      </c>
      <c r="H132" s="25"/>
      <c r="I132" s="25">
        <v>45862</v>
      </c>
      <c r="J132" s="22">
        <v>12</v>
      </c>
      <c r="K132" s="25">
        <f t="shared" si="6"/>
        <v>46227</v>
      </c>
      <c r="L132" s="28" t="str">
        <f t="shared" ca="1" si="5"/>
        <v>Em dia</v>
      </c>
      <c r="M132" s="31" t="s">
        <v>30</v>
      </c>
      <c r="N132" s="28" t="s">
        <v>21</v>
      </c>
      <c r="O132" s="22" t="s">
        <v>28</v>
      </c>
      <c r="P132" s="25">
        <f t="shared" si="2"/>
        <v>45954</v>
      </c>
      <c r="Q132" s="25"/>
      <c r="R132" s="25"/>
      <c r="S132" s="28" t="s">
        <v>27</v>
      </c>
      <c r="T132" s="28">
        <v>1</v>
      </c>
    </row>
    <row r="133" spans="1:20" ht="14.25" customHeight="1">
      <c r="A133" s="22">
        <v>147</v>
      </c>
      <c r="B133" s="22">
        <v>13766</v>
      </c>
      <c r="C133" s="22" t="str">
        <f>IFERROR(VLOOKUP(B133,Colaboradores!A:D,2,),"")</f>
        <v>RAIMUNDO TAVARES PESSOA</v>
      </c>
      <c r="D133" s="22" t="str">
        <f>IFERROR(VLOOKUP(B133,Colaboradores!A:D,3,),"")</f>
        <v>COORDENAÇÃO ADMINISTRATIVA</v>
      </c>
      <c r="E133" s="22" t="str">
        <f>IFERROR(VLOOKUP(B133,Colaboradores!A:D,4,),"")</f>
        <v>ANALISTA ADMINISTRATIVO</v>
      </c>
      <c r="F133" s="22" t="s">
        <v>32</v>
      </c>
      <c r="G133" s="24" t="str">
        <f>IFERROR(VLOOKUP(F133,Procedimentos!A:C,2,),"")</f>
        <v>GESTÃO DE LEVANTAMENTO DE ASPECTOS E IMPACTOS AMBIENTAIS</v>
      </c>
      <c r="H133" s="25"/>
      <c r="I133" s="25">
        <v>45862</v>
      </c>
      <c r="J133" s="22">
        <v>12</v>
      </c>
      <c r="K133" s="25">
        <f t="shared" si="6"/>
        <v>46227</v>
      </c>
      <c r="L133" s="28" t="str">
        <f t="shared" ca="1" si="5"/>
        <v>Em dia</v>
      </c>
      <c r="M133" s="31" t="s">
        <v>30</v>
      </c>
      <c r="N133" s="28" t="s">
        <v>21</v>
      </c>
      <c r="O133" s="22" t="s">
        <v>28</v>
      </c>
      <c r="P133" s="25">
        <f t="shared" si="2"/>
        <v>45954</v>
      </c>
      <c r="Q133" s="25"/>
      <c r="R133" s="25"/>
      <c r="S133" s="28" t="s">
        <v>27</v>
      </c>
      <c r="T133" s="28">
        <v>1</v>
      </c>
    </row>
    <row r="134" spans="1:20" ht="14.25" customHeight="1">
      <c r="A134" s="22">
        <v>148</v>
      </c>
      <c r="B134" s="22">
        <v>11149</v>
      </c>
      <c r="C134" s="22" t="str">
        <f>IFERROR(VLOOKUP(B134,Colaboradores!A:D,2,),"")</f>
        <v>CAMYLA CRYSTYNE RABELO LIMA</v>
      </c>
      <c r="D134" s="22" t="str">
        <f>IFERROR(VLOOKUP(B134,Colaboradores!A:D,3,),"")</f>
        <v>COORDENAÇÃO ADMINISTRATIVA</v>
      </c>
      <c r="E134" s="22" t="str">
        <f>IFERROR(VLOOKUP(B134,Colaboradores!A:D,4,),"")</f>
        <v>ANALISTA ADMINISTRATIVO</v>
      </c>
      <c r="F134" s="22" t="s">
        <v>32</v>
      </c>
      <c r="G134" s="24" t="str">
        <f>IFERROR(VLOOKUP(F134,Procedimentos!A:C,2,),"")</f>
        <v>GESTÃO DE LEVANTAMENTO DE ASPECTOS E IMPACTOS AMBIENTAIS</v>
      </c>
      <c r="H134" s="25"/>
      <c r="I134" s="25">
        <v>45862</v>
      </c>
      <c r="J134" s="22">
        <v>12</v>
      </c>
      <c r="K134" s="25">
        <f t="shared" si="6"/>
        <v>46227</v>
      </c>
      <c r="L134" s="28" t="str">
        <f t="shared" ca="1" si="5"/>
        <v>Em dia</v>
      </c>
      <c r="M134" s="31" t="s">
        <v>30</v>
      </c>
      <c r="N134" s="28" t="s">
        <v>21</v>
      </c>
      <c r="O134" s="22" t="s">
        <v>28</v>
      </c>
      <c r="P134" s="25">
        <f t="shared" si="2"/>
        <v>45954</v>
      </c>
      <c r="Q134" s="25"/>
      <c r="R134" s="25"/>
      <c r="S134" s="28" t="s">
        <v>27</v>
      </c>
      <c r="T134" s="28">
        <v>1</v>
      </c>
    </row>
    <row r="135" spans="1:20" ht="14.25" customHeight="1">
      <c r="A135" s="22">
        <v>149</v>
      </c>
      <c r="B135" s="22">
        <v>14824</v>
      </c>
      <c r="C135" s="22" t="str">
        <f>IFERROR(VLOOKUP(B135,Colaboradores!A:D,2,),"")</f>
        <v>DENISE DE SOUSA RIBEIRO SANTOS</v>
      </c>
      <c r="D135" s="22" t="str">
        <f>IFERROR(VLOOKUP(B135,Colaboradores!A:D,3,),"")</f>
        <v>COORDENAÇÃO ADMINISTRATIVA</v>
      </c>
      <c r="E135" s="22" t="str">
        <f>IFERROR(VLOOKUP(B135,Colaboradores!A:D,4,),"")</f>
        <v>ASSISTENTE ADMINISTRATIVO</v>
      </c>
      <c r="F135" s="22" t="s">
        <v>32</v>
      </c>
      <c r="G135" s="24" t="str">
        <f>IFERROR(VLOOKUP(F135,Procedimentos!A:C,2,),"")</f>
        <v>GESTÃO DE LEVANTAMENTO DE ASPECTOS E IMPACTOS AMBIENTAIS</v>
      </c>
      <c r="H135" s="25"/>
      <c r="I135" s="25">
        <v>45862</v>
      </c>
      <c r="J135" s="22">
        <v>12</v>
      </c>
      <c r="K135" s="25">
        <f t="shared" si="6"/>
        <v>46227</v>
      </c>
      <c r="L135" s="28" t="str">
        <f t="shared" ca="1" si="5"/>
        <v>Em dia</v>
      </c>
      <c r="M135" s="31" t="s">
        <v>30</v>
      </c>
      <c r="N135" s="28" t="s">
        <v>21</v>
      </c>
      <c r="O135" s="22" t="s">
        <v>28</v>
      </c>
      <c r="P135" s="25">
        <f t="shared" si="2"/>
        <v>45954</v>
      </c>
      <c r="Q135" s="25"/>
      <c r="R135" s="25"/>
      <c r="S135" s="28" t="s">
        <v>27</v>
      </c>
      <c r="T135" s="28">
        <v>1</v>
      </c>
    </row>
    <row r="136" spans="1:20" ht="14.25" customHeight="1">
      <c r="A136" s="22">
        <v>151</v>
      </c>
      <c r="B136" s="22">
        <v>13787</v>
      </c>
      <c r="C136" s="22" t="str">
        <f>IFERROR(VLOOKUP(B136,Colaboradores!A:D,2,),"")</f>
        <v>KELLE SOCORRO MENDES GUIGNONI</v>
      </c>
      <c r="D136" s="22" t="str">
        <f>IFERROR(VLOOKUP(B136,Colaboradores!A:D,3,),"")</f>
        <v>GESTÃO INTEGRADA</v>
      </c>
      <c r="E136" s="22" t="str">
        <f>IFERROR(VLOOKUP(B136,Colaboradores!A:D,4,),"")</f>
        <v>ANALISTA DE GESTÃO INTEGRADA</v>
      </c>
      <c r="F136" s="22" t="s">
        <v>32</v>
      </c>
      <c r="G136" s="24" t="str">
        <f>IFERROR(VLOOKUP(F136,Procedimentos!A:C,2,),"")</f>
        <v>GESTÃO DE LEVANTAMENTO DE ASPECTOS E IMPACTOS AMBIENTAIS</v>
      </c>
      <c r="H136" s="25"/>
      <c r="I136" s="25">
        <v>45862</v>
      </c>
      <c r="J136" s="22">
        <v>12</v>
      </c>
      <c r="K136" s="25">
        <f t="shared" si="6"/>
        <v>46227</v>
      </c>
      <c r="L136" s="28" t="str">
        <f t="shared" ca="1" si="5"/>
        <v>Em dia</v>
      </c>
      <c r="M136" s="31" t="s">
        <v>30</v>
      </c>
      <c r="N136" s="28" t="s">
        <v>21</v>
      </c>
      <c r="O136" s="22" t="s">
        <v>28</v>
      </c>
      <c r="P136" s="25">
        <f t="shared" si="2"/>
        <v>45954</v>
      </c>
      <c r="Q136" s="25"/>
      <c r="R136" s="25"/>
      <c r="S136" s="28" t="s">
        <v>27</v>
      </c>
      <c r="T136" s="28">
        <v>1</v>
      </c>
    </row>
    <row r="137" spans="1:20" ht="14.25" customHeight="1">
      <c r="A137" s="22">
        <v>153</v>
      </c>
      <c r="B137" s="22">
        <v>14565</v>
      </c>
      <c r="C137" s="22" t="str">
        <f>IFERROR(VLOOKUP(B137,Colaboradores!A:D,2,),"")</f>
        <v>CAMILA RODRIGUES GOMES</v>
      </c>
      <c r="D137" s="22" t="str">
        <f>IFERROR(VLOOKUP(B137,Colaboradores!A:D,3,),"")</f>
        <v>SEGURANÇA DO TRABALHO</v>
      </c>
      <c r="E137" s="22" t="str">
        <f>IFERROR(VLOOKUP(B137,Colaboradores!A:D,4,),"")</f>
        <v>TÉCNICO DE SEGURANÇA DO TRABALHO</v>
      </c>
      <c r="F137" s="22" t="s">
        <v>33</v>
      </c>
      <c r="G137" s="24" t="str">
        <f>IFERROR(VLOOKUP(F137,Procedimentos!A:C,2,),"")</f>
        <v>GESTÃO DE INSPEÇÕES AMBIENTAIS</v>
      </c>
      <c r="H137" s="25"/>
      <c r="I137" s="25">
        <v>45862</v>
      </c>
      <c r="J137" s="22">
        <v>12</v>
      </c>
      <c r="K137" s="25">
        <f t="shared" si="6"/>
        <v>46227</v>
      </c>
      <c r="L137" s="28" t="str">
        <f t="shared" ca="1" si="5"/>
        <v>Em dia</v>
      </c>
      <c r="M137" s="31" t="s">
        <v>30</v>
      </c>
      <c r="N137" s="28" t="s">
        <v>21</v>
      </c>
      <c r="O137" s="22" t="s">
        <v>28</v>
      </c>
      <c r="P137" s="25">
        <f t="shared" si="2"/>
        <v>45954</v>
      </c>
      <c r="Q137" s="25"/>
      <c r="R137" s="25"/>
      <c r="S137" s="28" t="s">
        <v>27</v>
      </c>
      <c r="T137" s="28">
        <v>1</v>
      </c>
    </row>
    <row r="138" spans="1:20" ht="14.25" customHeight="1">
      <c r="A138" s="22">
        <v>154</v>
      </c>
      <c r="B138" s="22">
        <v>13766</v>
      </c>
      <c r="C138" s="22" t="str">
        <f>IFERROR(VLOOKUP(B138,Colaboradores!A:D,2,),"")</f>
        <v>RAIMUNDO TAVARES PESSOA</v>
      </c>
      <c r="D138" s="22" t="str">
        <f>IFERROR(VLOOKUP(B138,Colaboradores!A:D,3,),"")</f>
        <v>COORDENAÇÃO ADMINISTRATIVA</v>
      </c>
      <c r="E138" s="22" t="str">
        <f>IFERROR(VLOOKUP(B138,Colaboradores!A:D,4,),"")</f>
        <v>ANALISTA ADMINISTRATIVO</v>
      </c>
      <c r="F138" s="22" t="s">
        <v>33</v>
      </c>
      <c r="G138" s="24" t="str">
        <f>IFERROR(VLOOKUP(F138,Procedimentos!A:C,2,),"")</f>
        <v>GESTÃO DE INSPEÇÕES AMBIENTAIS</v>
      </c>
      <c r="H138" s="25"/>
      <c r="I138" s="25">
        <v>45862</v>
      </c>
      <c r="J138" s="22">
        <v>12</v>
      </c>
      <c r="K138" s="25">
        <f t="shared" si="6"/>
        <v>46227</v>
      </c>
      <c r="L138" s="28" t="str">
        <f t="shared" ca="1" si="5"/>
        <v>Em dia</v>
      </c>
      <c r="M138" s="31" t="s">
        <v>30</v>
      </c>
      <c r="N138" s="28" t="s">
        <v>21</v>
      </c>
      <c r="O138" s="22" t="s">
        <v>28</v>
      </c>
      <c r="P138" s="25">
        <f t="shared" si="2"/>
        <v>45954</v>
      </c>
      <c r="Q138" s="25"/>
      <c r="R138" s="25"/>
      <c r="S138" s="28" t="s">
        <v>27</v>
      </c>
      <c r="T138" s="28">
        <v>1</v>
      </c>
    </row>
    <row r="139" spans="1:20" ht="14.25" customHeight="1">
      <c r="A139" s="22">
        <v>155</v>
      </c>
      <c r="B139" s="22">
        <v>11149</v>
      </c>
      <c r="C139" s="22" t="str">
        <f>IFERROR(VLOOKUP(B139,Colaboradores!A:D,2,),"")</f>
        <v>CAMYLA CRYSTYNE RABELO LIMA</v>
      </c>
      <c r="D139" s="22" t="str">
        <f>IFERROR(VLOOKUP(B139,Colaboradores!A:D,3,),"")</f>
        <v>COORDENAÇÃO ADMINISTRATIVA</v>
      </c>
      <c r="E139" s="22" t="str">
        <f>IFERROR(VLOOKUP(B139,Colaboradores!A:D,4,),"")</f>
        <v>ANALISTA ADMINISTRATIVO</v>
      </c>
      <c r="F139" s="22" t="s">
        <v>33</v>
      </c>
      <c r="G139" s="24" t="str">
        <f>IFERROR(VLOOKUP(F139,Procedimentos!A:C,2,),"")</f>
        <v>GESTÃO DE INSPEÇÕES AMBIENTAIS</v>
      </c>
      <c r="H139" s="25"/>
      <c r="I139" s="25">
        <v>45862</v>
      </c>
      <c r="J139" s="22">
        <v>12</v>
      </c>
      <c r="K139" s="25">
        <f t="shared" si="6"/>
        <v>46227</v>
      </c>
      <c r="L139" s="28" t="str">
        <f t="shared" ca="1" si="5"/>
        <v>Em dia</v>
      </c>
      <c r="M139" s="31" t="s">
        <v>30</v>
      </c>
      <c r="N139" s="28" t="s">
        <v>21</v>
      </c>
      <c r="O139" s="22" t="s">
        <v>28</v>
      </c>
      <c r="P139" s="25">
        <f t="shared" si="2"/>
        <v>45954</v>
      </c>
      <c r="Q139" s="25"/>
      <c r="R139" s="25"/>
      <c r="S139" s="28" t="s">
        <v>27</v>
      </c>
      <c r="T139" s="28">
        <v>1</v>
      </c>
    </row>
    <row r="140" spans="1:20" ht="14.25" customHeight="1">
      <c r="A140" s="22">
        <v>156</v>
      </c>
      <c r="B140" s="22">
        <v>14824</v>
      </c>
      <c r="C140" s="22" t="str">
        <f>IFERROR(VLOOKUP(B140,Colaboradores!A:D,2,),"")</f>
        <v>DENISE DE SOUSA RIBEIRO SANTOS</v>
      </c>
      <c r="D140" s="22" t="str">
        <f>IFERROR(VLOOKUP(B140,Colaboradores!A:D,3,),"")</f>
        <v>COORDENAÇÃO ADMINISTRATIVA</v>
      </c>
      <c r="E140" s="22" t="str">
        <f>IFERROR(VLOOKUP(B140,Colaboradores!A:D,4,),"")</f>
        <v>ASSISTENTE ADMINISTRATIVO</v>
      </c>
      <c r="F140" s="22" t="s">
        <v>33</v>
      </c>
      <c r="G140" s="24" t="str">
        <f>IFERROR(VLOOKUP(F140,Procedimentos!A:C,2,),"")</f>
        <v>GESTÃO DE INSPEÇÕES AMBIENTAIS</v>
      </c>
      <c r="H140" s="25"/>
      <c r="I140" s="25">
        <v>45862</v>
      </c>
      <c r="J140" s="22">
        <v>12</v>
      </c>
      <c r="K140" s="25">
        <f t="shared" si="6"/>
        <v>46227</v>
      </c>
      <c r="L140" s="28" t="str">
        <f t="shared" ca="1" si="5"/>
        <v>Em dia</v>
      </c>
      <c r="M140" s="31" t="s">
        <v>30</v>
      </c>
      <c r="N140" s="28" t="s">
        <v>21</v>
      </c>
      <c r="O140" s="22" t="s">
        <v>28</v>
      </c>
      <c r="P140" s="25">
        <f t="shared" si="2"/>
        <v>45954</v>
      </c>
      <c r="Q140" s="25"/>
      <c r="R140" s="25"/>
      <c r="S140" s="28" t="s">
        <v>27</v>
      </c>
      <c r="T140" s="28">
        <v>1</v>
      </c>
    </row>
    <row r="141" spans="1:20" ht="14.25" customHeight="1">
      <c r="A141" s="22">
        <v>158</v>
      </c>
      <c r="B141" s="22">
        <v>13787</v>
      </c>
      <c r="C141" s="22" t="str">
        <f>IFERROR(VLOOKUP(B141,Colaboradores!A:D,2,),"")</f>
        <v>KELLE SOCORRO MENDES GUIGNONI</v>
      </c>
      <c r="D141" s="22" t="str">
        <f>IFERROR(VLOOKUP(B141,Colaboradores!A:D,3,),"")</f>
        <v>GESTÃO INTEGRADA</v>
      </c>
      <c r="E141" s="22" t="str">
        <f>IFERROR(VLOOKUP(B141,Colaboradores!A:D,4,),"")</f>
        <v>ANALISTA DE GESTÃO INTEGRADA</v>
      </c>
      <c r="F141" s="22" t="s">
        <v>33</v>
      </c>
      <c r="G141" s="24" t="str">
        <f>IFERROR(VLOOKUP(F141,Procedimentos!A:C,2,),"")</f>
        <v>GESTÃO DE INSPEÇÕES AMBIENTAIS</v>
      </c>
      <c r="H141" s="25"/>
      <c r="I141" s="25">
        <v>45862</v>
      </c>
      <c r="J141" s="22">
        <v>12</v>
      </c>
      <c r="K141" s="25">
        <f t="shared" si="6"/>
        <v>46227</v>
      </c>
      <c r="L141" s="28" t="str">
        <f t="shared" ca="1" si="5"/>
        <v>Em dia</v>
      </c>
      <c r="M141" s="31" t="s">
        <v>30</v>
      </c>
      <c r="N141" s="28" t="s">
        <v>21</v>
      </c>
      <c r="O141" s="22" t="s">
        <v>28</v>
      </c>
      <c r="P141" s="25">
        <f t="shared" si="2"/>
        <v>45954</v>
      </c>
      <c r="Q141" s="25"/>
      <c r="R141" s="25"/>
      <c r="S141" s="28" t="s">
        <v>27</v>
      </c>
      <c r="T141" s="28">
        <v>1</v>
      </c>
    </row>
    <row r="142" spans="1:20" ht="14.25" customHeight="1">
      <c r="A142" s="22">
        <v>159</v>
      </c>
      <c r="B142" s="22">
        <v>14767</v>
      </c>
      <c r="C142" s="22" t="str">
        <f>IFERROR(VLOOKUP(B142,Colaboradores!A:D,2,),"")</f>
        <v>CAIO VINICIUS PEREIRA DO NASCIMENTO</v>
      </c>
      <c r="D142" s="22" t="str">
        <f>IFERROR(VLOOKUP(B142,Colaboradores!A:D,3,),"")</f>
        <v>REGIONAL SUL</v>
      </c>
      <c r="E142" s="22" t="str">
        <f>IFERROR(VLOOKUP(B142,Colaboradores!A:D,4,),"")</f>
        <v>TÉCNICO DE MEIO AMBIENTE</v>
      </c>
      <c r="F142" s="22" t="s">
        <v>29</v>
      </c>
      <c r="G142" s="24" t="str">
        <f>IFERROR(VLOOKUP(F142,Procedimentos!A:C,2,),"")</f>
        <v>COLETA SELETIVA DESSMA</v>
      </c>
      <c r="H142" s="25"/>
      <c r="I142" s="25">
        <v>45862</v>
      </c>
      <c r="J142" s="22">
        <v>12</v>
      </c>
      <c r="K142" s="25">
        <f t="shared" si="6"/>
        <v>46227</v>
      </c>
      <c r="L142" s="28" t="str">
        <f t="shared" ca="1" si="5"/>
        <v>Em dia</v>
      </c>
      <c r="M142" s="31" t="s">
        <v>30</v>
      </c>
      <c r="N142" s="28" t="s">
        <v>21</v>
      </c>
      <c r="O142" s="22" t="s">
        <v>28</v>
      </c>
      <c r="P142" s="25">
        <f t="shared" si="2"/>
        <v>45954</v>
      </c>
      <c r="Q142" s="25"/>
      <c r="R142" s="25"/>
      <c r="S142" s="28" t="s">
        <v>23</v>
      </c>
      <c r="T142" s="28">
        <v>1</v>
      </c>
    </row>
    <row r="143" spans="1:20" ht="14.25" customHeight="1">
      <c r="A143" s="22">
        <v>160</v>
      </c>
      <c r="B143" s="32">
        <v>14785</v>
      </c>
      <c r="C143" s="22" t="str">
        <f>IFERROR(VLOOKUP(B143,Colaboradores!A:D,2,),"")</f>
        <v>ROSEANE CUSTODIO LIMA</v>
      </c>
      <c r="D143" s="22" t="str">
        <f>IFERROR(VLOOKUP(B143,Colaboradores!A:D,3,),"")</f>
        <v>REGIONAL CENTRAL</v>
      </c>
      <c r="E143" s="22" t="str">
        <f>IFERROR(VLOOKUP(B143,Colaboradores!A:D,4,),"")</f>
        <v>ASSISTENTE DE MEIO AMBIENTE</v>
      </c>
      <c r="F143" s="22" t="s">
        <v>29</v>
      </c>
      <c r="G143" s="24" t="str">
        <f>IFERROR(VLOOKUP(F143,Procedimentos!A:C,2,),"")</f>
        <v>COLETA SELETIVA DESSMA</v>
      </c>
      <c r="H143" s="25"/>
      <c r="I143" s="25">
        <v>45862</v>
      </c>
      <c r="J143" s="22">
        <v>12</v>
      </c>
      <c r="K143" s="25">
        <f t="shared" si="6"/>
        <v>46227</v>
      </c>
      <c r="L143" s="28" t="str">
        <f t="shared" ca="1" si="5"/>
        <v>Em dia</v>
      </c>
      <c r="M143" s="31" t="s">
        <v>30</v>
      </c>
      <c r="N143" s="28" t="s">
        <v>21</v>
      </c>
      <c r="O143" s="22" t="s">
        <v>28</v>
      </c>
      <c r="P143" s="25">
        <f t="shared" si="2"/>
        <v>45954</v>
      </c>
      <c r="Q143" s="25"/>
      <c r="R143" s="25"/>
      <c r="S143" s="28" t="s">
        <v>23</v>
      </c>
      <c r="T143" s="28">
        <v>1</v>
      </c>
    </row>
    <row r="144" spans="1:20" ht="14.25" customHeight="1">
      <c r="A144" s="22">
        <v>161</v>
      </c>
      <c r="B144" s="22">
        <v>14321</v>
      </c>
      <c r="C144" s="22" t="str">
        <f>IFERROR(VLOOKUP(B144,Colaboradores!A:D,2,),"")</f>
        <v>LAYANA KARINE SILVA BARBOSA</v>
      </c>
      <c r="D144" s="22" t="str">
        <f>IFERROR(VLOOKUP(B144,Colaboradores!A:D,3,),"")</f>
        <v>REGIONAL SUL</v>
      </c>
      <c r="E144" s="22" t="str">
        <f>IFERROR(VLOOKUP(B144,Colaboradores!A:D,4,),"")</f>
        <v>ASSISTENTE ADMINISTRATIVO</v>
      </c>
      <c r="F144" s="22" t="s">
        <v>29</v>
      </c>
      <c r="G144" s="24" t="str">
        <f>IFERROR(VLOOKUP(F144,Procedimentos!A:C,2,),"")</f>
        <v>COLETA SELETIVA DESSMA</v>
      </c>
      <c r="H144" s="25"/>
      <c r="I144" s="25">
        <v>45862</v>
      </c>
      <c r="J144" s="22">
        <v>12</v>
      </c>
      <c r="K144" s="25">
        <f t="shared" si="6"/>
        <v>46227</v>
      </c>
      <c r="L144" s="28" t="str">
        <f t="shared" ca="1" si="5"/>
        <v>Em dia</v>
      </c>
      <c r="M144" s="31" t="s">
        <v>30</v>
      </c>
      <c r="N144" s="28" t="s">
        <v>21</v>
      </c>
      <c r="O144" s="22" t="s">
        <v>28</v>
      </c>
      <c r="P144" s="25">
        <f t="shared" si="2"/>
        <v>45954</v>
      </c>
      <c r="Q144" s="25"/>
      <c r="R144" s="25"/>
      <c r="S144" s="28" t="s">
        <v>23</v>
      </c>
      <c r="T144" s="28">
        <v>1</v>
      </c>
    </row>
    <row r="145" spans="1:20" ht="14.25" customHeight="1">
      <c r="A145" s="22">
        <v>163</v>
      </c>
      <c r="B145" s="32">
        <v>15042</v>
      </c>
      <c r="C145" s="22" t="str">
        <f>IFERROR(VLOOKUP(B145,Colaboradores!A:D,2,),"")</f>
        <v>MARIANA CRISTINA FEITOSA SANTOS</v>
      </c>
      <c r="D145" s="22" t="str">
        <f>IFERROR(VLOOKUP(B145,Colaboradores!A:D,3,),"")</f>
        <v>REGIONAL SUL</v>
      </c>
      <c r="E145" s="22" t="str">
        <f>IFERROR(VLOOKUP(B145,Colaboradores!A:D,4,),"")</f>
        <v>TÉCNICA DE SEGURANÇA DO TRABALHO</v>
      </c>
      <c r="F145" s="22" t="s">
        <v>29</v>
      </c>
      <c r="G145" s="24" t="str">
        <f>IFERROR(VLOOKUP(F145,Procedimentos!A:C,2,),"")</f>
        <v>COLETA SELETIVA DESSMA</v>
      </c>
      <c r="H145" s="25"/>
      <c r="I145" s="25">
        <v>45862</v>
      </c>
      <c r="J145" s="22">
        <v>12</v>
      </c>
      <c r="K145" s="25">
        <f t="shared" si="6"/>
        <v>46227</v>
      </c>
      <c r="L145" s="28" t="str">
        <f t="shared" ca="1" si="5"/>
        <v>Em dia</v>
      </c>
      <c r="M145" s="31" t="s">
        <v>30</v>
      </c>
      <c r="N145" s="28" t="s">
        <v>21</v>
      </c>
      <c r="O145" s="22" t="s">
        <v>28</v>
      </c>
      <c r="P145" s="25">
        <f t="shared" si="2"/>
        <v>45954</v>
      </c>
      <c r="Q145" s="25"/>
      <c r="R145" s="25"/>
      <c r="S145" s="28" t="s">
        <v>23</v>
      </c>
      <c r="T145" s="28">
        <v>1</v>
      </c>
    </row>
    <row r="146" spans="1:20" ht="14.25" customHeight="1">
      <c r="A146" s="22">
        <v>164</v>
      </c>
      <c r="B146" s="22">
        <v>14354</v>
      </c>
      <c r="C146" s="22" t="str">
        <f>IFERROR(VLOOKUP(B146,Colaboradores!A:D,2,),"")</f>
        <v>JOSE CLEITON SILVA DE OLIVEIRA</v>
      </c>
      <c r="D146" s="22" t="str">
        <f>IFERROR(VLOOKUP(B146,Colaboradores!A:D,3,),"")</f>
        <v>REGIONAL CENTRAL</v>
      </c>
      <c r="E146" s="22" t="str">
        <f>IFERROR(VLOOKUP(B146,Colaboradores!A:D,4,),"")</f>
        <v>TÉCNICO DE SEGURANÇA DO TRABALHO</v>
      </c>
      <c r="F146" s="22" t="s">
        <v>29</v>
      </c>
      <c r="G146" s="24" t="str">
        <f>IFERROR(VLOOKUP(F146,Procedimentos!A:C,2,),"")</f>
        <v>COLETA SELETIVA DESSMA</v>
      </c>
      <c r="H146" s="25"/>
      <c r="I146" s="25">
        <v>45862</v>
      </c>
      <c r="J146" s="22">
        <v>12</v>
      </c>
      <c r="K146" s="25">
        <f t="shared" si="6"/>
        <v>46227</v>
      </c>
      <c r="L146" s="28" t="str">
        <f t="shared" ca="1" si="5"/>
        <v>Em dia</v>
      </c>
      <c r="M146" s="31" t="s">
        <v>30</v>
      </c>
      <c r="N146" s="28" t="s">
        <v>21</v>
      </c>
      <c r="O146" s="22" t="s">
        <v>28</v>
      </c>
      <c r="P146" s="25">
        <f t="shared" si="2"/>
        <v>45954</v>
      </c>
      <c r="Q146" s="25"/>
      <c r="R146" s="25"/>
      <c r="S146" s="28" t="s">
        <v>23</v>
      </c>
      <c r="T146" s="28">
        <v>1</v>
      </c>
    </row>
    <row r="147" spans="1:20" ht="14.25" customHeight="1">
      <c r="A147" s="22">
        <v>165</v>
      </c>
      <c r="B147" s="22">
        <v>13584</v>
      </c>
      <c r="C147" s="22" t="str">
        <f>IFERROR(VLOOKUP(B147,Colaboradores!A:D,2,),"")</f>
        <v>ALANA RODRIGUES FERREIRA</v>
      </c>
      <c r="D147" s="22" t="str">
        <f>IFERROR(VLOOKUP(B147,Colaboradores!A:D,3,),"")</f>
        <v>REGIONAL LESTE</v>
      </c>
      <c r="E147" s="22" t="str">
        <f>IFERROR(VLOOKUP(B147,Colaboradores!A:D,4,),"")</f>
        <v>COORDENADOR DE SSMA</v>
      </c>
      <c r="F147" s="22" t="s">
        <v>29</v>
      </c>
      <c r="G147" s="24" t="str">
        <f>IFERROR(VLOOKUP(F147,Procedimentos!A:C,2,),"")</f>
        <v>COLETA SELETIVA DESSMA</v>
      </c>
      <c r="H147" s="25"/>
      <c r="I147" s="25">
        <v>45862</v>
      </c>
      <c r="J147" s="22">
        <v>12</v>
      </c>
      <c r="K147" s="25">
        <f t="shared" si="6"/>
        <v>46227</v>
      </c>
      <c r="L147" s="28" t="str">
        <f t="shared" ca="1" si="5"/>
        <v>Em dia</v>
      </c>
      <c r="M147" s="31" t="s">
        <v>30</v>
      </c>
      <c r="N147" s="28" t="s">
        <v>21</v>
      </c>
      <c r="O147" s="22" t="s">
        <v>28</v>
      </c>
      <c r="P147" s="25">
        <f t="shared" si="2"/>
        <v>45954</v>
      </c>
      <c r="Q147" s="25"/>
      <c r="R147" s="25"/>
      <c r="S147" s="28" t="s">
        <v>23</v>
      </c>
      <c r="T147" s="28">
        <v>1</v>
      </c>
    </row>
    <row r="148" spans="1:20" ht="14.25" customHeight="1">
      <c r="A148" s="22">
        <v>166</v>
      </c>
      <c r="B148" s="22">
        <v>14357</v>
      </c>
      <c r="C148" s="22" t="str">
        <f>IFERROR(VLOOKUP(B148,Colaboradores!A:D,2,),"")</f>
        <v>JAIME VIEIRA GALVAO</v>
      </c>
      <c r="D148" s="22" t="str">
        <f>IFERROR(VLOOKUP(B148,Colaboradores!A:D,3,),"")</f>
        <v>REGIONAL LESTE</v>
      </c>
      <c r="E148" s="22" t="str">
        <f>IFERROR(VLOOKUP(B148,Colaboradores!A:D,4,),"")</f>
        <v>ENFERMEIRO DO TRABALHO</v>
      </c>
      <c r="F148" s="22" t="s">
        <v>29</v>
      </c>
      <c r="G148" s="24" t="str">
        <f>IFERROR(VLOOKUP(F148,Procedimentos!A:C,2,),"")</f>
        <v>COLETA SELETIVA DESSMA</v>
      </c>
      <c r="H148" s="25"/>
      <c r="I148" s="25">
        <v>45862</v>
      </c>
      <c r="J148" s="22">
        <v>12</v>
      </c>
      <c r="K148" s="25">
        <f t="shared" si="6"/>
        <v>46227</v>
      </c>
      <c r="L148" s="28" t="str">
        <f t="shared" ca="1" si="5"/>
        <v>Em dia</v>
      </c>
      <c r="M148" s="31" t="s">
        <v>30</v>
      </c>
      <c r="N148" s="28" t="s">
        <v>21</v>
      </c>
      <c r="O148" s="22" t="s">
        <v>28</v>
      </c>
      <c r="P148" s="25">
        <f t="shared" si="2"/>
        <v>45954</v>
      </c>
      <c r="Q148" s="25"/>
      <c r="R148" s="25"/>
      <c r="S148" s="28" t="s">
        <v>23</v>
      </c>
      <c r="T148" s="28">
        <v>1</v>
      </c>
    </row>
    <row r="149" spans="1:20" ht="14.25" customHeight="1">
      <c r="A149" s="22">
        <v>167</v>
      </c>
      <c r="B149" s="32">
        <v>14721</v>
      </c>
      <c r="C149" s="22" t="str">
        <f>IFERROR(VLOOKUP(B149,Colaboradores!A:D,2,),"")</f>
        <v>RONILSON FERREIRA OLIVEIRA</v>
      </c>
      <c r="D149" s="22" t="str">
        <f>IFERROR(VLOOKUP(B149,Colaboradores!A:D,3,),"")</f>
        <v>REGIONAL LESTE</v>
      </c>
      <c r="E149" s="22" t="str">
        <f>IFERROR(VLOOKUP(B149,Colaboradores!A:D,4,),"")</f>
        <v>TÉCNICO DE SEGURANÇA DO TRABALHO</v>
      </c>
      <c r="F149" s="22" t="s">
        <v>29</v>
      </c>
      <c r="G149" s="24" t="str">
        <f>IFERROR(VLOOKUP(F149,Procedimentos!A:C,2,),"")</f>
        <v>COLETA SELETIVA DESSMA</v>
      </c>
      <c r="H149" s="25"/>
      <c r="I149" s="25">
        <v>45862</v>
      </c>
      <c r="J149" s="22">
        <v>12</v>
      </c>
      <c r="K149" s="25">
        <f t="shared" si="6"/>
        <v>46227</v>
      </c>
      <c r="L149" s="28" t="str">
        <f t="shared" ca="1" si="5"/>
        <v>Em dia</v>
      </c>
      <c r="M149" s="31" t="s">
        <v>30</v>
      </c>
      <c r="N149" s="28" t="s">
        <v>21</v>
      </c>
      <c r="O149" s="22" t="s">
        <v>28</v>
      </c>
      <c r="P149" s="25">
        <f t="shared" si="2"/>
        <v>45954</v>
      </c>
      <c r="Q149" s="25"/>
      <c r="R149" s="25"/>
      <c r="S149" s="28" t="s">
        <v>23</v>
      </c>
      <c r="T149" s="28">
        <v>1</v>
      </c>
    </row>
    <row r="150" spans="1:20" ht="14.25" customHeight="1">
      <c r="A150" s="22">
        <v>168</v>
      </c>
      <c r="B150" s="22">
        <v>14767</v>
      </c>
      <c r="C150" s="22" t="str">
        <f>IFERROR(VLOOKUP(B150,Colaboradores!A:D,2,),"")</f>
        <v>CAIO VINICIUS PEREIRA DO NASCIMENTO</v>
      </c>
      <c r="D150" s="22" t="str">
        <f>IFERROR(VLOOKUP(B150,Colaboradores!A:D,3,),"")</f>
        <v>REGIONAL SUL</v>
      </c>
      <c r="E150" s="22" t="str">
        <f>IFERROR(VLOOKUP(B150,Colaboradores!A:D,4,),"")</f>
        <v>TÉCNICO DE MEIO AMBIENTE</v>
      </c>
      <c r="F150" s="22" t="s">
        <v>31</v>
      </c>
      <c r="G150" s="24" t="str">
        <f>IFERROR(VLOOKUP(F150,Procedimentos!A:C,2,),"")</f>
        <v>GESTÃO DE COMUNICAÇÃO, CLASSIFICAÇÃO E INVESTIGAÇÃO DE OCORRÊNCIAS AMBIENTAIS</v>
      </c>
      <c r="H150" s="25"/>
      <c r="I150" s="25">
        <v>45862</v>
      </c>
      <c r="J150" s="22">
        <v>12</v>
      </c>
      <c r="K150" s="25">
        <f t="shared" si="6"/>
        <v>46227</v>
      </c>
      <c r="L150" s="28" t="str">
        <f t="shared" ca="1" si="5"/>
        <v>Em dia</v>
      </c>
      <c r="M150" s="31" t="s">
        <v>30</v>
      </c>
      <c r="N150" s="28" t="s">
        <v>21</v>
      </c>
      <c r="O150" s="22" t="s">
        <v>28</v>
      </c>
      <c r="P150" s="25">
        <f t="shared" si="2"/>
        <v>45954</v>
      </c>
      <c r="Q150" s="25"/>
      <c r="R150" s="25"/>
      <c r="S150" s="28" t="s">
        <v>23</v>
      </c>
      <c r="T150" s="28">
        <v>1</v>
      </c>
    </row>
    <row r="151" spans="1:20" ht="14.25" customHeight="1">
      <c r="A151" s="22">
        <v>169</v>
      </c>
      <c r="B151" s="32">
        <v>14785</v>
      </c>
      <c r="C151" s="22" t="str">
        <f>IFERROR(VLOOKUP(B151,Colaboradores!A:D,2,),"")</f>
        <v>ROSEANE CUSTODIO LIMA</v>
      </c>
      <c r="D151" s="22" t="str">
        <f>IFERROR(VLOOKUP(B151,Colaboradores!A:D,3,),"")</f>
        <v>REGIONAL CENTRAL</v>
      </c>
      <c r="E151" s="22" t="str">
        <f>IFERROR(VLOOKUP(B151,Colaboradores!A:D,4,),"")</f>
        <v>ASSISTENTE DE MEIO AMBIENTE</v>
      </c>
      <c r="F151" s="22" t="s">
        <v>31</v>
      </c>
      <c r="G151" s="24" t="str">
        <f>IFERROR(VLOOKUP(F151,Procedimentos!A:C,2,),"")</f>
        <v>GESTÃO DE COMUNICAÇÃO, CLASSIFICAÇÃO E INVESTIGAÇÃO DE OCORRÊNCIAS AMBIENTAIS</v>
      </c>
      <c r="H151" s="25"/>
      <c r="I151" s="25">
        <v>45862</v>
      </c>
      <c r="J151" s="22">
        <v>12</v>
      </c>
      <c r="K151" s="25">
        <f t="shared" si="6"/>
        <v>46227</v>
      </c>
      <c r="L151" s="28" t="str">
        <f t="shared" ca="1" si="5"/>
        <v>Em dia</v>
      </c>
      <c r="M151" s="31" t="s">
        <v>30</v>
      </c>
      <c r="N151" s="28" t="s">
        <v>21</v>
      </c>
      <c r="O151" s="22" t="s">
        <v>28</v>
      </c>
      <c r="P151" s="25">
        <f t="shared" si="2"/>
        <v>45954</v>
      </c>
      <c r="Q151" s="25"/>
      <c r="R151" s="25"/>
      <c r="S151" s="28" t="s">
        <v>23</v>
      </c>
      <c r="T151" s="28">
        <v>1</v>
      </c>
    </row>
    <row r="152" spans="1:20" ht="14.25" customHeight="1">
      <c r="A152" s="22">
        <v>170</v>
      </c>
      <c r="B152" s="22">
        <v>14321</v>
      </c>
      <c r="C152" s="22" t="str">
        <f>IFERROR(VLOOKUP(B152,Colaboradores!A:D,2,),"")</f>
        <v>LAYANA KARINE SILVA BARBOSA</v>
      </c>
      <c r="D152" s="22" t="str">
        <f>IFERROR(VLOOKUP(B152,Colaboradores!A:D,3,),"")</f>
        <v>REGIONAL SUL</v>
      </c>
      <c r="E152" s="22" t="str">
        <f>IFERROR(VLOOKUP(B152,Colaboradores!A:D,4,),"")</f>
        <v>ASSISTENTE ADMINISTRATIVO</v>
      </c>
      <c r="F152" s="22" t="s">
        <v>31</v>
      </c>
      <c r="G152" s="24" t="str">
        <f>IFERROR(VLOOKUP(F152,Procedimentos!A:C,2,),"")</f>
        <v>GESTÃO DE COMUNICAÇÃO, CLASSIFICAÇÃO E INVESTIGAÇÃO DE OCORRÊNCIAS AMBIENTAIS</v>
      </c>
      <c r="H152" s="25"/>
      <c r="I152" s="25">
        <v>45862</v>
      </c>
      <c r="J152" s="22">
        <v>12</v>
      </c>
      <c r="K152" s="25">
        <f t="shared" si="6"/>
        <v>46227</v>
      </c>
      <c r="L152" s="28" t="str">
        <f t="shared" ca="1" si="5"/>
        <v>Em dia</v>
      </c>
      <c r="M152" s="31" t="s">
        <v>30</v>
      </c>
      <c r="N152" s="28" t="s">
        <v>21</v>
      </c>
      <c r="O152" s="22" t="s">
        <v>28</v>
      </c>
      <c r="P152" s="25">
        <f t="shared" si="2"/>
        <v>45954</v>
      </c>
      <c r="Q152" s="25"/>
      <c r="R152" s="25"/>
      <c r="S152" s="28" t="s">
        <v>23</v>
      </c>
      <c r="T152" s="28">
        <v>1</v>
      </c>
    </row>
    <row r="153" spans="1:20" ht="14.25" customHeight="1">
      <c r="A153" s="22">
        <v>172</v>
      </c>
      <c r="B153" s="32">
        <v>15042</v>
      </c>
      <c r="C153" s="22" t="str">
        <f>IFERROR(VLOOKUP(B153,Colaboradores!A:D,2,),"")</f>
        <v>MARIANA CRISTINA FEITOSA SANTOS</v>
      </c>
      <c r="D153" s="22" t="str">
        <f>IFERROR(VLOOKUP(B153,Colaboradores!A:D,3,),"")</f>
        <v>REGIONAL SUL</v>
      </c>
      <c r="E153" s="22" t="str">
        <f>IFERROR(VLOOKUP(B153,Colaboradores!A:D,4,),"")</f>
        <v>TÉCNICA DE SEGURANÇA DO TRABALHO</v>
      </c>
      <c r="F153" s="22" t="s">
        <v>31</v>
      </c>
      <c r="G153" s="24" t="str">
        <f>IFERROR(VLOOKUP(F153,Procedimentos!A:C,2,),"")</f>
        <v>GESTÃO DE COMUNICAÇÃO, CLASSIFICAÇÃO E INVESTIGAÇÃO DE OCORRÊNCIAS AMBIENTAIS</v>
      </c>
      <c r="H153" s="25"/>
      <c r="I153" s="25">
        <v>45862</v>
      </c>
      <c r="J153" s="22">
        <v>12</v>
      </c>
      <c r="K153" s="25">
        <f t="shared" si="6"/>
        <v>46227</v>
      </c>
      <c r="L153" s="28" t="str">
        <f t="shared" ca="1" si="5"/>
        <v>Em dia</v>
      </c>
      <c r="M153" s="31" t="s">
        <v>30</v>
      </c>
      <c r="N153" s="28" t="s">
        <v>21</v>
      </c>
      <c r="O153" s="22" t="s">
        <v>28</v>
      </c>
      <c r="P153" s="25">
        <f t="shared" si="2"/>
        <v>45954</v>
      </c>
      <c r="Q153" s="25"/>
      <c r="R153" s="25"/>
      <c r="S153" s="28" t="s">
        <v>23</v>
      </c>
      <c r="T153" s="28">
        <v>1</v>
      </c>
    </row>
    <row r="154" spans="1:20" ht="14.25" customHeight="1">
      <c r="A154" s="22">
        <v>173</v>
      </c>
      <c r="B154" s="22">
        <v>14354</v>
      </c>
      <c r="C154" s="22" t="str">
        <f>IFERROR(VLOOKUP(B154,Colaboradores!A:D,2,),"")</f>
        <v>JOSE CLEITON SILVA DE OLIVEIRA</v>
      </c>
      <c r="D154" s="22" t="str">
        <f>IFERROR(VLOOKUP(B154,Colaboradores!A:D,3,),"")</f>
        <v>REGIONAL CENTRAL</v>
      </c>
      <c r="E154" s="22" t="str">
        <f>IFERROR(VLOOKUP(B154,Colaboradores!A:D,4,),"")</f>
        <v>TÉCNICO DE SEGURANÇA DO TRABALHO</v>
      </c>
      <c r="F154" s="22" t="s">
        <v>31</v>
      </c>
      <c r="G154" s="24" t="str">
        <f>IFERROR(VLOOKUP(F154,Procedimentos!A:C,2,),"")</f>
        <v>GESTÃO DE COMUNICAÇÃO, CLASSIFICAÇÃO E INVESTIGAÇÃO DE OCORRÊNCIAS AMBIENTAIS</v>
      </c>
      <c r="H154" s="25"/>
      <c r="I154" s="25">
        <v>45862</v>
      </c>
      <c r="J154" s="22">
        <v>12</v>
      </c>
      <c r="K154" s="25">
        <f t="shared" si="6"/>
        <v>46227</v>
      </c>
      <c r="L154" s="28" t="str">
        <f t="shared" ca="1" si="5"/>
        <v>Em dia</v>
      </c>
      <c r="M154" s="31" t="s">
        <v>30</v>
      </c>
      <c r="N154" s="28" t="s">
        <v>21</v>
      </c>
      <c r="O154" s="22" t="s">
        <v>28</v>
      </c>
      <c r="P154" s="25">
        <f t="shared" si="2"/>
        <v>45954</v>
      </c>
      <c r="Q154" s="25"/>
      <c r="R154" s="25"/>
      <c r="S154" s="28" t="s">
        <v>23</v>
      </c>
      <c r="T154" s="28">
        <v>1</v>
      </c>
    </row>
    <row r="155" spans="1:20" ht="14.25" customHeight="1">
      <c r="A155" s="22">
        <v>174</v>
      </c>
      <c r="B155" s="22">
        <v>13584</v>
      </c>
      <c r="C155" s="22" t="str">
        <f>IFERROR(VLOOKUP(B155,Colaboradores!A:D,2,),"")</f>
        <v>ALANA RODRIGUES FERREIRA</v>
      </c>
      <c r="D155" s="22" t="str">
        <f>IFERROR(VLOOKUP(B155,Colaboradores!A:D,3,),"")</f>
        <v>REGIONAL LESTE</v>
      </c>
      <c r="E155" s="22" t="str">
        <f>IFERROR(VLOOKUP(B155,Colaboradores!A:D,4,),"")</f>
        <v>COORDENADOR DE SSMA</v>
      </c>
      <c r="F155" s="22" t="s">
        <v>31</v>
      </c>
      <c r="G155" s="24" t="str">
        <f>IFERROR(VLOOKUP(F155,Procedimentos!A:C,2,),"")</f>
        <v>GESTÃO DE COMUNICAÇÃO, CLASSIFICAÇÃO E INVESTIGAÇÃO DE OCORRÊNCIAS AMBIENTAIS</v>
      </c>
      <c r="H155" s="25"/>
      <c r="I155" s="25">
        <v>45862</v>
      </c>
      <c r="J155" s="22">
        <v>12</v>
      </c>
      <c r="K155" s="25">
        <f t="shared" si="6"/>
        <v>46227</v>
      </c>
      <c r="L155" s="28" t="str">
        <f t="shared" ca="1" si="5"/>
        <v>Em dia</v>
      </c>
      <c r="M155" s="31" t="s">
        <v>30</v>
      </c>
      <c r="N155" s="28" t="s">
        <v>21</v>
      </c>
      <c r="O155" s="22" t="s">
        <v>28</v>
      </c>
      <c r="P155" s="25">
        <f t="shared" si="2"/>
        <v>45954</v>
      </c>
      <c r="Q155" s="25"/>
      <c r="R155" s="25"/>
      <c r="S155" s="28" t="s">
        <v>23</v>
      </c>
      <c r="T155" s="28">
        <v>1</v>
      </c>
    </row>
    <row r="156" spans="1:20" ht="14.25" customHeight="1">
      <c r="A156" s="22">
        <v>175</v>
      </c>
      <c r="B156" s="22">
        <v>14357</v>
      </c>
      <c r="C156" s="22" t="str">
        <f>IFERROR(VLOOKUP(B156,Colaboradores!A:D,2,),"")</f>
        <v>JAIME VIEIRA GALVAO</v>
      </c>
      <c r="D156" s="22" t="str">
        <f>IFERROR(VLOOKUP(B156,Colaboradores!A:D,3,),"")</f>
        <v>REGIONAL LESTE</v>
      </c>
      <c r="E156" s="22" t="str">
        <f>IFERROR(VLOOKUP(B156,Colaboradores!A:D,4,),"")</f>
        <v>ENFERMEIRO DO TRABALHO</v>
      </c>
      <c r="F156" s="22" t="s">
        <v>31</v>
      </c>
      <c r="G156" s="24" t="str">
        <f>IFERROR(VLOOKUP(F156,Procedimentos!A:C,2,),"")</f>
        <v>GESTÃO DE COMUNICAÇÃO, CLASSIFICAÇÃO E INVESTIGAÇÃO DE OCORRÊNCIAS AMBIENTAIS</v>
      </c>
      <c r="H156" s="25"/>
      <c r="I156" s="25">
        <v>45862</v>
      </c>
      <c r="J156" s="22">
        <v>12</v>
      </c>
      <c r="K156" s="25">
        <f t="shared" si="6"/>
        <v>46227</v>
      </c>
      <c r="L156" s="28" t="str">
        <f t="shared" ca="1" si="5"/>
        <v>Em dia</v>
      </c>
      <c r="M156" s="31" t="s">
        <v>30</v>
      </c>
      <c r="N156" s="28" t="s">
        <v>21</v>
      </c>
      <c r="O156" s="22" t="s">
        <v>28</v>
      </c>
      <c r="P156" s="25">
        <f t="shared" si="2"/>
        <v>45954</v>
      </c>
      <c r="Q156" s="25"/>
      <c r="R156" s="25"/>
      <c r="S156" s="28" t="s">
        <v>23</v>
      </c>
      <c r="T156" s="28">
        <v>1</v>
      </c>
    </row>
    <row r="157" spans="1:20" ht="14.25" customHeight="1">
      <c r="A157" s="22">
        <v>176</v>
      </c>
      <c r="B157" s="32">
        <v>14721</v>
      </c>
      <c r="C157" s="22" t="str">
        <f>IFERROR(VLOOKUP(B157,Colaboradores!A:D,2,),"")</f>
        <v>RONILSON FERREIRA OLIVEIRA</v>
      </c>
      <c r="D157" s="22" t="str">
        <f>IFERROR(VLOOKUP(B157,Colaboradores!A:D,3,),"")</f>
        <v>REGIONAL LESTE</v>
      </c>
      <c r="E157" s="22" t="str">
        <f>IFERROR(VLOOKUP(B157,Colaboradores!A:D,4,),"")</f>
        <v>TÉCNICO DE SEGURANÇA DO TRABALHO</v>
      </c>
      <c r="F157" s="22" t="s">
        <v>31</v>
      </c>
      <c r="G157" s="24" t="str">
        <f>IFERROR(VLOOKUP(F157,Procedimentos!A:C,2,),"")</f>
        <v>GESTÃO DE COMUNICAÇÃO, CLASSIFICAÇÃO E INVESTIGAÇÃO DE OCORRÊNCIAS AMBIENTAIS</v>
      </c>
      <c r="H157" s="25"/>
      <c r="I157" s="25">
        <v>45862</v>
      </c>
      <c r="J157" s="22">
        <v>12</v>
      </c>
      <c r="K157" s="25">
        <f t="shared" si="6"/>
        <v>46227</v>
      </c>
      <c r="L157" s="28" t="str">
        <f t="shared" ca="1" si="5"/>
        <v>Em dia</v>
      </c>
      <c r="M157" s="31" t="s">
        <v>30</v>
      </c>
      <c r="N157" s="28" t="s">
        <v>21</v>
      </c>
      <c r="O157" s="22" t="s">
        <v>28</v>
      </c>
      <c r="P157" s="25">
        <f t="shared" si="2"/>
        <v>45954</v>
      </c>
      <c r="Q157" s="25"/>
      <c r="R157" s="25"/>
      <c r="S157" s="28" t="s">
        <v>23</v>
      </c>
      <c r="T157" s="28">
        <v>1</v>
      </c>
    </row>
    <row r="158" spans="1:20" ht="14.25" customHeight="1">
      <c r="A158" s="22">
        <v>177</v>
      </c>
      <c r="B158" s="22">
        <v>14767</v>
      </c>
      <c r="C158" s="22" t="str">
        <f>IFERROR(VLOOKUP(B158,Colaboradores!A:D,2,),"")</f>
        <v>CAIO VINICIUS PEREIRA DO NASCIMENTO</v>
      </c>
      <c r="D158" s="22" t="str">
        <f>IFERROR(VLOOKUP(B158,Colaboradores!A:D,3,),"")</f>
        <v>REGIONAL SUL</v>
      </c>
      <c r="E158" s="22" t="str">
        <f>IFERROR(VLOOKUP(B158,Colaboradores!A:D,4,),"")</f>
        <v>TÉCNICO DE MEIO AMBIENTE</v>
      </c>
      <c r="F158" s="22" t="s">
        <v>32</v>
      </c>
      <c r="G158" s="24" t="str">
        <f>IFERROR(VLOOKUP(F158,Procedimentos!A:C,2,),"")</f>
        <v>GESTÃO DE LEVANTAMENTO DE ASPECTOS E IMPACTOS AMBIENTAIS</v>
      </c>
      <c r="H158" s="25"/>
      <c r="I158" s="25">
        <v>45862</v>
      </c>
      <c r="J158" s="22">
        <v>12</v>
      </c>
      <c r="K158" s="25">
        <f t="shared" si="6"/>
        <v>46227</v>
      </c>
      <c r="L158" s="28" t="str">
        <f t="shared" ca="1" si="5"/>
        <v>Em dia</v>
      </c>
      <c r="M158" s="31" t="s">
        <v>30</v>
      </c>
      <c r="N158" s="28" t="s">
        <v>21</v>
      </c>
      <c r="O158" s="22" t="s">
        <v>28</v>
      </c>
      <c r="P158" s="25">
        <f t="shared" si="2"/>
        <v>45954</v>
      </c>
      <c r="Q158" s="25"/>
      <c r="R158" s="25"/>
      <c r="S158" s="28" t="s">
        <v>23</v>
      </c>
      <c r="T158" s="28">
        <v>1</v>
      </c>
    </row>
    <row r="159" spans="1:20" ht="14.25" customHeight="1">
      <c r="A159" s="22">
        <v>178</v>
      </c>
      <c r="B159" s="32">
        <v>14785</v>
      </c>
      <c r="C159" s="22" t="str">
        <f>IFERROR(VLOOKUP(B159,Colaboradores!A:D,2,),"")</f>
        <v>ROSEANE CUSTODIO LIMA</v>
      </c>
      <c r="D159" s="22" t="str">
        <f>IFERROR(VLOOKUP(B159,Colaboradores!A:D,3,),"")</f>
        <v>REGIONAL CENTRAL</v>
      </c>
      <c r="E159" s="22" t="str">
        <f>IFERROR(VLOOKUP(B159,Colaboradores!A:D,4,),"")</f>
        <v>ASSISTENTE DE MEIO AMBIENTE</v>
      </c>
      <c r="F159" s="22" t="s">
        <v>32</v>
      </c>
      <c r="G159" s="24" t="str">
        <f>IFERROR(VLOOKUP(F159,Procedimentos!A:C,2,),"")</f>
        <v>GESTÃO DE LEVANTAMENTO DE ASPECTOS E IMPACTOS AMBIENTAIS</v>
      </c>
      <c r="H159" s="25"/>
      <c r="I159" s="25">
        <v>45862</v>
      </c>
      <c r="J159" s="22">
        <v>12</v>
      </c>
      <c r="K159" s="25">
        <f t="shared" si="6"/>
        <v>46227</v>
      </c>
      <c r="L159" s="28" t="str">
        <f t="shared" ca="1" si="5"/>
        <v>Em dia</v>
      </c>
      <c r="M159" s="31" t="s">
        <v>30</v>
      </c>
      <c r="N159" s="28" t="s">
        <v>21</v>
      </c>
      <c r="O159" s="22" t="s">
        <v>28</v>
      </c>
      <c r="P159" s="25">
        <f t="shared" si="2"/>
        <v>45954</v>
      </c>
      <c r="Q159" s="25"/>
      <c r="R159" s="25"/>
      <c r="S159" s="28" t="s">
        <v>23</v>
      </c>
      <c r="T159" s="28">
        <v>1</v>
      </c>
    </row>
    <row r="160" spans="1:20" ht="14.25" customHeight="1">
      <c r="A160" s="22">
        <v>179</v>
      </c>
      <c r="B160" s="22">
        <v>14321</v>
      </c>
      <c r="C160" s="22" t="str">
        <f>IFERROR(VLOOKUP(B160,Colaboradores!A:D,2,),"")</f>
        <v>LAYANA KARINE SILVA BARBOSA</v>
      </c>
      <c r="D160" s="22" t="str">
        <f>IFERROR(VLOOKUP(B160,Colaboradores!A:D,3,),"")</f>
        <v>REGIONAL SUL</v>
      </c>
      <c r="E160" s="22" t="str">
        <f>IFERROR(VLOOKUP(B160,Colaboradores!A:D,4,),"")</f>
        <v>ASSISTENTE ADMINISTRATIVO</v>
      </c>
      <c r="F160" s="22" t="s">
        <v>32</v>
      </c>
      <c r="G160" s="24" t="str">
        <f>IFERROR(VLOOKUP(F160,Procedimentos!A:C,2,),"")</f>
        <v>GESTÃO DE LEVANTAMENTO DE ASPECTOS E IMPACTOS AMBIENTAIS</v>
      </c>
      <c r="H160" s="25"/>
      <c r="I160" s="25">
        <v>45862</v>
      </c>
      <c r="J160" s="22">
        <v>12</v>
      </c>
      <c r="K160" s="25">
        <f t="shared" si="6"/>
        <v>46227</v>
      </c>
      <c r="L160" s="28" t="str">
        <f t="shared" ca="1" si="5"/>
        <v>Em dia</v>
      </c>
      <c r="M160" s="31" t="s">
        <v>30</v>
      </c>
      <c r="N160" s="28" t="s">
        <v>21</v>
      </c>
      <c r="O160" s="22" t="s">
        <v>28</v>
      </c>
      <c r="P160" s="25">
        <f t="shared" si="2"/>
        <v>45954</v>
      </c>
      <c r="Q160" s="25"/>
      <c r="R160" s="25"/>
      <c r="S160" s="28" t="s">
        <v>23</v>
      </c>
      <c r="T160" s="28">
        <v>1</v>
      </c>
    </row>
    <row r="161" spans="1:20" ht="14.25" customHeight="1">
      <c r="A161" s="22">
        <v>181</v>
      </c>
      <c r="B161" s="32">
        <v>15042</v>
      </c>
      <c r="C161" s="22" t="str">
        <f>IFERROR(VLOOKUP(B161,Colaboradores!A:D,2,),"")</f>
        <v>MARIANA CRISTINA FEITOSA SANTOS</v>
      </c>
      <c r="D161" s="22" t="str">
        <f>IFERROR(VLOOKUP(B161,Colaboradores!A:D,3,),"")</f>
        <v>REGIONAL SUL</v>
      </c>
      <c r="E161" s="22" t="str">
        <f>IFERROR(VLOOKUP(B161,Colaboradores!A:D,4,),"")</f>
        <v>TÉCNICA DE SEGURANÇA DO TRABALHO</v>
      </c>
      <c r="F161" s="22" t="s">
        <v>32</v>
      </c>
      <c r="G161" s="24" t="str">
        <f>IFERROR(VLOOKUP(F161,Procedimentos!A:C,2,),"")</f>
        <v>GESTÃO DE LEVANTAMENTO DE ASPECTOS E IMPACTOS AMBIENTAIS</v>
      </c>
      <c r="H161" s="25"/>
      <c r="I161" s="25">
        <v>45862</v>
      </c>
      <c r="J161" s="22">
        <v>12</v>
      </c>
      <c r="K161" s="25">
        <f t="shared" si="6"/>
        <v>46227</v>
      </c>
      <c r="L161" s="28" t="str">
        <f t="shared" ca="1" si="5"/>
        <v>Em dia</v>
      </c>
      <c r="M161" s="31" t="s">
        <v>30</v>
      </c>
      <c r="N161" s="28" t="s">
        <v>21</v>
      </c>
      <c r="O161" s="22" t="s">
        <v>28</v>
      </c>
      <c r="P161" s="25">
        <f t="shared" si="2"/>
        <v>45954</v>
      </c>
      <c r="Q161" s="25"/>
      <c r="R161" s="25"/>
      <c r="S161" s="28" t="s">
        <v>23</v>
      </c>
      <c r="T161" s="28">
        <v>1</v>
      </c>
    </row>
    <row r="162" spans="1:20" ht="14.25" customHeight="1">
      <c r="A162" s="22">
        <v>182</v>
      </c>
      <c r="B162" s="22">
        <v>14354</v>
      </c>
      <c r="C162" s="22" t="str">
        <f>IFERROR(VLOOKUP(B162,Colaboradores!A:D,2,),"")</f>
        <v>JOSE CLEITON SILVA DE OLIVEIRA</v>
      </c>
      <c r="D162" s="22" t="str">
        <f>IFERROR(VLOOKUP(B162,Colaboradores!A:D,3,),"")</f>
        <v>REGIONAL CENTRAL</v>
      </c>
      <c r="E162" s="22" t="str">
        <f>IFERROR(VLOOKUP(B162,Colaboradores!A:D,4,),"")</f>
        <v>TÉCNICO DE SEGURANÇA DO TRABALHO</v>
      </c>
      <c r="F162" s="22" t="s">
        <v>32</v>
      </c>
      <c r="G162" s="24" t="str">
        <f>IFERROR(VLOOKUP(F162,Procedimentos!A:C,2,),"")</f>
        <v>GESTÃO DE LEVANTAMENTO DE ASPECTOS E IMPACTOS AMBIENTAIS</v>
      </c>
      <c r="H162" s="25"/>
      <c r="I162" s="25">
        <v>45862</v>
      </c>
      <c r="J162" s="22">
        <v>12</v>
      </c>
      <c r="K162" s="25">
        <f t="shared" si="6"/>
        <v>46227</v>
      </c>
      <c r="L162" s="28" t="str">
        <f t="shared" ca="1" si="5"/>
        <v>Em dia</v>
      </c>
      <c r="M162" s="31" t="s">
        <v>30</v>
      </c>
      <c r="N162" s="28" t="s">
        <v>21</v>
      </c>
      <c r="O162" s="22" t="s">
        <v>28</v>
      </c>
      <c r="P162" s="25">
        <f t="shared" si="2"/>
        <v>45954</v>
      </c>
      <c r="Q162" s="25"/>
      <c r="R162" s="25"/>
      <c r="S162" s="28" t="s">
        <v>23</v>
      </c>
      <c r="T162" s="28">
        <v>1</v>
      </c>
    </row>
    <row r="163" spans="1:20" ht="14.25" customHeight="1">
      <c r="A163" s="22">
        <v>183</v>
      </c>
      <c r="B163" s="22">
        <v>13584</v>
      </c>
      <c r="C163" s="22" t="str">
        <f>IFERROR(VLOOKUP(B163,Colaboradores!A:D,2,),"")</f>
        <v>ALANA RODRIGUES FERREIRA</v>
      </c>
      <c r="D163" s="22" t="str">
        <f>IFERROR(VLOOKUP(B163,Colaboradores!A:D,3,),"")</f>
        <v>REGIONAL LESTE</v>
      </c>
      <c r="E163" s="22" t="str">
        <f>IFERROR(VLOOKUP(B163,Colaboradores!A:D,4,),"")</f>
        <v>COORDENADOR DE SSMA</v>
      </c>
      <c r="F163" s="22" t="s">
        <v>32</v>
      </c>
      <c r="G163" s="24" t="str">
        <f>IFERROR(VLOOKUP(F163,Procedimentos!A:C,2,),"")</f>
        <v>GESTÃO DE LEVANTAMENTO DE ASPECTOS E IMPACTOS AMBIENTAIS</v>
      </c>
      <c r="H163" s="25"/>
      <c r="I163" s="25">
        <v>45862</v>
      </c>
      <c r="J163" s="22">
        <v>12</v>
      </c>
      <c r="K163" s="25">
        <f t="shared" si="6"/>
        <v>46227</v>
      </c>
      <c r="L163" s="28" t="str">
        <f t="shared" ca="1" si="5"/>
        <v>Em dia</v>
      </c>
      <c r="M163" s="31" t="s">
        <v>30</v>
      </c>
      <c r="N163" s="28" t="s">
        <v>21</v>
      </c>
      <c r="O163" s="22" t="s">
        <v>28</v>
      </c>
      <c r="P163" s="25">
        <f t="shared" si="2"/>
        <v>45954</v>
      </c>
      <c r="Q163" s="25"/>
      <c r="R163" s="25"/>
      <c r="S163" s="28" t="s">
        <v>23</v>
      </c>
      <c r="T163" s="28">
        <v>1</v>
      </c>
    </row>
    <row r="164" spans="1:20" ht="14.25" customHeight="1">
      <c r="A164" s="22">
        <v>184</v>
      </c>
      <c r="B164" s="22">
        <v>14357</v>
      </c>
      <c r="C164" s="22" t="str">
        <f>IFERROR(VLOOKUP(B164,Colaboradores!A:D,2,),"")</f>
        <v>JAIME VIEIRA GALVAO</v>
      </c>
      <c r="D164" s="22" t="str">
        <f>IFERROR(VLOOKUP(B164,Colaboradores!A:D,3,),"")</f>
        <v>REGIONAL LESTE</v>
      </c>
      <c r="E164" s="22" t="str">
        <f>IFERROR(VLOOKUP(B164,Colaboradores!A:D,4,),"")</f>
        <v>ENFERMEIRO DO TRABALHO</v>
      </c>
      <c r="F164" s="22" t="s">
        <v>32</v>
      </c>
      <c r="G164" s="24" t="str">
        <f>IFERROR(VLOOKUP(F164,Procedimentos!A:C,2,),"")</f>
        <v>GESTÃO DE LEVANTAMENTO DE ASPECTOS E IMPACTOS AMBIENTAIS</v>
      </c>
      <c r="H164" s="25"/>
      <c r="I164" s="25">
        <v>45862</v>
      </c>
      <c r="J164" s="22">
        <v>12</v>
      </c>
      <c r="K164" s="25">
        <f t="shared" si="6"/>
        <v>46227</v>
      </c>
      <c r="L164" s="28" t="str">
        <f t="shared" ca="1" si="5"/>
        <v>Em dia</v>
      </c>
      <c r="M164" s="31" t="s">
        <v>30</v>
      </c>
      <c r="N164" s="28" t="s">
        <v>21</v>
      </c>
      <c r="O164" s="22" t="s">
        <v>28</v>
      </c>
      <c r="P164" s="25">
        <f t="shared" si="2"/>
        <v>45954</v>
      </c>
      <c r="Q164" s="25"/>
      <c r="R164" s="25"/>
      <c r="S164" s="28" t="s">
        <v>23</v>
      </c>
      <c r="T164" s="28">
        <v>1</v>
      </c>
    </row>
    <row r="165" spans="1:20" ht="14.25" customHeight="1">
      <c r="A165" s="22">
        <v>185</v>
      </c>
      <c r="B165" s="32">
        <v>14721</v>
      </c>
      <c r="C165" s="22" t="str">
        <f>IFERROR(VLOOKUP(B165,Colaboradores!A:D,2,),"")</f>
        <v>RONILSON FERREIRA OLIVEIRA</v>
      </c>
      <c r="D165" s="22" t="str">
        <f>IFERROR(VLOOKUP(B165,Colaboradores!A:D,3,),"")</f>
        <v>REGIONAL LESTE</v>
      </c>
      <c r="E165" s="22" t="str">
        <f>IFERROR(VLOOKUP(B165,Colaboradores!A:D,4,),"")</f>
        <v>TÉCNICO DE SEGURANÇA DO TRABALHO</v>
      </c>
      <c r="F165" s="22" t="s">
        <v>32</v>
      </c>
      <c r="G165" s="24" t="str">
        <f>IFERROR(VLOOKUP(F165,Procedimentos!A:C,2,),"")</f>
        <v>GESTÃO DE LEVANTAMENTO DE ASPECTOS E IMPACTOS AMBIENTAIS</v>
      </c>
      <c r="H165" s="25"/>
      <c r="I165" s="25">
        <v>45862</v>
      </c>
      <c r="J165" s="22">
        <v>12</v>
      </c>
      <c r="K165" s="25">
        <f t="shared" si="6"/>
        <v>46227</v>
      </c>
      <c r="L165" s="28" t="str">
        <f t="shared" ca="1" si="5"/>
        <v>Em dia</v>
      </c>
      <c r="M165" s="31" t="s">
        <v>30</v>
      </c>
      <c r="N165" s="28" t="s">
        <v>21</v>
      </c>
      <c r="O165" s="22" t="s">
        <v>28</v>
      </c>
      <c r="P165" s="25">
        <f t="shared" si="2"/>
        <v>45954</v>
      </c>
      <c r="Q165" s="25"/>
      <c r="R165" s="25"/>
      <c r="S165" s="28" t="s">
        <v>23</v>
      </c>
      <c r="T165" s="28">
        <v>1</v>
      </c>
    </row>
    <row r="166" spans="1:20" ht="14.25" customHeight="1">
      <c r="A166" s="22">
        <v>186</v>
      </c>
      <c r="B166" s="22">
        <v>14767</v>
      </c>
      <c r="C166" s="22" t="str">
        <f>IFERROR(VLOOKUP(B166,Colaboradores!A:D,2,),"")</f>
        <v>CAIO VINICIUS PEREIRA DO NASCIMENTO</v>
      </c>
      <c r="D166" s="22" t="str">
        <f>IFERROR(VLOOKUP(B166,Colaboradores!A:D,3,),"")</f>
        <v>REGIONAL SUL</v>
      </c>
      <c r="E166" s="22" t="str">
        <f>IFERROR(VLOOKUP(B166,Colaboradores!A:D,4,),"")</f>
        <v>TÉCNICO DE MEIO AMBIENTE</v>
      </c>
      <c r="F166" s="22" t="s">
        <v>34</v>
      </c>
      <c r="G166" s="24" t="str">
        <f>IFERROR(VLOOKUP(F166,Procedimentos!A:C,2,),"")</f>
        <v>GESTÃO DE LICENCIAMENTO AMBIENTAL</v>
      </c>
      <c r="H166" s="25"/>
      <c r="I166" s="25">
        <v>45862</v>
      </c>
      <c r="J166" s="22">
        <v>12</v>
      </c>
      <c r="K166" s="25">
        <f t="shared" si="6"/>
        <v>46227</v>
      </c>
      <c r="L166" s="28" t="str">
        <f t="shared" ca="1" si="5"/>
        <v>Em dia</v>
      </c>
      <c r="M166" s="31" t="s">
        <v>30</v>
      </c>
      <c r="N166" s="28" t="s">
        <v>21</v>
      </c>
      <c r="O166" s="22" t="s">
        <v>28</v>
      </c>
      <c r="P166" s="25">
        <f t="shared" si="2"/>
        <v>45954</v>
      </c>
      <c r="Q166" s="25"/>
      <c r="R166" s="25"/>
      <c r="S166" s="28" t="s">
        <v>23</v>
      </c>
      <c r="T166" s="28">
        <v>1</v>
      </c>
    </row>
    <row r="167" spans="1:20" ht="14.25" customHeight="1">
      <c r="A167" s="22">
        <v>187</v>
      </c>
      <c r="B167" s="32">
        <v>14785</v>
      </c>
      <c r="C167" s="22" t="str">
        <f>IFERROR(VLOOKUP(B167,Colaboradores!A:D,2,),"")</f>
        <v>ROSEANE CUSTODIO LIMA</v>
      </c>
      <c r="D167" s="22" t="str">
        <f>IFERROR(VLOOKUP(B167,Colaboradores!A:D,3,),"")</f>
        <v>REGIONAL CENTRAL</v>
      </c>
      <c r="E167" s="22" t="str">
        <f>IFERROR(VLOOKUP(B167,Colaboradores!A:D,4,),"")</f>
        <v>ASSISTENTE DE MEIO AMBIENTE</v>
      </c>
      <c r="F167" s="22" t="s">
        <v>34</v>
      </c>
      <c r="G167" s="24" t="str">
        <f>IFERROR(VLOOKUP(F167,Procedimentos!A:C,2,),"")</f>
        <v>GESTÃO DE LICENCIAMENTO AMBIENTAL</v>
      </c>
      <c r="H167" s="25"/>
      <c r="I167" s="25">
        <v>45862</v>
      </c>
      <c r="J167" s="22">
        <v>12</v>
      </c>
      <c r="K167" s="25">
        <f t="shared" si="6"/>
        <v>46227</v>
      </c>
      <c r="L167" s="28" t="str">
        <f t="shared" ca="1" si="5"/>
        <v>Em dia</v>
      </c>
      <c r="M167" s="31" t="s">
        <v>30</v>
      </c>
      <c r="N167" s="28" t="s">
        <v>21</v>
      </c>
      <c r="O167" s="22" t="s">
        <v>28</v>
      </c>
      <c r="P167" s="25">
        <f t="shared" si="2"/>
        <v>45954</v>
      </c>
      <c r="Q167" s="25"/>
      <c r="R167" s="25"/>
      <c r="S167" s="28" t="s">
        <v>23</v>
      </c>
      <c r="T167" s="28">
        <v>1</v>
      </c>
    </row>
    <row r="168" spans="1:20" ht="14.25" customHeight="1">
      <c r="A168" s="22">
        <v>188</v>
      </c>
      <c r="B168" s="22">
        <v>14321</v>
      </c>
      <c r="C168" s="22" t="str">
        <f>IFERROR(VLOOKUP(B168,Colaboradores!A:D,2,),"")</f>
        <v>LAYANA KARINE SILVA BARBOSA</v>
      </c>
      <c r="D168" s="22" t="str">
        <f>IFERROR(VLOOKUP(B168,Colaboradores!A:D,3,),"")</f>
        <v>REGIONAL SUL</v>
      </c>
      <c r="E168" s="22" t="str">
        <f>IFERROR(VLOOKUP(B168,Colaboradores!A:D,4,),"")</f>
        <v>ASSISTENTE ADMINISTRATIVO</v>
      </c>
      <c r="F168" s="22" t="s">
        <v>34</v>
      </c>
      <c r="G168" s="24" t="str">
        <f>IFERROR(VLOOKUP(F168,Procedimentos!A:C,2,),"")</f>
        <v>GESTÃO DE LICENCIAMENTO AMBIENTAL</v>
      </c>
      <c r="H168" s="25"/>
      <c r="I168" s="25">
        <v>45862</v>
      </c>
      <c r="J168" s="22">
        <v>12</v>
      </c>
      <c r="K168" s="25">
        <f t="shared" si="6"/>
        <v>46227</v>
      </c>
      <c r="L168" s="28" t="str">
        <f t="shared" ca="1" si="5"/>
        <v>Em dia</v>
      </c>
      <c r="M168" s="31" t="s">
        <v>30</v>
      </c>
      <c r="N168" s="28" t="s">
        <v>21</v>
      </c>
      <c r="O168" s="22" t="s">
        <v>28</v>
      </c>
      <c r="P168" s="25">
        <f t="shared" si="2"/>
        <v>45954</v>
      </c>
      <c r="Q168" s="25"/>
      <c r="R168" s="25"/>
      <c r="S168" s="28" t="s">
        <v>23</v>
      </c>
      <c r="T168" s="28">
        <v>1</v>
      </c>
    </row>
    <row r="169" spans="1:20" ht="14.25" customHeight="1">
      <c r="A169" s="22">
        <v>190</v>
      </c>
      <c r="B169" s="32">
        <v>15042</v>
      </c>
      <c r="C169" s="22" t="str">
        <f>IFERROR(VLOOKUP(B169,Colaboradores!A:D,2,),"")</f>
        <v>MARIANA CRISTINA FEITOSA SANTOS</v>
      </c>
      <c r="D169" s="22" t="str">
        <f>IFERROR(VLOOKUP(B169,Colaboradores!A:D,3,),"")</f>
        <v>REGIONAL SUL</v>
      </c>
      <c r="E169" s="22" t="str">
        <f>IFERROR(VLOOKUP(B169,Colaboradores!A:D,4,),"")</f>
        <v>TÉCNICA DE SEGURANÇA DO TRABALHO</v>
      </c>
      <c r="F169" s="22" t="s">
        <v>34</v>
      </c>
      <c r="G169" s="24" t="str">
        <f>IFERROR(VLOOKUP(F169,Procedimentos!A:C,2,),"")</f>
        <v>GESTÃO DE LICENCIAMENTO AMBIENTAL</v>
      </c>
      <c r="H169" s="25"/>
      <c r="I169" s="25">
        <v>45862</v>
      </c>
      <c r="J169" s="22">
        <v>12</v>
      </c>
      <c r="K169" s="25">
        <f t="shared" si="6"/>
        <v>46227</v>
      </c>
      <c r="L169" s="28" t="str">
        <f t="shared" ca="1" si="5"/>
        <v>Em dia</v>
      </c>
      <c r="M169" s="31" t="s">
        <v>30</v>
      </c>
      <c r="N169" s="28" t="s">
        <v>21</v>
      </c>
      <c r="O169" s="22" t="s">
        <v>28</v>
      </c>
      <c r="P169" s="25">
        <f t="shared" si="2"/>
        <v>45954</v>
      </c>
      <c r="Q169" s="25"/>
      <c r="R169" s="25"/>
      <c r="S169" s="28" t="s">
        <v>23</v>
      </c>
      <c r="T169" s="28">
        <v>1</v>
      </c>
    </row>
    <row r="170" spans="1:20" ht="14.25" customHeight="1">
      <c r="A170" s="22">
        <v>191</v>
      </c>
      <c r="B170" s="22">
        <v>14354</v>
      </c>
      <c r="C170" s="22" t="str">
        <f>IFERROR(VLOOKUP(B170,Colaboradores!A:D,2,),"")</f>
        <v>JOSE CLEITON SILVA DE OLIVEIRA</v>
      </c>
      <c r="D170" s="22" t="str">
        <f>IFERROR(VLOOKUP(B170,Colaboradores!A:D,3,),"")</f>
        <v>REGIONAL CENTRAL</v>
      </c>
      <c r="E170" s="22" t="str">
        <f>IFERROR(VLOOKUP(B170,Colaboradores!A:D,4,),"")</f>
        <v>TÉCNICO DE SEGURANÇA DO TRABALHO</v>
      </c>
      <c r="F170" s="22" t="s">
        <v>34</v>
      </c>
      <c r="G170" s="24" t="str">
        <f>IFERROR(VLOOKUP(F170,Procedimentos!A:C,2,),"")</f>
        <v>GESTÃO DE LICENCIAMENTO AMBIENTAL</v>
      </c>
      <c r="H170" s="25"/>
      <c r="I170" s="25">
        <v>45862</v>
      </c>
      <c r="J170" s="22">
        <v>12</v>
      </c>
      <c r="K170" s="25">
        <f t="shared" si="6"/>
        <v>46227</v>
      </c>
      <c r="L170" s="28" t="str">
        <f t="shared" ca="1" si="5"/>
        <v>Em dia</v>
      </c>
      <c r="M170" s="31" t="s">
        <v>30</v>
      </c>
      <c r="N170" s="28" t="s">
        <v>21</v>
      </c>
      <c r="O170" s="22" t="s">
        <v>28</v>
      </c>
      <c r="P170" s="25">
        <f t="shared" si="2"/>
        <v>45954</v>
      </c>
      <c r="Q170" s="25"/>
      <c r="R170" s="25"/>
      <c r="S170" s="28" t="s">
        <v>23</v>
      </c>
      <c r="T170" s="28">
        <v>1</v>
      </c>
    </row>
    <row r="171" spans="1:20" ht="14.25" customHeight="1">
      <c r="A171" s="22">
        <v>192</v>
      </c>
      <c r="B171" s="22">
        <v>13584</v>
      </c>
      <c r="C171" s="22" t="str">
        <f>IFERROR(VLOOKUP(B171,Colaboradores!A:D,2,),"")</f>
        <v>ALANA RODRIGUES FERREIRA</v>
      </c>
      <c r="D171" s="22" t="str">
        <f>IFERROR(VLOOKUP(B171,Colaboradores!A:D,3,),"")</f>
        <v>REGIONAL LESTE</v>
      </c>
      <c r="E171" s="22" t="str">
        <f>IFERROR(VLOOKUP(B171,Colaboradores!A:D,4,),"")</f>
        <v>COORDENADOR DE SSMA</v>
      </c>
      <c r="F171" s="22" t="s">
        <v>34</v>
      </c>
      <c r="G171" s="24" t="str">
        <f>IFERROR(VLOOKUP(F171,Procedimentos!A:C,2,),"")</f>
        <v>GESTÃO DE LICENCIAMENTO AMBIENTAL</v>
      </c>
      <c r="H171" s="25"/>
      <c r="I171" s="25">
        <v>45862</v>
      </c>
      <c r="J171" s="22">
        <v>12</v>
      </c>
      <c r="K171" s="25">
        <f t="shared" si="6"/>
        <v>46227</v>
      </c>
      <c r="L171" s="28" t="str">
        <f t="shared" ca="1" si="5"/>
        <v>Em dia</v>
      </c>
      <c r="M171" s="31" t="s">
        <v>30</v>
      </c>
      <c r="N171" s="28" t="s">
        <v>21</v>
      </c>
      <c r="O171" s="22" t="s">
        <v>28</v>
      </c>
      <c r="P171" s="25">
        <f t="shared" si="2"/>
        <v>45954</v>
      </c>
      <c r="Q171" s="25"/>
      <c r="R171" s="25"/>
      <c r="S171" s="28" t="s">
        <v>23</v>
      </c>
      <c r="T171" s="28">
        <v>1</v>
      </c>
    </row>
    <row r="172" spans="1:20" ht="14.25" customHeight="1">
      <c r="A172" s="22">
        <v>193</v>
      </c>
      <c r="B172" s="22">
        <v>14357</v>
      </c>
      <c r="C172" s="22" t="str">
        <f>IFERROR(VLOOKUP(B172,Colaboradores!A:D,2,),"")</f>
        <v>JAIME VIEIRA GALVAO</v>
      </c>
      <c r="D172" s="22" t="str">
        <f>IFERROR(VLOOKUP(B172,Colaboradores!A:D,3,),"")</f>
        <v>REGIONAL LESTE</v>
      </c>
      <c r="E172" s="22" t="str">
        <f>IFERROR(VLOOKUP(B172,Colaboradores!A:D,4,),"")</f>
        <v>ENFERMEIRO DO TRABALHO</v>
      </c>
      <c r="F172" s="22" t="s">
        <v>34</v>
      </c>
      <c r="G172" s="24" t="str">
        <f>IFERROR(VLOOKUP(F172,Procedimentos!A:C,2,),"")</f>
        <v>GESTÃO DE LICENCIAMENTO AMBIENTAL</v>
      </c>
      <c r="H172" s="25"/>
      <c r="I172" s="25">
        <v>45862</v>
      </c>
      <c r="J172" s="22">
        <v>12</v>
      </c>
      <c r="K172" s="25">
        <f t="shared" si="6"/>
        <v>46227</v>
      </c>
      <c r="L172" s="28" t="str">
        <f t="shared" ca="1" si="5"/>
        <v>Em dia</v>
      </c>
      <c r="M172" s="31" t="s">
        <v>30</v>
      </c>
      <c r="N172" s="28" t="s">
        <v>21</v>
      </c>
      <c r="O172" s="22" t="s">
        <v>28</v>
      </c>
      <c r="P172" s="25">
        <f t="shared" si="2"/>
        <v>45954</v>
      </c>
      <c r="Q172" s="25"/>
      <c r="R172" s="25"/>
      <c r="S172" s="28" t="s">
        <v>23</v>
      </c>
      <c r="T172" s="28">
        <v>1</v>
      </c>
    </row>
    <row r="173" spans="1:20" ht="14.25" customHeight="1">
      <c r="A173" s="22">
        <v>194</v>
      </c>
      <c r="B173" s="32">
        <v>14721</v>
      </c>
      <c r="C173" s="22" t="str">
        <f>IFERROR(VLOOKUP(B173,Colaboradores!A:D,2,),"")</f>
        <v>RONILSON FERREIRA OLIVEIRA</v>
      </c>
      <c r="D173" s="22" t="str">
        <f>IFERROR(VLOOKUP(B173,Colaboradores!A:D,3,),"")</f>
        <v>REGIONAL LESTE</v>
      </c>
      <c r="E173" s="22" t="str">
        <f>IFERROR(VLOOKUP(B173,Colaboradores!A:D,4,),"")</f>
        <v>TÉCNICO DE SEGURANÇA DO TRABALHO</v>
      </c>
      <c r="F173" s="22" t="s">
        <v>34</v>
      </c>
      <c r="G173" s="24" t="str">
        <f>IFERROR(VLOOKUP(F173,Procedimentos!A:C,2,),"")</f>
        <v>GESTÃO DE LICENCIAMENTO AMBIENTAL</v>
      </c>
      <c r="H173" s="25"/>
      <c r="I173" s="25">
        <v>45862</v>
      </c>
      <c r="J173" s="22">
        <v>12</v>
      </c>
      <c r="K173" s="25">
        <f t="shared" si="6"/>
        <v>46227</v>
      </c>
      <c r="L173" s="28" t="str">
        <f t="shared" ca="1" si="5"/>
        <v>Em dia</v>
      </c>
      <c r="M173" s="31" t="s">
        <v>30</v>
      </c>
      <c r="N173" s="28" t="s">
        <v>21</v>
      </c>
      <c r="O173" s="22" t="s">
        <v>28</v>
      </c>
      <c r="P173" s="25">
        <f t="shared" si="2"/>
        <v>45954</v>
      </c>
      <c r="Q173" s="25"/>
      <c r="R173" s="25"/>
      <c r="S173" s="28" t="s">
        <v>23</v>
      </c>
      <c r="T173" s="28">
        <v>1</v>
      </c>
    </row>
    <row r="174" spans="1:20" ht="14.25" customHeight="1">
      <c r="A174" s="22">
        <v>195</v>
      </c>
      <c r="B174" s="22">
        <v>14767</v>
      </c>
      <c r="C174" s="22" t="str">
        <f>IFERROR(VLOOKUP(B174,Colaboradores!A:D,2,),"")</f>
        <v>CAIO VINICIUS PEREIRA DO NASCIMENTO</v>
      </c>
      <c r="D174" s="22" t="str">
        <f>IFERROR(VLOOKUP(B174,Colaboradores!A:D,3,),"")</f>
        <v>REGIONAL SUL</v>
      </c>
      <c r="E174" s="22" t="str">
        <f>IFERROR(VLOOKUP(B174,Colaboradores!A:D,4,),"")</f>
        <v>TÉCNICO DE MEIO AMBIENTE</v>
      </c>
      <c r="F174" s="22" t="s">
        <v>35</v>
      </c>
      <c r="G174" s="24" t="str">
        <f>IFERROR(VLOOKUP(F174,Procedimentos!A:C,2,),"")</f>
        <v>PROCEDIMENTO DE AFERIÇÃO DE FUMAÇA PRETA</v>
      </c>
      <c r="H174" s="25"/>
      <c r="I174" s="25">
        <v>45862</v>
      </c>
      <c r="J174" s="22">
        <v>12</v>
      </c>
      <c r="K174" s="25">
        <f t="shared" si="6"/>
        <v>46227</v>
      </c>
      <c r="L174" s="28" t="str">
        <f t="shared" ca="1" si="5"/>
        <v>Em dia</v>
      </c>
      <c r="M174" s="31" t="s">
        <v>30</v>
      </c>
      <c r="N174" s="28" t="s">
        <v>21</v>
      </c>
      <c r="O174" s="22" t="s">
        <v>28</v>
      </c>
      <c r="P174" s="25">
        <f t="shared" si="2"/>
        <v>45954</v>
      </c>
      <c r="Q174" s="25"/>
      <c r="R174" s="25"/>
      <c r="S174" s="28" t="s">
        <v>23</v>
      </c>
      <c r="T174" s="28">
        <v>1</v>
      </c>
    </row>
    <row r="175" spans="1:20" ht="14.25" customHeight="1">
      <c r="A175" s="22">
        <v>196</v>
      </c>
      <c r="B175" s="32">
        <v>14785</v>
      </c>
      <c r="C175" s="22" t="str">
        <f>IFERROR(VLOOKUP(B175,Colaboradores!A:D,2,),"")</f>
        <v>ROSEANE CUSTODIO LIMA</v>
      </c>
      <c r="D175" s="22" t="str">
        <f>IFERROR(VLOOKUP(B175,Colaboradores!A:D,3,),"")</f>
        <v>REGIONAL CENTRAL</v>
      </c>
      <c r="E175" s="22" t="str">
        <f>IFERROR(VLOOKUP(B175,Colaboradores!A:D,4,),"")</f>
        <v>ASSISTENTE DE MEIO AMBIENTE</v>
      </c>
      <c r="F175" s="22" t="s">
        <v>35</v>
      </c>
      <c r="G175" s="24" t="str">
        <f>IFERROR(VLOOKUP(F175,Procedimentos!A:C,2,),"")</f>
        <v>PROCEDIMENTO DE AFERIÇÃO DE FUMAÇA PRETA</v>
      </c>
      <c r="H175" s="25"/>
      <c r="I175" s="25">
        <v>45862</v>
      </c>
      <c r="J175" s="22">
        <v>12</v>
      </c>
      <c r="K175" s="25">
        <f t="shared" si="6"/>
        <v>46227</v>
      </c>
      <c r="L175" s="28" t="str">
        <f t="shared" ca="1" si="5"/>
        <v>Em dia</v>
      </c>
      <c r="M175" s="31" t="s">
        <v>30</v>
      </c>
      <c r="N175" s="28" t="s">
        <v>21</v>
      </c>
      <c r="O175" s="22" t="s">
        <v>28</v>
      </c>
      <c r="P175" s="25">
        <f t="shared" si="2"/>
        <v>45954</v>
      </c>
      <c r="Q175" s="25"/>
      <c r="R175" s="25"/>
      <c r="S175" s="28" t="s">
        <v>23</v>
      </c>
      <c r="T175" s="28">
        <v>1</v>
      </c>
    </row>
    <row r="176" spans="1:20" ht="14.25" customHeight="1">
      <c r="A176" s="22">
        <v>197</v>
      </c>
      <c r="B176" s="22">
        <v>14321</v>
      </c>
      <c r="C176" s="22" t="str">
        <f>IFERROR(VLOOKUP(B176,Colaboradores!A:D,2,),"")</f>
        <v>LAYANA KARINE SILVA BARBOSA</v>
      </c>
      <c r="D176" s="22" t="str">
        <f>IFERROR(VLOOKUP(B176,Colaboradores!A:D,3,),"")</f>
        <v>REGIONAL SUL</v>
      </c>
      <c r="E176" s="22" t="str">
        <f>IFERROR(VLOOKUP(B176,Colaboradores!A:D,4,),"")</f>
        <v>ASSISTENTE ADMINISTRATIVO</v>
      </c>
      <c r="F176" s="22" t="s">
        <v>35</v>
      </c>
      <c r="G176" s="24" t="str">
        <f>IFERROR(VLOOKUP(F176,Procedimentos!A:C,2,),"")</f>
        <v>PROCEDIMENTO DE AFERIÇÃO DE FUMAÇA PRETA</v>
      </c>
      <c r="H176" s="25"/>
      <c r="I176" s="25">
        <v>45862</v>
      </c>
      <c r="J176" s="22">
        <v>12</v>
      </c>
      <c r="K176" s="25">
        <f t="shared" si="6"/>
        <v>46227</v>
      </c>
      <c r="L176" s="28" t="str">
        <f t="shared" ca="1" si="5"/>
        <v>Em dia</v>
      </c>
      <c r="M176" s="31" t="s">
        <v>30</v>
      </c>
      <c r="N176" s="28" t="s">
        <v>21</v>
      </c>
      <c r="O176" s="22" t="s">
        <v>28</v>
      </c>
      <c r="P176" s="25">
        <f t="shared" si="2"/>
        <v>45954</v>
      </c>
      <c r="Q176" s="25"/>
      <c r="R176" s="25"/>
      <c r="S176" s="28" t="s">
        <v>23</v>
      </c>
      <c r="T176" s="28">
        <v>1</v>
      </c>
    </row>
    <row r="177" spans="1:20" ht="14.25" customHeight="1">
      <c r="A177" s="22">
        <v>199</v>
      </c>
      <c r="B177" s="32">
        <v>15042</v>
      </c>
      <c r="C177" s="22" t="str">
        <f>IFERROR(VLOOKUP(B177,Colaboradores!A:D,2,),"")</f>
        <v>MARIANA CRISTINA FEITOSA SANTOS</v>
      </c>
      <c r="D177" s="22" t="str">
        <f>IFERROR(VLOOKUP(B177,Colaboradores!A:D,3,),"")</f>
        <v>REGIONAL SUL</v>
      </c>
      <c r="E177" s="22" t="str">
        <f>IFERROR(VLOOKUP(B177,Colaboradores!A:D,4,),"")</f>
        <v>TÉCNICA DE SEGURANÇA DO TRABALHO</v>
      </c>
      <c r="F177" s="22" t="s">
        <v>35</v>
      </c>
      <c r="G177" s="24" t="str">
        <f>IFERROR(VLOOKUP(F177,Procedimentos!A:C,2,),"")</f>
        <v>PROCEDIMENTO DE AFERIÇÃO DE FUMAÇA PRETA</v>
      </c>
      <c r="H177" s="25"/>
      <c r="I177" s="25">
        <v>45862</v>
      </c>
      <c r="J177" s="22">
        <v>12</v>
      </c>
      <c r="K177" s="25">
        <f t="shared" si="6"/>
        <v>46227</v>
      </c>
      <c r="L177" s="28" t="str">
        <f t="shared" ca="1" si="5"/>
        <v>Em dia</v>
      </c>
      <c r="M177" s="31" t="s">
        <v>30</v>
      </c>
      <c r="N177" s="28" t="s">
        <v>21</v>
      </c>
      <c r="O177" s="22" t="s">
        <v>28</v>
      </c>
      <c r="P177" s="25">
        <f t="shared" si="2"/>
        <v>45954</v>
      </c>
      <c r="Q177" s="25"/>
      <c r="R177" s="25"/>
      <c r="S177" s="28" t="s">
        <v>23</v>
      </c>
      <c r="T177" s="28">
        <v>1</v>
      </c>
    </row>
    <row r="178" spans="1:20" ht="14.25" customHeight="1">
      <c r="A178" s="22">
        <v>200</v>
      </c>
      <c r="B178" s="22">
        <v>14354</v>
      </c>
      <c r="C178" s="22" t="str">
        <f>IFERROR(VLOOKUP(B178,Colaboradores!A:D,2,),"")</f>
        <v>JOSE CLEITON SILVA DE OLIVEIRA</v>
      </c>
      <c r="D178" s="22" t="str">
        <f>IFERROR(VLOOKUP(B178,Colaboradores!A:D,3,),"")</f>
        <v>REGIONAL CENTRAL</v>
      </c>
      <c r="E178" s="22" t="str">
        <f>IFERROR(VLOOKUP(B178,Colaboradores!A:D,4,),"")</f>
        <v>TÉCNICO DE SEGURANÇA DO TRABALHO</v>
      </c>
      <c r="F178" s="22" t="s">
        <v>35</v>
      </c>
      <c r="G178" s="24" t="str">
        <f>IFERROR(VLOOKUP(F178,Procedimentos!A:C,2,),"")</f>
        <v>PROCEDIMENTO DE AFERIÇÃO DE FUMAÇA PRETA</v>
      </c>
      <c r="H178" s="25"/>
      <c r="I178" s="25">
        <v>45862</v>
      </c>
      <c r="J178" s="22">
        <v>12</v>
      </c>
      <c r="K178" s="25">
        <f t="shared" si="6"/>
        <v>46227</v>
      </c>
      <c r="L178" s="28" t="str">
        <f t="shared" ca="1" si="5"/>
        <v>Em dia</v>
      </c>
      <c r="M178" s="31" t="s">
        <v>30</v>
      </c>
      <c r="N178" s="28" t="s">
        <v>21</v>
      </c>
      <c r="O178" s="22" t="s">
        <v>28</v>
      </c>
      <c r="P178" s="25">
        <f t="shared" si="2"/>
        <v>45954</v>
      </c>
      <c r="Q178" s="25"/>
      <c r="R178" s="25"/>
      <c r="S178" s="28" t="s">
        <v>23</v>
      </c>
      <c r="T178" s="28">
        <v>1</v>
      </c>
    </row>
    <row r="179" spans="1:20" ht="14.25" customHeight="1">
      <c r="A179" s="22">
        <v>201</v>
      </c>
      <c r="B179" s="22">
        <v>13584</v>
      </c>
      <c r="C179" s="22" t="str">
        <f>IFERROR(VLOOKUP(B179,Colaboradores!A:D,2,),"")</f>
        <v>ALANA RODRIGUES FERREIRA</v>
      </c>
      <c r="D179" s="22" t="str">
        <f>IFERROR(VLOOKUP(B179,Colaboradores!A:D,3,),"")</f>
        <v>REGIONAL LESTE</v>
      </c>
      <c r="E179" s="22" t="str">
        <f>IFERROR(VLOOKUP(B179,Colaboradores!A:D,4,),"")</f>
        <v>COORDENADOR DE SSMA</v>
      </c>
      <c r="F179" s="22" t="s">
        <v>35</v>
      </c>
      <c r="G179" s="24" t="str">
        <f>IFERROR(VLOOKUP(F179,Procedimentos!A:C,2,),"")</f>
        <v>PROCEDIMENTO DE AFERIÇÃO DE FUMAÇA PRETA</v>
      </c>
      <c r="H179" s="25"/>
      <c r="I179" s="25">
        <v>45862</v>
      </c>
      <c r="J179" s="22">
        <v>12</v>
      </c>
      <c r="K179" s="25">
        <f t="shared" si="6"/>
        <v>46227</v>
      </c>
      <c r="L179" s="28" t="str">
        <f t="shared" ca="1" si="5"/>
        <v>Em dia</v>
      </c>
      <c r="M179" s="31" t="s">
        <v>30</v>
      </c>
      <c r="N179" s="28" t="s">
        <v>21</v>
      </c>
      <c r="O179" s="22" t="s">
        <v>28</v>
      </c>
      <c r="P179" s="25">
        <f t="shared" si="2"/>
        <v>45954</v>
      </c>
      <c r="Q179" s="25"/>
      <c r="R179" s="25"/>
      <c r="S179" s="28" t="s">
        <v>23</v>
      </c>
      <c r="T179" s="28">
        <v>1</v>
      </c>
    </row>
    <row r="180" spans="1:20" ht="14.25" customHeight="1">
      <c r="A180" s="22">
        <v>202</v>
      </c>
      <c r="B180" s="22">
        <v>14357</v>
      </c>
      <c r="C180" s="22" t="str">
        <f>IFERROR(VLOOKUP(B180,Colaboradores!A:D,2,),"")</f>
        <v>JAIME VIEIRA GALVAO</v>
      </c>
      <c r="D180" s="22" t="str">
        <f>IFERROR(VLOOKUP(B180,Colaboradores!A:D,3,),"")</f>
        <v>REGIONAL LESTE</v>
      </c>
      <c r="E180" s="22" t="str">
        <f>IFERROR(VLOOKUP(B180,Colaboradores!A:D,4,),"")</f>
        <v>ENFERMEIRO DO TRABALHO</v>
      </c>
      <c r="F180" s="22" t="s">
        <v>35</v>
      </c>
      <c r="G180" s="24" t="str">
        <f>IFERROR(VLOOKUP(F180,Procedimentos!A:C,2,),"")</f>
        <v>PROCEDIMENTO DE AFERIÇÃO DE FUMAÇA PRETA</v>
      </c>
      <c r="H180" s="25"/>
      <c r="I180" s="25">
        <v>45862</v>
      </c>
      <c r="J180" s="22">
        <v>12</v>
      </c>
      <c r="K180" s="25">
        <f t="shared" si="6"/>
        <v>46227</v>
      </c>
      <c r="L180" s="28" t="str">
        <f t="shared" ca="1" si="5"/>
        <v>Em dia</v>
      </c>
      <c r="M180" s="31" t="s">
        <v>30</v>
      </c>
      <c r="N180" s="28" t="s">
        <v>21</v>
      </c>
      <c r="O180" s="22" t="s">
        <v>28</v>
      </c>
      <c r="P180" s="25">
        <f t="shared" si="2"/>
        <v>45954</v>
      </c>
      <c r="Q180" s="25"/>
      <c r="R180" s="25"/>
      <c r="S180" s="28" t="s">
        <v>23</v>
      </c>
      <c r="T180" s="28">
        <v>1</v>
      </c>
    </row>
    <row r="181" spans="1:20" ht="14.25" customHeight="1">
      <c r="A181" s="22">
        <v>203</v>
      </c>
      <c r="B181" s="32">
        <v>14721</v>
      </c>
      <c r="C181" s="22" t="str">
        <f>IFERROR(VLOOKUP(B181,Colaboradores!A:D,2,),"")</f>
        <v>RONILSON FERREIRA OLIVEIRA</v>
      </c>
      <c r="D181" s="22" t="str">
        <f>IFERROR(VLOOKUP(B181,Colaboradores!A:D,3,),"")</f>
        <v>REGIONAL LESTE</v>
      </c>
      <c r="E181" s="22" t="str">
        <f>IFERROR(VLOOKUP(B181,Colaboradores!A:D,4,),"")</f>
        <v>TÉCNICO DE SEGURANÇA DO TRABALHO</v>
      </c>
      <c r="F181" s="22" t="s">
        <v>35</v>
      </c>
      <c r="G181" s="24" t="str">
        <f>IFERROR(VLOOKUP(F181,Procedimentos!A:C,2,),"")</f>
        <v>PROCEDIMENTO DE AFERIÇÃO DE FUMAÇA PRETA</v>
      </c>
      <c r="H181" s="25"/>
      <c r="I181" s="25">
        <v>45862</v>
      </c>
      <c r="J181" s="22">
        <v>12</v>
      </c>
      <c r="K181" s="25">
        <f t="shared" si="6"/>
        <v>46227</v>
      </c>
      <c r="L181" s="28" t="str">
        <f t="shared" ca="1" si="5"/>
        <v>Em dia</v>
      </c>
      <c r="M181" s="31" t="s">
        <v>30</v>
      </c>
      <c r="N181" s="28" t="s">
        <v>21</v>
      </c>
      <c r="O181" s="22" t="s">
        <v>28</v>
      </c>
      <c r="P181" s="25">
        <f t="shared" si="2"/>
        <v>45954</v>
      </c>
      <c r="Q181" s="25"/>
      <c r="R181" s="25"/>
      <c r="S181" s="28" t="s">
        <v>23</v>
      </c>
      <c r="T181" s="28">
        <v>1</v>
      </c>
    </row>
    <row r="182" spans="1:20" ht="14.25" customHeight="1">
      <c r="A182" s="22">
        <v>204</v>
      </c>
      <c r="B182" s="22">
        <v>14767</v>
      </c>
      <c r="C182" s="22" t="str">
        <f>IFERROR(VLOOKUP(B182,Colaboradores!A:D,2,),"")</f>
        <v>CAIO VINICIUS PEREIRA DO NASCIMENTO</v>
      </c>
      <c r="D182" s="22" t="str">
        <f>IFERROR(VLOOKUP(B182,Colaboradores!A:D,3,),"")</f>
        <v>REGIONAL SUL</v>
      </c>
      <c r="E182" s="22" t="str">
        <f>IFERROR(VLOOKUP(B182,Colaboradores!A:D,4,),"")</f>
        <v>TÉCNICO DE MEIO AMBIENTE</v>
      </c>
      <c r="F182" s="22" t="s">
        <v>36</v>
      </c>
      <c r="G182" s="24" t="str">
        <f>IFERROR(VLOOKUP(F182,Procedimentos!A:C,2,),"")</f>
        <v>GESTÃO DE PRODUTOS QUÍMICOS</v>
      </c>
      <c r="H182" s="25"/>
      <c r="I182" s="25">
        <v>45862</v>
      </c>
      <c r="J182" s="22">
        <v>12</v>
      </c>
      <c r="K182" s="25">
        <f t="shared" si="6"/>
        <v>46227</v>
      </c>
      <c r="L182" s="28" t="str">
        <f t="shared" ca="1" si="5"/>
        <v>Em dia</v>
      </c>
      <c r="M182" s="31" t="s">
        <v>30</v>
      </c>
      <c r="N182" s="28" t="s">
        <v>21</v>
      </c>
      <c r="O182" s="22" t="s">
        <v>28</v>
      </c>
      <c r="P182" s="25">
        <f t="shared" si="2"/>
        <v>45954</v>
      </c>
      <c r="Q182" s="25"/>
      <c r="R182" s="25"/>
      <c r="S182" s="28" t="s">
        <v>23</v>
      </c>
      <c r="T182" s="28">
        <v>1</v>
      </c>
    </row>
    <row r="183" spans="1:20" ht="14.25" customHeight="1">
      <c r="A183" s="22">
        <v>205</v>
      </c>
      <c r="B183" s="32">
        <v>14785</v>
      </c>
      <c r="C183" s="22" t="str">
        <f>IFERROR(VLOOKUP(B183,Colaboradores!A:D,2,),"")</f>
        <v>ROSEANE CUSTODIO LIMA</v>
      </c>
      <c r="D183" s="22" t="str">
        <f>IFERROR(VLOOKUP(B183,Colaboradores!A:D,3,),"")</f>
        <v>REGIONAL CENTRAL</v>
      </c>
      <c r="E183" s="22" t="str">
        <f>IFERROR(VLOOKUP(B183,Colaboradores!A:D,4,),"")</f>
        <v>ASSISTENTE DE MEIO AMBIENTE</v>
      </c>
      <c r="F183" s="22" t="s">
        <v>36</v>
      </c>
      <c r="G183" s="24" t="str">
        <f>IFERROR(VLOOKUP(F183,Procedimentos!A:C,2,),"")</f>
        <v>GESTÃO DE PRODUTOS QUÍMICOS</v>
      </c>
      <c r="H183" s="25"/>
      <c r="I183" s="25">
        <v>45862</v>
      </c>
      <c r="J183" s="22">
        <v>12</v>
      </c>
      <c r="K183" s="25">
        <f t="shared" si="6"/>
        <v>46227</v>
      </c>
      <c r="L183" s="28" t="str">
        <f t="shared" ca="1" si="5"/>
        <v>Em dia</v>
      </c>
      <c r="M183" s="31" t="s">
        <v>30</v>
      </c>
      <c r="N183" s="28" t="s">
        <v>21</v>
      </c>
      <c r="O183" s="22" t="s">
        <v>28</v>
      </c>
      <c r="P183" s="25">
        <f t="shared" si="2"/>
        <v>45954</v>
      </c>
      <c r="Q183" s="25"/>
      <c r="R183" s="25"/>
      <c r="S183" s="28" t="s">
        <v>23</v>
      </c>
      <c r="T183" s="28">
        <v>1</v>
      </c>
    </row>
    <row r="184" spans="1:20" ht="14.25" customHeight="1">
      <c r="A184" s="22">
        <v>206</v>
      </c>
      <c r="B184" s="22">
        <v>14321</v>
      </c>
      <c r="C184" s="22" t="str">
        <f>IFERROR(VLOOKUP(B184,Colaboradores!A:D,2,),"")</f>
        <v>LAYANA KARINE SILVA BARBOSA</v>
      </c>
      <c r="D184" s="22" t="str">
        <f>IFERROR(VLOOKUP(B184,Colaboradores!A:D,3,),"")</f>
        <v>REGIONAL SUL</v>
      </c>
      <c r="E184" s="22" t="str">
        <f>IFERROR(VLOOKUP(B184,Colaboradores!A:D,4,),"")</f>
        <v>ASSISTENTE ADMINISTRATIVO</v>
      </c>
      <c r="F184" s="22" t="s">
        <v>36</v>
      </c>
      <c r="G184" s="24" t="str">
        <f>IFERROR(VLOOKUP(F184,Procedimentos!A:C,2,),"")</f>
        <v>GESTÃO DE PRODUTOS QUÍMICOS</v>
      </c>
      <c r="H184" s="25"/>
      <c r="I184" s="25">
        <v>45862</v>
      </c>
      <c r="J184" s="22">
        <v>12</v>
      </c>
      <c r="K184" s="25">
        <f t="shared" si="6"/>
        <v>46227</v>
      </c>
      <c r="L184" s="28" t="str">
        <f t="shared" ca="1" si="5"/>
        <v>Em dia</v>
      </c>
      <c r="M184" s="31" t="s">
        <v>30</v>
      </c>
      <c r="N184" s="28" t="s">
        <v>21</v>
      </c>
      <c r="O184" s="22" t="s">
        <v>28</v>
      </c>
      <c r="P184" s="25">
        <f t="shared" si="2"/>
        <v>45954</v>
      </c>
      <c r="Q184" s="25"/>
      <c r="R184" s="25"/>
      <c r="S184" s="28" t="s">
        <v>23</v>
      </c>
      <c r="T184" s="28">
        <v>1</v>
      </c>
    </row>
    <row r="185" spans="1:20" ht="14.25" customHeight="1">
      <c r="A185" s="22">
        <v>208</v>
      </c>
      <c r="B185" s="32">
        <v>15042</v>
      </c>
      <c r="C185" s="22" t="str">
        <f>IFERROR(VLOOKUP(B185,Colaboradores!A:D,2,),"")</f>
        <v>MARIANA CRISTINA FEITOSA SANTOS</v>
      </c>
      <c r="D185" s="22" t="str">
        <f>IFERROR(VLOOKUP(B185,Colaboradores!A:D,3,),"")</f>
        <v>REGIONAL SUL</v>
      </c>
      <c r="E185" s="22" t="str">
        <f>IFERROR(VLOOKUP(B185,Colaboradores!A:D,4,),"")</f>
        <v>TÉCNICA DE SEGURANÇA DO TRABALHO</v>
      </c>
      <c r="F185" s="22" t="s">
        <v>36</v>
      </c>
      <c r="G185" s="24" t="str">
        <f>IFERROR(VLOOKUP(F185,Procedimentos!A:C,2,),"")</f>
        <v>GESTÃO DE PRODUTOS QUÍMICOS</v>
      </c>
      <c r="H185" s="25"/>
      <c r="I185" s="25">
        <v>45862</v>
      </c>
      <c r="J185" s="22">
        <v>12</v>
      </c>
      <c r="K185" s="25">
        <f t="shared" si="6"/>
        <v>46227</v>
      </c>
      <c r="L185" s="28" t="str">
        <f t="shared" ca="1" si="5"/>
        <v>Em dia</v>
      </c>
      <c r="M185" s="31" t="s">
        <v>30</v>
      </c>
      <c r="N185" s="28" t="s">
        <v>21</v>
      </c>
      <c r="O185" s="22" t="s">
        <v>28</v>
      </c>
      <c r="P185" s="25">
        <f t="shared" si="2"/>
        <v>45954</v>
      </c>
      <c r="Q185" s="25"/>
      <c r="R185" s="25"/>
      <c r="S185" s="28" t="s">
        <v>23</v>
      </c>
      <c r="T185" s="28">
        <v>1</v>
      </c>
    </row>
    <row r="186" spans="1:20" ht="14.25" customHeight="1">
      <c r="A186" s="22">
        <v>209</v>
      </c>
      <c r="B186" s="22">
        <v>14354</v>
      </c>
      <c r="C186" s="22" t="str">
        <f>IFERROR(VLOOKUP(B186,Colaboradores!A:D,2,),"")</f>
        <v>JOSE CLEITON SILVA DE OLIVEIRA</v>
      </c>
      <c r="D186" s="22" t="str">
        <f>IFERROR(VLOOKUP(B186,Colaboradores!A:D,3,),"")</f>
        <v>REGIONAL CENTRAL</v>
      </c>
      <c r="E186" s="22" t="str">
        <f>IFERROR(VLOOKUP(B186,Colaboradores!A:D,4,),"")</f>
        <v>TÉCNICO DE SEGURANÇA DO TRABALHO</v>
      </c>
      <c r="F186" s="22" t="s">
        <v>36</v>
      </c>
      <c r="G186" s="24" t="str">
        <f>IFERROR(VLOOKUP(F186,Procedimentos!A:C,2,),"")</f>
        <v>GESTÃO DE PRODUTOS QUÍMICOS</v>
      </c>
      <c r="H186" s="25"/>
      <c r="I186" s="25">
        <v>45862</v>
      </c>
      <c r="J186" s="22">
        <v>12</v>
      </c>
      <c r="K186" s="25">
        <f t="shared" si="6"/>
        <v>46227</v>
      </c>
      <c r="L186" s="28" t="str">
        <f t="shared" ca="1" si="5"/>
        <v>Em dia</v>
      </c>
      <c r="M186" s="31" t="s">
        <v>30</v>
      </c>
      <c r="N186" s="28" t="s">
        <v>21</v>
      </c>
      <c r="O186" s="22" t="s">
        <v>28</v>
      </c>
      <c r="P186" s="25">
        <f t="shared" si="2"/>
        <v>45954</v>
      </c>
      <c r="Q186" s="25"/>
      <c r="R186" s="25"/>
      <c r="S186" s="28" t="s">
        <v>23</v>
      </c>
      <c r="T186" s="28">
        <v>1</v>
      </c>
    </row>
    <row r="187" spans="1:20" ht="14.25" customHeight="1">
      <c r="A187" s="22">
        <v>210</v>
      </c>
      <c r="B187" s="22">
        <v>13584</v>
      </c>
      <c r="C187" s="22" t="str">
        <f>IFERROR(VLOOKUP(B187,Colaboradores!A:D,2,),"")</f>
        <v>ALANA RODRIGUES FERREIRA</v>
      </c>
      <c r="D187" s="22" t="str">
        <f>IFERROR(VLOOKUP(B187,Colaboradores!A:D,3,),"")</f>
        <v>REGIONAL LESTE</v>
      </c>
      <c r="E187" s="22" t="str">
        <f>IFERROR(VLOOKUP(B187,Colaboradores!A:D,4,),"")</f>
        <v>COORDENADOR DE SSMA</v>
      </c>
      <c r="F187" s="22" t="s">
        <v>36</v>
      </c>
      <c r="G187" s="24" t="str">
        <f>IFERROR(VLOOKUP(F187,Procedimentos!A:C,2,),"")</f>
        <v>GESTÃO DE PRODUTOS QUÍMICOS</v>
      </c>
      <c r="H187" s="25"/>
      <c r="I187" s="25">
        <v>45862</v>
      </c>
      <c r="J187" s="22">
        <v>12</v>
      </c>
      <c r="K187" s="25">
        <f t="shared" si="6"/>
        <v>46227</v>
      </c>
      <c r="L187" s="28" t="str">
        <f t="shared" ca="1" si="5"/>
        <v>Em dia</v>
      </c>
      <c r="M187" s="31" t="s">
        <v>30</v>
      </c>
      <c r="N187" s="28" t="s">
        <v>21</v>
      </c>
      <c r="O187" s="22" t="s">
        <v>28</v>
      </c>
      <c r="P187" s="25">
        <f t="shared" si="2"/>
        <v>45954</v>
      </c>
      <c r="Q187" s="25"/>
      <c r="R187" s="25"/>
      <c r="S187" s="28" t="s">
        <v>23</v>
      </c>
      <c r="T187" s="28">
        <v>1</v>
      </c>
    </row>
    <row r="188" spans="1:20" ht="14.25" customHeight="1">
      <c r="A188" s="22">
        <v>211</v>
      </c>
      <c r="B188" s="22">
        <v>14357</v>
      </c>
      <c r="C188" s="22" t="str">
        <f>IFERROR(VLOOKUP(B188,Colaboradores!A:D,2,),"")</f>
        <v>JAIME VIEIRA GALVAO</v>
      </c>
      <c r="D188" s="22" t="str">
        <f>IFERROR(VLOOKUP(B188,Colaboradores!A:D,3,),"")</f>
        <v>REGIONAL LESTE</v>
      </c>
      <c r="E188" s="22" t="str">
        <f>IFERROR(VLOOKUP(B188,Colaboradores!A:D,4,),"")</f>
        <v>ENFERMEIRO DO TRABALHO</v>
      </c>
      <c r="F188" s="22" t="s">
        <v>36</v>
      </c>
      <c r="G188" s="24" t="str">
        <f>IFERROR(VLOOKUP(F188,Procedimentos!A:C,2,),"")</f>
        <v>GESTÃO DE PRODUTOS QUÍMICOS</v>
      </c>
      <c r="H188" s="25"/>
      <c r="I188" s="25">
        <v>45862</v>
      </c>
      <c r="J188" s="22">
        <v>12</v>
      </c>
      <c r="K188" s="25">
        <f t="shared" si="6"/>
        <v>46227</v>
      </c>
      <c r="L188" s="28" t="str">
        <f t="shared" ca="1" si="5"/>
        <v>Em dia</v>
      </c>
      <c r="M188" s="31" t="s">
        <v>30</v>
      </c>
      <c r="N188" s="28" t="s">
        <v>21</v>
      </c>
      <c r="O188" s="22" t="s">
        <v>28</v>
      </c>
      <c r="P188" s="25">
        <f t="shared" si="2"/>
        <v>45954</v>
      </c>
      <c r="Q188" s="25"/>
      <c r="R188" s="25"/>
      <c r="S188" s="28" t="s">
        <v>23</v>
      </c>
      <c r="T188" s="28">
        <v>1</v>
      </c>
    </row>
    <row r="189" spans="1:20" ht="14.25" customHeight="1">
      <c r="A189" s="22">
        <v>212</v>
      </c>
      <c r="B189" s="32">
        <v>14721</v>
      </c>
      <c r="C189" s="22" t="str">
        <f>IFERROR(VLOOKUP(B189,Colaboradores!A:D,2,),"")</f>
        <v>RONILSON FERREIRA OLIVEIRA</v>
      </c>
      <c r="D189" s="22" t="str">
        <f>IFERROR(VLOOKUP(B189,Colaboradores!A:D,3,),"")</f>
        <v>REGIONAL LESTE</v>
      </c>
      <c r="E189" s="22" t="str">
        <f>IFERROR(VLOOKUP(B189,Colaboradores!A:D,4,),"")</f>
        <v>TÉCNICO DE SEGURANÇA DO TRABALHO</v>
      </c>
      <c r="F189" s="22" t="s">
        <v>36</v>
      </c>
      <c r="G189" s="24" t="str">
        <f>IFERROR(VLOOKUP(F189,Procedimentos!A:C,2,),"")</f>
        <v>GESTÃO DE PRODUTOS QUÍMICOS</v>
      </c>
      <c r="H189" s="25"/>
      <c r="I189" s="25">
        <v>45862</v>
      </c>
      <c r="J189" s="22">
        <v>12</v>
      </c>
      <c r="K189" s="25">
        <f t="shared" si="6"/>
        <v>46227</v>
      </c>
      <c r="L189" s="28" t="str">
        <f t="shared" ca="1" si="5"/>
        <v>Em dia</v>
      </c>
      <c r="M189" s="31" t="s">
        <v>30</v>
      </c>
      <c r="N189" s="28" t="s">
        <v>21</v>
      </c>
      <c r="O189" s="22" t="s">
        <v>28</v>
      </c>
      <c r="P189" s="25">
        <f t="shared" si="2"/>
        <v>45954</v>
      </c>
      <c r="Q189" s="25"/>
      <c r="R189" s="25"/>
      <c r="S189" s="28" t="s">
        <v>23</v>
      </c>
      <c r="T189" s="28">
        <v>1</v>
      </c>
    </row>
    <row r="190" spans="1:20" ht="14.25" customHeight="1">
      <c r="A190" s="22">
        <v>213</v>
      </c>
      <c r="B190" s="22">
        <v>14767</v>
      </c>
      <c r="C190" s="22" t="str">
        <f>IFERROR(VLOOKUP(B190,Colaboradores!A:D,2,),"")</f>
        <v>CAIO VINICIUS PEREIRA DO NASCIMENTO</v>
      </c>
      <c r="D190" s="22" t="str">
        <f>IFERROR(VLOOKUP(B190,Colaboradores!A:D,3,),"")</f>
        <v>REGIONAL SUL</v>
      </c>
      <c r="E190" s="22" t="str">
        <f>IFERROR(VLOOKUP(B190,Colaboradores!A:D,4,),"")</f>
        <v>TÉCNICO DE MEIO AMBIENTE</v>
      </c>
      <c r="F190" s="22" t="s">
        <v>37</v>
      </c>
      <c r="G190" s="24" t="str">
        <f>IFERROR(VLOOKUP(F190,Procedimentos!A:C,2,),"")</f>
        <v>GESTÃO DE RESÍDUOS SÓLIDOS DE SERVIÇOS DE SAÚDE</v>
      </c>
      <c r="H190" s="25"/>
      <c r="I190" s="25">
        <v>45862</v>
      </c>
      <c r="J190" s="22">
        <v>12</v>
      </c>
      <c r="K190" s="25">
        <f t="shared" si="6"/>
        <v>46227</v>
      </c>
      <c r="L190" s="28" t="str">
        <f t="shared" ca="1" si="5"/>
        <v>Em dia</v>
      </c>
      <c r="M190" s="31" t="s">
        <v>30</v>
      </c>
      <c r="N190" s="28" t="s">
        <v>21</v>
      </c>
      <c r="O190" s="22" t="s">
        <v>28</v>
      </c>
      <c r="P190" s="25">
        <f t="shared" si="2"/>
        <v>45954</v>
      </c>
      <c r="Q190" s="25"/>
      <c r="R190" s="25"/>
      <c r="S190" s="28" t="s">
        <v>23</v>
      </c>
      <c r="T190" s="28">
        <v>1</v>
      </c>
    </row>
    <row r="191" spans="1:20" ht="14.25" customHeight="1">
      <c r="A191" s="22">
        <v>214</v>
      </c>
      <c r="B191" s="32">
        <v>14785</v>
      </c>
      <c r="C191" s="22" t="str">
        <f>IFERROR(VLOOKUP(B191,Colaboradores!A:D,2,),"")</f>
        <v>ROSEANE CUSTODIO LIMA</v>
      </c>
      <c r="D191" s="22" t="str">
        <f>IFERROR(VLOOKUP(B191,Colaboradores!A:D,3,),"")</f>
        <v>REGIONAL CENTRAL</v>
      </c>
      <c r="E191" s="22" t="str">
        <f>IFERROR(VLOOKUP(B191,Colaboradores!A:D,4,),"")</f>
        <v>ASSISTENTE DE MEIO AMBIENTE</v>
      </c>
      <c r="F191" s="22" t="s">
        <v>37</v>
      </c>
      <c r="G191" s="24" t="str">
        <f>IFERROR(VLOOKUP(F191,Procedimentos!A:C,2,),"")</f>
        <v>GESTÃO DE RESÍDUOS SÓLIDOS DE SERVIÇOS DE SAÚDE</v>
      </c>
      <c r="H191" s="25"/>
      <c r="I191" s="25">
        <v>45862</v>
      </c>
      <c r="J191" s="22">
        <v>12</v>
      </c>
      <c r="K191" s="25">
        <f t="shared" si="6"/>
        <v>46227</v>
      </c>
      <c r="L191" s="28" t="str">
        <f t="shared" ca="1" si="5"/>
        <v>Em dia</v>
      </c>
      <c r="M191" s="31" t="s">
        <v>30</v>
      </c>
      <c r="N191" s="28" t="s">
        <v>21</v>
      </c>
      <c r="O191" s="22" t="s">
        <v>28</v>
      </c>
      <c r="P191" s="25">
        <f t="shared" si="2"/>
        <v>45954</v>
      </c>
      <c r="Q191" s="25"/>
      <c r="R191" s="25"/>
      <c r="S191" s="28" t="s">
        <v>23</v>
      </c>
      <c r="T191" s="28">
        <v>1</v>
      </c>
    </row>
    <row r="192" spans="1:20" ht="14.25" customHeight="1">
      <c r="A192" s="22">
        <v>215</v>
      </c>
      <c r="B192" s="22">
        <v>14321</v>
      </c>
      <c r="C192" s="22" t="str">
        <f>IFERROR(VLOOKUP(B192,Colaboradores!A:D,2,),"")</f>
        <v>LAYANA KARINE SILVA BARBOSA</v>
      </c>
      <c r="D192" s="22" t="str">
        <f>IFERROR(VLOOKUP(B192,Colaboradores!A:D,3,),"")</f>
        <v>REGIONAL SUL</v>
      </c>
      <c r="E192" s="22" t="str">
        <f>IFERROR(VLOOKUP(B192,Colaboradores!A:D,4,),"")</f>
        <v>ASSISTENTE ADMINISTRATIVO</v>
      </c>
      <c r="F192" s="22" t="s">
        <v>37</v>
      </c>
      <c r="G192" s="24" t="str">
        <f>IFERROR(VLOOKUP(F192,Procedimentos!A:C,2,),"")</f>
        <v>GESTÃO DE RESÍDUOS SÓLIDOS DE SERVIÇOS DE SAÚDE</v>
      </c>
      <c r="H192" s="25"/>
      <c r="I192" s="25">
        <v>45862</v>
      </c>
      <c r="J192" s="22">
        <v>12</v>
      </c>
      <c r="K192" s="25">
        <f t="shared" si="6"/>
        <v>46227</v>
      </c>
      <c r="L192" s="28" t="str">
        <f t="shared" ca="1" si="5"/>
        <v>Em dia</v>
      </c>
      <c r="M192" s="31" t="s">
        <v>30</v>
      </c>
      <c r="N192" s="28" t="s">
        <v>21</v>
      </c>
      <c r="O192" s="22" t="s">
        <v>28</v>
      </c>
      <c r="P192" s="25">
        <f t="shared" si="2"/>
        <v>45954</v>
      </c>
      <c r="Q192" s="25"/>
      <c r="R192" s="25"/>
      <c r="S192" s="28" t="s">
        <v>23</v>
      </c>
      <c r="T192" s="28">
        <v>1</v>
      </c>
    </row>
    <row r="193" spans="1:20" ht="14.25" customHeight="1">
      <c r="A193" s="22">
        <v>217</v>
      </c>
      <c r="B193" s="32">
        <v>15042</v>
      </c>
      <c r="C193" s="22" t="str">
        <f>IFERROR(VLOOKUP(B193,Colaboradores!A:D,2,),"")</f>
        <v>MARIANA CRISTINA FEITOSA SANTOS</v>
      </c>
      <c r="D193" s="22" t="str">
        <f>IFERROR(VLOOKUP(B193,Colaboradores!A:D,3,),"")</f>
        <v>REGIONAL SUL</v>
      </c>
      <c r="E193" s="22" t="str">
        <f>IFERROR(VLOOKUP(B193,Colaboradores!A:D,4,),"")</f>
        <v>TÉCNICA DE SEGURANÇA DO TRABALHO</v>
      </c>
      <c r="F193" s="22" t="s">
        <v>37</v>
      </c>
      <c r="G193" s="24" t="str">
        <f>IFERROR(VLOOKUP(F193,Procedimentos!A:C,2,),"")</f>
        <v>GESTÃO DE RESÍDUOS SÓLIDOS DE SERVIÇOS DE SAÚDE</v>
      </c>
      <c r="H193" s="25"/>
      <c r="I193" s="25">
        <v>45862</v>
      </c>
      <c r="J193" s="22">
        <v>12</v>
      </c>
      <c r="K193" s="25">
        <f t="shared" si="6"/>
        <v>46227</v>
      </c>
      <c r="L193" s="28" t="str">
        <f t="shared" ref="L193:L256" ca="1" si="7">IF(K193="","",IF(K193&lt;TODAY(),"Vencido",IF(K193&lt;=TODAY()+30,"A vencer","Em dia")))</f>
        <v>Em dia</v>
      </c>
      <c r="M193" s="31" t="s">
        <v>30</v>
      </c>
      <c r="N193" s="28" t="s">
        <v>21</v>
      </c>
      <c r="O193" s="22" t="s">
        <v>28</v>
      </c>
      <c r="P193" s="25">
        <f t="shared" si="2"/>
        <v>45954</v>
      </c>
      <c r="Q193" s="25"/>
      <c r="R193" s="25"/>
      <c r="S193" s="28" t="s">
        <v>23</v>
      </c>
      <c r="T193" s="28">
        <v>1</v>
      </c>
    </row>
    <row r="194" spans="1:20" ht="14.25" customHeight="1">
      <c r="A194" s="22">
        <v>218</v>
      </c>
      <c r="B194" s="22">
        <v>14354</v>
      </c>
      <c r="C194" s="22" t="str">
        <f>IFERROR(VLOOKUP(B194,Colaboradores!A:D,2,),"")</f>
        <v>JOSE CLEITON SILVA DE OLIVEIRA</v>
      </c>
      <c r="D194" s="22" t="str">
        <f>IFERROR(VLOOKUP(B194,Colaboradores!A:D,3,),"")</f>
        <v>REGIONAL CENTRAL</v>
      </c>
      <c r="E194" s="22" t="str">
        <f>IFERROR(VLOOKUP(B194,Colaboradores!A:D,4,),"")</f>
        <v>TÉCNICO DE SEGURANÇA DO TRABALHO</v>
      </c>
      <c r="F194" s="22" t="s">
        <v>37</v>
      </c>
      <c r="G194" s="24" t="str">
        <f>IFERROR(VLOOKUP(F194,Procedimentos!A:C,2,),"")</f>
        <v>GESTÃO DE RESÍDUOS SÓLIDOS DE SERVIÇOS DE SAÚDE</v>
      </c>
      <c r="H194" s="25"/>
      <c r="I194" s="25">
        <v>45862</v>
      </c>
      <c r="J194" s="22">
        <v>12</v>
      </c>
      <c r="K194" s="25">
        <f t="shared" si="6"/>
        <v>46227</v>
      </c>
      <c r="L194" s="28" t="str">
        <f t="shared" ca="1" si="7"/>
        <v>Em dia</v>
      </c>
      <c r="M194" s="31" t="s">
        <v>30</v>
      </c>
      <c r="N194" s="28" t="s">
        <v>21</v>
      </c>
      <c r="O194" s="22" t="s">
        <v>28</v>
      </c>
      <c r="P194" s="25">
        <f t="shared" si="2"/>
        <v>45954</v>
      </c>
      <c r="Q194" s="25"/>
      <c r="R194" s="25"/>
      <c r="S194" s="28" t="s">
        <v>23</v>
      </c>
      <c r="T194" s="28">
        <v>1</v>
      </c>
    </row>
    <row r="195" spans="1:20" ht="14.25" customHeight="1">
      <c r="A195" s="22">
        <v>219</v>
      </c>
      <c r="B195" s="22">
        <v>13584</v>
      </c>
      <c r="C195" s="22" t="str">
        <f>IFERROR(VLOOKUP(B195,Colaboradores!A:D,2,),"")</f>
        <v>ALANA RODRIGUES FERREIRA</v>
      </c>
      <c r="D195" s="22" t="str">
        <f>IFERROR(VLOOKUP(B195,Colaboradores!A:D,3,),"")</f>
        <v>REGIONAL LESTE</v>
      </c>
      <c r="E195" s="22" t="str">
        <f>IFERROR(VLOOKUP(B195,Colaboradores!A:D,4,),"")</f>
        <v>COORDENADOR DE SSMA</v>
      </c>
      <c r="F195" s="22" t="s">
        <v>37</v>
      </c>
      <c r="G195" s="24" t="str">
        <f>IFERROR(VLOOKUP(F195,Procedimentos!A:C,2,),"")</f>
        <v>GESTÃO DE RESÍDUOS SÓLIDOS DE SERVIÇOS DE SAÚDE</v>
      </c>
      <c r="H195" s="25"/>
      <c r="I195" s="25">
        <v>45862</v>
      </c>
      <c r="J195" s="22">
        <v>12</v>
      </c>
      <c r="K195" s="25">
        <f t="shared" ref="K195:K258" si="8">IF(AND(I195&lt;&gt;"",J195&lt;&gt;""),DATE(YEAR(I195),MONTH(I195)+J195,DAY(I195)),"")</f>
        <v>46227</v>
      </c>
      <c r="L195" s="28" t="str">
        <f t="shared" ca="1" si="7"/>
        <v>Em dia</v>
      </c>
      <c r="M195" s="31" t="s">
        <v>30</v>
      </c>
      <c r="N195" s="28" t="s">
        <v>21</v>
      </c>
      <c r="O195" s="22" t="s">
        <v>28</v>
      </c>
      <c r="P195" s="25">
        <f t="shared" si="2"/>
        <v>45954</v>
      </c>
      <c r="Q195" s="25"/>
      <c r="R195" s="25"/>
      <c r="S195" s="28" t="s">
        <v>23</v>
      </c>
      <c r="T195" s="28">
        <v>1</v>
      </c>
    </row>
    <row r="196" spans="1:20" ht="14.25" customHeight="1">
      <c r="A196" s="22">
        <v>220</v>
      </c>
      <c r="B196" s="22">
        <v>14357</v>
      </c>
      <c r="C196" s="22" t="str">
        <f>IFERROR(VLOOKUP(B196,Colaboradores!A:D,2,),"")</f>
        <v>JAIME VIEIRA GALVAO</v>
      </c>
      <c r="D196" s="22" t="str">
        <f>IFERROR(VLOOKUP(B196,Colaboradores!A:D,3,),"")</f>
        <v>REGIONAL LESTE</v>
      </c>
      <c r="E196" s="22" t="str">
        <f>IFERROR(VLOOKUP(B196,Colaboradores!A:D,4,),"")</f>
        <v>ENFERMEIRO DO TRABALHO</v>
      </c>
      <c r="F196" s="22" t="s">
        <v>37</v>
      </c>
      <c r="G196" s="24" t="str">
        <f>IFERROR(VLOOKUP(F196,Procedimentos!A:C,2,),"")</f>
        <v>GESTÃO DE RESÍDUOS SÓLIDOS DE SERVIÇOS DE SAÚDE</v>
      </c>
      <c r="H196" s="25"/>
      <c r="I196" s="25">
        <v>45862</v>
      </c>
      <c r="J196" s="22">
        <v>12</v>
      </c>
      <c r="K196" s="25">
        <f t="shared" si="8"/>
        <v>46227</v>
      </c>
      <c r="L196" s="28" t="str">
        <f t="shared" ca="1" si="7"/>
        <v>Em dia</v>
      </c>
      <c r="M196" s="31" t="s">
        <v>30</v>
      </c>
      <c r="N196" s="28" t="s">
        <v>21</v>
      </c>
      <c r="O196" s="22" t="s">
        <v>28</v>
      </c>
      <c r="P196" s="25">
        <f t="shared" si="2"/>
        <v>45954</v>
      </c>
      <c r="Q196" s="25"/>
      <c r="R196" s="25"/>
      <c r="S196" s="28" t="s">
        <v>23</v>
      </c>
      <c r="T196" s="28">
        <v>1</v>
      </c>
    </row>
    <row r="197" spans="1:20" ht="14.25" customHeight="1">
      <c r="A197" s="22">
        <v>221</v>
      </c>
      <c r="B197" s="32">
        <v>14721</v>
      </c>
      <c r="C197" s="22" t="str">
        <f>IFERROR(VLOOKUP(B197,Colaboradores!A:D,2,),"")</f>
        <v>RONILSON FERREIRA OLIVEIRA</v>
      </c>
      <c r="D197" s="22" t="str">
        <f>IFERROR(VLOOKUP(B197,Colaboradores!A:D,3,),"")</f>
        <v>REGIONAL LESTE</v>
      </c>
      <c r="E197" s="22" t="str">
        <f>IFERROR(VLOOKUP(B197,Colaboradores!A:D,4,),"")</f>
        <v>TÉCNICO DE SEGURANÇA DO TRABALHO</v>
      </c>
      <c r="F197" s="22" t="s">
        <v>37</v>
      </c>
      <c r="G197" s="24" t="str">
        <f>IFERROR(VLOOKUP(F197,Procedimentos!A:C,2,),"")</f>
        <v>GESTÃO DE RESÍDUOS SÓLIDOS DE SERVIÇOS DE SAÚDE</v>
      </c>
      <c r="H197" s="25"/>
      <c r="I197" s="25">
        <v>45862</v>
      </c>
      <c r="J197" s="22">
        <v>12</v>
      </c>
      <c r="K197" s="25">
        <f t="shared" si="8"/>
        <v>46227</v>
      </c>
      <c r="L197" s="28" t="str">
        <f t="shared" ca="1" si="7"/>
        <v>Em dia</v>
      </c>
      <c r="M197" s="31" t="s">
        <v>30</v>
      </c>
      <c r="N197" s="28" t="s">
        <v>21</v>
      </c>
      <c r="O197" s="22" t="s">
        <v>28</v>
      </c>
      <c r="P197" s="25">
        <f t="shared" si="2"/>
        <v>45954</v>
      </c>
      <c r="Q197" s="25"/>
      <c r="R197" s="25"/>
      <c r="S197" s="28" t="s">
        <v>23</v>
      </c>
      <c r="T197" s="28">
        <v>1</v>
      </c>
    </row>
    <row r="198" spans="1:20" ht="14.25" customHeight="1">
      <c r="A198" s="22">
        <v>222</v>
      </c>
      <c r="B198" s="22">
        <v>14767</v>
      </c>
      <c r="C198" s="22" t="str">
        <f>IFERROR(VLOOKUP(B198,Colaboradores!A:D,2,),"")</f>
        <v>CAIO VINICIUS PEREIRA DO NASCIMENTO</v>
      </c>
      <c r="D198" s="22" t="str">
        <f>IFERROR(VLOOKUP(B198,Colaboradores!A:D,3,),"")</f>
        <v>REGIONAL SUL</v>
      </c>
      <c r="E198" s="22" t="str">
        <f>IFERROR(VLOOKUP(B198,Colaboradores!A:D,4,),"")</f>
        <v>TÉCNICO DE MEIO AMBIENTE</v>
      </c>
      <c r="F198" s="22" t="s">
        <v>38</v>
      </c>
      <c r="G198" s="24" t="str">
        <f>IFERROR(VLOOKUP(F198,Procedimentos!A:C,2,),"")</f>
        <v>GESTÃO DE CONDICIONANTES DE LICENCIAMENTO AMBIENTAL</v>
      </c>
      <c r="H198" s="25"/>
      <c r="I198" s="25">
        <v>45862</v>
      </c>
      <c r="J198" s="22">
        <v>12</v>
      </c>
      <c r="K198" s="25">
        <f t="shared" si="8"/>
        <v>46227</v>
      </c>
      <c r="L198" s="28" t="str">
        <f t="shared" ca="1" si="7"/>
        <v>Em dia</v>
      </c>
      <c r="M198" s="31" t="s">
        <v>30</v>
      </c>
      <c r="N198" s="28" t="s">
        <v>21</v>
      </c>
      <c r="O198" s="22" t="s">
        <v>28</v>
      </c>
      <c r="P198" s="25">
        <f t="shared" si="2"/>
        <v>45954</v>
      </c>
      <c r="Q198" s="25"/>
      <c r="R198" s="25"/>
      <c r="S198" s="28" t="s">
        <v>23</v>
      </c>
      <c r="T198" s="28">
        <v>1</v>
      </c>
    </row>
    <row r="199" spans="1:20" ht="14.25" customHeight="1">
      <c r="A199" s="22">
        <v>223</v>
      </c>
      <c r="B199" s="32">
        <v>14785</v>
      </c>
      <c r="C199" s="22" t="str">
        <f>IFERROR(VLOOKUP(B199,Colaboradores!A:D,2,),"")</f>
        <v>ROSEANE CUSTODIO LIMA</v>
      </c>
      <c r="D199" s="22" t="str">
        <f>IFERROR(VLOOKUP(B199,Colaboradores!A:D,3,),"")</f>
        <v>REGIONAL CENTRAL</v>
      </c>
      <c r="E199" s="22" t="str">
        <f>IFERROR(VLOOKUP(B199,Colaboradores!A:D,4,),"")</f>
        <v>ASSISTENTE DE MEIO AMBIENTE</v>
      </c>
      <c r="F199" s="22" t="s">
        <v>38</v>
      </c>
      <c r="G199" s="24" t="str">
        <f>IFERROR(VLOOKUP(F199,Procedimentos!A:C,2,),"")</f>
        <v>GESTÃO DE CONDICIONANTES DE LICENCIAMENTO AMBIENTAL</v>
      </c>
      <c r="H199" s="25"/>
      <c r="I199" s="25">
        <v>45862</v>
      </c>
      <c r="J199" s="22">
        <v>12</v>
      </c>
      <c r="K199" s="25">
        <f t="shared" si="8"/>
        <v>46227</v>
      </c>
      <c r="L199" s="28" t="str">
        <f t="shared" ca="1" si="7"/>
        <v>Em dia</v>
      </c>
      <c r="M199" s="31" t="s">
        <v>30</v>
      </c>
      <c r="N199" s="28" t="s">
        <v>21</v>
      </c>
      <c r="O199" s="22" t="s">
        <v>28</v>
      </c>
      <c r="P199" s="25">
        <f t="shared" si="2"/>
        <v>45954</v>
      </c>
      <c r="Q199" s="25"/>
      <c r="R199" s="25"/>
      <c r="S199" s="28" t="s">
        <v>23</v>
      </c>
      <c r="T199" s="28">
        <v>1</v>
      </c>
    </row>
    <row r="200" spans="1:20" ht="14.25" customHeight="1">
      <c r="A200" s="22">
        <v>224</v>
      </c>
      <c r="B200" s="22">
        <v>14321</v>
      </c>
      <c r="C200" s="22" t="str">
        <f>IFERROR(VLOOKUP(B200,Colaboradores!A:D,2,),"")</f>
        <v>LAYANA KARINE SILVA BARBOSA</v>
      </c>
      <c r="D200" s="22" t="str">
        <f>IFERROR(VLOOKUP(B200,Colaboradores!A:D,3,),"")</f>
        <v>REGIONAL SUL</v>
      </c>
      <c r="E200" s="22" t="str">
        <f>IFERROR(VLOOKUP(B200,Colaboradores!A:D,4,),"")</f>
        <v>ASSISTENTE ADMINISTRATIVO</v>
      </c>
      <c r="F200" s="22" t="s">
        <v>38</v>
      </c>
      <c r="G200" s="24" t="str">
        <f>IFERROR(VLOOKUP(F200,Procedimentos!A:C,2,),"")</f>
        <v>GESTÃO DE CONDICIONANTES DE LICENCIAMENTO AMBIENTAL</v>
      </c>
      <c r="H200" s="25"/>
      <c r="I200" s="25">
        <v>45862</v>
      </c>
      <c r="J200" s="22">
        <v>12</v>
      </c>
      <c r="K200" s="25">
        <f t="shared" si="8"/>
        <v>46227</v>
      </c>
      <c r="L200" s="28" t="str">
        <f t="shared" ca="1" si="7"/>
        <v>Em dia</v>
      </c>
      <c r="M200" s="31" t="s">
        <v>30</v>
      </c>
      <c r="N200" s="28" t="s">
        <v>21</v>
      </c>
      <c r="O200" s="22" t="s">
        <v>28</v>
      </c>
      <c r="P200" s="25">
        <f t="shared" si="2"/>
        <v>45954</v>
      </c>
      <c r="Q200" s="25"/>
      <c r="R200" s="25"/>
      <c r="S200" s="28" t="s">
        <v>23</v>
      </c>
      <c r="T200" s="28">
        <v>1</v>
      </c>
    </row>
    <row r="201" spans="1:20" ht="14.25" customHeight="1">
      <c r="A201" s="22">
        <v>226</v>
      </c>
      <c r="B201" s="32">
        <v>15042</v>
      </c>
      <c r="C201" s="22" t="str">
        <f>IFERROR(VLOOKUP(B201,Colaboradores!A:D,2,),"")</f>
        <v>MARIANA CRISTINA FEITOSA SANTOS</v>
      </c>
      <c r="D201" s="22" t="str">
        <f>IFERROR(VLOOKUP(B201,Colaboradores!A:D,3,),"")</f>
        <v>REGIONAL SUL</v>
      </c>
      <c r="E201" s="22" t="str">
        <f>IFERROR(VLOOKUP(B201,Colaboradores!A:D,4,),"")</f>
        <v>TÉCNICA DE SEGURANÇA DO TRABALHO</v>
      </c>
      <c r="F201" s="22" t="s">
        <v>38</v>
      </c>
      <c r="G201" s="24" t="str">
        <f>IFERROR(VLOOKUP(F201,Procedimentos!A:C,2,),"")</f>
        <v>GESTÃO DE CONDICIONANTES DE LICENCIAMENTO AMBIENTAL</v>
      </c>
      <c r="H201" s="25"/>
      <c r="I201" s="25">
        <v>45862</v>
      </c>
      <c r="J201" s="22">
        <v>12</v>
      </c>
      <c r="K201" s="25">
        <f t="shared" si="8"/>
        <v>46227</v>
      </c>
      <c r="L201" s="28" t="str">
        <f t="shared" ca="1" si="7"/>
        <v>Em dia</v>
      </c>
      <c r="M201" s="31" t="s">
        <v>30</v>
      </c>
      <c r="N201" s="28" t="s">
        <v>21</v>
      </c>
      <c r="O201" s="22" t="s">
        <v>28</v>
      </c>
      <c r="P201" s="25">
        <f t="shared" si="2"/>
        <v>45954</v>
      </c>
      <c r="Q201" s="25"/>
      <c r="R201" s="25"/>
      <c r="S201" s="28" t="s">
        <v>23</v>
      </c>
      <c r="T201" s="28">
        <v>1</v>
      </c>
    </row>
    <row r="202" spans="1:20" ht="14.25" customHeight="1">
      <c r="A202" s="22">
        <v>227</v>
      </c>
      <c r="B202" s="22">
        <v>14354</v>
      </c>
      <c r="C202" s="22" t="str">
        <f>IFERROR(VLOOKUP(B202,Colaboradores!A:D,2,),"")</f>
        <v>JOSE CLEITON SILVA DE OLIVEIRA</v>
      </c>
      <c r="D202" s="22" t="str">
        <f>IFERROR(VLOOKUP(B202,Colaboradores!A:D,3,),"")</f>
        <v>REGIONAL CENTRAL</v>
      </c>
      <c r="E202" s="22" t="str">
        <f>IFERROR(VLOOKUP(B202,Colaboradores!A:D,4,),"")</f>
        <v>TÉCNICO DE SEGURANÇA DO TRABALHO</v>
      </c>
      <c r="F202" s="22" t="s">
        <v>38</v>
      </c>
      <c r="G202" s="24" t="str">
        <f>IFERROR(VLOOKUP(F202,Procedimentos!A:C,2,),"")</f>
        <v>GESTÃO DE CONDICIONANTES DE LICENCIAMENTO AMBIENTAL</v>
      </c>
      <c r="H202" s="25"/>
      <c r="I202" s="25">
        <v>45862</v>
      </c>
      <c r="J202" s="22">
        <v>12</v>
      </c>
      <c r="K202" s="25">
        <f t="shared" si="8"/>
        <v>46227</v>
      </c>
      <c r="L202" s="28" t="str">
        <f t="shared" ca="1" si="7"/>
        <v>Em dia</v>
      </c>
      <c r="M202" s="31" t="s">
        <v>30</v>
      </c>
      <c r="N202" s="28" t="s">
        <v>21</v>
      </c>
      <c r="O202" s="22" t="s">
        <v>28</v>
      </c>
      <c r="P202" s="25">
        <f t="shared" si="2"/>
        <v>45954</v>
      </c>
      <c r="Q202" s="25"/>
      <c r="R202" s="25"/>
      <c r="S202" s="28" t="s">
        <v>23</v>
      </c>
      <c r="T202" s="28">
        <v>1</v>
      </c>
    </row>
    <row r="203" spans="1:20" ht="14.25" customHeight="1">
      <c r="A203" s="22">
        <v>228</v>
      </c>
      <c r="B203" s="22">
        <v>13584</v>
      </c>
      <c r="C203" s="22" t="str">
        <f>IFERROR(VLOOKUP(B203,Colaboradores!A:D,2,),"")</f>
        <v>ALANA RODRIGUES FERREIRA</v>
      </c>
      <c r="D203" s="22" t="str">
        <f>IFERROR(VLOOKUP(B203,Colaboradores!A:D,3,),"")</f>
        <v>REGIONAL LESTE</v>
      </c>
      <c r="E203" s="22" t="str">
        <f>IFERROR(VLOOKUP(B203,Colaboradores!A:D,4,),"")</f>
        <v>COORDENADOR DE SSMA</v>
      </c>
      <c r="F203" s="22" t="s">
        <v>38</v>
      </c>
      <c r="G203" s="24" t="str">
        <f>IFERROR(VLOOKUP(F203,Procedimentos!A:C,2,),"")</f>
        <v>GESTÃO DE CONDICIONANTES DE LICENCIAMENTO AMBIENTAL</v>
      </c>
      <c r="H203" s="25"/>
      <c r="I203" s="25">
        <v>45862</v>
      </c>
      <c r="J203" s="22">
        <v>12</v>
      </c>
      <c r="K203" s="25">
        <f t="shared" si="8"/>
        <v>46227</v>
      </c>
      <c r="L203" s="28" t="str">
        <f t="shared" ca="1" si="7"/>
        <v>Em dia</v>
      </c>
      <c r="M203" s="31" t="s">
        <v>30</v>
      </c>
      <c r="N203" s="28" t="s">
        <v>21</v>
      </c>
      <c r="O203" s="22" t="s">
        <v>28</v>
      </c>
      <c r="P203" s="25">
        <f t="shared" si="2"/>
        <v>45954</v>
      </c>
      <c r="Q203" s="25"/>
      <c r="R203" s="25"/>
      <c r="S203" s="28" t="s">
        <v>23</v>
      </c>
      <c r="T203" s="28">
        <v>1</v>
      </c>
    </row>
    <row r="204" spans="1:20" ht="14.25" customHeight="1">
      <c r="A204" s="22">
        <v>229</v>
      </c>
      <c r="B204" s="22">
        <v>14357</v>
      </c>
      <c r="C204" s="22" t="str">
        <f>IFERROR(VLOOKUP(B204,Colaboradores!A:D,2,),"")</f>
        <v>JAIME VIEIRA GALVAO</v>
      </c>
      <c r="D204" s="22" t="str">
        <f>IFERROR(VLOOKUP(B204,Colaboradores!A:D,3,),"")</f>
        <v>REGIONAL LESTE</v>
      </c>
      <c r="E204" s="22" t="str">
        <f>IFERROR(VLOOKUP(B204,Colaboradores!A:D,4,),"")</f>
        <v>ENFERMEIRO DO TRABALHO</v>
      </c>
      <c r="F204" s="22" t="s">
        <v>38</v>
      </c>
      <c r="G204" s="24" t="str">
        <f>IFERROR(VLOOKUP(F204,Procedimentos!A:C,2,),"")</f>
        <v>GESTÃO DE CONDICIONANTES DE LICENCIAMENTO AMBIENTAL</v>
      </c>
      <c r="H204" s="25"/>
      <c r="I204" s="25">
        <v>45862</v>
      </c>
      <c r="J204" s="22">
        <v>12</v>
      </c>
      <c r="K204" s="25">
        <f t="shared" si="8"/>
        <v>46227</v>
      </c>
      <c r="L204" s="28" t="str">
        <f t="shared" ca="1" si="7"/>
        <v>Em dia</v>
      </c>
      <c r="M204" s="31" t="s">
        <v>30</v>
      </c>
      <c r="N204" s="28" t="s">
        <v>21</v>
      </c>
      <c r="O204" s="22" t="s">
        <v>28</v>
      </c>
      <c r="P204" s="25">
        <f t="shared" si="2"/>
        <v>45954</v>
      </c>
      <c r="Q204" s="25"/>
      <c r="R204" s="25"/>
      <c r="S204" s="28" t="s">
        <v>23</v>
      </c>
      <c r="T204" s="28">
        <v>1</v>
      </c>
    </row>
    <row r="205" spans="1:20" ht="14.25" customHeight="1">
      <c r="A205" s="22">
        <v>230</v>
      </c>
      <c r="B205" s="32">
        <v>14721</v>
      </c>
      <c r="C205" s="22" t="str">
        <f>IFERROR(VLOOKUP(B205,Colaboradores!A:D,2,),"")</f>
        <v>RONILSON FERREIRA OLIVEIRA</v>
      </c>
      <c r="D205" s="22" t="str">
        <f>IFERROR(VLOOKUP(B205,Colaboradores!A:D,3,),"")</f>
        <v>REGIONAL LESTE</v>
      </c>
      <c r="E205" s="22" t="str">
        <f>IFERROR(VLOOKUP(B205,Colaboradores!A:D,4,),"")</f>
        <v>TÉCNICO DE SEGURANÇA DO TRABALHO</v>
      </c>
      <c r="F205" s="22" t="s">
        <v>38</v>
      </c>
      <c r="G205" s="24" t="str">
        <f>IFERROR(VLOOKUP(F205,Procedimentos!A:C,2,),"")</f>
        <v>GESTÃO DE CONDICIONANTES DE LICENCIAMENTO AMBIENTAL</v>
      </c>
      <c r="H205" s="25"/>
      <c r="I205" s="25">
        <v>45862</v>
      </c>
      <c r="J205" s="22">
        <v>12</v>
      </c>
      <c r="K205" s="25">
        <f t="shared" si="8"/>
        <v>46227</v>
      </c>
      <c r="L205" s="28" t="str">
        <f t="shared" ca="1" si="7"/>
        <v>Em dia</v>
      </c>
      <c r="M205" s="31" t="s">
        <v>30</v>
      </c>
      <c r="N205" s="28" t="s">
        <v>21</v>
      </c>
      <c r="O205" s="22" t="s">
        <v>28</v>
      </c>
      <c r="P205" s="25">
        <f t="shared" si="2"/>
        <v>45954</v>
      </c>
      <c r="Q205" s="25"/>
      <c r="R205" s="25"/>
      <c r="S205" s="28" t="s">
        <v>23</v>
      </c>
      <c r="T205" s="28">
        <v>1</v>
      </c>
    </row>
    <row r="206" spans="1:20" ht="14.25" customHeight="1">
      <c r="A206" s="22">
        <v>231</v>
      </c>
      <c r="B206" s="22">
        <v>14767</v>
      </c>
      <c r="C206" s="22" t="str">
        <f>IFERROR(VLOOKUP(B206,Colaboradores!A:D,2,),"")</f>
        <v>CAIO VINICIUS PEREIRA DO NASCIMENTO</v>
      </c>
      <c r="D206" s="22" t="str">
        <f>IFERROR(VLOOKUP(B206,Colaboradores!A:D,3,),"")</f>
        <v>REGIONAL SUL</v>
      </c>
      <c r="E206" s="22" t="str">
        <f>IFERROR(VLOOKUP(B206,Colaboradores!A:D,4,),"")</f>
        <v>TÉCNICO DE MEIO AMBIENTE</v>
      </c>
      <c r="F206" s="22" t="s">
        <v>39</v>
      </c>
      <c r="G206" s="24" t="str">
        <f>IFERROR(VLOOKUP(F206,Procedimentos!A:C,2,),"")</f>
        <v>GESTÃO DE ÁGUAS E EFLUENTES</v>
      </c>
      <c r="H206" s="25"/>
      <c r="I206" s="25">
        <v>45862</v>
      </c>
      <c r="J206" s="22">
        <v>12</v>
      </c>
      <c r="K206" s="25">
        <f t="shared" si="8"/>
        <v>46227</v>
      </c>
      <c r="L206" s="28" t="str">
        <f t="shared" ca="1" si="7"/>
        <v>Em dia</v>
      </c>
      <c r="M206" s="31" t="s">
        <v>30</v>
      </c>
      <c r="N206" s="28" t="s">
        <v>21</v>
      </c>
      <c r="O206" s="22" t="s">
        <v>28</v>
      </c>
      <c r="P206" s="25">
        <f t="shared" si="2"/>
        <v>45954</v>
      </c>
      <c r="Q206" s="25"/>
      <c r="R206" s="25"/>
      <c r="S206" s="28" t="s">
        <v>23</v>
      </c>
      <c r="T206" s="28">
        <v>1</v>
      </c>
    </row>
    <row r="207" spans="1:20" ht="14.25" customHeight="1">
      <c r="A207" s="22">
        <v>232</v>
      </c>
      <c r="B207" s="32">
        <v>14785</v>
      </c>
      <c r="C207" s="22" t="str">
        <f>IFERROR(VLOOKUP(B207,Colaboradores!A:D,2,),"")</f>
        <v>ROSEANE CUSTODIO LIMA</v>
      </c>
      <c r="D207" s="22" t="str">
        <f>IFERROR(VLOOKUP(B207,Colaboradores!A:D,3,),"")</f>
        <v>REGIONAL CENTRAL</v>
      </c>
      <c r="E207" s="22" t="str">
        <f>IFERROR(VLOOKUP(B207,Colaboradores!A:D,4,),"")</f>
        <v>ASSISTENTE DE MEIO AMBIENTE</v>
      </c>
      <c r="F207" s="22" t="s">
        <v>39</v>
      </c>
      <c r="G207" s="24" t="str">
        <f>IFERROR(VLOOKUP(F207,Procedimentos!A:C,2,),"")</f>
        <v>GESTÃO DE ÁGUAS E EFLUENTES</v>
      </c>
      <c r="H207" s="25"/>
      <c r="I207" s="25">
        <v>45862</v>
      </c>
      <c r="J207" s="22">
        <v>12</v>
      </c>
      <c r="K207" s="25">
        <f t="shared" si="8"/>
        <v>46227</v>
      </c>
      <c r="L207" s="28" t="str">
        <f t="shared" ca="1" si="7"/>
        <v>Em dia</v>
      </c>
      <c r="M207" s="31" t="s">
        <v>30</v>
      </c>
      <c r="N207" s="28" t="s">
        <v>21</v>
      </c>
      <c r="O207" s="22" t="s">
        <v>28</v>
      </c>
      <c r="P207" s="25">
        <f t="shared" si="2"/>
        <v>45954</v>
      </c>
      <c r="Q207" s="25"/>
      <c r="R207" s="25"/>
      <c r="S207" s="28" t="s">
        <v>23</v>
      </c>
      <c r="T207" s="28">
        <v>1</v>
      </c>
    </row>
    <row r="208" spans="1:20" ht="14.25" customHeight="1">
      <c r="A208" s="22">
        <v>233</v>
      </c>
      <c r="B208" s="22">
        <v>14321</v>
      </c>
      <c r="C208" s="22" t="str">
        <f>IFERROR(VLOOKUP(B208,Colaboradores!A:D,2,),"")</f>
        <v>LAYANA KARINE SILVA BARBOSA</v>
      </c>
      <c r="D208" s="22" t="str">
        <f>IFERROR(VLOOKUP(B208,Colaboradores!A:D,3,),"")</f>
        <v>REGIONAL SUL</v>
      </c>
      <c r="E208" s="22" t="str">
        <f>IFERROR(VLOOKUP(B208,Colaboradores!A:D,4,),"")</f>
        <v>ASSISTENTE ADMINISTRATIVO</v>
      </c>
      <c r="F208" s="22" t="s">
        <v>39</v>
      </c>
      <c r="G208" s="24" t="str">
        <f>IFERROR(VLOOKUP(F208,Procedimentos!A:C,2,),"")</f>
        <v>GESTÃO DE ÁGUAS E EFLUENTES</v>
      </c>
      <c r="H208" s="25"/>
      <c r="I208" s="25">
        <v>45862</v>
      </c>
      <c r="J208" s="22">
        <v>12</v>
      </c>
      <c r="K208" s="25">
        <f t="shared" si="8"/>
        <v>46227</v>
      </c>
      <c r="L208" s="28" t="str">
        <f t="shared" ca="1" si="7"/>
        <v>Em dia</v>
      </c>
      <c r="M208" s="31" t="s">
        <v>30</v>
      </c>
      <c r="N208" s="28" t="s">
        <v>21</v>
      </c>
      <c r="O208" s="22" t="s">
        <v>28</v>
      </c>
      <c r="P208" s="25">
        <f t="shared" si="2"/>
        <v>45954</v>
      </c>
      <c r="Q208" s="25"/>
      <c r="R208" s="25"/>
      <c r="S208" s="28" t="s">
        <v>23</v>
      </c>
      <c r="T208" s="28">
        <v>1</v>
      </c>
    </row>
    <row r="209" spans="1:20" ht="14.25" customHeight="1">
      <c r="A209" s="22">
        <v>235</v>
      </c>
      <c r="B209" s="32">
        <v>15042</v>
      </c>
      <c r="C209" s="22" t="str">
        <f>IFERROR(VLOOKUP(B209,Colaboradores!A:D,2,),"")</f>
        <v>MARIANA CRISTINA FEITOSA SANTOS</v>
      </c>
      <c r="D209" s="22" t="str">
        <f>IFERROR(VLOOKUP(B209,Colaboradores!A:D,3,),"")</f>
        <v>REGIONAL SUL</v>
      </c>
      <c r="E209" s="22" t="str">
        <f>IFERROR(VLOOKUP(B209,Colaboradores!A:D,4,),"")</f>
        <v>TÉCNICA DE SEGURANÇA DO TRABALHO</v>
      </c>
      <c r="F209" s="22" t="s">
        <v>39</v>
      </c>
      <c r="G209" s="24" t="str">
        <f>IFERROR(VLOOKUP(F209,Procedimentos!A:C,2,),"")</f>
        <v>GESTÃO DE ÁGUAS E EFLUENTES</v>
      </c>
      <c r="H209" s="25"/>
      <c r="I209" s="25">
        <v>45862</v>
      </c>
      <c r="J209" s="22">
        <v>12</v>
      </c>
      <c r="K209" s="25">
        <f t="shared" si="8"/>
        <v>46227</v>
      </c>
      <c r="L209" s="28" t="str">
        <f t="shared" ca="1" si="7"/>
        <v>Em dia</v>
      </c>
      <c r="M209" s="31" t="s">
        <v>30</v>
      </c>
      <c r="N209" s="28" t="s">
        <v>21</v>
      </c>
      <c r="O209" s="22" t="s">
        <v>28</v>
      </c>
      <c r="P209" s="25">
        <f t="shared" si="2"/>
        <v>45954</v>
      </c>
      <c r="Q209" s="25"/>
      <c r="R209" s="25"/>
      <c r="S209" s="28" t="s">
        <v>23</v>
      </c>
      <c r="T209" s="28">
        <v>1</v>
      </c>
    </row>
    <row r="210" spans="1:20" ht="14.25" customHeight="1">
      <c r="A210" s="22">
        <v>236</v>
      </c>
      <c r="B210" s="22">
        <v>14354</v>
      </c>
      <c r="C210" s="22" t="str">
        <f>IFERROR(VLOOKUP(B210,Colaboradores!A:D,2,),"")</f>
        <v>JOSE CLEITON SILVA DE OLIVEIRA</v>
      </c>
      <c r="D210" s="22" t="str">
        <f>IFERROR(VLOOKUP(B210,Colaboradores!A:D,3,),"")</f>
        <v>REGIONAL CENTRAL</v>
      </c>
      <c r="E210" s="22" t="str">
        <f>IFERROR(VLOOKUP(B210,Colaboradores!A:D,4,),"")</f>
        <v>TÉCNICO DE SEGURANÇA DO TRABALHO</v>
      </c>
      <c r="F210" s="22" t="s">
        <v>39</v>
      </c>
      <c r="G210" s="24" t="str">
        <f>IFERROR(VLOOKUP(F210,Procedimentos!A:C,2,),"")</f>
        <v>GESTÃO DE ÁGUAS E EFLUENTES</v>
      </c>
      <c r="H210" s="25"/>
      <c r="I210" s="25">
        <v>45862</v>
      </c>
      <c r="J210" s="22">
        <v>12</v>
      </c>
      <c r="K210" s="25">
        <f t="shared" si="8"/>
        <v>46227</v>
      </c>
      <c r="L210" s="28" t="str">
        <f t="shared" ca="1" si="7"/>
        <v>Em dia</v>
      </c>
      <c r="M210" s="31" t="s">
        <v>30</v>
      </c>
      <c r="N210" s="28" t="s">
        <v>21</v>
      </c>
      <c r="O210" s="22" t="s">
        <v>28</v>
      </c>
      <c r="P210" s="25">
        <f t="shared" si="2"/>
        <v>45954</v>
      </c>
      <c r="Q210" s="25"/>
      <c r="R210" s="25"/>
      <c r="S210" s="28" t="s">
        <v>23</v>
      </c>
      <c r="T210" s="28">
        <v>1</v>
      </c>
    </row>
    <row r="211" spans="1:20" ht="14.25" customHeight="1">
      <c r="A211" s="22">
        <v>237</v>
      </c>
      <c r="B211" s="22">
        <v>13584</v>
      </c>
      <c r="C211" s="22" t="str">
        <f>IFERROR(VLOOKUP(B211,Colaboradores!A:D,2,),"")</f>
        <v>ALANA RODRIGUES FERREIRA</v>
      </c>
      <c r="D211" s="22" t="str">
        <f>IFERROR(VLOOKUP(B211,Colaboradores!A:D,3,),"")</f>
        <v>REGIONAL LESTE</v>
      </c>
      <c r="E211" s="22" t="str">
        <f>IFERROR(VLOOKUP(B211,Colaboradores!A:D,4,),"")</f>
        <v>COORDENADOR DE SSMA</v>
      </c>
      <c r="F211" s="22" t="s">
        <v>39</v>
      </c>
      <c r="G211" s="24" t="str">
        <f>IFERROR(VLOOKUP(F211,Procedimentos!A:C,2,),"")</f>
        <v>GESTÃO DE ÁGUAS E EFLUENTES</v>
      </c>
      <c r="H211" s="25"/>
      <c r="I211" s="25">
        <v>45862</v>
      </c>
      <c r="J211" s="22">
        <v>12</v>
      </c>
      <c r="K211" s="25">
        <f t="shared" si="8"/>
        <v>46227</v>
      </c>
      <c r="L211" s="28" t="str">
        <f t="shared" ca="1" si="7"/>
        <v>Em dia</v>
      </c>
      <c r="M211" s="31" t="s">
        <v>30</v>
      </c>
      <c r="N211" s="28" t="s">
        <v>21</v>
      </c>
      <c r="O211" s="22" t="s">
        <v>28</v>
      </c>
      <c r="P211" s="25">
        <f t="shared" si="2"/>
        <v>45954</v>
      </c>
      <c r="Q211" s="25"/>
      <c r="R211" s="25"/>
      <c r="S211" s="28" t="s">
        <v>23</v>
      </c>
      <c r="T211" s="28">
        <v>1</v>
      </c>
    </row>
    <row r="212" spans="1:20" ht="14.25" customHeight="1">
      <c r="A212" s="22">
        <v>238</v>
      </c>
      <c r="B212" s="22">
        <v>14357</v>
      </c>
      <c r="C212" s="22" t="str">
        <f>IFERROR(VLOOKUP(B212,Colaboradores!A:D,2,),"")</f>
        <v>JAIME VIEIRA GALVAO</v>
      </c>
      <c r="D212" s="22" t="str">
        <f>IFERROR(VLOOKUP(B212,Colaboradores!A:D,3,),"")</f>
        <v>REGIONAL LESTE</v>
      </c>
      <c r="E212" s="22" t="str">
        <f>IFERROR(VLOOKUP(B212,Colaboradores!A:D,4,),"")</f>
        <v>ENFERMEIRO DO TRABALHO</v>
      </c>
      <c r="F212" s="22" t="s">
        <v>39</v>
      </c>
      <c r="G212" s="24" t="str">
        <f>IFERROR(VLOOKUP(F212,Procedimentos!A:C,2,),"")</f>
        <v>GESTÃO DE ÁGUAS E EFLUENTES</v>
      </c>
      <c r="H212" s="25"/>
      <c r="I212" s="25">
        <v>45862</v>
      </c>
      <c r="J212" s="22">
        <v>12</v>
      </c>
      <c r="K212" s="25">
        <f t="shared" si="8"/>
        <v>46227</v>
      </c>
      <c r="L212" s="28" t="str">
        <f t="shared" ca="1" si="7"/>
        <v>Em dia</v>
      </c>
      <c r="M212" s="31" t="s">
        <v>30</v>
      </c>
      <c r="N212" s="28" t="s">
        <v>21</v>
      </c>
      <c r="O212" s="22" t="s">
        <v>28</v>
      </c>
      <c r="P212" s="25">
        <f t="shared" si="2"/>
        <v>45954</v>
      </c>
      <c r="Q212" s="25"/>
      <c r="R212" s="25"/>
      <c r="S212" s="28" t="s">
        <v>23</v>
      </c>
      <c r="T212" s="28">
        <v>1</v>
      </c>
    </row>
    <row r="213" spans="1:20" ht="14.25" customHeight="1">
      <c r="A213" s="22">
        <v>239</v>
      </c>
      <c r="B213" s="32">
        <v>14721</v>
      </c>
      <c r="C213" s="22" t="str">
        <f>IFERROR(VLOOKUP(B213,Colaboradores!A:D,2,),"")</f>
        <v>RONILSON FERREIRA OLIVEIRA</v>
      </c>
      <c r="D213" s="22" t="str">
        <f>IFERROR(VLOOKUP(B213,Colaboradores!A:D,3,),"")</f>
        <v>REGIONAL LESTE</v>
      </c>
      <c r="E213" s="22" t="str">
        <f>IFERROR(VLOOKUP(B213,Colaboradores!A:D,4,),"")</f>
        <v>TÉCNICO DE SEGURANÇA DO TRABALHO</v>
      </c>
      <c r="F213" s="22" t="s">
        <v>39</v>
      </c>
      <c r="G213" s="24" t="str">
        <f>IFERROR(VLOOKUP(F213,Procedimentos!A:C,2,),"")</f>
        <v>GESTÃO DE ÁGUAS E EFLUENTES</v>
      </c>
      <c r="H213" s="25"/>
      <c r="I213" s="25">
        <v>45862</v>
      </c>
      <c r="J213" s="22">
        <v>12</v>
      </c>
      <c r="K213" s="25">
        <f t="shared" si="8"/>
        <v>46227</v>
      </c>
      <c r="L213" s="28" t="str">
        <f t="shared" ca="1" si="7"/>
        <v>Em dia</v>
      </c>
      <c r="M213" s="31" t="s">
        <v>30</v>
      </c>
      <c r="N213" s="28" t="s">
        <v>21</v>
      </c>
      <c r="O213" s="22" t="s">
        <v>28</v>
      </c>
      <c r="P213" s="25">
        <f t="shared" si="2"/>
        <v>45954</v>
      </c>
      <c r="Q213" s="25"/>
      <c r="R213" s="25"/>
      <c r="S213" s="28" t="s">
        <v>23</v>
      </c>
      <c r="T213" s="28">
        <v>1</v>
      </c>
    </row>
    <row r="214" spans="1:20" ht="14.25" customHeight="1">
      <c r="A214" s="22">
        <v>240</v>
      </c>
      <c r="B214" s="22">
        <v>14767</v>
      </c>
      <c r="C214" s="22" t="str">
        <f>IFERROR(VLOOKUP(B214,Colaboradores!A:D,2,),"")</f>
        <v>CAIO VINICIUS PEREIRA DO NASCIMENTO</v>
      </c>
      <c r="D214" s="22" t="str">
        <f>IFERROR(VLOOKUP(B214,Colaboradores!A:D,3,),"")</f>
        <v>REGIONAL SUL</v>
      </c>
      <c r="E214" s="22" t="str">
        <f>IFERROR(VLOOKUP(B214,Colaboradores!A:D,4,),"")</f>
        <v>TÉCNICO DE MEIO AMBIENTE</v>
      </c>
      <c r="F214" s="22" t="s">
        <v>33</v>
      </c>
      <c r="G214" s="24" t="str">
        <f>IFERROR(VLOOKUP(F214,Procedimentos!A:C,2,),"")</f>
        <v>GESTÃO DE INSPEÇÕES AMBIENTAIS</v>
      </c>
      <c r="H214" s="25"/>
      <c r="I214" s="25">
        <v>45862</v>
      </c>
      <c r="J214" s="22">
        <v>12</v>
      </c>
      <c r="K214" s="25">
        <f t="shared" si="8"/>
        <v>46227</v>
      </c>
      <c r="L214" s="28" t="str">
        <f t="shared" ca="1" si="7"/>
        <v>Em dia</v>
      </c>
      <c r="M214" s="31" t="s">
        <v>30</v>
      </c>
      <c r="N214" s="28" t="s">
        <v>21</v>
      </c>
      <c r="O214" s="22" t="s">
        <v>28</v>
      </c>
      <c r="P214" s="25">
        <f t="shared" si="2"/>
        <v>45954</v>
      </c>
      <c r="Q214" s="25"/>
      <c r="R214" s="25"/>
      <c r="S214" s="28" t="s">
        <v>23</v>
      </c>
      <c r="T214" s="28">
        <v>1</v>
      </c>
    </row>
    <row r="215" spans="1:20" ht="14.25" customHeight="1">
      <c r="A215" s="22">
        <v>241</v>
      </c>
      <c r="B215" s="32">
        <v>14785</v>
      </c>
      <c r="C215" s="22" t="str">
        <f>IFERROR(VLOOKUP(B215,Colaboradores!A:D,2,),"")</f>
        <v>ROSEANE CUSTODIO LIMA</v>
      </c>
      <c r="D215" s="22" t="str">
        <f>IFERROR(VLOOKUP(B215,Colaboradores!A:D,3,),"")</f>
        <v>REGIONAL CENTRAL</v>
      </c>
      <c r="E215" s="22" t="str">
        <f>IFERROR(VLOOKUP(B215,Colaboradores!A:D,4,),"")</f>
        <v>ASSISTENTE DE MEIO AMBIENTE</v>
      </c>
      <c r="F215" s="22" t="s">
        <v>33</v>
      </c>
      <c r="G215" s="24" t="str">
        <f>IFERROR(VLOOKUP(F215,Procedimentos!A:C,2,),"")</f>
        <v>GESTÃO DE INSPEÇÕES AMBIENTAIS</v>
      </c>
      <c r="H215" s="25"/>
      <c r="I215" s="25">
        <v>45862</v>
      </c>
      <c r="J215" s="22">
        <v>12</v>
      </c>
      <c r="K215" s="25">
        <f t="shared" si="8"/>
        <v>46227</v>
      </c>
      <c r="L215" s="28" t="str">
        <f t="shared" ca="1" si="7"/>
        <v>Em dia</v>
      </c>
      <c r="M215" s="31" t="s">
        <v>30</v>
      </c>
      <c r="N215" s="28" t="s">
        <v>21</v>
      </c>
      <c r="O215" s="22" t="s">
        <v>28</v>
      </c>
      <c r="P215" s="25">
        <f t="shared" si="2"/>
        <v>45954</v>
      </c>
      <c r="Q215" s="25"/>
      <c r="R215" s="25"/>
      <c r="S215" s="28" t="s">
        <v>23</v>
      </c>
      <c r="T215" s="28">
        <v>1</v>
      </c>
    </row>
    <row r="216" spans="1:20" ht="14.25" customHeight="1">
      <c r="A216" s="22">
        <v>242</v>
      </c>
      <c r="B216" s="22">
        <v>14321</v>
      </c>
      <c r="C216" s="22" t="str">
        <f>IFERROR(VLOOKUP(B216,Colaboradores!A:D,2,),"")</f>
        <v>LAYANA KARINE SILVA BARBOSA</v>
      </c>
      <c r="D216" s="22" t="str">
        <f>IFERROR(VLOOKUP(B216,Colaboradores!A:D,3,),"")</f>
        <v>REGIONAL SUL</v>
      </c>
      <c r="E216" s="22" t="str">
        <f>IFERROR(VLOOKUP(B216,Colaboradores!A:D,4,),"")</f>
        <v>ASSISTENTE ADMINISTRATIVO</v>
      </c>
      <c r="F216" s="22" t="s">
        <v>33</v>
      </c>
      <c r="G216" s="24" t="str">
        <f>IFERROR(VLOOKUP(F216,Procedimentos!A:C,2,),"")</f>
        <v>GESTÃO DE INSPEÇÕES AMBIENTAIS</v>
      </c>
      <c r="H216" s="25"/>
      <c r="I216" s="25">
        <v>45862</v>
      </c>
      <c r="J216" s="22">
        <v>12</v>
      </c>
      <c r="K216" s="25">
        <f t="shared" si="8"/>
        <v>46227</v>
      </c>
      <c r="L216" s="28" t="str">
        <f t="shared" ca="1" si="7"/>
        <v>Em dia</v>
      </c>
      <c r="M216" s="31" t="s">
        <v>30</v>
      </c>
      <c r="N216" s="28" t="s">
        <v>21</v>
      </c>
      <c r="O216" s="22" t="s">
        <v>28</v>
      </c>
      <c r="P216" s="25">
        <f t="shared" si="2"/>
        <v>45954</v>
      </c>
      <c r="Q216" s="25"/>
      <c r="R216" s="25"/>
      <c r="S216" s="28" t="s">
        <v>23</v>
      </c>
      <c r="T216" s="28">
        <v>1</v>
      </c>
    </row>
    <row r="217" spans="1:20" ht="14.25" customHeight="1">
      <c r="A217" s="22">
        <v>244</v>
      </c>
      <c r="B217" s="32">
        <v>15042</v>
      </c>
      <c r="C217" s="22" t="str">
        <f>IFERROR(VLOOKUP(B217,Colaboradores!A:D,2,),"")</f>
        <v>MARIANA CRISTINA FEITOSA SANTOS</v>
      </c>
      <c r="D217" s="22" t="str">
        <f>IFERROR(VLOOKUP(B217,Colaboradores!A:D,3,),"")</f>
        <v>REGIONAL SUL</v>
      </c>
      <c r="E217" s="22" t="str">
        <f>IFERROR(VLOOKUP(B217,Colaboradores!A:D,4,),"")</f>
        <v>TÉCNICA DE SEGURANÇA DO TRABALHO</v>
      </c>
      <c r="F217" s="22" t="s">
        <v>33</v>
      </c>
      <c r="G217" s="24" t="str">
        <f>IFERROR(VLOOKUP(F217,Procedimentos!A:C,2,),"")</f>
        <v>GESTÃO DE INSPEÇÕES AMBIENTAIS</v>
      </c>
      <c r="H217" s="25"/>
      <c r="I217" s="25">
        <v>45862</v>
      </c>
      <c r="J217" s="22">
        <v>12</v>
      </c>
      <c r="K217" s="25">
        <f t="shared" si="8"/>
        <v>46227</v>
      </c>
      <c r="L217" s="28" t="str">
        <f t="shared" ca="1" si="7"/>
        <v>Em dia</v>
      </c>
      <c r="M217" s="31" t="s">
        <v>30</v>
      </c>
      <c r="N217" s="28" t="s">
        <v>21</v>
      </c>
      <c r="O217" s="22" t="s">
        <v>28</v>
      </c>
      <c r="P217" s="25">
        <f t="shared" si="2"/>
        <v>45954</v>
      </c>
      <c r="Q217" s="25"/>
      <c r="R217" s="25"/>
      <c r="S217" s="28" t="s">
        <v>23</v>
      </c>
      <c r="T217" s="28">
        <v>1</v>
      </c>
    </row>
    <row r="218" spans="1:20" ht="14.25" customHeight="1">
      <c r="A218" s="22">
        <v>245</v>
      </c>
      <c r="B218" s="22">
        <v>14354</v>
      </c>
      <c r="C218" s="22" t="str">
        <f>IFERROR(VLOOKUP(B218,Colaboradores!A:D,2,),"")</f>
        <v>JOSE CLEITON SILVA DE OLIVEIRA</v>
      </c>
      <c r="D218" s="22" t="str">
        <f>IFERROR(VLOOKUP(B218,Colaboradores!A:D,3,),"")</f>
        <v>REGIONAL CENTRAL</v>
      </c>
      <c r="E218" s="22" t="str">
        <f>IFERROR(VLOOKUP(B218,Colaboradores!A:D,4,),"")</f>
        <v>TÉCNICO DE SEGURANÇA DO TRABALHO</v>
      </c>
      <c r="F218" s="22" t="s">
        <v>33</v>
      </c>
      <c r="G218" s="24" t="str">
        <f>IFERROR(VLOOKUP(F218,Procedimentos!A:C,2,),"")</f>
        <v>GESTÃO DE INSPEÇÕES AMBIENTAIS</v>
      </c>
      <c r="H218" s="25"/>
      <c r="I218" s="25">
        <v>45862</v>
      </c>
      <c r="J218" s="22">
        <v>12</v>
      </c>
      <c r="K218" s="25">
        <f t="shared" si="8"/>
        <v>46227</v>
      </c>
      <c r="L218" s="28" t="str">
        <f t="shared" ca="1" si="7"/>
        <v>Em dia</v>
      </c>
      <c r="M218" s="31" t="s">
        <v>30</v>
      </c>
      <c r="N218" s="28" t="s">
        <v>21</v>
      </c>
      <c r="O218" s="22" t="s">
        <v>28</v>
      </c>
      <c r="P218" s="25">
        <f t="shared" si="2"/>
        <v>45954</v>
      </c>
      <c r="Q218" s="25"/>
      <c r="R218" s="25"/>
      <c r="S218" s="28" t="s">
        <v>23</v>
      </c>
      <c r="T218" s="28">
        <v>1</v>
      </c>
    </row>
    <row r="219" spans="1:20" ht="14.25" customHeight="1">
      <c r="A219" s="22">
        <v>246</v>
      </c>
      <c r="B219" s="22">
        <v>13584</v>
      </c>
      <c r="C219" s="22" t="str">
        <f>IFERROR(VLOOKUP(B219,Colaboradores!A:D,2,),"")</f>
        <v>ALANA RODRIGUES FERREIRA</v>
      </c>
      <c r="D219" s="22" t="str">
        <f>IFERROR(VLOOKUP(B219,Colaboradores!A:D,3,),"")</f>
        <v>REGIONAL LESTE</v>
      </c>
      <c r="E219" s="22" t="str">
        <f>IFERROR(VLOOKUP(B219,Colaboradores!A:D,4,),"")</f>
        <v>COORDENADOR DE SSMA</v>
      </c>
      <c r="F219" s="22" t="s">
        <v>33</v>
      </c>
      <c r="G219" s="24" t="str">
        <f>IFERROR(VLOOKUP(F219,Procedimentos!A:C,2,),"")</f>
        <v>GESTÃO DE INSPEÇÕES AMBIENTAIS</v>
      </c>
      <c r="H219" s="25"/>
      <c r="I219" s="25">
        <v>45862</v>
      </c>
      <c r="J219" s="22">
        <v>12</v>
      </c>
      <c r="K219" s="25">
        <f t="shared" si="8"/>
        <v>46227</v>
      </c>
      <c r="L219" s="28" t="str">
        <f t="shared" ca="1" si="7"/>
        <v>Em dia</v>
      </c>
      <c r="M219" s="31" t="s">
        <v>30</v>
      </c>
      <c r="N219" s="28" t="s">
        <v>21</v>
      </c>
      <c r="O219" s="22" t="s">
        <v>28</v>
      </c>
      <c r="P219" s="25">
        <f t="shared" si="2"/>
        <v>45954</v>
      </c>
      <c r="Q219" s="25"/>
      <c r="R219" s="25"/>
      <c r="S219" s="28" t="s">
        <v>23</v>
      </c>
      <c r="T219" s="28">
        <v>1</v>
      </c>
    </row>
    <row r="220" spans="1:20" ht="14.25" customHeight="1">
      <c r="A220" s="22">
        <v>247</v>
      </c>
      <c r="B220" s="22">
        <v>14357</v>
      </c>
      <c r="C220" s="22" t="str">
        <f>IFERROR(VLOOKUP(B220,Colaboradores!A:D,2,),"")</f>
        <v>JAIME VIEIRA GALVAO</v>
      </c>
      <c r="D220" s="22" t="str">
        <f>IFERROR(VLOOKUP(B220,Colaboradores!A:D,3,),"")</f>
        <v>REGIONAL LESTE</v>
      </c>
      <c r="E220" s="22" t="str">
        <f>IFERROR(VLOOKUP(B220,Colaboradores!A:D,4,),"")</f>
        <v>ENFERMEIRO DO TRABALHO</v>
      </c>
      <c r="F220" s="22" t="s">
        <v>33</v>
      </c>
      <c r="G220" s="24" t="str">
        <f>IFERROR(VLOOKUP(F220,Procedimentos!A:C,2,),"")</f>
        <v>GESTÃO DE INSPEÇÕES AMBIENTAIS</v>
      </c>
      <c r="H220" s="25"/>
      <c r="I220" s="25">
        <v>45862</v>
      </c>
      <c r="J220" s="22">
        <v>12</v>
      </c>
      <c r="K220" s="25">
        <f t="shared" si="8"/>
        <v>46227</v>
      </c>
      <c r="L220" s="28" t="str">
        <f t="shared" ca="1" si="7"/>
        <v>Em dia</v>
      </c>
      <c r="M220" s="31" t="s">
        <v>30</v>
      </c>
      <c r="N220" s="28" t="s">
        <v>21</v>
      </c>
      <c r="O220" s="22" t="s">
        <v>28</v>
      </c>
      <c r="P220" s="25">
        <f t="shared" si="2"/>
        <v>45954</v>
      </c>
      <c r="Q220" s="25"/>
      <c r="R220" s="25"/>
      <c r="S220" s="28" t="s">
        <v>23</v>
      </c>
      <c r="T220" s="28">
        <v>1</v>
      </c>
    </row>
    <row r="221" spans="1:20" ht="14.25" customHeight="1">
      <c r="A221" s="22">
        <v>248</v>
      </c>
      <c r="B221" s="32">
        <v>14721</v>
      </c>
      <c r="C221" s="22" t="str">
        <f>IFERROR(VLOOKUP(B221,Colaboradores!A:D,2,),"")</f>
        <v>RONILSON FERREIRA OLIVEIRA</v>
      </c>
      <c r="D221" s="22" t="str">
        <f>IFERROR(VLOOKUP(B221,Colaboradores!A:D,3,),"")</f>
        <v>REGIONAL LESTE</v>
      </c>
      <c r="E221" s="22" t="str">
        <f>IFERROR(VLOOKUP(B221,Colaboradores!A:D,4,),"")</f>
        <v>TÉCNICO DE SEGURANÇA DO TRABALHO</v>
      </c>
      <c r="F221" s="22" t="s">
        <v>33</v>
      </c>
      <c r="G221" s="24" t="str">
        <f>IFERROR(VLOOKUP(F221,Procedimentos!A:C,2,),"")</f>
        <v>GESTÃO DE INSPEÇÕES AMBIENTAIS</v>
      </c>
      <c r="H221" s="25"/>
      <c r="I221" s="25">
        <v>45862</v>
      </c>
      <c r="J221" s="22">
        <v>12</v>
      </c>
      <c r="K221" s="25">
        <f t="shared" si="8"/>
        <v>46227</v>
      </c>
      <c r="L221" s="28" t="str">
        <f t="shared" ca="1" si="7"/>
        <v>Em dia</v>
      </c>
      <c r="M221" s="31" t="s">
        <v>30</v>
      </c>
      <c r="N221" s="28" t="s">
        <v>21</v>
      </c>
      <c r="O221" s="22" t="s">
        <v>28</v>
      </c>
      <c r="P221" s="25">
        <f t="shared" si="2"/>
        <v>45954</v>
      </c>
      <c r="Q221" s="25"/>
      <c r="R221" s="25"/>
      <c r="S221" s="28" t="s">
        <v>23</v>
      </c>
      <c r="T221" s="28">
        <v>1</v>
      </c>
    </row>
    <row r="222" spans="1:20" ht="14.25" customHeight="1">
      <c r="A222" s="22">
        <v>249</v>
      </c>
      <c r="B222" s="22">
        <v>15100</v>
      </c>
      <c r="C222" s="22" t="str">
        <f>IFERROR(VLOOKUP(B222,Colaboradores!A:D,2,),"")</f>
        <v>JONATHAN SILVA ALVES</v>
      </c>
      <c r="D222" s="22" t="str">
        <f>IFERROR(VLOOKUP(B222,Colaboradores!A:D,3,),"")</f>
        <v>REGIONAL SUL</v>
      </c>
      <c r="E222" s="22" t="str">
        <f>IFERROR(VLOOKUP(B222,Colaboradores!A:D,4,),"")</f>
        <v>COORDENADOR DE SSMA</v>
      </c>
      <c r="F222" s="22" t="s">
        <v>29</v>
      </c>
      <c r="G222" s="24" t="str">
        <f>IFERROR(VLOOKUP(F222,Procedimentos!A:C,2,),"")</f>
        <v>COLETA SELETIVA DESSMA</v>
      </c>
      <c r="H222" s="25"/>
      <c r="I222" s="25">
        <v>45863</v>
      </c>
      <c r="J222" s="22">
        <v>12</v>
      </c>
      <c r="K222" s="25">
        <f t="shared" si="8"/>
        <v>46228</v>
      </c>
      <c r="L222" s="28" t="str">
        <f t="shared" ca="1" si="7"/>
        <v>Em dia</v>
      </c>
      <c r="M222" s="31" t="s">
        <v>40</v>
      </c>
      <c r="N222" s="28" t="s">
        <v>21</v>
      </c>
      <c r="O222" s="22" t="s">
        <v>28</v>
      </c>
      <c r="P222" s="25">
        <f t="shared" si="2"/>
        <v>45955</v>
      </c>
      <c r="Q222" s="25"/>
      <c r="R222" s="25"/>
      <c r="S222" s="28" t="s">
        <v>23</v>
      </c>
      <c r="T222" s="28">
        <v>1</v>
      </c>
    </row>
    <row r="223" spans="1:20" ht="14.25" customHeight="1">
      <c r="A223" s="22">
        <v>250</v>
      </c>
      <c r="B223" s="22">
        <v>14420</v>
      </c>
      <c r="C223" s="22" t="str">
        <f>IFERROR(VLOOKUP(B223,Colaboradores!A:D,2,),"")</f>
        <v>LAYLLA EMANUELLY DA SILVA ARAUJO</v>
      </c>
      <c r="D223" s="22" t="str">
        <f>IFERROR(VLOOKUP(B223,Colaboradores!A:D,3,),"")</f>
        <v>REGIONAL LESTE</v>
      </c>
      <c r="E223" s="22" t="str">
        <f>IFERROR(VLOOKUP(B223,Colaboradores!A:D,4,),"")</f>
        <v>ASSISTENTE ADMINISTRATIVO</v>
      </c>
      <c r="F223" s="22" t="s">
        <v>29</v>
      </c>
      <c r="G223" s="24" t="str">
        <f>IFERROR(VLOOKUP(F223,Procedimentos!A:C,2,),"")</f>
        <v>COLETA SELETIVA DESSMA</v>
      </c>
      <c r="H223" s="25"/>
      <c r="I223" s="25">
        <v>45863</v>
      </c>
      <c r="J223" s="22">
        <v>12</v>
      </c>
      <c r="K223" s="25">
        <f t="shared" si="8"/>
        <v>46228</v>
      </c>
      <c r="L223" s="28" t="str">
        <f t="shared" ca="1" si="7"/>
        <v>Em dia</v>
      </c>
      <c r="M223" s="31" t="s">
        <v>40</v>
      </c>
      <c r="N223" s="28" t="s">
        <v>21</v>
      </c>
      <c r="O223" s="22" t="s">
        <v>28</v>
      </c>
      <c r="P223" s="25">
        <f t="shared" si="2"/>
        <v>45955</v>
      </c>
      <c r="Q223" s="25"/>
      <c r="R223" s="25"/>
      <c r="S223" s="28" t="s">
        <v>23</v>
      </c>
      <c r="T223" s="28">
        <v>1</v>
      </c>
    </row>
    <row r="224" spans="1:20" ht="14.25" customHeight="1">
      <c r="A224" s="22">
        <v>251</v>
      </c>
      <c r="B224" s="22">
        <v>13822</v>
      </c>
      <c r="C224" s="22" t="str">
        <f>IFERROR(VLOOKUP(B224,Colaboradores!A:D,2,),"")</f>
        <v>JULIANA DE CASTRO ALMEIDA</v>
      </c>
      <c r="D224" s="22" t="str">
        <f>IFERROR(VLOOKUP(B224,Colaboradores!A:D,3,),"")</f>
        <v>REGIONAL CENTRAL</v>
      </c>
      <c r="E224" s="22" t="str">
        <f>IFERROR(VLOOKUP(B224,Colaboradores!A:D,4,),"")</f>
        <v>COORDENADOR DE SSMA</v>
      </c>
      <c r="F224" s="22" t="s">
        <v>29</v>
      </c>
      <c r="G224" s="24" t="str">
        <f>IFERROR(VLOOKUP(F224,Procedimentos!A:C,2,),"")</f>
        <v>COLETA SELETIVA DESSMA</v>
      </c>
      <c r="H224" s="25"/>
      <c r="I224" s="25">
        <v>45863</v>
      </c>
      <c r="J224" s="22">
        <v>12</v>
      </c>
      <c r="K224" s="25">
        <f t="shared" si="8"/>
        <v>46228</v>
      </c>
      <c r="L224" s="28" t="str">
        <f t="shared" ca="1" si="7"/>
        <v>Em dia</v>
      </c>
      <c r="M224" s="31" t="s">
        <v>40</v>
      </c>
      <c r="N224" s="28" t="s">
        <v>21</v>
      </c>
      <c r="O224" s="22" t="s">
        <v>28</v>
      </c>
      <c r="P224" s="25">
        <f t="shared" si="2"/>
        <v>45955</v>
      </c>
      <c r="Q224" s="25"/>
      <c r="R224" s="25"/>
      <c r="S224" s="28" t="s">
        <v>23</v>
      </c>
      <c r="T224" s="28">
        <v>1</v>
      </c>
    </row>
    <row r="225" spans="1:20" ht="14.25" customHeight="1">
      <c r="A225" s="22">
        <v>252</v>
      </c>
      <c r="B225" s="22">
        <v>12712</v>
      </c>
      <c r="C225" s="22" t="str">
        <f>IFERROR(VLOOKUP(B225,Colaboradores!A:D,2,),"")</f>
        <v>JOYCE CLEIA MIRANDA BARROS</v>
      </c>
      <c r="D225" s="22" t="str">
        <f>IFERROR(VLOOKUP(B225,Colaboradores!A:D,3,),"")</f>
        <v>GESTÃO INTEGRADA</v>
      </c>
      <c r="E225" s="22" t="str">
        <f>IFERROR(VLOOKUP(B225,Colaboradores!A:D,4,),"")</f>
        <v>ANALISTA DE GESTÃO INTEGRADA</v>
      </c>
      <c r="F225" s="22" t="s">
        <v>29</v>
      </c>
      <c r="G225" s="24" t="str">
        <f>IFERROR(VLOOKUP(F225,Procedimentos!A:C,2,),"")</f>
        <v>COLETA SELETIVA DESSMA</v>
      </c>
      <c r="H225" s="25"/>
      <c r="I225" s="25">
        <v>45863</v>
      </c>
      <c r="J225" s="22">
        <v>12</v>
      </c>
      <c r="K225" s="25">
        <f t="shared" si="8"/>
        <v>46228</v>
      </c>
      <c r="L225" s="28" t="str">
        <f t="shared" ca="1" si="7"/>
        <v>Em dia</v>
      </c>
      <c r="M225" s="31" t="s">
        <v>40</v>
      </c>
      <c r="N225" s="28" t="s">
        <v>21</v>
      </c>
      <c r="O225" s="22" t="s">
        <v>28</v>
      </c>
      <c r="P225" s="25">
        <f t="shared" si="2"/>
        <v>45955</v>
      </c>
      <c r="Q225" s="25"/>
      <c r="R225" s="25"/>
      <c r="S225" s="28" t="s">
        <v>23</v>
      </c>
      <c r="T225" s="28">
        <v>1</v>
      </c>
    </row>
    <row r="226" spans="1:20" ht="14.25" customHeight="1">
      <c r="A226" s="22">
        <v>253</v>
      </c>
      <c r="B226" s="32">
        <v>14356</v>
      </c>
      <c r="C226" s="22" t="str">
        <f>IFERROR(VLOOKUP(B226,Colaboradores!A:D,2,),"")</f>
        <v>JACILENE BELO LIMA</v>
      </c>
      <c r="D226" s="22" t="str">
        <f>IFERROR(VLOOKUP(B226,Colaboradores!A:D,3,),"")</f>
        <v>REGIONAL LESTE</v>
      </c>
      <c r="E226" s="22" t="str">
        <f>IFERROR(VLOOKUP(B226,Colaboradores!A:D,4,),"")</f>
        <v>ASSISTENTE ADMINISTRATIVO</v>
      </c>
      <c r="F226" s="22" t="s">
        <v>29</v>
      </c>
      <c r="G226" s="24" t="str">
        <f>IFERROR(VLOOKUP(F226,Procedimentos!A:C,2,),"")</f>
        <v>COLETA SELETIVA DESSMA</v>
      </c>
      <c r="H226" s="25"/>
      <c r="I226" s="25">
        <v>45863</v>
      </c>
      <c r="J226" s="22">
        <v>12</v>
      </c>
      <c r="K226" s="25">
        <f t="shared" si="8"/>
        <v>46228</v>
      </c>
      <c r="L226" s="28" t="str">
        <f t="shared" ca="1" si="7"/>
        <v>Em dia</v>
      </c>
      <c r="M226" s="31" t="s">
        <v>40</v>
      </c>
      <c r="N226" s="28" t="s">
        <v>21</v>
      </c>
      <c r="O226" s="22" t="s">
        <v>28</v>
      </c>
      <c r="P226" s="25">
        <f t="shared" si="2"/>
        <v>45955</v>
      </c>
      <c r="Q226" s="25"/>
      <c r="R226" s="25"/>
      <c r="S226" s="28" t="s">
        <v>23</v>
      </c>
      <c r="T226" s="28">
        <v>1</v>
      </c>
    </row>
    <row r="227" spans="1:20" ht="14.25" customHeight="1">
      <c r="A227" s="22">
        <v>255</v>
      </c>
      <c r="B227" s="22">
        <v>12486</v>
      </c>
      <c r="C227" s="22" t="str">
        <f>IFERROR(VLOOKUP(B227,Colaboradores!A:D,2,),"")</f>
        <v>ENEAS GALVAO MAGALHAES BRITO</v>
      </c>
      <c r="D227" s="22" t="str">
        <f>IFERROR(VLOOKUP(B227,Colaboradores!A:D,3,),"")</f>
        <v>MEIO AMBIENTE</v>
      </c>
      <c r="E227" s="22" t="str">
        <f>IFERROR(VLOOKUP(B227,Colaboradores!A:D,4,),"")</f>
        <v>ENGENHEIRO DE MEIO AMBIENTE</v>
      </c>
      <c r="F227" s="22" t="s">
        <v>29</v>
      </c>
      <c r="G227" s="24" t="str">
        <f>IFERROR(VLOOKUP(F227,Procedimentos!A:C,2,),"")</f>
        <v>COLETA SELETIVA DESSMA</v>
      </c>
      <c r="H227" s="22" t="s">
        <v>7</v>
      </c>
      <c r="I227" s="22"/>
      <c r="J227" s="22">
        <v>12</v>
      </c>
      <c r="K227" s="25" t="str">
        <f t="shared" si="8"/>
        <v/>
      </c>
      <c r="L227" s="28" t="str">
        <f t="shared" ca="1" si="7"/>
        <v/>
      </c>
      <c r="M227" s="31" t="s">
        <v>40</v>
      </c>
      <c r="N227" s="28" t="s">
        <v>21</v>
      </c>
      <c r="O227" s="22" t="s">
        <v>28</v>
      </c>
      <c r="P227" s="25"/>
      <c r="Q227" s="25"/>
      <c r="R227" s="25"/>
      <c r="S227" s="28" t="s">
        <v>23</v>
      </c>
      <c r="T227" s="28">
        <v>1</v>
      </c>
    </row>
    <row r="228" spans="1:20" ht="14.25" customHeight="1">
      <c r="A228" s="22">
        <v>256</v>
      </c>
      <c r="B228" s="22">
        <v>7601</v>
      </c>
      <c r="C228" s="22" t="str">
        <f>IFERROR(VLOOKUP(B228,Colaboradores!A:D,2,),"")</f>
        <v>RAYANE BEZERRA DE JESUS</v>
      </c>
      <c r="D228" s="22" t="str">
        <f>IFERROR(VLOOKUP(B228,Colaboradores!A:D,3,),"")</f>
        <v>SAÚDE OCUPACIONAL</v>
      </c>
      <c r="E228" s="22" t="str">
        <f>IFERROR(VLOOKUP(B228,Colaboradores!A:D,4,),"")</f>
        <v>TÉCNICO DE ENFERMAGEM DO TRABALHO</v>
      </c>
      <c r="F228" s="22" t="s">
        <v>29</v>
      </c>
      <c r="G228" s="24" t="str">
        <f>IFERROR(VLOOKUP(F228,Procedimentos!A:C,2,),"")</f>
        <v>COLETA SELETIVA DESSMA</v>
      </c>
      <c r="H228" s="25"/>
      <c r="I228" s="25">
        <v>45863</v>
      </c>
      <c r="J228" s="22">
        <v>12</v>
      </c>
      <c r="K228" s="25">
        <f t="shared" si="8"/>
        <v>46228</v>
      </c>
      <c r="L228" s="28" t="str">
        <f t="shared" ca="1" si="7"/>
        <v>Em dia</v>
      </c>
      <c r="M228" s="31" t="s">
        <v>40</v>
      </c>
      <c r="N228" s="28" t="s">
        <v>21</v>
      </c>
      <c r="O228" s="22" t="s">
        <v>28</v>
      </c>
      <c r="P228" s="25">
        <f t="shared" ref="P228:P291" si="9">EDATE(I228,3)</f>
        <v>45955</v>
      </c>
      <c r="Q228" s="25"/>
      <c r="R228" s="25"/>
      <c r="S228" s="28" t="s">
        <v>23</v>
      </c>
      <c r="T228" s="28">
        <v>1</v>
      </c>
    </row>
    <row r="229" spans="1:20" ht="14.25" customHeight="1">
      <c r="A229" s="22">
        <v>257</v>
      </c>
      <c r="B229" s="22">
        <v>7147</v>
      </c>
      <c r="C229" s="22" t="str">
        <f>IFERROR(VLOOKUP(B229,Colaboradores!A:D,2,),"")</f>
        <v>MAIARA MONTEIRO MARQUES CASTELO BRANCO</v>
      </c>
      <c r="D229" s="22" t="str">
        <f>IFERROR(VLOOKUP(B229,Colaboradores!A:D,3,),"")</f>
        <v>SAÚDE OCUPACIONAL</v>
      </c>
      <c r="E229" s="22" t="str">
        <f>IFERROR(VLOOKUP(B229,Colaboradores!A:D,4,),"")</f>
        <v>PSICÓLOGA</v>
      </c>
      <c r="F229" s="22" t="s">
        <v>29</v>
      </c>
      <c r="G229" s="24" t="str">
        <f>IFERROR(VLOOKUP(F229,Procedimentos!A:C,2,),"")</f>
        <v>COLETA SELETIVA DESSMA</v>
      </c>
      <c r="H229" s="25"/>
      <c r="I229" s="25">
        <v>45863</v>
      </c>
      <c r="J229" s="22">
        <v>12</v>
      </c>
      <c r="K229" s="25">
        <f t="shared" si="8"/>
        <v>46228</v>
      </c>
      <c r="L229" s="28" t="str">
        <f t="shared" ca="1" si="7"/>
        <v>Em dia</v>
      </c>
      <c r="M229" s="31" t="s">
        <v>40</v>
      </c>
      <c r="N229" s="28" t="s">
        <v>21</v>
      </c>
      <c r="O229" s="22" t="s">
        <v>28</v>
      </c>
      <c r="P229" s="25">
        <f t="shared" si="9"/>
        <v>45955</v>
      </c>
      <c r="Q229" s="25"/>
      <c r="R229" s="25"/>
      <c r="S229" s="28" t="s">
        <v>23</v>
      </c>
      <c r="T229" s="28">
        <v>1</v>
      </c>
    </row>
    <row r="230" spans="1:20" ht="14.25" customHeight="1">
      <c r="A230" s="22">
        <v>258</v>
      </c>
      <c r="B230" s="22">
        <v>14499</v>
      </c>
      <c r="C230" s="22" t="str">
        <f>IFERROR(VLOOKUP(B230,Colaboradores!A:D,2,),"")</f>
        <v>SAMIRIS COSTA DA SILVA</v>
      </c>
      <c r="D230" s="22" t="str">
        <f>IFERROR(VLOOKUP(B230,Colaboradores!A:D,3,),"")</f>
        <v>SAÚDE OCUPACIONAL</v>
      </c>
      <c r="E230" s="22" t="str">
        <f>IFERROR(VLOOKUP(B230,Colaboradores!A:D,4,),"")</f>
        <v>PSICÓLOGA</v>
      </c>
      <c r="F230" s="22" t="s">
        <v>29</v>
      </c>
      <c r="G230" s="24" t="str">
        <f>IFERROR(VLOOKUP(F230,Procedimentos!A:C,2,),"")</f>
        <v>COLETA SELETIVA DESSMA</v>
      </c>
      <c r="H230" s="25"/>
      <c r="I230" s="25">
        <v>45863</v>
      </c>
      <c r="J230" s="22">
        <v>12</v>
      </c>
      <c r="K230" s="25">
        <f t="shared" si="8"/>
        <v>46228</v>
      </c>
      <c r="L230" s="28" t="str">
        <f t="shared" ca="1" si="7"/>
        <v>Em dia</v>
      </c>
      <c r="M230" s="31" t="s">
        <v>40</v>
      </c>
      <c r="N230" s="28" t="s">
        <v>21</v>
      </c>
      <c r="O230" s="22" t="s">
        <v>28</v>
      </c>
      <c r="P230" s="25">
        <f t="shared" si="9"/>
        <v>45955</v>
      </c>
      <c r="Q230" s="25"/>
      <c r="R230" s="25"/>
      <c r="S230" s="28" t="s">
        <v>23</v>
      </c>
      <c r="T230" s="28">
        <v>1</v>
      </c>
    </row>
    <row r="231" spans="1:20" ht="14.25" customHeight="1">
      <c r="A231" s="22">
        <v>260</v>
      </c>
      <c r="B231" s="32">
        <v>14083</v>
      </c>
      <c r="C231" s="22" t="str">
        <f>IFERROR(VLOOKUP(B231,Colaboradores!A:D,2,),"")</f>
        <v>TAHYNAN FREITAS SILVA COSTA</v>
      </c>
      <c r="D231" s="22" t="str">
        <f>IFERROR(VLOOKUP(B231,Colaboradores!A:D,3,),"")</f>
        <v>SAÚDE OCUPACIONAL</v>
      </c>
      <c r="E231" s="22" t="str">
        <f>IFERROR(VLOOKUP(B231,Colaboradores!A:D,4,),"")</f>
        <v>TÉCNICO DE ENFERMAGEM DO TRABALHO</v>
      </c>
      <c r="F231" s="22" t="s">
        <v>29</v>
      </c>
      <c r="G231" s="24" t="str">
        <f>IFERROR(VLOOKUP(F231,Procedimentos!A:C,2,),"")</f>
        <v>COLETA SELETIVA DESSMA</v>
      </c>
      <c r="H231" s="25"/>
      <c r="I231" s="25">
        <v>45863</v>
      </c>
      <c r="J231" s="22">
        <v>12</v>
      </c>
      <c r="K231" s="25">
        <f t="shared" si="8"/>
        <v>46228</v>
      </c>
      <c r="L231" s="28" t="str">
        <f t="shared" ca="1" si="7"/>
        <v>Em dia</v>
      </c>
      <c r="M231" s="31" t="s">
        <v>40</v>
      </c>
      <c r="N231" s="28" t="s">
        <v>21</v>
      </c>
      <c r="O231" s="22" t="s">
        <v>28</v>
      </c>
      <c r="P231" s="25">
        <f t="shared" si="9"/>
        <v>45955</v>
      </c>
      <c r="Q231" s="25"/>
      <c r="R231" s="25"/>
      <c r="S231" s="28" t="s">
        <v>23</v>
      </c>
      <c r="T231" s="28">
        <v>1</v>
      </c>
    </row>
    <row r="232" spans="1:20" ht="14.25" customHeight="1">
      <c r="A232" s="22">
        <v>261</v>
      </c>
      <c r="B232" s="22">
        <v>15059</v>
      </c>
      <c r="C232" s="22" t="str">
        <f>IFERROR(VLOOKUP(B232,Colaboradores!A:D,2,),"")</f>
        <v>GUILHERME LEÃO DOS SANTOS</v>
      </c>
      <c r="D232" s="22" t="str">
        <f>IFERROR(VLOOKUP(B232,Colaboradores!A:D,3,),"")</f>
        <v>SAÚDE OCUPACIONAL</v>
      </c>
      <c r="E232" s="22" t="str">
        <f>IFERROR(VLOOKUP(B232,Colaboradores!A:D,4,),"")</f>
        <v>ASSISTENTE ADMINISTRATIVO</v>
      </c>
      <c r="F232" s="22" t="s">
        <v>29</v>
      </c>
      <c r="G232" s="24" t="str">
        <f>IFERROR(VLOOKUP(F232,Procedimentos!A:C,2,),"")</f>
        <v>COLETA SELETIVA DESSMA</v>
      </c>
      <c r="H232" s="25"/>
      <c r="I232" s="25">
        <v>45863</v>
      </c>
      <c r="J232" s="22">
        <v>12</v>
      </c>
      <c r="K232" s="25">
        <f t="shared" si="8"/>
        <v>46228</v>
      </c>
      <c r="L232" s="28" t="str">
        <f t="shared" ca="1" si="7"/>
        <v>Em dia</v>
      </c>
      <c r="M232" s="31" t="s">
        <v>40</v>
      </c>
      <c r="N232" s="28" t="s">
        <v>21</v>
      </c>
      <c r="O232" s="22" t="s">
        <v>28</v>
      </c>
      <c r="P232" s="25">
        <f t="shared" si="9"/>
        <v>45955</v>
      </c>
      <c r="Q232" s="25"/>
      <c r="R232" s="25"/>
      <c r="S232" s="28" t="s">
        <v>23</v>
      </c>
      <c r="T232" s="28">
        <v>1</v>
      </c>
    </row>
    <row r="233" spans="1:20" ht="14.25" customHeight="1">
      <c r="A233" s="22">
        <v>262</v>
      </c>
      <c r="B233" s="32">
        <v>12330</v>
      </c>
      <c r="C233" s="22" t="str">
        <f>IFERROR(VLOOKUP(B233,Colaboradores!A:D,2,),"")</f>
        <v>BIANCA GUEDES SILVA ALMEIDA</v>
      </c>
      <c r="D233" s="22" t="str">
        <f>IFERROR(VLOOKUP(B233,Colaboradores!A:D,3,),"")</f>
        <v>SAÚDE OCUPACIONAL</v>
      </c>
      <c r="E233" s="22" t="str">
        <f>IFERROR(VLOOKUP(B233,Colaboradores!A:D,4,),"")</f>
        <v>NUTRICIONISTA</v>
      </c>
      <c r="F233" s="22" t="s">
        <v>29</v>
      </c>
      <c r="G233" s="24" t="str">
        <f>IFERROR(VLOOKUP(F233,Procedimentos!A:C,2,),"")</f>
        <v>COLETA SELETIVA DESSMA</v>
      </c>
      <c r="H233" s="25"/>
      <c r="I233" s="25">
        <v>45863</v>
      </c>
      <c r="J233" s="22">
        <v>12</v>
      </c>
      <c r="K233" s="25">
        <f t="shared" si="8"/>
        <v>46228</v>
      </c>
      <c r="L233" s="28" t="str">
        <f t="shared" ca="1" si="7"/>
        <v>Em dia</v>
      </c>
      <c r="M233" s="31" t="s">
        <v>40</v>
      </c>
      <c r="N233" s="28" t="s">
        <v>21</v>
      </c>
      <c r="O233" s="22" t="s">
        <v>28</v>
      </c>
      <c r="P233" s="25">
        <f t="shared" si="9"/>
        <v>45955</v>
      </c>
      <c r="Q233" s="25"/>
      <c r="R233" s="25"/>
      <c r="S233" s="28" t="s">
        <v>23</v>
      </c>
      <c r="T233" s="28">
        <v>1</v>
      </c>
    </row>
    <row r="234" spans="1:20" ht="14.25" customHeight="1">
      <c r="A234" s="22">
        <v>263</v>
      </c>
      <c r="B234" s="22">
        <v>15100</v>
      </c>
      <c r="C234" s="22" t="str">
        <f>IFERROR(VLOOKUP(B234,Colaboradores!A:D,2,),"")</f>
        <v>JONATHAN SILVA ALVES</v>
      </c>
      <c r="D234" s="22" t="str">
        <f>IFERROR(VLOOKUP(B234,Colaboradores!A:D,3,),"")</f>
        <v>REGIONAL SUL</v>
      </c>
      <c r="E234" s="22" t="str">
        <f>IFERROR(VLOOKUP(B234,Colaboradores!A:D,4,),"")</f>
        <v>COORDENADOR DE SSMA</v>
      </c>
      <c r="F234" s="22" t="s">
        <v>31</v>
      </c>
      <c r="G234" s="24" t="str">
        <f>IFERROR(VLOOKUP(F234,Procedimentos!A:C,2,),"")</f>
        <v>GESTÃO DE COMUNICAÇÃO, CLASSIFICAÇÃO E INVESTIGAÇÃO DE OCORRÊNCIAS AMBIENTAIS</v>
      </c>
      <c r="H234" s="25"/>
      <c r="I234" s="25">
        <v>45863</v>
      </c>
      <c r="J234" s="22">
        <v>12</v>
      </c>
      <c r="K234" s="25">
        <f t="shared" si="8"/>
        <v>46228</v>
      </c>
      <c r="L234" s="28" t="str">
        <f t="shared" ca="1" si="7"/>
        <v>Em dia</v>
      </c>
      <c r="M234" s="31" t="s">
        <v>40</v>
      </c>
      <c r="N234" s="28" t="s">
        <v>21</v>
      </c>
      <c r="O234" s="22" t="s">
        <v>28</v>
      </c>
      <c r="P234" s="25">
        <f t="shared" si="9"/>
        <v>45955</v>
      </c>
      <c r="Q234" s="25"/>
      <c r="R234" s="25"/>
      <c r="S234" s="28" t="s">
        <v>23</v>
      </c>
      <c r="T234" s="28">
        <v>1</v>
      </c>
    </row>
    <row r="235" spans="1:20" ht="14.25" customHeight="1">
      <c r="A235" s="22">
        <v>264</v>
      </c>
      <c r="B235" s="22">
        <v>14420</v>
      </c>
      <c r="C235" s="22" t="str">
        <f>IFERROR(VLOOKUP(B235,Colaboradores!A:D,2,),"")</f>
        <v>LAYLLA EMANUELLY DA SILVA ARAUJO</v>
      </c>
      <c r="D235" s="22" t="str">
        <f>IFERROR(VLOOKUP(B235,Colaboradores!A:D,3,),"")</f>
        <v>REGIONAL LESTE</v>
      </c>
      <c r="E235" s="22" t="str">
        <f>IFERROR(VLOOKUP(B235,Colaboradores!A:D,4,),"")</f>
        <v>ASSISTENTE ADMINISTRATIVO</v>
      </c>
      <c r="F235" s="22" t="s">
        <v>31</v>
      </c>
      <c r="G235" s="24" t="str">
        <f>IFERROR(VLOOKUP(F235,Procedimentos!A:C,2,),"")</f>
        <v>GESTÃO DE COMUNICAÇÃO, CLASSIFICAÇÃO E INVESTIGAÇÃO DE OCORRÊNCIAS AMBIENTAIS</v>
      </c>
      <c r="H235" s="25"/>
      <c r="I235" s="25">
        <v>45863</v>
      </c>
      <c r="J235" s="22">
        <v>12</v>
      </c>
      <c r="K235" s="25">
        <f t="shared" si="8"/>
        <v>46228</v>
      </c>
      <c r="L235" s="28" t="str">
        <f t="shared" ca="1" si="7"/>
        <v>Em dia</v>
      </c>
      <c r="M235" s="31" t="s">
        <v>40</v>
      </c>
      <c r="N235" s="28" t="s">
        <v>21</v>
      </c>
      <c r="O235" s="22" t="s">
        <v>28</v>
      </c>
      <c r="P235" s="25">
        <f t="shared" si="9"/>
        <v>45955</v>
      </c>
      <c r="Q235" s="25"/>
      <c r="R235" s="25"/>
      <c r="S235" s="28" t="s">
        <v>23</v>
      </c>
      <c r="T235" s="28">
        <v>1</v>
      </c>
    </row>
    <row r="236" spans="1:20" ht="14.25" customHeight="1">
      <c r="A236" s="22">
        <v>265</v>
      </c>
      <c r="B236" s="22">
        <v>13822</v>
      </c>
      <c r="C236" s="22" t="str">
        <f>IFERROR(VLOOKUP(B236,Colaboradores!A:D,2,),"")</f>
        <v>JULIANA DE CASTRO ALMEIDA</v>
      </c>
      <c r="D236" s="22" t="str">
        <f>IFERROR(VLOOKUP(B236,Colaboradores!A:D,3,),"")</f>
        <v>REGIONAL CENTRAL</v>
      </c>
      <c r="E236" s="22" t="str">
        <f>IFERROR(VLOOKUP(B236,Colaboradores!A:D,4,),"")</f>
        <v>COORDENADOR DE SSMA</v>
      </c>
      <c r="F236" s="22" t="s">
        <v>31</v>
      </c>
      <c r="G236" s="24" t="str">
        <f>IFERROR(VLOOKUP(F236,Procedimentos!A:C,2,),"")</f>
        <v>GESTÃO DE COMUNICAÇÃO, CLASSIFICAÇÃO E INVESTIGAÇÃO DE OCORRÊNCIAS AMBIENTAIS</v>
      </c>
      <c r="H236" s="25"/>
      <c r="I236" s="25">
        <v>45863</v>
      </c>
      <c r="J236" s="22">
        <v>12</v>
      </c>
      <c r="K236" s="25">
        <f t="shared" si="8"/>
        <v>46228</v>
      </c>
      <c r="L236" s="28" t="str">
        <f t="shared" ca="1" si="7"/>
        <v>Em dia</v>
      </c>
      <c r="M236" s="31" t="s">
        <v>40</v>
      </c>
      <c r="N236" s="28" t="s">
        <v>21</v>
      </c>
      <c r="O236" s="22" t="s">
        <v>28</v>
      </c>
      <c r="P236" s="25">
        <f t="shared" si="9"/>
        <v>45955</v>
      </c>
      <c r="Q236" s="25"/>
      <c r="R236" s="25"/>
      <c r="S236" s="28" t="s">
        <v>23</v>
      </c>
      <c r="T236" s="28">
        <v>1</v>
      </c>
    </row>
    <row r="237" spans="1:20" ht="14.25" customHeight="1">
      <c r="A237" s="22">
        <v>266</v>
      </c>
      <c r="B237" s="22">
        <v>12712</v>
      </c>
      <c r="C237" s="22" t="str">
        <f>IFERROR(VLOOKUP(B237,Colaboradores!A:D,2,),"")</f>
        <v>JOYCE CLEIA MIRANDA BARROS</v>
      </c>
      <c r="D237" s="22" t="str">
        <f>IFERROR(VLOOKUP(B237,Colaboradores!A:D,3,),"")</f>
        <v>GESTÃO INTEGRADA</v>
      </c>
      <c r="E237" s="22" t="str">
        <f>IFERROR(VLOOKUP(B237,Colaboradores!A:D,4,),"")</f>
        <v>ANALISTA DE GESTÃO INTEGRADA</v>
      </c>
      <c r="F237" s="22" t="s">
        <v>31</v>
      </c>
      <c r="G237" s="24" t="str">
        <f>IFERROR(VLOOKUP(F237,Procedimentos!A:C,2,),"")</f>
        <v>GESTÃO DE COMUNICAÇÃO, CLASSIFICAÇÃO E INVESTIGAÇÃO DE OCORRÊNCIAS AMBIENTAIS</v>
      </c>
      <c r="H237" s="25"/>
      <c r="I237" s="25">
        <v>45863</v>
      </c>
      <c r="J237" s="22">
        <v>12</v>
      </c>
      <c r="K237" s="25">
        <f t="shared" si="8"/>
        <v>46228</v>
      </c>
      <c r="L237" s="28" t="str">
        <f t="shared" ca="1" si="7"/>
        <v>Em dia</v>
      </c>
      <c r="M237" s="31" t="s">
        <v>40</v>
      </c>
      <c r="N237" s="28" t="s">
        <v>21</v>
      </c>
      <c r="O237" s="22" t="s">
        <v>28</v>
      </c>
      <c r="P237" s="25">
        <f t="shared" si="9"/>
        <v>45955</v>
      </c>
      <c r="Q237" s="25"/>
      <c r="R237" s="25"/>
      <c r="S237" s="28" t="s">
        <v>23</v>
      </c>
      <c r="T237" s="28">
        <v>1</v>
      </c>
    </row>
    <row r="238" spans="1:20" ht="14.25" customHeight="1">
      <c r="A238" s="22">
        <v>267</v>
      </c>
      <c r="B238" s="32">
        <v>14356</v>
      </c>
      <c r="C238" s="22" t="str">
        <f>IFERROR(VLOOKUP(B238,Colaboradores!A:D,2,),"")</f>
        <v>JACILENE BELO LIMA</v>
      </c>
      <c r="D238" s="22" t="str">
        <f>IFERROR(VLOOKUP(B238,Colaboradores!A:D,3,),"")</f>
        <v>REGIONAL LESTE</v>
      </c>
      <c r="E238" s="22" t="str">
        <f>IFERROR(VLOOKUP(B238,Colaboradores!A:D,4,),"")</f>
        <v>ASSISTENTE ADMINISTRATIVO</v>
      </c>
      <c r="F238" s="22" t="s">
        <v>31</v>
      </c>
      <c r="G238" s="24" t="str">
        <f>IFERROR(VLOOKUP(F238,Procedimentos!A:C,2,),"")</f>
        <v>GESTÃO DE COMUNICAÇÃO, CLASSIFICAÇÃO E INVESTIGAÇÃO DE OCORRÊNCIAS AMBIENTAIS</v>
      </c>
      <c r="H238" s="25"/>
      <c r="I238" s="25">
        <v>45863</v>
      </c>
      <c r="J238" s="22">
        <v>12</v>
      </c>
      <c r="K238" s="25">
        <f t="shared" si="8"/>
        <v>46228</v>
      </c>
      <c r="L238" s="28" t="str">
        <f t="shared" ca="1" si="7"/>
        <v>Em dia</v>
      </c>
      <c r="M238" s="31" t="s">
        <v>40</v>
      </c>
      <c r="N238" s="28" t="s">
        <v>21</v>
      </c>
      <c r="O238" s="22" t="s">
        <v>28</v>
      </c>
      <c r="P238" s="25">
        <f t="shared" si="9"/>
        <v>45955</v>
      </c>
      <c r="Q238" s="25"/>
      <c r="R238" s="25"/>
      <c r="S238" s="28" t="s">
        <v>23</v>
      </c>
      <c r="T238" s="28">
        <v>1</v>
      </c>
    </row>
    <row r="239" spans="1:20" ht="14.25" customHeight="1">
      <c r="A239" s="22">
        <v>269</v>
      </c>
      <c r="B239" s="22">
        <v>12486</v>
      </c>
      <c r="C239" s="22" t="str">
        <f>IFERROR(VLOOKUP(B239,Colaboradores!A:D,2,),"")</f>
        <v>ENEAS GALVAO MAGALHAES BRITO</v>
      </c>
      <c r="D239" s="22" t="str">
        <f>IFERROR(VLOOKUP(B239,Colaboradores!A:D,3,),"")</f>
        <v>MEIO AMBIENTE</v>
      </c>
      <c r="E239" s="22" t="str">
        <f>IFERROR(VLOOKUP(B239,Colaboradores!A:D,4,),"")</f>
        <v>ENGENHEIRO DE MEIO AMBIENTE</v>
      </c>
      <c r="F239" s="22" t="s">
        <v>31</v>
      </c>
      <c r="G239" s="24" t="str">
        <f>IFERROR(VLOOKUP(F239,Procedimentos!A:C,2,),"")</f>
        <v>GESTÃO DE COMUNICAÇÃO, CLASSIFICAÇÃO E INVESTIGAÇÃO DE OCORRÊNCIAS AMBIENTAIS</v>
      </c>
      <c r="H239" s="25"/>
      <c r="I239" s="25">
        <v>45863</v>
      </c>
      <c r="J239" s="22">
        <v>12</v>
      </c>
      <c r="K239" s="25">
        <f t="shared" si="8"/>
        <v>46228</v>
      </c>
      <c r="L239" s="28" t="str">
        <f t="shared" ca="1" si="7"/>
        <v>Em dia</v>
      </c>
      <c r="M239" s="31" t="s">
        <v>40</v>
      </c>
      <c r="N239" s="28" t="s">
        <v>21</v>
      </c>
      <c r="O239" s="22" t="s">
        <v>28</v>
      </c>
      <c r="P239" s="25">
        <f t="shared" si="9"/>
        <v>45955</v>
      </c>
      <c r="Q239" s="25"/>
      <c r="R239" s="25"/>
      <c r="S239" s="28" t="s">
        <v>23</v>
      </c>
      <c r="T239" s="28">
        <v>1</v>
      </c>
    </row>
    <row r="240" spans="1:20" ht="14.25" customHeight="1">
      <c r="A240" s="22">
        <v>270</v>
      </c>
      <c r="B240" s="22">
        <v>7601</v>
      </c>
      <c r="C240" s="22" t="str">
        <f>IFERROR(VLOOKUP(B240,Colaboradores!A:D,2,),"")</f>
        <v>RAYANE BEZERRA DE JESUS</v>
      </c>
      <c r="D240" s="22" t="str">
        <f>IFERROR(VLOOKUP(B240,Colaboradores!A:D,3,),"")</f>
        <v>SAÚDE OCUPACIONAL</v>
      </c>
      <c r="E240" s="22" t="str">
        <f>IFERROR(VLOOKUP(B240,Colaboradores!A:D,4,),"")</f>
        <v>TÉCNICO DE ENFERMAGEM DO TRABALHO</v>
      </c>
      <c r="F240" s="22" t="s">
        <v>31</v>
      </c>
      <c r="G240" s="24" t="str">
        <f>IFERROR(VLOOKUP(F240,Procedimentos!A:C,2,),"")</f>
        <v>GESTÃO DE COMUNICAÇÃO, CLASSIFICAÇÃO E INVESTIGAÇÃO DE OCORRÊNCIAS AMBIENTAIS</v>
      </c>
      <c r="H240" s="25"/>
      <c r="I240" s="25">
        <v>45863</v>
      </c>
      <c r="J240" s="22">
        <v>12</v>
      </c>
      <c r="K240" s="25">
        <f t="shared" si="8"/>
        <v>46228</v>
      </c>
      <c r="L240" s="28" t="str">
        <f t="shared" ca="1" si="7"/>
        <v>Em dia</v>
      </c>
      <c r="M240" s="31" t="s">
        <v>40</v>
      </c>
      <c r="N240" s="28" t="s">
        <v>21</v>
      </c>
      <c r="O240" s="22" t="s">
        <v>28</v>
      </c>
      <c r="P240" s="25">
        <f t="shared" si="9"/>
        <v>45955</v>
      </c>
      <c r="Q240" s="25"/>
      <c r="R240" s="25"/>
      <c r="S240" s="28" t="s">
        <v>23</v>
      </c>
      <c r="T240" s="28">
        <v>1</v>
      </c>
    </row>
    <row r="241" spans="1:20" ht="14.25" customHeight="1">
      <c r="A241" s="22">
        <v>271</v>
      </c>
      <c r="B241" s="22">
        <v>7147</v>
      </c>
      <c r="C241" s="22" t="str">
        <f>IFERROR(VLOOKUP(B241,Colaboradores!A:D,2,),"")</f>
        <v>MAIARA MONTEIRO MARQUES CASTELO BRANCO</v>
      </c>
      <c r="D241" s="22" t="str">
        <f>IFERROR(VLOOKUP(B241,Colaboradores!A:D,3,),"")</f>
        <v>SAÚDE OCUPACIONAL</v>
      </c>
      <c r="E241" s="22" t="str">
        <f>IFERROR(VLOOKUP(B241,Colaboradores!A:D,4,),"")</f>
        <v>PSICÓLOGA</v>
      </c>
      <c r="F241" s="22" t="s">
        <v>31</v>
      </c>
      <c r="G241" s="24" t="str">
        <f>IFERROR(VLOOKUP(F241,Procedimentos!A:C,2,),"")</f>
        <v>GESTÃO DE COMUNICAÇÃO, CLASSIFICAÇÃO E INVESTIGAÇÃO DE OCORRÊNCIAS AMBIENTAIS</v>
      </c>
      <c r="H241" s="25"/>
      <c r="I241" s="25">
        <v>45863</v>
      </c>
      <c r="J241" s="22">
        <v>12</v>
      </c>
      <c r="K241" s="25">
        <f t="shared" si="8"/>
        <v>46228</v>
      </c>
      <c r="L241" s="28" t="str">
        <f t="shared" ca="1" si="7"/>
        <v>Em dia</v>
      </c>
      <c r="M241" s="31" t="s">
        <v>40</v>
      </c>
      <c r="N241" s="28" t="s">
        <v>21</v>
      </c>
      <c r="O241" s="22" t="s">
        <v>28</v>
      </c>
      <c r="P241" s="25">
        <f t="shared" si="9"/>
        <v>45955</v>
      </c>
      <c r="Q241" s="25"/>
      <c r="R241" s="25"/>
      <c r="S241" s="28" t="s">
        <v>23</v>
      </c>
      <c r="T241" s="28">
        <v>1</v>
      </c>
    </row>
    <row r="242" spans="1:20" ht="14.25" customHeight="1">
      <c r="A242" s="22">
        <v>272</v>
      </c>
      <c r="B242" s="22">
        <v>14499</v>
      </c>
      <c r="C242" s="22" t="str">
        <f>IFERROR(VLOOKUP(B242,Colaboradores!A:D,2,),"")</f>
        <v>SAMIRIS COSTA DA SILVA</v>
      </c>
      <c r="D242" s="22" t="str">
        <f>IFERROR(VLOOKUP(B242,Colaboradores!A:D,3,),"")</f>
        <v>SAÚDE OCUPACIONAL</v>
      </c>
      <c r="E242" s="22" t="str">
        <f>IFERROR(VLOOKUP(B242,Colaboradores!A:D,4,),"")</f>
        <v>PSICÓLOGA</v>
      </c>
      <c r="F242" s="22" t="s">
        <v>31</v>
      </c>
      <c r="G242" s="24" t="str">
        <f>IFERROR(VLOOKUP(F242,Procedimentos!A:C,2,),"")</f>
        <v>GESTÃO DE COMUNICAÇÃO, CLASSIFICAÇÃO E INVESTIGAÇÃO DE OCORRÊNCIAS AMBIENTAIS</v>
      </c>
      <c r="H242" s="25"/>
      <c r="I242" s="25">
        <v>45863</v>
      </c>
      <c r="J242" s="22">
        <v>12</v>
      </c>
      <c r="K242" s="25">
        <f t="shared" si="8"/>
        <v>46228</v>
      </c>
      <c r="L242" s="28" t="str">
        <f t="shared" ca="1" si="7"/>
        <v>Em dia</v>
      </c>
      <c r="M242" s="31" t="s">
        <v>40</v>
      </c>
      <c r="N242" s="28" t="s">
        <v>21</v>
      </c>
      <c r="O242" s="22" t="s">
        <v>28</v>
      </c>
      <c r="P242" s="25">
        <f t="shared" si="9"/>
        <v>45955</v>
      </c>
      <c r="Q242" s="25"/>
      <c r="R242" s="25"/>
      <c r="S242" s="28" t="s">
        <v>23</v>
      </c>
      <c r="T242" s="28">
        <v>1</v>
      </c>
    </row>
    <row r="243" spans="1:20" ht="14.25" customHeight="1">
      <c r="A243" s="22">
        <v>274</v>
      </c>
      <c r="B243" s="32">
        <v>14083</v>
      </c>
      <c r="C243" s="22" t="str">
        <f>IFERROR(VLOOKUP(B243,Colaboradores!A:D,2,),"")</f>
        <v>TAHYNAN FREITAS SILVA COSTA</v>
      </c>
      <c r="D243" s="22" t="str">
        <f>IFERROR(VLOOKUP(B243,Colaboradores!A:D,3,),"")</f>
        <v>SAÚDE OCUPACIONAL</v>
      </c>
      <c r="E243" s="22" t="str">
        <f>IFERROR(VLOOKUP(B243,Colaboradores!A:D,4,),"")</f>
        <v>TÉCNICO DE ENFERMAGEM DO TRABALHO</v>
      </c>
      <c r="F243" s="22" t="s">
        <v>31</v>
      </c>
      <c r="G243" s="24" t="str">
        <f>IFERROR(VLOOKUP(F243,Procedimentos!A:C,2,),"")</f>
        <v>GESTÃO DE COMUNICAÇÃO, CLASSIFICAÇÃO E INVESTIGAÇÃO DE OCORRÊNCIAS AMBIENTAIS</v>
      </c>
      <c r="H243" s="25"/>
      <c r="I243" s="25">
        <v>45863</v>
      </c>
      <c r="J243" s="22">
        <v>12</v>
      </c>
      <c r="K243" s="25">
        <f t="shared" si="8"/>
        <v>46228</v>
      </c>
      <c r="L243" s="28" t="str">
        <f t="shared" ca="1" si="7"/>
        <v>Em dia</v>
      </c>
      <c r="M243" s="31" t="s">
        <v>40</v>
      </c>
      <c r="N243" s="28" t="s">
        <v>21</v>
      </c>
      <c r="O243" s="22" t="s">
        <v>28</v>
      </c>
      <c r="P243" s="25">
        <f t="shared" si="9"/>
        <v>45955</v>
      </c>
      <c r="Q243" s="25"/>
      <c r="R243" s="25"/>
      <c r="S243" s="28" t="s">
        <v>23</v>
      </c>
      <c r="T243" s="28">
        <v>1</v>
      </c>
    </row>
    <row r="244" spans="1:20" ht="14.25" customHeight="1">
      <c r="A244" s="22">
        <v>275</v>
      </c>
      <c r="B244" s="22">
        <v>15059</v>
      </c>
      <c r="C244" s="22" t="str">
        <f>IFERROR(VLOOKUP(B244,Colaboradores!A:D,2,),"")</f>
        <v>GUILHERME LEÃO DOS SANTOS</v>
      </c>
      <c r="D244" s="22" t="str">
        <f>IFERROR(VLOOKUP(B244,Colaboradores!A:D,3,),"")</f>
        <v>SAÚDE OCUPACIONAL</v>
      </c>
      <c r="E244" s="22" t="str">
        <f>IFERROR(VLOOKUP(B244,Colaboradores!A:D,4,),"")</f>
        <v>ASSISTENTE ADMINISTRATIVO</v>
      </c>
      <c r="F244" s="22" t="s">
        <v>31</v>
      </c>
      <c r="G244" s="24" t="str">
        <f>IFERROR(VLOOKUP(F244,Procedimentos!A:C,2,),"")</f>
        <v>GESTÃO DE COMUNICAÇÃO, CLASSIFICAÇÃO E INVESTIGAÇÃO DE OCORRÊNCIAS AMBIENTAIS</v>
      </c>
      <c r="H244" s="25"/>
      <c r="I244" s="25">
        <v>45863</v>
      </c>
      <c r="J244" s="22">
        <v>12</v>
      </c>
      <c r="K244" s="25">
        <f t="shared" si="8"/>
        <v>46228</v>
      </c>
      <c r="L244" s="28" t="str">
        <f t="shared" ca="1" si="7"/>
        <v>Em dia</v>
      </c>
      <c r="M244" s="31" t="s">
        <v>40</v>
      </c>
      <c r="N244" s="28" t="s">
        <v>21</v>
      </c>
      <c r="O244" s="22" t="s">
        <v>28</v>
      </c>
      <c r="P244" s="25">
        <f t="shared" si="9"/>
        <v>45955</v>
      </c>
      <c r="Q244" s="25"/>
      <c r="R244" s="25"/>
      <c r="S244" s="28" t="s">
        <v>23</v>
      </c>
      <c r="T244" s="28">
        <v>1</v>
      </c>
    </row>
    <row r="245" spans="1:20" ht="14.25" customHeight="1">
      <c r="A245" s="22">
        <v>276</v>
      </c>
      <c r="B245" s="32">
        <v>12330</v>
      </c>
      <c r="C245" s="22" t="str">
        <f>IFERROR(VLOOKUP(B245,Colaboradores!A:D,2,),"")</f>
        <v>BIANCA GUEDES SILVA ALMEIDA</v>
      </c>
      <c r="D245" s="22" t="str">
        <f>IFERROR(VLOOKUP(B245,Colaboradores!A:D,3,),"")</f>
        <v>SAÚDE OCUPACIONAL</v>
      </c>
      <c r="E245" s="22" t="str">
        <f>IFERROR(VLOOKUP(B245,Colaboradores!A:D,4,),"")</f>
        <v>NUTRICIONISTA</v>
      </c>
      <c r="F245" s="22" t="s">
        <v>31</v>
      </c>
      <c r="G245" s="24" t="str">
        <f>IFERROR(VLOOKUP(F245,Procedimentos!A:C,2,),"")</f>
        <v>GESTÃO DE COMUNICAÇÃO, CLASSIFICAÇÃO E INVESTIGAÇÃO DE OCORRÊNCIAS AMBIENTAIS</v>
      </c>
      <c r="H245" s="25"/>
      <c r="I245" s="25">
        <v>45863</v>
      </c>
      <c r="J245" s="22">
        <v>12</v>
      </c>
      <c r="K245" s="25">
        <f t="shared" si="8"/>
        <v>46228</v>
      </c>
      <c r="L245" s="28" t="str">
        <f t="shared" ca="1" si="7"/>
        <v>Em dia</v>
      </c>
      <c r="M245" s="31" t="s">
        <v>40</v>
      </c>
      <c r="N245" s="28" t="s">
        <v>21</v>
      </c>
      <c r="O245" s="22" t="s">
        <v>28</v>
      </c>
      <c r="P245" s="25">
        <f t="shared" si="9"/>
        <v>45955</v>
      </c>
      <c r="Q245" s="25"/>
      <c r="R245" s="25"/>
      <c r="S245" s="28" t="s">
        <v>23</v>
      </c>
      <c r="T245" s="28">
        <v>1</v>
      </c>
    </row>
    <row r="246" spans="1:20" ht="14.25" customHeight="1">
      <c r="A246" s="22">
        <v>277</v>
      </c>
      <c r="B246" s="22">
        <v>15100</v>
      </c>
      <c r="C246" s="22" t="str">
        <f>IFERROR(VLOOKUP(B246,Colaboradores!A:D,2,),"")</f>
        <v>JONATHAN SILVA ALVES</v>
      </c>
      <c r="D246" s="22" t="str">
        <f>IFERROR(VLOOKUP(B246,Colaboradores!A:D,3,),"")</f>
        <v>REGIONAL SUL</v>
      </c>
      <c r="E246" s="22" t="str">
        <f>IFERROR(VLOOKUP(B246,Colaboradores!A:D,4,),"")</f>
        <v>COORDENADOR DE SSMA</v>
      </c>
      <c r="F246" s="22" t="s">
        <v>32</v>
      </c>
      <c r="G246" s="24" t="str">
        <f>IFERROR(VLOOKUP(F246,Procedimentos!A:C,2,),"")</f>
        <v>GESTÃO DE LEVANTAMENTO DE ASPECTOS E IMPACTOS AMBIENTAIS</v>
      </c>
      <c r="H246" s="25"/>
      <c r="I246" s="25">
        <v>45863</v>
      </c>
      <c r="J246" s="22">
        <v>12</v>
      </c>
      <c r="K246" s="25">
        <f t="shared" si="8"/>
        <v>46228</v>
      </c>
      <c r="L246" s="28" t="str">
        <f t="shared" ca="1" si="7"/>
        <v>Em dia</v>
      </c>
      <c r="M246" s="31" t="s">
        <v>40</v>
      </c>
      <c r="N246" s="28" t="s">
        <v>21</v>
      </c>
      <c r="O246" s="22" t="s">
        <v>28</v>
      </c>
      <c r="P246" s="25">
        <f t="shared" si="9"/>
        <v>45955</v>
      </c>
      <c r="Q246" s="25"/>
      <c r="R246" s="25"/>
      <c r="S246" s="28" t="s">
        <v>23</v>
      </c>
      <c r="T246" s="28">
        <v>1</v>
      </c>
    </row>
    <row r="247" spans="1:20" ht="14.25" customHeight="1">
      <c r="A247" s="22">
        <v>278</v>
      </c>
      <c r="B247" s="22">
        <v>14420</v>
      </c>
      <c r="C247" s="22" t="str">
        <f>IFERROR(VLOOKUP(B247,Colaboradores!A:D,2,),"")</f>
        <v>LAYLLA EMANUELLY DA SILVA ARAUJO</v>
      </c>
      <c r="D247" s="22" t="str">
        <f>IFERROR(VLOOKUP(B247,Colaboradores!A:D,3,),"")</f>
        <v>REGIONAL LESTE</v>
      </c>
      <c r="E247" s="22" t="str">
        <f>IFERROR(VLOOKUP(B247,Colaboradores!A:D,4,),"")</f>
        <v>ASSISTENTE ADMINISTRATIVO</v>
      </c>
      <c r="F247" s="22" t="s">
        <v>32</v>
      </c>
      <c r="G247" s="24" t="str">
        <f>IFERROR(VLOOKUP(F247,Procedimentos!A:C,2,),"")</f>
        <v>GESTÃO DE LEVANTAMENTO DE ASPECTOS E IMPACTOS AMBIENTAIS</v>
      </c>
      <c r="H247" s="25"/>
      <c r="I247" s="25">
        <v>45863</v>
      </c>
      <c r="J247" s="22">
        <v>12</v>
      </c>
      <c r="K247" s="25">
        <f t="shared" si="8"/>
        <v>46228</v>
      </c>
      <c r="L247" s="28" t="str">
        <f t="shared" ca="1" si="7"/>
        <v>Em dia</v>
      </c>
      <c r="M247" s="31" t="s">
        <v>40</v>
      </c>
      <c r="N247" s="28" t="s">
        <v>21</v>
      </c>
      <c r="O247" s="22" t="s">
        <v>28</v>
      </c>
      <c r="P247" s="25">
        <f t="shared" si="9"/>
        <v>45955</v>
      </c>
      <c r="Q247" s="25"/>
      <c r="R247" s="25"/>
      <c r="S247" s="28" t="s">
        <v>23</v>
      </c>
      <c r="T247" s="28">
        <v>1</v>
      </c>
    </row>
    <row r="248" spans="1:20" ht="14.25" customHeight="1">
      <c r="A248" s="22">
        <v>279</v>
      </c>
      <c r="B248" s="22">
        <v>13822</v>
      </c>
      <c r="C248" s="22" t="str">
        <f>IFERROR(VLOOKUP(B248,Colaboradores!A:D,2,),"")</f>
        <v>JULIANA DE CASTRO ALMEIDA</v>
      </c>
      <c r="D248" s="22" t="str">
        <f>IFERROR(VLOOKUP(B248,Colaboradores!A:D,3,),"")</f>
        <v>REGIONAL CENTRAL</v>
      </c>
      <c r="E248" s="22" t="str">
        <f>IFERROR(VLOOKUP(B248,Colaboradores!A:D,4,),"")</f>
        <v>COORDENADOR DE SSMA</v>
      </c>
      <c r="F248" s="22" t="s">
        <v>32</v>
      </c>
      <c r="G248" s="24" t="str">
        <f>IFERROR(VLOOKUP(F248,Procedimentos!A:C,2,),"")</f>
        <v>GESTÃO DE LEVANTAMENTO DE ASPECTOS E IMPACTOS AMBIENTAIS</v>
      </c>
      <c r="H248" s="25"/>
      <c r="I248" s="25">
        <v>45863</v>
      </c>
      <c r="J248" s="22">
        <v>12</v>
      </c>
      <c r="K248" s="25">
        <f t="shared" si="8"/>
        <v>46228</v>
      </c>
      <c r="L248" s="28" t="str">
        <f t="shared" ca="1" si="7"/>
        <v>Em dia</v>
      </c>
      <c r="M248" s="31" t="s">
        <v>40</v>
      </c>
      <c r="N248" s="28" t="s">
        <v>21</v>
      </c>
      <c r="O248" s="22" t="s">
        <v>28</v>
      </c>
      <c r="P248" s="25">
        <f t="shared" si="9"/>
        <v>45955</v>
      </c>
      <c r="Q248" s="25"/>
      <c r="R248" s="25"/>
      <c r="S248" s="28" t="s">
        <v>23</v>
      </c>
      <c r="T248" s="28">
        <v>1</v>
      </c>
    </row>
    <row r="249" spans="1:20" ht="14.25" customHeight="1">
      <c r="A249" s="22">
        <v>280</v>
      </c>
      <c r="B249" s="22">
        <v>12712</v>
      </c>
      <c r="C249" s="22" t="str">
        <f>IFERROR(VLOOKUP(B249,Colaboradores!A:D,2,),"")</f>
        <v>JOYCE CLEIA MIRANDA BARROS</v>
      </c>
      <c r="D249" s="22" t="str">
        <f>IFERROR(VLOOKUP(B249,Colaboradores!A:D,3,),"")</f>
        <v>GESTÃO INTEGRADA</v>
      </c>
      <c r="E249" s="22" t="str">
        <f>IFERROR(VLOOKUP(B249,Colaboradores!A:D,4,),"")</f>
        <v>ANALISTA DE GESTÃO INTEGRADA</v>
      </c>
      <c r="F249" s="22" t="s">
        <v>32</v>
      </c>
      <c r="G249" s="24" t="str">
        <f>IFERROR(VLOOKUP(F249,Procedimentos!A:C,2,),"")</f>
        <v>GESTÃO DE LEVANTAMENTO DE ASPECTOS E IMPACTOS AMBIENTAIS</v>
      </c>
      <c r="H249" s="25"/>
      <c r="I249" s="25">
        <v>45863</v>
      </c>
      <c r="J249" s="22">
        <v>12</v>
      </c>
      <c r="K249" s="25">
        <f t="shared" si="8"/>
        <v>46228</v>
      </c>
      <c r="L249" s="28" t="str">
        <f t="shared" ca="1" si="7"/>
        <v>Em dia</v>
      </c>
      <c r="M249" s="31" t="s">
        <v>40</v>
      </c>
      <c r="N249" s="28" t="s">
        <v>21</v>
      </c>
      <c r="O249" s="22" t="s">
        <v>28</v>
      </c>
      <c r="P249" s="25">
        <f t="shared" si="9"/>
        <v>45955</v>
      </c>
      <c r="Q249" s="25"/>
      <c r="R249" s="25"/>
      <c r="S249" s="28" t="s">
        <v>23</v>
      </c>
      <c r="T249" s="28">
        <v>1</v>
      </c>
    </row>
    <row r="250" spans="1:20" ht="14.25" customHeight="1">
      <c r="A250" s="22">
        <v>281</v>
      </c>
      <c r="B250" s="32">
        <v>14356</v>
      </c>
      <c r="C250" s="22" t="str">
        <f>IFERROR(VLOOKUP(B250,Colaboradores!A:D,2,),"")</f>
        <v>JACILENE BELO LIMA</v>
      </c>
      <c r="D250" s="22" t="str">
        <f>IFERROR(VLOOKUP(B250,Colaboradores!A:D,3,),"")</f>
        <v>REGIONAL LESTE</v>
      </c>
      <c r="E250" s="22" t="str">
        <f>IFERROR(VLOOKUP(B250,Colaboradores!A:D,4,),"")</f>
        <v>ASSISTENTE ADMINISTRATIVO</v>
      </c>
      <c r="F250" s="22" t="s">
        <v>32</v>
      </c>
      <c r="G250" s="24" t="str">
        <f>IFERROR(VLOOKUP(F250,Procedimentos!A:C,2,),"")</f>
        <v>GESTÃO DE LEVANTAMENTO DE ASPECTOS E IMPACTOS AMBIENTAIS</v>
      </c>
      <c r="H250" s="25"/>
      <c r="I250" s="25">
        <v>45863</v>
      </c>
      <c r="J250" s="22">
        <v>12</v>
      </c>
      <c r="K250" s="25">
        <f t="shared" si="8"/>
        <v>46228</v>
      </c>
      <c r="L250" s="28" t="str">
        <f t="shared" ca="1" si="7"/>
        <v>Em dia</v>
      </c>
      <c r="M250" s="31" t="s">
        <v>40</v>
      </c>
      <c r="N250" s="28" t="s">
        <v>21</v>
      </c>
      <c r="O250" s="22" t="s">
        <v>28</v>
      </c>
      <c r="P250" s="25">
        <f t="shared" si="9"/>
        <v>45955</v>
      </c>
      <c r="Q250" s="25"/>
      <c r="R250" s="25"/>
      <c r="S250" s="28" t="s">
        <v>23</v>
      </c>
      <c r="T250" s="28">
        <v>1</v>
      </c>
    </row>
    <row r="251" spans="1:20" ht="14.25" customHeight="1">
      <c r="A251" s="22">
        <v>283</v>
      </c>
      <c r="B251" s="22">
        <v>12486</v>
      </c>
      <c r="C251" s="22" t="str">
        <f>IFERROR(VLOOKUP(B251,Colaboradores!A:D,2,),"")</f>
        <v>ENEAS GALVAO MAGALHAES BRITO</v>
      </c>
      <c r="D251" s="22" t="str">
        <f>IFERROR(VLOOKUP(B251,Colaboradores!A:D,3,),"")</f>
        <v>MEIO AMBIENTE</v>
      </c>
      <c r="E251" s="22" t="str">
        <f>IFERROR(VLOOKUP(B251,Colaboradores!A:D,4,),"")</f>
        <v>ENGENHEIRO DE MEIO AMBIENTE</v>
      </c>
      <c r="F251" s="22" t="s">
        <v>32</v>
      </c>
      <c r="G251" s="24" t="str">
        <f>IFERROR(VLOOKUP(F251,Procedimentos!A:C,2,),"")</f>
        <v>GESTÃO DE LEVANTAMENTO DE ASPECTOS E IMPACTOS AMBIENTAIS</v>
      </c>
      <c r="H251" s="25"/>
      <c r="I251" s="25">
        <v>45863</v>
      </c>
      <c r="J251" s="22">
        <v>12</v>
      </c>
      <c r="K251" s="25">
        <f t="shared" si="8"/>
        <v>46228</v>
      </c>
      <c r="L251" s="28" t="str">
        <f t="shared" ca="1" si="7"/>
        <v>Em dia</v>
      </c>
      <c r="M251" s="31" t="s">
        <v>40</v>
      </c>
      <c r="N251" s="28" t="s">
        <v>21</v>
      </c>
      <c r="O251" s="22" t="s">
        <v>28</v>
      </c>
      <c r="P251" s="25">
        <f t="shared" si="9"/>
        <v>45955</v>
      </c>
      <c r="Q251" s="25"/>
      <c r="R251" s="25"/>
      <c r="S251" s="28" t="s">
        <v>23</v>
      </c>
      <c r="T251" s="28">
        <v>1</v>
      </c>
    </row>
    <row r="252" spans="1:20" ht="14.25" customHeight="1">
      <c r="A252" s="22">
        <v>284</v>
      </c>
      <c r="B252" s="22">
        <v>7601</v>
      </c>
      <c r="C252" s="22" t="str">
        <f>IFERROR(VLOOKUP(B252,Colaboradores!A:D,2,),"")</f>
        <v>RAYANE BEZERRA DE JESUS</v>
      </c>
      <c r="D252" s="22" t="str">
        <f>IFERROR(VLOOKUP(B252,Colaboradores!A:D,3,),"")</f>
        <v>SAÚDE OCUPACIONAL</v>
      </c>
      <c r="E252" s="22" t="str">
        <f>IFERROR(VLOOKUP(B252,Colaboradores!A:D,4,),"")</f>
        <v>TÉCNICO DE ENFERMAGEM DO TRABALHO</v>
      </c>
      <c r="F252" s="22" t="s">
        <v>32</v>
      </c>
      <c r="G252" s="24" t="str">
        <f>IFERROR(VLOOKUP(F252,Procedimentos!A:C,2,),"")</f>
        <v>GESTÃO DE LEVANTAMENTO DE ASPECTOS E IMPACTOS AMBIENTAIS</v>
      </c>
      <c r="H252" s="25"/>
      <c r="I252" s="25">
        <v>45863</v>
      </c>
      <c r="J252" s="22">
        <v>12</v>
      </c>
      <c r="K252" s="25">
        <f t="shared" si="8"/>
        <v>46228</v>
      </c>
      <c r="L252" s="28" t="str">
        <f t="shared" ca="1" si="7"/>
        <v>Em dia</v>
      </c>
      <c r="M252" s="31" t="s">
        <v>40</v>
      </c>
      <c r="N252" s="28" t="s">
        <v>21</v>
      </c>
      <c r="O252" s="22" t="s">
        <v>28</v>
      </c>
      <c r="P252" s="25">
        <f t="shared" si="9"/>
        <v>45955</v>
      </c>
      <c r="Q252" s="25"/>
      <c r="R252" s="25"/>
      <c r="S252" s="28" t="s">
        <v>23</v>
      </c>
      <c r="T252" s="28">
        <v>1</v>
      </c>
    </row>
    <row r="253" spans="1:20" ht="14.25" customHeight="1">
      <c r="A253" s="22">
        <v>285</v>
      </c>
      <c r="B253" s="22">
        <v>7147</v>
      </c>
      <c r="C253" s="22" t="str">
        <f>IFERROR(VLOOKUP(B253,Colaboradores!A:D,2,),"")</f>
        <v>MAIARA MONTEIRO MARQUES CASTELO BRANCO</v>
      </c>
      <c r="D253" s="22" t="str">
        <f>IFERROR(VLOOKUP(B253,Colaboradores!A:D,3,),"")</f>
        <v>SAÚDE OCUPACIONAL</v>
      </c>
      <c r="E253" s="22" t="str">
        <f>IFERROR(VLOOKUP(B253,Colaboradores!A:D,4,),"")</f>
        <v>PSICÓLOGA</v>
      </c>
      <c r="F253" s="22" t="s">
        <v>32</v>
      </c>
      <c r="G253" s="24" t="str">
        <f>IFERROR(VLOOKUP(F253,Procedimentos!A:C,2,),"")</f>
        <v>GESTÃO DE LEVANTAMENTO DE ASPECTOS E IMPACTOS AMBIENTAIS</v>
      </c>
      <c r="H253" s="25"/>
      <c r="I253" s="25">
        <v>45863</v>
      </c>
      <c r="J253" s="22">
        <v>12</v>
      </c>
      <c r="K253" s="25">
        <f t="shared" si="8"/>
        <v>46228</v>
      </c>
      <c r="L253" s="28" t="str">
        <f t="shared" ca="1" si="7"/>
        <v>Em dia</v>
      </c>
      <c r="M253" s="31" t="s">
        <v>40</v>
      </c>
      <c r="N253" s="28" t="s">
        <v>21</v>
      </c>
      <c r="O253" s="22" t="s">
        <v>28</v>
      </c>
      <c r="P253" s="25">
        <f t="shared" si="9"/>
        <v>45955</v>
      </c>
      <c r="Q253" s="25"/>
      <c r="R253" s="25"/>
      <c r="S253" s="28" t="s">
        <v>23</v>
      </c>
      <c r="T253" s="28">
        <v>1</v>
      </c>
    </row>
    <row r="254" spans="1:20" ht="14.25" customHeight="1">
      <c r="A254" s="22">
        <v>286</v>
      </c>
      <c r="B254" s="22">
        <v>14499</v>
      </c>
      <c r="C254" s="22" t="str">
        <f>IFERROR(VLOOKUP(B254,Colaboradores!A:D,2,),"")</f>
        <v>SAMIRIS COSTA DA SILVA</v>
      </c>
      <c r="D254" s="22" t="str">
        <f>IFERROR(VLOOKUP(B254,Colaboradores!A:D,3,),"")</f>
        <v>SAÚDE OCUPACIONAL</v>
      </c>
      <c r="E254" s="22" t="str">
        <f>IFERROR(VLOOKUP(B254,Colaboradores!A:D,4,),"")</f>
        <v>PSICÓLOGA</v>
      </c>
      <c r="F254" s="22" t="s">
        <v>32</v>
      </c>
      <c r="G254" s="24" t="str">
        <f>IFERROR(VLOOKUP(F254,Procedimentos!A:C,2,),"")</f>
        <v>GESTÃO DE LEVANTAMENTO DE ASPECTOS E IMPACTOS AMBIENTAIS</v>
      </c>
      <c r="H254" s="25"/>
      <c r="I254" s="25">
        <v>45863</v>
      </c>
      <c r="J254" s="22">
        <v>12</v>
      </c>
      <c r="K254" s="25">
        <f t="shared" si="8"/>
        <v>46228</v>
      </c>
      <c r="L254" s="28" t="str">
        <f t="shared" ca="1" si="7"/>
        <v>Em dia</v>
      </c>
      <c r="M254" s="31" t="s">
        <v>40</v>
      </c>
      <c r="N254" s="28" t="s">
        <v>21</v>
      </c>
      <c r="O254" s="22" t="s">
        <v>28</v>
      </c>
      <c r="P254" s="25">
        <f t="shared" si="9"/>
        <v>45955</v>
      </c>
      <c r="Q254" s="25"/>
      <c r="R254" s="25"/>
      <c r="S254" s="28" t="s">
        <v>23</v>
      </c>
      <c r="T254" s="28">
        <v>1</v>
      </c>
    </row>
    <row r="255" spans="1:20" ht="14.25" customHeight="1">
      <c r="A255" s="22">
        <v>288</v>
      </c>
      <c r="B255" s="32">
        <v>14083</v>
      </c>
      <c r="C255" s="22" t="str">
        <f>IFERROR(VLOOKUP(B255,Colaboradores!A:D,2,),"")</f>
        <v>TAHYNAN FREITAS SILVA COSTA</v>
      </c>
      <c r="D255" s="22" t="str">
        <f>IFERROR(VLOOKUP(B255,Colaboradores!A:D,3,),"")</f>
        <v>SAÚDE OCUPACIONAL</v>
      </c>
      <c r="E255" s="22" t="str">
        <f>IFERROR(VLOOKUP(B255,Colaboradores!A:D,4,),"")</f>
        <v>TÉCNICO DE ENFERMAGEM DO TRABALHO</v>
      </c>
      <c r="F255" s="22" t="s">
        <v>32</v>
      </c>
      <c r="G255" s="24" t="str">
        <f>IFERROR(VLOOKUP(F255,Procedimentos!A:C,2,),"")</f>
        <v>GESTÃO DE LEVANTAMENTO DE ASPECTOS E IMPACTOS AMBIENTAIS</v>
      </c>
      <c r="H255" s="25"/>
      <c r="I255" s="25">
        <v>45863</v>
      </c>
      <c r="J255" s="22">
        <v>12</v>
      </c>
      <c r="K255" s="25">
        <f t="shared" si="8"/>
        <v>46228</v>
      </c>
      <c r="L255" s="28" t="str">
        <f t="shared" ca="1" si="7"/>
        <v>Em dia</v>
      </c>
      <c r="M255" s="31" t="s">
        <v>40</v>
      </c>
      <c r="N255" s="28" t="s">
        <v>21</v>
      </c>
      <c r="O255" s="22" t="s">
        <v>28</v>
      </c>
      <c r="P255" s="25">
        <f t="shared" si="9"/>
        <v>45955</v>
      </c>
      <c r="Q255" s="25"/>
      <c r="R255" s="25"/>
      <c r="S255" s="28" t="s">
        <v>23</v>
      </c>
      <c r="T255" s="28">
        <v>1</v>
      </c>
    </row>
    <row r="256" spans="1:20" ht="14.25" customHeight="1">
      <c r="A256" s="22">
        <v>289</v>
      </c>
      <c r="B256" s="22">
        <v>15059</v>
      </c>
      <c r="C256" s="22" t="str">
        <f>IFERROR(VLOOKUP(B256,Colaboradores!A:D,2,),"")</f>
        <v>GUILHERME LEÃO DOS SANTOS</v>
      </c>
      <c r="D256" s="22" t="str">
        <f>IFERROR(VLOOKUP(B256,Colaboradores!A:D,3,),"")</f>
        <v>SAÚDE OCUPACIONAL</v>
      </c>
      <c r="E256" s="22" t="str">
        <f>IFERROR(VLOOKUP(B256,Colaboradores!A:D,4,),"")</f>
        <v>ASSISTENTE ADMINISTRATIVO</v>
      </c>
      <c r="F256" s="22" t="s">
        <v>32</v>
      </c>
      <c r="G256" s="24" t="str">
        <f>IFERROR(VLOOKUP(F256,Procedimentos!A:C,2,),"")</f>
        <v>GESTÃO DE LEVANTAMENTO DE ASPECTOS E IMPACTOS AMBIENTAIS</v>
      </c>
      <c r="H256" s="25"/>
      <c r="I256" s="25">
        <v>45863</v>
      </c>
      <c r="J256" s="22">
        <v>12</v>
      </c>
      <c r="K256" s="25">
        <f t="shared" si="8"/>
        <v>46228</v>
      </c>
      <c r="L256" s="28" t="str">
        <f t="shared" ca="1" si="7"/>
        <v>Em dia</v>
      </c>
      <c r="M256" s="31" t="s">
        <v>40</v>
      </c>
      <c r="N256" s="28" t="s">
        <v>21</v>
      </c>
      <c r="O256" s="22" t="s">
        <v>28</v>
      </c>
      <c r="P256" s="25">
        <f t="shared" si="9"/>
        <v>45955</v>
      </c>
      <c r="Q256" s="25"/>
      <c r="R256" s="25"/>
      <c r="S256" s="28" t="s">
        <v>23</v>
      </c>
      <c r="T256" s="28">
        <v>1</v>
      </c>
    </row>
    <row r="257" spans="1:20" ht="14.25" customHeight="1">
      <c r="A257" s="22">
        <v>290</v>
      </c>
      <c r="B257" s="32">
        <v>12330</v>
      </c>
      <c r="C257" s="22" t="str">
        <f>IFERROR(VLOOKUP(B257,Colaboradores!A:D,2,),"")</f>
        <v>BIANCA GUEDES SILVA ALMEIDA</v>
      </c>
      <c r="D257" s="22" t="str">
        <f>IFERROR(VLOOKUP(B257,Colaboradores!A:D,3,),"")</f>
        <v>SAÚDE OCUPACIONAL</v>
      </c>
      <c r="E257" s="22" t="str">
        <f>IFERROR(VLOOKUP(B257,Colaboradores!A:D,4,),"")</f>
        <v>NUTRICIONISTA</v>
      </c>
      <c r="F257" s="22" t="s">
        <v>32</v>
      </c>
      <c r="G257" s="24" t="str">
        <f>IFERROR(VLOOKUP(F257,Procedimentos!A:C,2,),"")</f>
        <v>GESTÃO DE LEVANTAMENTO DE ASPECTOS E IMPACTOS AMBIENTAIS</v>
      </c>
      <c r="H257" s="25"/>
      <c r="I257" s="25">
        <v>45863</v>
      </c>
      <c r="J257" s="22">
        <v>12</v>
      </c>
      <c r="K257" s="25">
        <f t="shared" si="8"/>
        <v>46228</v>
      </c>
      <c r="L257" s="28" t="str">
        <f t="shared" ref="L257:L320" ca="1" si="10">IF(K257="","",IF(K257&lt;TODAY(),"Vencido",IF(K257&lt;=TODAY()+30,"A vencer","Em dia")))</f>
        <v>Em dia</v>
      </c>
      <c r="M257" s="31" t="s">
        <v>40</v>
      </c>
      <c r="N257" s="28" t="s">
        <v>21</v>
      </c>
      <c r="O257" s="22" t="s">
        <v>28</v>
      </c>
      <c r="P257" s="25">
        <f t="shared" si="9"/>
        <v>45955</v>
      </c>
      <c r="Q257" s="25"/>
      <c r="R257" s="25"/>
      <c r="S257" s="28" t="s">
        <v>23</v>
      </c>
      <c r="T257" s="28">
        <v>1</v>
      </c>
    </row>
    <row r="258" spans="1:20" ht="14.25" customHeight="1">
      <c r="A258" s="22">
        <v>291</v>
      </c>
      <c r="B258" s="22">
        <v>15100</v>
      </c>
      <c r="C258" s="22" t="str">
        <f>IFERROR(VLOOKUP(B258,Colaboradores!A:D,2,),"")</f>
        <v>JONATHAN SILVA ALVES</v>
      </c>
      <c r="D258" s="22" t="str">
        <f>IFERROR(VLOOKUP(B258,Colaboradores!A:D,3,),"")</f>
        <v>REGIONAL SUL</v>
      </c>
      <c r="E258" s="22" t="str">
        <f>IFERROR(VLOOKUP(B258,Colaboradores!A:D,4,),"")</f>
        <v>COORDENADOR DE SSMA</v>
      </c>
      <c r="F258" s="22" t="s">
        <v>34</v>
      </c>
      <c r="G258" s="24" t="str">
        <f>IFERROR(VLOOKUP(F258,Procedimentos!A:C,2,),"")</f>
        <v>GESTÃO DE LICENCIAMENTO AMBIENTAL</v>
      </c>
      <c r="H258" s="25"/>
      <c r="I258" s="25">
        <v>45863</v>
      </c>
      <c r="J258" s="22">
        <v>12</v>
      </c>
      <c r="K258" s="25">
        <f t="shared" si="8"/>
        <v>46228</v>
      </c>
      <c r="L258" s="28" t="str">
        <f t="shared" ca="1" si="10"/>
        <v>Em dia</v>
      </c>
      <c r="M258" s="31" t="s">
        <v>40</v>
      </c>
      <c r="N258" s="28" t="s">
        <v>21</v>
      </c>
      <c r="O258" s="22" t="s">
        <v>28</v>
      </c>
      <c r="P258" s="25">
        <f t="shared" si="9"/>
        <v>45955</v>
      </c>
      <c r="Q258" s="25"/>
      <c r="R258" s="25"/>
      <c r="S258" s="28" t="s">
        <v>23</v>
      </c>
      <c r="T258" s="28">
        <v>1</v>
      </c>
    </row>
    <row r="259" spans="1:20" ht="14.25" customHeight="1">
      <c r="A259" s="22">
        <v>292</v>
      </c>
      <c r="B259" s="22">
        <v>14420</v>
      </c>
      <c r="C259" s="22" t="str">
        <f>IFERROR(VLOOKUP(B259,Colaboradores!A:D,2,),"")</f>
        <v>LAYLLA EMANUELLY DA SILVA ARAUJO</v>
      </c>
      <c r="D259" s="22" t="str">
        <f>IFERROR(VLOOKUP(B259,Colaboradores!A:D,3,),"")</f>
        <v>REGIONAL LESTE</v>
      </c>
      <c r="E259" s="22" t="str">
        <f>IFERROR(VLOOKUP(B259,Colaboradores!A:D,4,),"")</f>
        <v>ASSISTENTE ADMINISTRATIVO</v>
      </c>
      <c r="F259" s="22" t="s">
        <v>34</v>
      </c>
      <c r="G259" s="24" t="str">
        <f>IFERROR(VLOOKUP(F259,Procedimentos!A:C,2,),"")</f>
        <v>GESTÃO DE LICENCIAMENTO AMBIENTAL</v>
      </c>
      <c r="H259" s="25"/>
      <c r="I259" s="25">
        <v>45863</v>
      </c>
      <c r="J259" s="22">
        <v>12</v>
      </c>
      <c r="K259" s="25">
        <f t="shared" ref="K259:K322" si="11">IF(AND(I259&lt;&gt;"",J259&lt;&gt;""),DATE(YEAR(I259),MONTH(I259)+J259,DAY(I259)),"")</f>
        <v>46228</v>
      </c>
      <c r="L259" s="28" t="str">
        <f t="shared" ca="1" si="10"/>
        <v>Em dia</v>
      </c>
      <c r="M259" s="31" t="s">
        <v>40</v>
      </c>
      <c r="N259" s="28" t="s">
        <v>21</v>
      </c>
      <c r="O259" s="22" t="s">
        <v>28</v>
      </c>
      <c r="P259" s="25">
        <f t="shared" si="9"/>
        <v>45955</v>
      </c>
      <c r="Q259" s="25"/>
      <c r="R259" s="25"/>
      <c r="S259" s="28" t="s">
        <v>23</v>
      </c>
      <c r="T259" s="28">
        <v>1</v>
      </c>
    </row>
    <row r="260" spans="1:20" ht="14.25" customHeight="1">
      <c r="A260" s="22">
        <v>293</v>
      </c>
      <c r="B260" s="22">
        <v>13822</v>
      </c>
      <c r="C260" s="22" t="str">
        <f>IFERROR(VLOOKUP(B260,Colaboradores!A:D,2,),"")</f>
        <v>JULIANA DE CASTRO ALMEIDA</v>
      </c>
      <c r="D260" s="22" t="str">
        <f>IFERROR(VLOOKUP(B260,Colaboradores!A:D,3,),"")</f>
        <v>REGIONAL CENTRAL</v>
      </c>
      <c r="E260" s="22" t="str">
        <f>IFERROR(VLOOKUP(B260,Colaboradores!A:D,4,),"")</f>
        <v>COORDENADOR DE SSMA</v>
      </c>
      <c r="F260" s="22" t="s">
        <v>34</v>
      </c>
      <c r="G260" s="24" t="str">
        <f>IFERROR(VLOOKUP(F260,Procedimentos!A:C,2,),"")</f>
        <v>GESTÃO DE LICENCIAMENTO AMBIENTAL</v>
      </c>
      <c r="H260" s="25"/>
      <c r="I260" s="25">
        <v>45863</v>
      </c>
      <c r="J260" s="22">
        <v>12</v>
      </c>
      <c r="K260" s="25">
        <f t="shared" si="11"/>
        <v>46228</v>
      </c>
      <c r="L260" s="28" t="str">
        <f t="shared" ca="1" si="10"/>
        <v>Em dia</v>
      </c>
      <c r="M260" s="31" t="s">
        <v>40</v>
      </c>
      <c r="N260" s="28" t="s">
        <v>21</v>
      </c>
      <c r="O260" s="22" t="s">
        <v>28</v>
      </c>
      <c r="P260" s="25">
        <f t="shared" si="9"/>
        <v>45955</v>
      </c>
      <c r="Q260" s="25"/>
      <c r="R260" s="25"/>
      <c r="S260" s="28" t="s">
        <v>23</v>
      </c>
      <c r="T260" s="28">
        <v>1</v>
      </c>
    </row>
    <row r="261" spans="1:20" ht="14.25" customHeight="1">
      <c r="A261" s="22">
        <v>294</v>
      </c>
      <c r="B261" s="32">
        <v>14356</v>
      </c>
      <c r="C261" s="22" t="str">
        <f>IFERROR(VLOOKUP(B261,Colaboradores!A:D,2,),"")</f>
        <v>JACILENE BELO LIMA</v>
      </c>
      <c r="D261" s="22" t="str">
        <f>IFERROR(VLOOKUP(B261,Colaboradores!A:D,3,),"")</f>
        <v>REGIONAL LESTE</v>
      </c>
      <c r="E261" s="22" t="str">
        <f>IFERROR(VLOOKUP(B261,Colaboradores!A:D,4,),"")</f>
        <v>ASSISTENTE ADMINISTRATIVO</v>
      </c>
      <c r="F261" s="22" t="s">
        <v>34</v>
      </c>
      <c r="G261" s="24" t="str">
        <f>IFERROR(VLOOKUP(F261,Procedimentos!A:C,2,),"")</f>
        <v>GESTÃO DE LICENCIAMENTO AMBIENTAL</v>
      </c>
      <c r="H261" s="25"/>
      <c r="I261" s="25">
        <v>45863</v>
      </c>
      <c r="J261" s="22">
        <v>12</v>
      </c>
      <c r="K261" s="25">
        <f t="shared" si="11"/>
        <v>46228</v>
      </c>
      <c r="L261" s="28" t="str">
        <f t="shared" ca="1" si="10"/>
        <v>Em dia</v>
      </c>
      <c r="M261" s="31" t="s">
        <v>40</v>
      </c>
      <c r="N261" s="28" t="s">
        <v>21</v>
      </c>
      <c r="O261" s="22" t="s">
        <v>28</v>
      </c>
      <c r="P261" s="25">
        <f t="shared" si="9"/>
        <v>45955</v>
      </c>
      <c r="Q261" s="25"/>
      <c r="R261" s="25"/>
      <c r="S261" s="28" t="s">
        <v>23</v>
      </c>
      <c r="T261" s="28">
        <v>1</v>
      </c>
    </row>
    <row r="262" spans="1:20" ht="14.25" customHeight="1">
      <c r="A262" s="22">
        <v>295</v>
      </c>
      <c r="B262" s="22">
        <v>12486</v>
      </c>
      <c r="C262" s="22" t="str">
        <f>IFERROR(VLOOKUP(B262,Colaboradores!A:D,2,),"")</f>
        <v>ENEAS GALVAO MAGALHAES BRITO</v>
      </c>
      <c r="D262" s="22" t="str">
        <f>IFERROR(VLOOKUP(B262,Colaboradores!A:D,3,),"")</f>
        <v>MEIO AMBIENTE</v>
      </c>
      <c r="E262" s="22" t="str">
        <f>IFERROR(VLOOKUP(B262,Colaboradores!A:D,4,),"")</f>
        <v>ENGENHEIRO DE MEIO AMBIENTE</v>
      </c>
      <c r="F262" s="22" t="s">
        <v>34</v>
      </c>
      <c r="G262" s="24" t="str">
        <f>IFERROR(VLOOKUP(F262,Procedimentos!A:C,2,),"")</f>
        <v>GESTÃO DE LICENCIAMENTO AMBIENTAL</v>
      </c>
      <c r="H262" s="25"/>
      <c r="I262" s="25">
        <v>45863</v>
      </c>
      <c r="J262" s="22">
        <v>12</v>
      </c>
      <c r="K262" s="25">
        <f t="shared" si="11"/>
        <v>46228</v>
      </c>
      <c r="L262" s="28" t="str">
        <f t="shared" ca="1" si="10"/>
        <v>Em dia</v>
      </c>
      <c r="M262" s="31" t="s">
        <v>40</v>
      </c>
      <c r="N262" s="28" t="s">
        <v>21</v>
      </c>
      <c r="O262" s="22" t="s">
        <v>28</v>
      </c>
      <c r="P262" s="25">
        <f t="shared" si="9"/>
        <v>45955</v>
      </c>
      <c r="Q262" s="25"/>
      <c r="R262" s="25"/>
      <c r="S262" s="28" t="s">
        <v>23</v>
      </c>
      <c r="T262" s="28">
        <v>1</v>
      </c>
    </row>
    <row r="263" spans="1:20" ht="14.25" customHeight="1">
      <c r="A263" s="22">
        <v>296</v>
      </c>
      <c r="B263" s="22">
        <v>15100</v>
      </c>
      <c r="C263" s="22" t="str">
        <f>IFERROR(VLOOKUP(B263,Colaboradores!A:D,2,),"")</f>
        <v>JONATHAN SILVA ALVES</v>
      </c>
      <c r="D263" s="22" t="str">
        <f>IFERROR(VLOOKUP(B263,Colaboradores!A:D,3,),"")</f>
        <v>REGIONAL SUL</v>
      </c>
      <c r="E263" s="22" t="str">
        <f>IFERROR(VLOOKUP(B263,Colaboradores!A:D,4,),"")</f>
        <v>COORDENADOR DE SSMA</v>
      </c>
      <c r="F263" s="22" t="s">
        <v>35</v>
      </c>
      <c r="G263" s="24" t="str">
        <f>IFERROR(VLOOKUP(F263,Procedimentos!A:C,2,),"")</f>
        <v>PROCEDIMENTO DE AFERIÇÃO DE FUMAÇA PRETA</v>
      </c>
      <c r="H263" s="25"/>
      <c r="I263" s="25">
        <v>45863</v>
      </c>
      <c r="J263" s="22">
        <v>12</v>
      </c>
      <c r="K263" s="25">
        <f t="shared" si="11"/>
        <v>46228</v>
      </c>
      <c r="L263" s="28" t="str">
        <f t="shared" ca="1" si="10"/>
        <v>Em dia</v>
      </c>
      <c r="M263" s="31" t="s">
        <v>40</v>
      </c>
      <c r="N263" s="28" t="s">
        <v>21</v>
      </c>
      <c r="O263" s="22" t="s">
        <v>28</v>
      </c>
      <c r="P263" s="25">
        <f t="shared" si="9"/>
        <v>45955</v>
      </c>
      <c r="Q263" s="25"/>
      <c r="R263" s="25"/>
      <c r="S263" s="28" t="s">
        <v>23</v>
      </c>
      <c r="T263" s="28">
        <v>1</v>
      </c>
    </row>
    <row r="264" spans="1:20" ht="14.25" customHeight="1">
      <c r="A264" s="22">
        <v>297</v>
      </c>
      <c r="B264" s="22">
        <v>14420</v>
      </c>
      <c r="C264" s="22" t="str">
        <f>IFERROR(VLOOKUP(B264,Colaboradores!A:D,2,),"")</f>
        <v>LAYLLA EMANUELLY DA SILVA ARAUJO</v>
      </c>
      <c r="D264" s="22" t="str">
        <f>IFERROR(VLOOKUP(B264,Colaboradores!A:D,3,),"")</f>
        <v>REGIONAL LESTE</v>
      </c>
      <c r="E264" s="22" t="str">
        <f>IFERROR(VLOOKUP(B264,Colaboradores!A:D,4,),"")</f>
        <v>ASSISTENTE ADMINISTRATIVO</v>
      </c>
      <c r="F264" s="22" t="s">
        <v>35</v>
      </c>
      <c r="G264" s="24" t="str">
        <f>IFERROR(VLOOKUP(F264,Procedimentos!A:C,2,),"")</f>
        <v>PROCEDIMENTO DE AFERIÇÃO DE FUMAÇA PRETA</v>
      </c>
      <c r="H264" s="25"/>
      <c r="I264" s="25">
        <v>45863</v>
      </c>
      <c r="J264" s="22">
        <v>12</v>
      </c>
      <c r="K264" s="25">
        <f t="shared" si="11"/>
        <v>46228</v>
      </c>
      <c r="L264" s="28" t="str">
        <f t="shared" ca="1" si="10"/>
        <v>Em dia</v>
      </c>
      <c r="M264" s="31" t="s">
        <v>40</v>
      </c>
      <c r="N264" s="28" t="s">
        <v>21</v>
      </c>
      <c r="O264" s="22" t="s">
        <v>28</v>
      </c>
      <c r="P264" s="25">
        <f t="shared" si="9"/>
        <v>45955</v>
      </c>
      <c r="Q264" s="25"/>
      <c r="R264" s="25"/>
      <c r="S264" s="28" t="s">
        <v>23</v>
      </c>
      <c r="T264" s="28">
        <v>1</v>
      </c>
    </row>
    <row r="265" spans="1:20" ht="14.25" customHeight="1">
      <c r="A265" s="22">
        <v>298</v>
      </c>
      <c r="B265" s="22">
        <v>13822</v>
      </c>
      <c r="C265" s="22" t="str">
        <f>IFERROR(VLOOKUP(B265,Colaboradores!A:D,2,),"")</f>
        <v>JULIANA DE CASTRO ALMEIDA</v>
      </c>
      <c r="D265" s="22" t="str">
        <f>IFERROR(VLOOKUP(B265,Colaboradores!A:D,3,),"")</f>
        <v>REGIONAL CENTRAL</v>
      </c>
      <c r="E265" s="22" t="str">
        <f>IFERROR(VLOOKUP(B265,Colaboradores!A:D,4,),"")</f>
        <v>COORDENADOR DE SSMA</v>
      </c>
      <c r="F265" s="22" t="s">
        <v>35</v>
      </c>
      <c r="G265" s="24" t="str">
        <f>IFERROR(VLOOKUP(F265,Procedimentos!A:C,2,),"")</f>
        <v>PROCEDIMENTO DE AFERIÇÃO DE FUMAÇA PRETA</v>
      </c>
      <c r="H265" s="25"/>
      <c r="I265" s="25">
        <v>45863</v>
      </c>
      <c r="J265" s="22">
        <v>12</v>
      </c>
      <c r="K265" s="25">
        <f t="shared" si="11"/>
        <v>46228</v>
      </c>
      <c r="L265" s="28" t="str">
        <f t="shared" ca="1" si="10"/>
        <v>Em dia</v>
      </c>
      <c r="M265" s="31" t="s">
        <v>40</v>
      </c>
      <c r="N265" s="28" t="s">
        <v>21</v>
      </c>
      <c r="O265" s="22" t="s">
        <v>28</v>
      </c>
      <c r="P265" s="25">
        <f t="shared" si="9"/>
        <v>45955</v>
      </c>
      <c r="Q265" s="25"/>
      <c r="R265" s="25"/>
      <c r="S265" s="28" t="s">
        <v>23</v>
      </c>
      <c r="T265" s="28">
        <v>1</v>
      </c>
    </row>
    <row r="266" spans="1:20" ht="14.25" customHeight="1">
      <c r="A266" s="22">
        <v>299</v>
      </c>
      <c r="B266" s="32">
        <v>14356</v>
      </c>
      <c r="C266" s="22" t="str">
        <f>IFERROR(VLOOKUP(B266,Colaboradores!A:D,2,),"")</f>
        <v>JACILENE BELO LIMA</v>
      </c>
      <c r="D266" s="22" t="str">
        <f>IFERROR(VLOOKUP(B266,Colaboradores!A:D,3,),"")</f>
        <v>REGIONAL LESTE</v>
      </c>
      <c r="E266" s="22" t="str">
        <f>IFERROR(VLOOKUP(B266,Colaboradores!A:D,4,),"")</f>
        <v>ASSISTENTE ADMINISTRATIVO</v>
      </c>
      <c r="F266" s="22" t="s">
        <v>35</v>
      </c>
      <c r="G266" s="24" t="str">
        <f>IFERROR(VLOOKUP(F266,Procedimentos!A:C,2,),"")</f>
        <v>PROCEDIMENTO DE AFERIÇÃO DE FUMAÇA PRETA</v>
      </c>
      <c r="H266" s="25"/>
      <c r="I266" s="25">
        <v>45863</v>
      </c>
      <c r="J266" s="22">
        <v>12</v>
      </c>
      <c r="K266" s="25">
        <f t="shared" si="11"/>
        <v>46228</v>
      </c>
      <c r="L266" s="28" t="str">
        <f t="shared" ca="1" si="10"/>
        <v>Em dia</v>
      </c>
      <c r="M266" s="31" t="s">
        <v>40</v>
      </c>
      <c r="N266" s="28" t="s">
        <v>21</v>
      </c>
      <c r="O266" s="22" t="s">
        <v>28</v>
      </c>
      <c r="P266" s="25">
        <f t="shared" si="9"/>
        <v>45955</v>
      </c>
      <c r="Q266" s="25"/>
      <c r="R266" s="25"/>
      <c r="S266" s="28" t="s">
        <v>23</v>
      </c>
      <c r="T266" s="28">
        <v>1</v>
      </c>
    </row>
    <row r="267" spans="1:20" ht="14.25" customHeight="1">
      <c r="A267" s="22">
        <v>301</v>
      </c>
      <c r="B267" s="22">
        <v>12486</v>
      </c>
      <c r="C267" s="22" t="str">
        <f>IFERROR(VLOOKUP(B267,Colaboradores!A:D,2,),"")</f>
        <v>ENEAS GALVAO MAGALHAES BRITO</v>
      </c>
      <c r="D267" s="22" t="str">
        <f>IFERROR(VLOOKUP(B267,Colaboradores!A:D,3,),"")</f>
        <v>MEIO AMBIENTE</v>
      </c>
      <c r="E267" s="22" t="str">
        <f>IFERROR(VLOOKUP(B267,Colaboradores!A:D,4,),"")</f>
        <v>ENGENHEIRO DE MEIO AMBIENTE</v>
      </c>
      <c r="F267" s="22" t="s">
        <v>35</v>
      </c>
      <c r="G267" s="24" t="str">
        <f>IFERROR(VLOOKUP(F267,Procedimentos!A:C,2,),"")</f>
        <v>PROCEDIMENTO DE AFERIÇÃO DE FUMAÇA PRETA</v>
      </c>
      <c r="H267" s="25"/>
      <c r="I267" s="25">
        <v>45863</v>
      </c>
      <c r="J267" s="22">
        <v>12</v>
      </c>
      <c r="K267" s="25">
        <f t="shared" si="11"/>
        <v>46228</v>
      </c>
      <c r="L267" s="28" t="str">
        <f t="shared" ca="1" si="10"/>
        <v>Em dia</v>
      </c>
      <c r="M267" s="31" t="s">
        <v>40</v>
      </c>
      <c r="N267" s="28" t="s">
        <v>21</v>
      </c>
      <c r="O267" s="22" t="s">
        <v>28</v>
      </c>
      <c r="P267" s="25">
        <f t="shared" si="9"/>
        <v>45955</v>
      </c>
      <c r="Q267" s="25"/>
      <c r="R267" s="25"/>
      <c r="S267" s="28" t="s">
        <v>23</v>
      </c>
      <c r="T267" s="28">
        <v>1</v>
      </c>
    </row>
    <row r="268" spans="1:20" ht="14.25" customHeight="1">
      <c r="A268" s="22">
        <v>302</v>
      </c>
      <c r="B268" s="22">
        <v>15100</v>
      </c>
      <c r="C268" s="22" t="str">
        <f>IFERROR(VLOOKUP(B268,Colaboradores!A:D,2,),"")</f>
        <v>JONATHAN SILVA ALVES</v>
      </c>
      <c r="D268" s="22" t="str">
        <f>IFERROR(VLOOKUP(B268,Colaboradores!A:D,3,),"")</f>
        <v>REGIONAL SUL</v>
      </c>
      <c r="E268" s="22" t="str">
        <f>IFERROR(VLOOKUP(B268,Colaboradores!A:D,4,),"")</f>
        <v>COORDENADOR DE SSMA</v>
      </c>
      <c r="F268" s="22" t="s">
        <v>36</v>
      </c>
      <c r="G268" s="24" t="str">
        <f>IFERROR(VLOOKUP(F268,Procedimentos!A:C,2,),"")</f>
        <v>GESTÃO DE PRODUTOS QUÍMICOS</v>
      </c>
      <c r="H268" s="25"/>
      <c r="I268" s="25">
        <v>45863</v>
      </c>
      <c r="J268" s="22">
        <v>12</v>
      </c>
      <c r="K268" s="25">
        <f t="shared" si="11"/>
        <v>46228</v>
      </c>
      <c r="L268" s="28" t="str">
        <f t="shared" ca="1" si="10"/>
        <v>Em dia</v>
      </c>
      <c r="M268" s="31" t="s">
        <v>40</v>
      </c>
      <c r="N268" s="28" t="s">
        <v>21</v>
      </c>
      <c r="O268" s="22" t="s">
        <v>28</v>
      </c>
      <c r="P268" s="25">
        <f t="shared" si="9"/>
        <v>45955</v>
      </c>
      <c r="Q268" s="25"/>
      <c r="R268" s="25"/>
      <c r="S268" s="28" t="s">
        <v>23</v>
      </c>
      <c r="T268" s="28">
        <v>1</v>
      </c>
    </row>
    <row r="269" spans="1:20" ht="14.25" customHeight="1">
      <c r="A269" s="22">
        <v>303</v>
      </c>
      <c r="B269" s="22">
        <v>14420</v>
      </c>
      <c r="C269" s="22" t="str">
        <f>IFERROR(VLOOKUP(B269,Colaboradores!A:D,2,),"")</f>
        <v>LAYLLA EMANUELLY DA SILVA ARAUJO</v>
      </c>
      <c r="D269" s="22" t="str">
        <f>IFERROR(VLOOKUP(B269,Colaboradores!A:D,3,),"")</f>
        <v>REGIONAL LESTE</v>
      </c>
      <c r="E269" s="22" t="str">
        <f>IFERROR(VLOOKUP(B269,Colaboradores!A:D,4,),"")</f>
        <v>ASSISTENTE ADMINISTRATIVO</v>
      </c>
      <c r="F269" s="22" t="s">
        <v>36</v>
      </c>
      <c r="G269" s="24" t="str">
        <f>IFERROR(VLOOKUP(F269,Procedimentos!A:C,2,),"")</f>
        <v>GESTÃO DE PRODUTOS QUÍMICOS</v>
      </c>
      <c r="H269" s="25"/>
      <c r="I269" s="25">
        <v>45863</v>
      </c>
      <c r="J269" s="22">
        <v>12</v>
      </c>
      <c r="K269" s="25">
        <f t="shared" si="11"/>
        <v>46228</v>
      </c>
      <c r="L269" s="28" t="str">
        <f t="shared" ca="1" si="10"/>
        <v>Em dia</v>
      </c>
      <c r="M269" s="31" t="s">
        <v>40</v>
      </c>
      <c r="N269" s="28" t="s">
        <v>21</v>
      </c>
      <c r="O269" s="22" t="s">
        <v>28</v>
      </c>
      <c r="P269" s="25">
        <f t="shared" si="9"/>
        <v>45955</v>
      </c>
      <c r="Q269" s="25"/>
      <c r="R269" s="25"/>
      <c r="S269" s="28" t="s">
        <v>23</v>
      </c>
      <c r="T269" s="28">
        <v>1</v>
      </c>
    </row>
    <row r="270" spans="1:20" ht="14.25" customHeight="1">
      <c r="A270" s="22">
        <v>304</v>
      </c>
      <c r="B270" s="22">
        <v>13822</v>
      </c>
      <c r="C270" s="22" t="str">
        <f>IFERROR(VLOOKUP(B270,Colaboradores!A:D,2,),"")</f>
        <v>JULIANA DE CASTRO ALMEIDA</v>
      </c>
      <c r="D270" s="22" t="str">
        <f>IFERROR(VLOOKUP(B270,Colaboradores!A:D,3,),"")</f>
        <v>REGIONAL CENTRAL</v>
      </c>
      <c r="E270" s="22" t="str">
        <f>IFERROR(VLOOKUP(B270,Colaboradores!A:D,4,),"")</f>
        <v>COORDENADOR DE SSMA</v>
      </c>
      <c r="F270" s="22" t="s">
        <v>36</v>
      </c>
      <c r="G270" s="24" t="str">
        <f>IFERROR(VLOOKUP(F270,Procedimentos!A:C,2,),"")</f>
        <v>GESTÃO DE PRODUTOS QUÍMICOS</v>
      </c>
      <c r="H270" s="25"/>
      <c r="I270" s="25">
        <v>45863</v>
      </c>
      <c r="J270" s="22">
        <v>12</v>
      </c>
      <c r="K270" s="25">
        <f t="shared" si="11"/>
        <v>46228</v>
      </c>
      <c r="L270" s="28" t="str">
        <f t="shared" ca="1" si="10"/>
        <v>Em dia</v>
      </c>
      <c r="M270" s="31" t="s">
        <v>40</v>
      </c>
      <c r="N270" s="28" t="s">
        <v>21</v>
      </c>
      <c r="O270" s="22" t="s">
        <v>28</v>
      </c>
      <c r="P270" s="25">
        <f t="shared" si="9"/>
        <v>45955</v>
      </c>
      <c r="Q270" s="25"/>
      <c r="R270" s="25"/>
      <c r="S270" s="28" t="s">
        <v>23</v>
      </c>
      <c r="T270" s="28">
        <v>1</v>
      </c>
    </row>
    <row r="271" spans="1:20" ht="14.25" customHeight="1">
      <c r="A271" s="22">
        <v>305</v>
      </c>
      <c r="B271" s="32">
        <v>14356</v>
      </c>
      <c r="C271" s="22" t="str">
        <f>IFERROR(VLOOKUP(B271,Colaboradores!A:D,2,),"")</f>
        <v>JACILENE BELO LIMA</v>
      </c>
      <c r="D271" s="22" t="str">
        <f>IFERROR(VLOOKUP(B271,Colaboradores!A:D,3,),"")</f>
        <v>REGIONAL LESTE</v>
      </c>
      <c r="E271" s="22" t="str">
        <f>IFERROR(VLOOKUP(B271,Colaboradores!A:D,4,),"")</f>
        <v>ASSISTENTE ADMINISTRATIVO</v>
      </c>
      <c r="F271" s="22" t="s">
        <v>36</v>
      </c>
      <c r="G271" s="24" t="str">
        <f>IFERROR(VLOOKUP(F271,Procedimentos!A:C,2,),"")</f>
        <v>GESTÃO DE PRODUTOS QUÍMICOS</v>
      </c>
      <c r="H271" s="25"/>
      <c r="I271" s="25">
        <v>45863</v>
      </c>
      <c r="J271" s="22">
        <v>12</v>
      </c>
      <c r="K271" s="25">
        <f t="shared" si="11"/>
        <v>46228</v>
      </c>
      <c r="L271" s="28" t="str">
        <f t="shared" ca="1" si="10"/>
        <v>Em dia</v>
      </c>
      <c r="M271" s="31" t="s">
        <v>40</v>
      </c>
      <c r="N271" s="28" t="s">
        <v>21</v>
      </c>
      <c r="O271" s="22" t="s">
        <v>28</v>
      </c>
      <c r="P271" s="25">
        <f t="shared" si="9"/>
        <v>45955</v>
      </c>
      <c r="Q271" s="25"/>
      <c r="R271" s="25"/>
      <c r="S271" s="28" t="s">
        <v>23</v>
      </c>
      <c r="T271" s="28">
        <v>1</v>
      </c>
    </row>
    <row r="272" spans="1:20" ht="14.25" customHeight="1">
      <c r="A272" s="22">
        <v>307</v>
      </c>
      <c r="B272" s="22">
        <v>12486</v>
      </c>
      <c r="C272" s="22" t="str">
        <f>IFERROR(VLOOKUP(B272,Colaboradores!A:D,2,),"")</f>
        <v>ENEAS GALVAO MAGALHAES BRITO</v>
      </c>
      <c r="D272" s="22" t="str">
        <f>IFERROR(VLOOKUP(B272,Colaboradores!A:D,3,),"")</f>
        <v>MEIO AMBIENTE</v>
      </c>
      <c r="E272" s="22" t="str">
        <f>IFERROR(VLOOKUP(B272,Colaboradores!A:D,4,),"")</f>
        <v>ENGENHEIRO DE MEIO AMBIENTE</v>
      </c>
      <c r="F272" s="22" t="s">
        <v>36</v>
      </c>
      <c r="G272" s="24" t="str">
        <f>IFERROR(VLOOKUP(F272,Procedimentos!A:C,2,),"")</f>
        <v>GESTÃO DE PRODUTOS QUÍMICOS</v>
      </c>
      <c r="H272" s="25"/>
      <c r="I272" s="25">
        <v>45863</v>
      </c>
      <c r="J272" s="22">
        <v>12</v>
      </c>
      <c r="K272" s="25">
        <f t="shared" si="11"/>
        <v>46228</v>
      </c>
      <c r="L272" s="28" t="str">
        <f t="shared" ca="1" si="10"/>
        <v>Em dia</v>
      </c>
      <c r="M272" s="31" t="s">
        <v>40</v>
      </c>
      <c r="N272" s="28" t="s">
        <v>21</v>
      </c>
      <c r="O272" s="22" t="s">
        <v>28</v>
      </c>
      <c r="P272" s="25">
        <f t="shared" si="9"/>
        <v>45955</v>
      </c>
      <c r="Q272" s="25"/>
      <c r="R272" s="25"/>
      <c r="S272" s="28" t="s">
        <v>23</v>
      </c>
      <c r="T272" s="28">
        <v>1</v>
      </c>
    </row>
    <row r="273" spans="1:20" ht="14.25" customHeight="1">
      <c r="A273" s="22">
        <v>308</v>
      </c>
      <c r="B273" s="22">
        <v>7601</v>
      </c>
      <c r="C273" s="22" t="str">
        <f>IFERROR(VLOOKUP(B273,Colaboradores!A:D,2,),"")</f>
        <v>RAYANE BEZERRA DE JESUS</v>
      </c>
      <c r="D273" s="22" t="str">
        <f>IFERROR(VLOOKUP(B273,Colaboradores!A:D,3,),"")</f>
        <v>SAÚDE OCUPACIONAL</v>
      </c>
      <c r="E273" s="22" t="str">
        <f>IFERROR(VLOOKUP(B273,Colaboradores!A:D,4,),"")</f>
        <v>TÉCNICO DE ENFERMAGEM DO TRABALHO</v>
      </c>
      <c r="F273" s="22" t="s">
        <v>36</v>
      </c>
      <c r="G273" s="24" t="str">
        <f>IFERROR(VLOOKUP(F273,Procedimentos!A:C,2,),"")</f>
        <v>GESTÃO DE PRODUTOS QUÍMICOS</v>
      </c>
      <c r="H273" s="25"/>
      <c r="I273" s="25">
        <v>45863</v>
      </c>
      <c r="J273" s="22">
        <v>12</v>
      </c>
      <c r="K273" s="25">
        <f t="shared" si="11"/>
        <v>46228</v>
      </c>
      <c r="L273" s="28" t="str">
        <f t="shared" ca="1" si="10"/>
        <v>Em dia</v>
      </c>
      <c r="M273" s="31" t="s">
        <v>40</v>
      </c>
      <c r="N273" s="28" t="s">
        <v>21</v>
      </c>
      <c r="O273" s="22" t="s">
        <v>28</v>
      </c>
      <c r="P273" s="25">
        <f t="shared" si="9"/>
        <v>45955</v>
      </c>
      <c r="Q273" s="25"/>
      <c r="R273" s="25"/>
      <c r="S273" s="28" t="s">
        <v>23</v>
      </c>
      <c r="T273" s="28">
        <v>1</v>
      </c>
    </row>
    <row r="274" spans="1:20" ht="14.25" customHeight="1">
      <c r="A274" s="22">
        <v>309</v>
      </c>
      <c r="B274" s="22">
        <v>7147</v>
      </c>
      <c r="C274" s="22" t="str">
        <f>IFERROR(VLOOKUP(B274,Colaboradores!A:D,2,),"")</f>
        <v>MAIARA MONTEIRO MARQUES CASTELO BRANCO</v>
      </c>
      <c r="D274" s="22" t="str">
        <f>IFERROR(VLOOKUP(B274,Colaboradores!A:D,3,),"")</f>
        <v>SAÚDE OCUPACIONAL</v>
      </c>
      <c r="E274" s="22" t="str">
        <f>IFERROR(VLOOKUP(B274,Colaboradores!A:D,4,),"")</f>
        <v>PSICÓLOGA</v>
      </c>
      <c r="F274" s="22" t="s">
        <v>36</v>
      </c>
      <c r="G274" s="24" t="str">
        <f>IFERROR(VLOOKUP(F274,Procedimentos!A:C,2,),"")</f>
        <v>GESTÃO DE PRODUTOS QUÍMICOS</v>
      </c>
      <c r="H274" s="25"/>
      <c r="I274" s="25">
        <v>45863</v>
      </c>
      <c r="J274" s="22">
        <v>12</v>
      </c>
      <c r="K274" s="25">
        <f t="shared" si="11"/>
        <v>46228</v>
      </c>
      <c r="L274" s="28" t="str">
        <f t="shared" ca="1" si="10"/>
        <v>Em dia</v>
      </c>
      <c r="M274" s="31" t="s">
        <v>40</v>
      </c>
      <c r="N274" s="28" t="s">
        <v>21</v>
      </c>
      <c r="O274" s="22" t="s">
        <v>28</v>
      </c>
      <c r="P274" s="25">
        <f t="shared" si="9"/>
        <v>45955</v>
      </c>
      <c r="Q274" s="25"/>
      <c r="R274" s="25"/>
      <c r="S274" s="28" t="s">
        <v>23</v>
      </c>
      <c r="T274" s="28">
        <v>1</v>
      </c>
    </row>
    <row r="275" spans="1:20" ht="14.25" customHeight="1">
      <c r="A275" s="22">
        <v>310</v>
      </c>
      <c r="B275" s="22">
        <v>14499</v>
      </c>
      <c r="C275" s="22" t="str">
        <f>IFERROR(VLOOKUP(B275,Colaboradores!A:D,2,),"")</f>
        <v>SAMIRIS COSTA DA SILVA</v>
      </c>
      <c r="D275" s="22" t="str">
        <f>IFERROR(VLOOKUP(B275,Colaboradores!A:D,3,),"")</f>
        <v>SAÚDE OCUPACIONAL</v>
      </c>
      <c r="E275" s="22" t="str">
        <f>IFERROR(VLOOKUP(B275,Colaboradores!A:D,4,),"")</f>
        <v>PSICÓLOGA</v>
      </c>
      <c r="F275" s="22" t="s">
        <v>36</v>
      </c>
      <c r="G275" s="24" t="str">
        <f>IFERROR(VLOOKUP(F275,Procedimentos!A:C,2,),"")</f>
        <v>GESTÃO DE PRODUTOS QUÍMICOS</v>
      </c>
      <c r="H275" s="25"/>
      <c r="I275" s="25">
        <v>45863</v>
      </c>
      <c r="J275" s="22">
        <v>12</v>
      </c>
      <c r="K275" s="25">
        <f t="shared" si="11"/>
        <v>46228</v>
      </c>
      <c r="L275" s="28" t="str">
        <f t="shared" ca="1" si="10"/>
        <v>Em dia</v>
      </c>
      <c r="M275" s="31" t="s">
        <v>40</v>
      </c>
      <c r="N275" s="28" t="s">
        <v>21</v>
      </c>
      <c r="O275" s="22" t="s">
        <v>28</v>
      </c>
      <c r="P275" s="25">
        <f t="shared" si="9"/>
        <v>45955</v>
      </c>
      <c r="Q275" s="25"/>
      <c r="R275" s="25"/>
      <c r="S275" s="28" t="s">
        <v>23</v>
      </c>
      <c r="T275" s="28">
        <v>1</v>
      </c>
    </row>
    <row r="276" spans="1:20" ht="14.25" customHeight="1">
      <c r="A276" s="22">
        <v>312</v>
      </c>
      <c r="B276" s="32">
        <v>14083</v>
      </c>
      <c r="C276" s="22" t="str">
        <f>IFERROR(VLOOKUP(B276,Colaboradores!A:D,2,),"")</f>
        <v>TAHYNAN FREITAS SILVA COSTA</v>
      </c>
      <c r="D276" s="22" t="str">
        <f>IFERROR(VLOOKUP(B276,Colaboradores!A:D,3,),"")</f>
        <v>SAÚDE OCUPACIONAL</v>
      </c>
      <c r="E276" s="22" t="str">
        <f>IFERROR(VLOOKUP(B276,Colaboradores!A:D,4,),"")</f>
        <v>TÉCNICO DE ENFERMAGEM DO TRABALHO</v>
      </c>
      <c r="F276" s="22" t="s">
        <v>36</v>
      </c>
      <c r="G276" s="24" t="str">
        <f>IFERROR(VLOOKUP(F276,Procedimentos!A:C,2,),"")</f>
        <v>GESTÃO DE PRODUTOS QUÍMICOS</v>
      </c>
      <c r="H276" s="25"/>
      <c r="I276" s="25">
        <v>45863</v>
      </c>
      <c r="J276" s="22">
        <v>12</v>
      </c>
      <c r="K276" s="25">
        <f t="shared" si="11"/>
        <v>46228</v>
      </c>
      <c r="L276" s="28" t="str">
        <f t="shared" ca="1" si="10"/>
        <v>Em dia</v>
      </c>
      <c r="M276" s="31" t="s">
        <v>40</v>
      </c>
      <c r="N276" s="28" t="s">
        <v>21</v>
      </c>
      <c r="O276" s="22" t="s">
        <v>28</v>
      </c>
      <c r="P276" s="25">
        <f t="shared" si="9"/>
        <v>45955</v>
      </c>
      <c r="Q276" s="25"/>
      <c r="R276" s="25"/>
      <c r="S276" s="28" t="s">
        <v>23</v>
      </c>
      <c r="T276" s="28">
        <v>1</v>
      </c>
    </row>
    <row r="277" spans="1:20" ht="14.25" customHeight="1">
      <c r="A277" s="22">
        <v>313</v>
      </c>
      <c r="B277" s="22">
        <v>15059</v>
      </c>
      <c r="C277" s="22" t="str">
        <f>IFERROR(VLOOKUP(B277,Colaboradores!A:D,2,),"")</f>
        <v>GUILHERME LEÃO DOS SANTOS</v>
      </c>
      <c r="D277" s="22" t="str">
        <f>IFERROR(VLOOKUP(B277,Colaboradores!A:D,3,),"")</f>
        <v>SAÚDE OCUPACIONAL</v>
      </c>
      <c r="E277" s="22" t="str">
        <f>IFERROR(VLOOKUP(B277,Colaboradores!A:D,4,),"")</f>
        <v>ASSISTENTE ADMINISTRATIVO</v>
      </c>
      <c r="F277" s="22" t="s">
        <v>36</v>
      </c>
      <c r="G277" s="24" t="str">
        <f>IFERROR(VLOOKUP(F277,Procedimentos!A:C,2,),"")</f>
        <v>GESTÃO DE PRODUTOS QUÍMICOS</v>
      </c>
      <c r="H277" s="25"/>
      <c r="I277" s="25">
        <v>45863</v>
      </c>
      <c r="J277" s="22">
        <v>12</v>
      </c>
      <c r="K277" s="25">
        <f t="shared" si="11"/>
        <v>46228</v>
      </c>
      <c r="L277" s="28" t="str">
        <f t="shared" ca="1" si="10"/>
        <v>Em dia</v>
      </c>
      <c r="M277" s="31" t="s">
        <v>40</v>
      </c>
      <c r="N277" s="28" t="s">
        <v>21</v>
      </c>
      <c r="O277" s="22" t="s">
        <v>28</v>
      </c>
      <c r="P277" s="25">
        <f t="shared" si="9"/>
        <v>45955</v>
      </c>
      <c r="Q277" s="25"/>
      <c r="R277" s="25"/>
      <c r="S277" s="28" t="s">
        <v>23</v>
      </c>
      <c r="T277" s="28">
        <v>1</v>
      </c>
    </row>
    <row r="278" spans="1:20" ht="14.25" customHeight="1">
      <c r="A278" s="22">
        <v>314</v>
      </c>
      <c r="B278" s="32">
        <v>12330</v>
      </c>
      <c r="C278" s="22" t="str">
        <f>IFERROR(VLOOKUP(B278,Colaboradores!A:D,2,),"")</f>
        <v>BIANCA GUEDES SILVA ALMEIDA</v>
      </c>
      <c r="D278" s="22" t="str">
        <f>IFERROR(VLOOKUP(B278,Colaboradores!A:D,3,),"")</f>
        <v>SAÚDE OCUPACIONAL</v>
      </c>
      <c r="E278" s="22" t="str">
        <f>IFERROR(VLOOKUP(B278,Colaboradores!A:D,4,),"")</f>
        <v>NUTRICIONISTA</v>
      </c>
      <c r="F278" s="22" t="s">
        <v>36</v>
      </c>
      <c r="G278" s="24" t="str">
        <f>IFERROR(VLOOKUP(F278,Procedimentos!A:C,2,),"")</f>
        <v>GESTÃO DE PRODUTOS QUÍMICOS</v>
      </c>
      <c r="H278" s="25"/>
      <c r="I278" s="25">
        <v>45863</v>
      </c>
      <c r="J278" s="22">
        <v>12</v>
      </c>
      <c r="K278" s="25">
        <f t="shared" si="11"/>
        <v>46228</v>
      </c>
      <c r="L278" s="28" t="str">
        <f t="shared" ca="1" si="10"/>
        <v>Em dia</v>
      </c>
      <c r="M278" s="31" t="s">
        <v>40</v>
      </c>
      <c r="N278" s="28" t="s">
        <v>21</v>
      </c>
      <c r="O278" s="22" t="s">
        <v>28</v>
      </c>
      <c r="P278" s="25">
        <f t="shared" si="9"/>
        <v>45955</v>
      </c>
      <c r="Q278" s="25"/>
      <c r="R278" s="25"/>
      <c r="S278" s="28" t="s">
        <v>23</v>
      </c>
      <c r="T278" s="28">
        <v>1</v>
      </c>
    </row>
    <row r="279" spans="1:20" ht="14.25" customHeight="1">
      <c r="A279" s="22">
        <v>315</v>
      </c>
      <c r="B279" s="22">
        <v>15100</v>
      </c>
      <c r="C279" s="22" t="str">
        <f>IFERROR(VLOOKUP(B279,Colaboradores!A:D,2,),"")</f>
        <v>JONATHAN SILVA ALVES</v>
      </c>
      <c r="D279" s="22" t="str">
        <f>IFERROR(VLOOKUP(B279,Colaboradores!A:D,3,),"")</f>
        <v>REGIONAL SUL</v>
      </c>
      <c r="E279" s="22" t="str">
        <f>IFERROR(VLOOKUP(B279,Colaboradores!A:D,4,),"")</f>
        <v>COORDENADOR DE SSMA</v>
      </c>
      <c r="F279" s="22" t="s">
        <v>37</v>
      </c>
      <c r="G279" s="24" t="str">
        <f>IFERROR(VLOOKUP(F279,Procedimentos!A:C,2,),"")</f>
        <v>GESTÃO DE RESÍDUOS SÓLIDOS DE SERVIÇOS DE SAÚDE</v>
      </c>
      <c r="H279" s="25"/>
      <c r="I279" s="25">
        <v>45863</v>
      </c>
      <c r="J279" s="22">
        <v>12</v>
      </c>
      <c r="K279" s="25">
        <f t="shared" si="11"/>
        <v>46228</v>
      </c>
      <c r="L279" s="28" t="str">
        <f t="shared" ca="1" si="10"/>
        <v>Em dia</v>
      </c>
      <c r="M279" s="31" t="s">
        <v>40</v>
      </c>
      <c r="N279" s="28" t="s">
        <v>21</v>
      </c>
      <c r="O279" s="22" t="s">
        <v>28</v>
      </c>
      <c r="P279" s="25">
        <f t="shared" si="9"/>
        <v>45955</v>
      </c>
      <c r="Q279" s="25"/>
      <c r="R279" s="25"/>
      <c r="S279" s="28" t="s">
        <v>23</v>
      </c>
      <c r="T279" s="28">
        <v>1</v>
      </c>
    </row>
    <row r="280" spans="1:20" ht="14.25" customHeight="1">
      <c r="A280" s="22">
        <v>316</v>
      </c>
      <c r="B280" s="22">
        <v>14420</v>
      </c>
      <c r="C280" s="22" t="str">
        <f>IFERROR(VLOOKUP(B280,Colaboradores!A:D,2,),"")</f>
        <v>LAYLLA EMANUELLY DA SILVA ARAUJO</v>
      </c>
      <c r="D280" s="22" t="str">
        <f>IFERROR(VLOOKUP(B280,Colaboradores!A:D,3,),"")</f>
        <v>REGIONAL LESTE</v>
      </c>
      <c r="E280" s="22" t="str">
        <f>IFERROR(VLOOKUP(B280,Colaboradores!A:D,4,),"")</f>
        <v>ASSISTENTE ADMINISTRATIVO</v>
      </c>
      <c r="F280" s="22" t="s">
        <v>37</v>
      </c>
      <c r="G280" s="24" t="str">
        <f>IFERROR(VLOOKUP(F280,Procedimentos!A:C,2,),"")</f>
        <v>GESTÃO DE RESÍDUOS SÓLIDOS DE SERVIÇOS DE SAÚDE</v>
      </c>
      <c r="H280" s="25"/>
      <c r="I280" s="25">
        <v>45863</v>
      </c>
      <c r="J280" s="22">
        <v>12</v>
      </c>
      <c r="K280" s="25">
        <f t="shared" si="11"/>
        <v>46228</v>
      </c>
      <c r="L280" s="28" t="str">
        <f t="shared" ca="1" si="10"/>
        <v>Em dia</v>
      </c>
      <c r="M280" s="31" t="s">
        <v>40</v>
      </c>
      <c r="N280" s="28" t="s">
        <v>21</v>
      </c>
      <c r="O280" s="22" t="s">
        <v>28</v>
      </c>
      <c r="P280" s="25">
        <f t="shared" si="9"/>
        <v>45955</v>
      </c>
      <c r="Q280" s="25"/>
      <c r="R280" s="25"/>
      <c r="S280" s="28" t="s">
        <v>23</v>
      </c>
      <c r="T280" s="28">
        <v>1</v>
      </c>
    </row>
    <row r="281" spans="1:20" ht="14.25" customHeight="1">
      <c r="A281" s="22">
        <v>317</v>
      </c>
      <c r="B281" s="22">
        <v>13822</v>
      </c>
      <c r="C281" s="22" t="str">
        <f>IFERROR(VLOOKUP(B281,Colaboradores!A:D,2,),"")</f>
        <v>JULIANA DE CASTRO ALMEIDA</v>
      </c>
      <c r="D281" s="22" t="str">
        <f>IFERROR(VLOOKUP(B281,Colaboradores!A:D,3,),"")</f>
        <v>REGIONAL CENTRAL</v>
      </c>
      <c r="E281" s="22" t="str">
        <f>IFERROR(VLOOKUP(B281,Colaboradores!A:D,4,),"")</f>
        <v>COORDENADOR DE SSMA</v>
      </c>
      <c r="F281" s="22" t="s">
        <v>37</v>
      </c>
      <c r="G281" s="24" t="str">
        <f>IFERROR(VLOOKUP(F281,Procedimentos!A:C,2,),"")</f>
        <v>GESTÃO DE RESÍDUOS SÓLIDOS DE SERVIÇOS DE SAÚDE</v>
      </c>
      <c r="H281" s="25"/>
      <c r="I281" s="25">
        <v>45863</v>
      </c>
      <c r="J281" s="22">
        <v>12</v>
      </c>
      <c r="K281" s="25">
        <f t="shared" si="11"/>
        <v>46228</v>
      </c>
      <c r="L281" s="28" t="str">
        <f t="shared" ca="1" si="10"/>
        <v>Em dia</v>
      </c>
      <c r="M281" s="31" t="s">
        <v>40</v>
      </c>
      <c r="N281" s="28" t="s">
        <v>21</v>
      </c>
      <c r="O281" s="22" t="s">
        <v>28</v>
      </c>
      <c r="P281" s="25">
        <f t="shared" si="9"/>
        <v>45955</v>
      </c>
      <c r="Q281" s="25"/>
      <c r="R281" s="25"/>
      <c r="S281" s="28" t="s">
        <v>23</v>
      </c>
      <c r="T281" s="28">
        <v>1</v>
      </c>
    </row>
    <row r="282" spans="1:20" ht="14.25" customHeight="1">
      <c r="A282" s="22">
        <v>318</v>
      </c>
      <c r="B282" s="32">
        <v>14356</v>
      </c>
      <c r="C282" s="22" t="str">
        <f>IFERROR(VLOOKUP(B282,Colaboradores!A:D,2,),"")</f>
        <v>JACILENE BELO LIMA</v>
      </c>
      <c r="D282" s="22" t="str">
        <f>IFERROR(VLOOKUP(B282,Colaboradores!A:D,3,),"")</f>
        <v>REGIONAL LESTE</v>
      </c>
      <c r="E282" s="22" t="str">
        <f>IFERROR(VLOOKUP(B282,Colaboradores!A:D,4,),"")</f>
        <v>ASSISTENTE ADMINISTRATIVO</v>
      </c>
      <c r="F282" s="22" t="s">
        <v>37</v>
      </c>
      <c r="G282" s="24" t="str">
        <f>IFERROR(VLOOKUP(F282,Procedimentos!A:C,2,),"")</f>
        <v>GESTÃO DE RESÍDUOS SÓLIDOS DE SERVIÇOS DE SAÚDE</v>
      </c>
      <c r="H282" s="25"/>
      <c r="I282" s="25">
        <v>45863</v>
      </c>
      <c r="J282" s="22">
        <v>12</v>
      </c>
      <c r="K282" s="25">
        <f t="shared" si="11"/>
        <v>46228</v>
      </c>
      <c r="L282" s="28" t="str">
        <f t="shared" ca="1" si="10"/>
        <v>Em dia</v>
      </c>
      <c r="M282" s="31" t="s">
        <v>40</v>
      </c>
      <c r="N282" s="28" t="s">
        <v>21</v>
      </c>
      <c r="O282" s="22" t="s">
        <v>28</v>
      </c>
      <c r="P282" s="25">
        <f t="shared" si="9"/>
        <v>45955</v>
      </c>
      <c r="Q282" s="25"/>
      <c r="R282" s="25"/>
      <c r="S282" s="28" t="s">
        <v>23</v>
      </c>
      <c r="T282" s="28">
        <v>1</v>
      </c>
    </row>
    <row r="283" spans="1:20" ht="14.25" customHeight="1">
      <c r="A283" s="22">
        <v>320</v>
      </c>
      <c r="B283" s="22">
        <v>12486</v>
      </c>
      <c r="C283" s="22" t="str">
        <f>IFERROR(VLOOKUP(B283,Colaboradores!A:D,2,),"")</f>
        <v>ENEAS GALVAO MAGALHAES BRITO</v>
      </c>
      <c r="D283" s="22" t="str">
        <f>IFERROR(VLOOKUP(B283,Colaboradores!A:D,3,),"")</f>
        <v>MEIO AMBIENTE</v>
      </c>
      <c r="E283" s="22" t="str">
        <f>IFERROR(VLOOKUP(B283,Colaboradores!A:D,4,),"")</f>
        <v>ENGENHEIRO DE MEIO AMBIENTE</v>
      </c>
      <c r="F283" s="22" t="s">
        <v>37</v>
      </c>
      <c r="G283" s="24" t="str">
        <f>IFERROR(VLOOKUP(F283,Procedimentos!A:C,2,),"")</f>
        <v>GESTÃO DE RESÍDUOS SÓLIDOS DE SERVIÇOS DE SAÚDE</v>
      </c>
      <c r="H283" s="25"/>
      <c r="I283" s="25">
        <v>45863</v>
      </c>
      <c r="J283" s="22">
        <v>12</v>
      </c>
      <c r="K283" s="25">
        <f t="shared" si="11"/>
        <v>46228</v>
      </c>
      <c r="L283" s="28" t="str">
        <f t="shared" ca="1" si="10"/>
        <v>Em dia</v>
      </c>
      <c r="M283" s="31" t="s">
        <v>40</v>
      </c>
      <c r="N283" s="28" t="s">
        <v>21</v>
      </c>
      <c r="O283" s="22" t="s">
        <v>28</v>
      </c>
      <c r="P283" s="25">
        <f t="shared" si="9"/>
        <v>45955</v>
      </c>
      <c r="Q283" s="25"/>
      <c r="R283" s="25"/>
      <c r="S283" s="28" t="s">
        <v>23</v>
      </c>
      <c r="T283" s="28">
        <v>1</v>
      </c>
    </row>
    <row r="284" spans="1:20" ht="14.25" customHeight="1">
      <c r="A284" s="22">
        <v>321</v>
      </c>
      <c r="B284" s="22">
        <v>15100</v>
      </c>
      <c r="C284" s="22" t="str">
        <f>IFERROR(VLOOKUP(B284,Colaboradores!A:D,2,),"")</f>
        <v>JONATHAN SILVA ALVES</v>
      </c>
      <c r="D284" s="22" t="str">
        <f>IFERROR(VLOOKUP(B284,Colaboradores!A:D,3,),"")</f>
        <v>REGIONAL SUL</v>
      </c>
      <c r="E284" s="22" t="str">
        <f>IFERROR(VLOOKUP(B284,Colaboradores!A:D,4,),"")</f>
        <v>COORDENADOR DE SSMA</v>
      </c>
      <c r="F284" s="22" t="s">
        <v>38</v>
      </c>
      <c r="G284" s="24" t="str">
        <f>IFERROR(VLOOKUP(F284,Procedimentos!A:C,2,),"")</f>
        <v>GESTÃO DE CONDICIONANTES DE LICENCIAMENTO AMBIENTAL</v>
      </c>
      <c r="H284" s="25"/>
      <c r="I284" s="25">
        <v>45863</v>
      </c>
      <c r="J284" s="22">
        <v>12</v>
      </c>
      <c r="K284" s="25">
        <f t="shared" si="11"/>
        <v>46228</v>
      </c>
      <c r="L284" s="28" t="str">
        <f t="shared" ca="1" si="10"/>
        <v>Em dia</v>
      </c>
      <c r="M284" s="31" t="s">
        <v>40</v>
      </c>
      <c r="N284" s="28" t="s">
        <v>21</v>
      </c>
      <c r="O284" s="22" t="s">
        <v>28</v>
      </c>
      <c r="P284" s="25">
        <f t="shared" si="9"/>
        <v>45955</v>
      </c>
      <c r="Q284" s="25"/>
      <c r="R284" s="25"/>
      <c r="S284" s="28" t="s">
        <v>23</v>
      </c>
      <c r="T284" s="28">
        <v>1</v>
      </c>
    </row>
    <row r="285" spans="1:20" ht="14.25" customHeight="1">
      <c r="A285" s="22">
        <v>322</v>
      </c>
      <c r="B285" s="22">
        <v>14420</v>
      </c>
      <c r="C285" s="22" t="str">
        <f>IFERROR(VLOOKUP(B285,Colaboradores!A:D,2,),"")</f>
        <v>LAYLLA EMANUELLY DA SILVA ARAUJO</v>
      </c>
      <c r="D285" s="22" t="str">
        <f>IFERROR(VLOOKUP(B285,Colaboradores!A:D,3,),"")</f>
        <v>REGIONAL LESTE</v>
      </c>
      <c r="E285" s="22" t="str">
        <f>IFERROR(VLOOKUP(B285,Colaboradores!A:D,4,),"")</f>
        <v>ASSISTENTE ADMINISTRATIVO</v>
      </c>
      <c r="F285" s="22" t="s">
        <v>38</v>
      </c>
      <c r="G285" s="24" t="str">
        <f>IFERROR(VLOOKUP(F285,Procedimentos!A:C,2,),"")</f>
        <v>GESTÃO DE CONDICIONANTES DE LICENCIAMENTO AMBIENTAL</v>
      </c>
      <c r="H285" s="25"/>
      <c r="I285" s="25">
        <v>45863</v>
      </c>
      <c r="J285" s="22">
        <v>12</v>
      </c>
      <c r="K285" s="25">
        <f t="shared" si="11"/>
        <v>46228</v>
      </c>
      <c r="L285" s="28" t="str">
        <f t="shared" ca="1" si="10"/>
        <v>Em dia</v>
      </c>
      <c r="M285" s="31" t="s">
        <v>40</v>
      </c>
      <c r="N285" s="28" t="s">
        <v>21</v>
      </c>
      <c r="O285" s="22" t="s">
        <v>28</v>
      </c>
      <c r="P285" s="25">
        <f t="shared" si="9"/>
        <v>45955</v>
      </c>
      <c r="Q285" s="25"/>
      <c r="R285" s="25"/>
      <c r="S285" s="28" t="s">
        <v>23</v>
      </c>
      <c r="T285" s="28">
        <v>1</v>
      </c>
    </row>
    <row r="286" spans="1:20" ht="14.25" customHeight="1">
      <c r="A286" s="22">
        <v>323</v>
      </c>
      <c r="B286" s="22">
        <v>13822</v>
      </c>
      <c r="C286" s="22" t="str">
        <f>IFERROR(VLOOKUP(B286,Colaboradores!A:D,2,),"")</f>
        <v>JULIANA DE CASTRO ALMEIDA</v>
      </c>
      <c r="D286" s="22" t="str">
        <f>IFERROR(VLOOKUP(B286,Colaboradores!A:D,3,),"")</f>
        <v>REGIONAL CENTRAL</v>
      </c>
      <c r="E286" s="22" t="str">
        <f>IFERROR(VLOOKUP(B286,Colaboradores!A:D,4,),"")</f>
        <v>COORDENADOR DE SSMA</v>
      </c>
      <c r="F286" s="22" t="s">
        <v>38</v>
      </c>
      <c r="G286" s="24" t="str">
        <f>IFERROR(VLOOKUP(F286,Procedimentos!A:C,2,),"")</f>
        <v>GESTÃO DE CONDICIONANTES DE LICENCIAMENTO AMBIENTAL</v>
      </c>
      <c r="H286" s="25"/>
      <c r="I286" s="25">
        <v>45863</v>
      </c>
      <c r="J286" s="22">
        <v>12</v>
      </c>
      <c r="K286" s="25">
        <f t="shared" si="11"/>
        <v>46228</v>
      </c>
      <c r="L286" s="28" t="str">
        <f t="shared" ca="1" si="10"/>
        <v>Em dia</v>
      </c>
      <c r="M286" s="31" t="s">
        <v>40</v>
      </c>
      <c r="N286" s="28" t="s">
        <v>21</v>
      </c>
      <c r="O286" s="22" t="s">
        <v>28</v>
      </c>
      <c r="P286" s="25">
        <f t="shared" si="9"/>
        <v>45955</v>
      </c>
      <c r="Q286" s="25"/>
      <c r="R286" s="25"/>
      <c r="S286" s="28" t="s">
        <v>23</v>
      </c>
      <c r="T286" s="28">
        <v>1</v>
      </c>
    </row>
    <row r="287" spans="1:20" ht="14.25" customHeight="1">
      <c r="A287" s="22">
        <v>324</v>
      </c>
      <c r="B287" s="32">
        <v>14356</v>
      </c>
      <c r="C287" s="22" t="str">
        <f>IFERROR(VLOOKUP(B287,Colaboradores!A:D,2,),"")</f>
        <v>JACILENE BELO LIMA</v>
      </c>
      <c r="D287" s="22" t="str">
        <f>IFERROR(VLOOKUP(B287,Colaboradores!A:D,3,),"")</f>
        <v>REGIONAL LESTE</v>
      </c>
      <c r="E287" s="22" t="str">
        <f>IFERROR(VLOOKUP(B287,Colaboradores!A:D,4,),"")</f>
        <v>ASSISTENTE ADMINISTRATIVO</v>
      </c>
      <c r="F287" s="22" t="s">
        <v>38</v>
      </c>
      <c r="G287" s="24" t="str">
        <f>IFERROR(VLOOKUP(F287,Procedimentos!A:C,2,),"")</f>
        <v>GESTÃO DE CONDICIONANTES DE LICENCIAMENTO AMBIENTAL</v>
      </c>
      <c r="H287" s="25"/>
      <c r="I287" s="25">
        <v>45863</v>
      </c>
      <c r="J287" s="22">
        <v>12</v>
      </c>
      <c r="K287" s="25">
        <f t="shared" si="11"/>
        <v>46228</v>
      </c>
      <c r="L287" s="28" t="str">
        <f t="shared" ca="1" si="10"/>
        <v>Em dia</v>
      </c>
      <c r="M287" s="31" t="s">
        <v>40</v>
      </c>
      <c r="N287" s="28" t="s">
        <v>21</v>
      </c>
      <c r="O287" s="22" t="s">
        <v>28</v>
      </c>
      <c r="P287" s="25">
        <f t="shared" si="9"/>
        <v>45955</v>
      </c>
      <c r="Q287" s="25"/>
      <c r="R287" s="25"/>
      <c r="S287" s="28" t="s">
        <v>23</v>
      </c>
      <c r="T287" s="28">
        <v>1</v>
      </c>
    </row>
    <row r="288" spans="1:20" ht="14.25" customHeight="1">
      <c r="A288" s="22">
        <v>326</v>
      </c>
      <c r="B288" s="22">
        <v>12486</v>
      </c>
      <c r="C288" s="22" t="str">
        <f>IFERROR(VLOOKUP(B288,Colaboradores!A:D,2,),"")</f>
        <v>ENEAS GALVAO MAGALHAES BRITO</v>
      </c>
      <c r="D288" s="22" t="str">
        <f>IFERROR(VLOOKUP(B288,Colaboradores!A:D,3,),"")</f>
        <v>MEIO AMBIENTE</v>
      </c>
      <c r="E288" s="22" t="str">
        <f>IFERROR(VLOOKUP(B288,Colaboradores!A:D,4,),"")</f>
        <v>ENGENHEIRO DE MEIO AMBIENTE</v>
      </c>
      <c r="F288" s="22" t="s">
        <v>38</v>
      </c>
      <c r="G288" s="24" t="str">
        <f>IFERROR(VLOOKUP(F288,Procedimentos!A:C,2,),"")</f>
        <v>GESTÃO DE CONDICIONANTES DE LICENCIAMENTO AMBIENTAL</v>
      </c>
      <c r="H288" s="25"/>
      <c r="I288" s="25">
        <v>45863</v>
      </c>
      <c r="J288" s="22">
        <v>12</v>
      </c>
      <c r="K288" s="25">
        <f t="shared" si="11"/>
        <v>46228</v>
      </c>
      <c r="L288" s="28" t="str">
        <f t="shared" ca="1" si="10"/>
        <v>Em dia</v>
      </c>
      <c r="M288" s="31" t="s">
        <v>40</v>
      </c>
      <c r="N288" s="28" t="s">
        <v>21</v>
      </c>
      <c r="O288" s="22" t="s">
        <v>28</v>
      </c>
      <c r="P288" s="25">
        <f t="shared" si="9"/>
        <v>45955</v>
      </c>
      <c r="Q288" s="25"/>
      <c r="R288" s="25"/>
      <c r="S288" s="28" t="s">
        <v>23</v>
      </c>
      <c r="T288" s="28">
        <v>1</v>
      </c>
    </row>
    <row r="289" spans="1:20" ht="14.25" customHeight="1">
      <c r="A289" s="22">
        <v>327</v>
      </c>
      <c r="B289" s="22">
        <v>15100</v>
      </c>
      <c r="C289" s="22" t="str">
        <f>IFERROR(VLOOKUP(B289,Colaboradores!A:D,2,),"")</f>
        <v>JONATHAN SILVA ALVES</v>
      </c>
      <c r="D289" s="22" t="str">
        <f>IFERROR(VLOOKUP(B289,Colaboradores!A:D,3,),"")</f>
        <v>REGIONAL SUL</v>
      </c>
      <c r="E289" s="22" t="str">
        <f>IFERROR(VLOOKUP(B289,Colaboradores!A:D,4,),"")</f>
        <v>COORDENADOR DE SSMA</v>
      </c>
      <c r="F289" s="22" t="s">
        <v>39</v>
      </c>
      <c r="G289" s="24" t="str">
        <f>IFERROR(VLOOKUP(F289,Procedimentos!A:C,2,),"")</f>
        <v>GESTÃO DE ÁGUAS E EFLUENTES</v>
      </c>
      <c r="H289" s="25"/>
      <c r="I289" s="25">
        <v>45863</v>
      </c>
      <c r="J289" s="22">
        <v>12</v>
      </c>
      <c r="K289" s="25">
        <f t="shared" si="11"/>
        <v>46228</v>
      </c>
      <c r="L289" s="28" t="str">
        <f t="shared" ca="1" si="10"/>
        <v>Em dia</v>
      </c>
      <c r="M289" s="31" t="s">
        <v>40</v>
      </c>
      <c r="N289" s="28" t="s">
        <v>21</v>
      </c>
      <c r="O289" s="22" t="s">
        <v>28</v>
      </c>
      <c r="P289" s="25">
        <f t="shared" si="9"/>
        <v>45955</v>
      </c>
      <c r="Q289" s="25"/>
      <c r="R289" s="25"/>
      <c r="S289" s="28" t="s">
        <v>23</v>
      </c>
      <c r="T289" s="28">
        <v>1</v>
      </c>
    </row>
    <row r="290" spans="1:20" ht="14.25" customHeight="1">
      <c r="A290" s="22">
        <v>328</v>
      </c>
      <c r="B290" s="22">
        <v>14420</v>
      </c>
      <c r="C290" s="22" t="str">
        <f>IFERROR(VLOOKUP(B290,Colaboradores!A:D,2,),"")</f>
        <v>LAYLLA EMANUELLY DA SILVA ARAUJO</v>
      </c>
      <c r="D290" s="22" t="str">
        <f>IFERROR(VLOOKUP(B290,Colaboradores!A:D,3,),"")</f>
        <v>REGIONAL LESTE</v>
      </c>
      <c r="E290" s="22" t="str">
        <f>IFERROR(VLOOKUP(B290,Colaboradores!A:D,4,),"")</f>
        <v>ASSISTENTE ADMINISTRATIVO</v>
      </c>
      <c r="F290" s="22" t="s">
        <v>39</v>
      </c>
      <c r="G290" s="24" t="str">
        <f>IFERROR(VLOOKUP(F290,Procedimentos!A:C,2,),"")</f>
        <v>GESTÃO DE ÁGUAS E EFLUENTES</v>
      </c>
      <c r="H290" s="25"/>
      <c r="I290" s="25">
        <v>45863</v>
      </c>
      <c r="J290" s="22">
        <v>12</v>
      </c>
      <c r="K290" s="25">
        <f t="shared" si="11"/>
        <v>46228</v>
      </c>
      <c r="L290" s="28" t="str">
        <f t="shared" ca="1" si="10"/>
        <v>Em dia</v>
      </c>
      <c r="M290" s="31" t="s">
        <v>40</v>
      </c>
      <c r="N290" s="28" t="s">
        <v>21</v>
      </c>
      <c r="O290" s="22" t="s">
        <v>28</v>
      </c>
      <c r="P290" s="25">
        <f t="shared" si="9"/>
        <v>45955</v>
      </c>
      <c r="Q290" s="25"/>
      <c r="R290" s="25"/>
      <c r="S290" s="28" t="s">
        <v>23</v>
      </c>
      <c r="T290" s="28">
        <v>1</v>
      </c>
    </row>
    <row r="291" spans="1:20" ht="14.25" customHeight="1">
      <c r="A291" s="22">
        <v>329</v>
      </c>
      <c r="B291" s="22">
        <v>13822</v>
      </c>
      <c r="C291" s="22" t="str">
        <f>IFERROR(VLOOKUP(B291,Colaboradores!A:D,2,),"")</f>
        <v>JULIANA DE CASTRO ALMEIDA</v>
      </c>
      <c r="D291" s="22" t="str">
        <f>IFERROR(VLOOKUP(B291,Colaboradores!A:D,3,),"")</f>
        <v>REGIONAL CENTRAL</v>
      </c>
      <c r="E291" s="22" t="str">
        <f>IFERROR(VLOOKUP(B291,Colaboradores!A:D,4,),"")</f>
        <v>COORDENADOR DE SSMA</v>
      </c>
      <c r="F291" s="22" t="s">
        <v>39</v>
      </c>
      <c r="G291" s="24" t="str">
        <f>IFERROR(VLOOKUP(F291,Procedimentos!A:C,2,),"")</f>
        <v>GESTÃO DE ÁGUAS E EFLUENTES</v>
      </c>
      <c r="H291" s="25"/>
      <c r="I291" s="25">
        <v>45863</v>
      </c>
      <c r="J291" s="22">
        <v>12</v>
      </c>
      <c r="K291" s="25">
        <f t="shared" si="11"/>
        <v>46228</v>
      </c>
      <c r="L291" s="28" t="str">
        <f t="shared" ca="1" si="10"/>
        <v>Em dia</v>
      </c>
      <c r="M291" s="31" t="s">
        <v>40</v>
      </c>
      <c r="N291" s="28" t="s">
        <v>21</v>
      </c>
      <c r="O291" s="22" t="s">
        <v>28</v>
      </c>
      <c r="P291" s="25">
        <f t="shared" si="9"/>
        <v>45955</v>
      </c>
      <c r="Q291" s="25"/>
      <c r="R291" s="25"/>
      <c r="S291" s="28" t="s">
        <v>23</v>
      </c>
      <c r="T291" s="28">
        <v>1</v>
      </c>
    </row>
    <row r="292" spans="1:20" ht="14.25" customHeight="1">
      <c r="A292" s="22">
        <v>330</v>
      </c>
      <c r="B292" s="32">
        <v>14356</v>
      </c>
      <c r="C292" s="22" t="str">
        <f>IFERROR(VLOOKUP(B292,Colaboradores!A:D,2,),"")</f>
        <v>JACILENE BELO LIMA</v>
      </c>
      <c r="D292" s="22" t="str">
        <f>IFERROR(VLOOKUP(B292,Colaboradores!A:D,3,),"")</f>
        <v>REGIONAL LESTE</v>
      </c>
      <c r="E292" s="22" t="str">
        <f>IFERROR(VLOOKUP(B292,Colaboradores!A:D,4,),"")</f>
        <v>ASSISTENTE ADMINISTRATIVO</v>
      </c>
      <c r="F292" s="22" t="s">
        <v>39</v>
      </c>
      <c r="G292" s="24" t="str">
        <f>IFERROR(VLOOKUP(F292,Procedimentos!A:C,2,),"")</f>
        <v>GESTÃO DE ÁGUAS E EFLUENTES</v>
      </c>
      <c r="H292" s="25"/>
      <c r="I292" s="25">
        <v>45863</v>
      </c>
      <c r="J292" s="22">
        <v>12</v>
      </c>
      <c r="K292" s="25">
        <f t="shared" si="11"/>
        <v>46228</v>
      </c>
      <c r="L292" s="28" t="str">
        <f t="shared" ca="1" si="10"/>
        <v>Em dia</v>
      </c>
      <c r="M292" s="31" t="s">
        <v>40</v>
      </c>
      <c r="N292" s="28" t="s">
        <v>21</v>
      </c>
      <c r="O292" s="22" t="s">
        <v>28</v>
      </c>
      <c r="P292" s="25">
        <f t="shared" ref="P292:P355" si="12">EDATE(I292,3)</f>
        <v>45955</v>
      </c>
      <c r="Q292" s="25"/>
      <c r="R292" s="25"/>
      <c r="S292" s="28" t="s">
        <v>23</v>
      </c>
      <c r="T292" s="28">
        <v>1</v>
      </c>
    </row>
    <row r="293" spans="1:20" ht="14.25" customHeight="1">
      <c r="A293" s="22">
        <v>332</v>
      </c>
      <c r="B293" s="22">
        <v>12486</v>
      </c>
      <c r="C293" s="22" t="str">
        <f>IFERROR(VLOOKUP(B293,Colaboradores!A:D,2,),"")</f>
        <v>ENEAS GALVAO MAGALHAES BRITO</v>
      </c>
      <c r="D293" s="22" t="str">
        <f>IFERROR(VLOOKUP(B293,Colaboradores!A:D,3,),"")</f>
        <v>MEIO AMBIENTE</v>
      </c>
      <c r="E293" s="22" t="str">
        <f>IFERROR(VLOOKUP(B293,Colaboradores!A:D,4,),"")</f>
        <v>ENGENHEIRO DE MEIO AMBIENTE</v>
      </c>
      <c r="F293" s="22" t="s">
        <v>39</v>
      </c>
      <c r="G293" s="24" t="str">
        <f>IFERROR(VLOOKUP(F293,Procedimentos!A:C,2,),"")</f>
        <v>GESTÃO DE ÁGUAS E EFLUENTES</v>
      </c>
      <c r="H293" s="25"/>
      <c r="I293" s="25">
        <v>45863</v>
      </c>
      <c r="J293" s="22">
        <v>12</v>
      </c>
      <c r="K293" s="25">
        <f t="shared" si="11"/>
        <v>46228</v>
      </c>
      <c r="L293" s="28" t="str">
        <f t="shared" ca="1" si="10"/>
        <v>Em dia</v>
      </c>
      <c r="M293" s="31" t="s">
        <v>40</v>
      </c>
      <c r="N293" s="28" t="s">
        <v>21</v>
      </c>
      <c r="O293" s="22" t="s">
        <v>28</v>
      </c>
      <c r="P293" s="25">
        <f t="shared" si="12"/>
        <v>45955</v>
      </c>
      <c r="Q293" s="25"/>
      <c r="R293" s="25"/>
      <c r="S293" s="28" t="s">
        <v>23</v>
      </c>
      <c r="T293" s="28">
        <v>1</v>
      </c>
    </row>
    <row r="294" spans="1:20" ht="14.25" customHeight="1">
      <c r="A294" s="22">
        <v>333</v>
      </c>
      <c r="B294" s="22">
        <v>15100</v>
      </c>
      <c r="C294" s="22" t="str">
        <f>IFERROR(VLOOKUP(B294,Colaboradores!A:D,2,),"")</f>
        <v>JONATHAN SILVA ALVES</v>
      </c>
      <c r="D294" s="22" t="str">
        <f>IFERROR(VLOOKUP(B294,Colaboradores!A:D,3,),"")</f>
        <v>REGIONAL SUL</v>
      </c>
      <c r="E294" s="22" t="str">
        <f>IFERROR(VLOOKUP(B294,Colaboradores!A:D,4,),"")</f>
        <v>COORDENADOR DE SSMA</v>
      </c>
      <c r="F294" s="22" t="s">
        <v>33</v>
      </c>
      <c r="G294" s="24" t="str">
        <f>IFERROR(VLOOKUP(F294,Procedimentos!A:C,2,),"")</f>
        <v>GESTÃO DE INSPEÇÕES AMBIENTAIS</v>
      </c>
      <c r="H294" s="25"/>
      <c r="I294" s="25">
        <v>45863</v>
      </c>
      <c r="J294" s="22">
        <v>12</v>
      </c>
      <c r="K294" s="25">
        <f t="shared" si="11"/>
        <v>46228</v>
      </c>
      <c r="L294" s="28" t="str">
        <f t="shared" ca="1" si="10"/>
        <v>Em dia</v>
      </c>
      <c r="M294" s="31" t="s">
        <v>40</v>
      </c>
      <c r="N294" s="28" t="s">
        <v>21</v>
      </c>
      <c r="O294" s="22" t="s">
        <v>28</v>
      </c>
      <c r="P294" s="25">
        <f t="shared" si="12"/>
        <v>45955</v>
      </c>
      <c r="Q294" s="25"/>
      <c r="R294" s="25"/>
      <c r="S294" s="28" t="s">
        <v>23</v>
      </c>
      <c r="T294" s="28">
        <v>1</v>
      </c>
    </row>
    <row r="295" spans="1:20" ht="14.25" customHeight="1">
      <c r="A295" s="22">
        <v>334</v>
      </c>
      <c r="B295" s="22">
        <v>14420</v>
      </c>
      <c r="C295" s="22" t="str">
        <f>IFERROR(VLOOKUP(B295,Colaboradores!A:D,2,),"")</f>
        <v>LAYLLA EMANUELLY DA SILVA ARAUJO</v>
      </c>
      <c r="D295" s="22" t="str">
        <f>IFERROR(VLOOKUP(B295,Colaboradores!A:D,3,),"")</f>
        <v>REGIONAL LESTE</v>
      </c>
      <c r="E295" s="22" t="str">
        <f>IFERROR(VLOOKUP(B295,Colaboradores!A:D,4,),"")</f>
        <v>ASSISTENTE ADMINISTRATIVO</v>
      </c>
      <c r="F295" s="22" t="s">
        <v>33</v>
      </c>
      <c r="G295" s="24" t="str">
        <f>IFERROR(VLOOKUP(F295,Procedimentos!A:C,2,),"")</f>
        <v>GESTÃO DE INSPEÇÕES AMBIENTAIS</v>
      </c>
      <c r="H295" s="25"/>
      <c r="I295" s="25">
        <v>45863</v>
      </c>
      <c r="J295" s="22">
        <v>12</v>
      </c>
      <c r="K295" s="25">
        <f t="shared" si="11"/>
        <v>46228</v>
      </c>
      <c r="L295" s="28" t="str">
        <f t="shared" ca="1" si="10"/>
        <v>Em dia</v>
      </c>
      <c r="M295" s="31" t="s">
        <v>40</v>
      </c>
      <c r="N295" s="28" t="s">
        <v>21</v>
      </c>
      <c r="O295" s="22" t="s">
        <v>28</v>
      </c>
      <c r="P295" s="25">
        <f t="shared" si="12"/>
        <v>45955</v>
      </c>
      <c r="Q295" s="25"/>
      <c r="R295" s="25"/>
      <c r="S295" s="28" t="s">
        <v>23</v>
      </c>
      <c r="T295" s="28">
        <v>1</v>
      </c>
    </row>
    <row r="296" spans="1:20" ht="14.25" customHeight="1">
      <c r="A296" s="22">
        <v>335</v>
      </c>
      <c r="B296" s="22">
        <v>13822</v>
      </c>
      <c r="C296" s="22" t="str">
        <f>IFERROR(VLOOKUP(B296,Colaboradores!A:D,2,),"")</f>
        <v>JULIANA DE CASTRO ALMEIDA</v>
      </c>
      <c r="D296" s="22" t="str">
        <f>IFERROR(VLOOKUP(B296,Colaboradores!A:D,3,),"")</f>
        <v>REGIONAL CENTRAL</v>
      </c>
      <c r="E296" s="22" t="str">
        <f>IFERROR(VLOOKUP(B296,Colaboradores!A:D,4,),"")</f>
        <v>COORDENADOR DE SSMA</v>
      </c>
      <c r="F296" s="22" t="s">
        <v>33</v>
      </c>
      <c r="G296" s="24" t="str">
        <f>IFERROR(VLOOKUP(F296,Procedimentos!A:C,2,),"")</f>
        <v>GESTÃO DE INSPEÇÕES AMBIENTAIS</v>
      </c>
      <c r="H296" s="25"/>
      <c r="I296" s="25">
        <v>45863</v>
      </c>
      <c r="J296" s="22">
        <v>12</v>
      </c>
      <c r="K296" s="25">
        <f t="shared" si="11"/>
        <v>46228</v>
      </c>
      <c r="L296" s="28" t="str">
        <f t="shared" ca="1" si="10"/>
        <v>Em dia</v>
      </c>
      <c r="M296" s="31" t="s">
        <v>40</v>
      </c>
      <c r="N296" s="28" t="s">
        <v>21</v>
      </c>
      <c r="O296" s="22" t="s">
        <v>28</v>
      </c>
      <c r="P296" s="25">
        <f t="shared" si="12"/>
        <v>45955</v>
      </c>
      <c r="Q296" s="25"/>
      <c r="R296" s="25"/>
      <c r="S296" s="28" t="s">
        <v>23</v>
      </c>
      <c r="T296" s="28">
        <v>1</v>
      </c>
    </row>
    <row r="297" spans="1:20" ht="14.25" customHeight="1">
      <c r="A297" s="22">
        <v>336</v>
      </c>
      <c r="B297" s="22">
        <v>12712</v>
      </c>
      <c r="C297" s="22" t="str">
        <f>IFERROR(VLOOKUP(B297,Colaboradores!A:D,2,),"")</f>
        <v>JOYCE CLEIA MIRANDA BARROS</v>
      </c>
      <c r="D297" s="22" t="str">
        <f>IFERROR(VLOOKUP(B297,Colaboradores!A:D,3,),"")</f>
        <v>GESTÃO INTEGRADA</v>
      </c>
      <c r="E297" s="22" t="str">
        <f>IFERROR(VLOOKUP(B297,Colaboradores!A:D,4,),"")</f>
        <v>ANALISTA DE GESTÃO INTEGRADA</v>
      </c>
      <c r="F297" s="22" t="s">
        <v>33</v>
      </c>
      <c r="G297" s="24" t="str">
        <f>IFERROR(VLOOKUP(F297,Procedimentos!A:C,2,),"")</f>
        <v>GESTÃO DE INSPEÇÕES AMBIENTAIS</v>
      </c>
      <c r="H297" s="25"/>
      <c r="I297" s="25">
        <v>45863</v>
      </c>
      <c r="J297" s="22">
        <v>12</v>
      </c>
      <c r="K297" s="25">
        <f t="shared" si="11"/>
        <v>46228</v>
      </c>
      <c r="L297" s="28" t="str">
        <f t="shared" ca="1" si="10"/>
        <v>Em dia</v>
      </c>
      <c r="M297" s="31" t="s">
        <v>40</v>
      </c>
      <c r="N297" s="28" t="s">
        <v>21</v>
      </c>
      <c r="O297" s="22" t="s">
        <v>28</v>
      </c>
      <c r="P297" s="25">
        <f t="shared" si="12"/>
        <v>45955</v>
      </c>
      <c r="Q297" s="25"/>
      <c r="R297" s="25"/>
      <c r="S297" s="28" t="s">
        <v>23</v>
      </c>
      <c r="T297" s="28">
        <v>1</v>
      </c>
    </row>
    <row r="298" spans="1:20" ht="14.25" customHeight="1">
      <c r="A298" s="22">
        <v>337</v>
      </c>
      <c r="B298" s="32">
        <v>14356</v>
      </c>
      <c r="C298" s="22" t="str">
        <f>IFERROR(VLOOKUP(B298,Colaboradores!A:D,2,),"")</f>
        <v>JACILENE BELO LIMA</v>
      </c>
      <c r="D298" s="22" t="str">
        <f>IFERROR(VLOOKUP(B298,Colaboradores!A:D,3,),"")</f>
        <v>REGIONAL LESTE</v>
      </c>
      <c r="E298" s="22" t="str">
        <f>IFERROR(VLOOKUP(B298,Colaboradores!A:D,4,),"")</f>
        <v>ASSISTENTE ADMINISTRATIVO</v>
      </c>
      <c r="F298" s="22" t="s">
        <v>33</v>
      </c>
      <c r="G298" s="24" t="str">
        <f>IFERROR(VLOOKUP(F298,Procedimentos!A:C,2,),"")</f>
        <v>GESTÃO DE INSPEÇÕES AMBIENTAIS</v>
      </c>
      <c r="H298" s="25"/>
      <c r="I298" s="25">
        <v>45863</v>
      </c>
      <c r="J298" s="22">
        <v>12</v>
      </c>
      <c r="K298" s="25">
        <f t="shared" si="11"/>
        <v>46228</v>
      </c>
      <c r="L298" s="28" t="str">
        <f t="shared" ca="1" si="10"/>
        <v>Em dia</v>
      </c>
      <c r="M298" s="31" t="s">
        <v>40</v>
      </c>
      <c r="N298" s="28" t="s">
        <v>21</v>
      </c>
      <c r="O298" s="22" t="s">
        <v>28</v>
      </c>
      <c r="P298" s="25">
        <f t="shared" si="12"/>
        <v>45955</v>
      </c>
      <c r="Q298" s="25"/>
      <c r="R298" s="25"/>
      <c r="S298" s="28" t="s">
        <v>23</v>
      </c>
      <c r="T298" s="28">
        <v>1</v>
      </c>
    </row>
    <row r="299" spans="1:20" ht="14.25" customHeight="1">
      <c r="A299" s="22">
        <v>339</v>
      </c>
      <c r="B299" s="22">
        <v>12486</v>
      </c>
      <c r="C299" s="22" t="str">
        <f>IFERROR(VLOOKUP(B299,Colaboradores!A:D,2,),"")</f>
        <v>ENEAS GALVAO MAGALHAES BRITO</v>
      </c>
      <c r="D299" s="22" t="str">
        <f>IFERROR(VLOOKUP(B299,Colaboradores!A:D,3,),"")</f>
        <v>MEIO AMBIENTE</v>
      </c>
      <c r="E299" s="22" t="str">
        <f>IFERROR(VLOOKUP(B299,Colaboradores!A:D,4,),"")</f>
        <v>ENGENHEIRO DE MEIO AMBIENTE</v>
      </c>
      <c r="F299" s="22" t="s">
        <v>33</v>
      </c>
      <c r="G299" s="24" t="str">
        <f>IFERROR(VLOOKUP(F299,Procedimentos!A:C,2,),"")</f>
        <v>GESTÃO DE INSPEÇÕES AMBIENTAIS</v>
      </c>
      <c r="H299" s="25"/>
      <c r="I299" s="25">
        <v>45863</v>
      </c>
      <c r="J299" s="22">
        <v>12</v>
      </c>
      <c r="K299" s="25">
        <f t="shared" si="11"/>
        <v>46228</v>
      </c>
      <c r="L299" s="28" t="str">
        <f t="shared" ca="1" si="10"/>
        <v>Em dia</v>
      </c>
      <c r="M299" s="31" t="s">
        <v>40</v>
      </c>
      <c r="N299" s="28" t="s">
        <v>21</v>
      </c>
      <c r="O299" s="22" t="s">
        <v>28</v>
      </c>
      <c r="P299" s="25">
        <f t="shared" si="12"/>
        <v>45955</v>
      </c>
      <c r="Q299" s="25"/>
      <c r="R299" s="25"/>
      <c r="S299" s="28" t="s">
        <v>23</v>
      </c>
      <c r="T299" s="28">
        <v>1</v>
      </c>
    </row>
    <row r="300" spans="1:20" ht="14.25" customHeight="1">
      <c r="A300" s="22">
        <v>340</v>
      </c>
      <c r="B300" s="22">
        <v>7601</v>
      </c>
      <c r="C300" s="22" t="str">
        <f>IFERROR(VLOOKUP(B300,Colaboradores!A:D,2,),"")</f>
        <v>RAYANE BEZERRA DE JESUS</v>
      </c>
      <c r="D300" s="22" t="str">
        <f>IFERROR(VLOOKUP(B300,Colaboradores!A:D,3,),"")</f>
        <v>SAÚDE OCUPACIONAL</v>
      </c>
      <c r="E300" s="22" t="str">
        <f>IFERROR(VLOOKUP(B300,Colaboradores!A:D,4,),"")</f>
        <v>TÉCNICO DE ENFERMAGEM DO TRABALHO</v>
      </c>
      <c r="F300" s="22" t="s">
        <v>33</v>
      </c>
      <c r="G300" s="24" t="str">
        <f>IFERROR(VLOOKUP(F300,Procedimentos!A:C,2,),"")</f>
        <v>GESTÃO DE INSPEÇÕES AMBIENTAIS</v>
      </c>
      <c r="H300" s="25"/>
      <c r="I300" s="25">
        <v>45863</v>
      </c>
      <c r="J300" s="22">
        <v>12</v>
      </c>
      <c r="K300" s="25">
        <f t="shared" si="11"/>
        <v>46228</v>
      </c>
      <c r="L300" s="28" t="str">
        <f t="shared" ca="1" si="10"/>
        <v>Em dia</v>
      </c>
      <c r="M300" s="31" t="s">
        <v>40</v>
      </c>
      <c r="N300" s="28" t="s">
        <v>21</v>
      </c>
      <c r="O300" s="22" t="s">
        <v>28</v>
      </c>
      <c r="P300" s="25">
        <f t="shared" si="12"/>
        <v>45955</v>
      </c>
      <c r="Q300" s="25"/>
      <c r="R300" s="25"/>
      <c r="S300" s="28" t="s">
        <v>23</v>
      </c>
      <c r="T300" s="28">
        <v>1</v>
      </c>
    </row>
    <row r="301" spans="1:20" ht="14.25" customHeight="1">
      <c r="A301" s="22">
        <v>341</v>
      </c>
      <c r="B301" s="22">
        <v>7147</v>
      </c>
      <c r="C301" s="22" t="str">
        <f>IFERROR(VLOOKUP(B301,Colaboradores!A:D,2,),"")</f>
        <v>MAIARA MONTEIRO MARQUES CASTELO BRANCO</v>
      </c>
      <c r="D301" s="22" t="str">
        <f>IFERROR(VLOOKUP(B301,Colaboradores!A:D,3,),"")</f>
        <v>SAÚDE OCUPACIONAL</v>
      </c>
      <c r="E301" s="22" t="str">
        <f>IFERROR(VLOOKUP(B301,Colaboradores!A:D,4,),"")</f>
        <v>PSICÓLOGA</v>
      </c>
      <c r="F301" s="22" t="s">
        <v>33</v>
      </c>
      <c r="G301" s="24" t="str">
        <f>IFERROR(VLOOKUP(F301,Procedimentos!A:C,2,),"")</f>
        <v>GESTÃO DE INSPEÇÕES AMBIENTAIS</v>
      </c>
      <c r="H301" s="25"/>
      <c r="I301" s="25">
        <v>45863</v>
      </c>
      <c r="J301" s="22">
        <v>12</v>
      </c>
      <c r="K301" s="25">
        <f t="shared" si="11"/>
        <v>46228</v>
      </c>
      <c r="L301" s="28" t="str">
        <f t="shared" ca="1" si="10"/>
        <v>Em dia</v>
      </c>
      <c r="M301" s="31" t="s">
        <v>40</v>
      </c>
      <c r="N301" s="28" t="s">
        <v>21</v>
      </c>
      <c r="O301" s="22" t="s">
        <v>28</v>
      </c>
      <c r="P301" s="25">
        <f t="shared" si="12"/>
        <v>45955</v>
      </c>
      <c r="Q301" s="25"/>
      <c r="R301" s="25"/>
      <c r="S301" s="28" t="s">
        <v>23</v>
      </c>
      <c r="T301" s="28">
        <v>1</v>
      </c>
    </row>
    <row r="302" spans="1:20" ht="14.25" customHeight="1">
      <c r="A302" s="22">
        <v>342</v>
      </c>
      <c r="B302" s="22">
        <v>14499</v>
      </c>
      <c r="C302" s="22" t="str">
        <f>IFERROR(VLOOKUP(B302,Colaboradores!A:D,2,),"")</f>
        <v>SAMIRIS COSTA DA SILVA</v>
      </c>
      <c r="D302" s="22" t="str">
        <f>IFERROR(VLOOKUP(B302,Colaboradores!A:D,3,),"")</f>
        <v>SAÚDE OCUPACIONAL</v>
      </c>
      <c r="E302" s="22" t="str">
        <f>IFERROR(VLOOKUP(B302,Colaboradores!A:D,4,),"")</f>
        <v>PSICÓLOGA</v>
      </c>
      <c r="F302" s="22" t="s">
        <v>33</v>
      </c>
      <c r="G302" s="24" t="str">
        <f>IFERROR(VLOOKUP(F302,Procedimentos!A:C,2,),"")</f>
        <v>GESTÃO DE INSPEÇÕES AMBIENTAIS</v>
      </c>
      <c r="H302" s="25"/>
      <c r="I302" s="25">
        <v>45863</v>
      </c>
      <c r="J302" s="22">
        <v>12</v>
      </c>
      <c r="K302" s="25">
        <f t="shared" si="11"/>
        <v>46228</v>
      </c>
      <c r="L302" s="28" t="str">
        <f t="shared" ca="1" si="10"/>
        <v>Em dia</v>
      </c>
      <c r="M302" s="31" t="s">
        <v>40</v>
      </c>
      <c r="N302" s="28" t="s">
        <v>21</v>
      </c>
      <c r="O302" s="22" t="s">
        <v>28</v>
      </c>
      <c r="P302" s="25">
        <f t="shared" si="12"/>
        <v>45955</v>
      </c>
      <c r="Q302" s="25"/>
      <c r="R302" s="25"/>
      <c r="S302" s="28" t="s">
        <v>23</v>
      </c>
      <c r="T302" s="28">
        <v>1</v>
      </c>
    </row>
    <row r="303" spans="1:20" ht="14.25" customHeight="1">
      <c r="A303" s="22">
        <v>344</v>
      </c>
      <c r="B303" s="32">
        <v>14083</v>
      </c>
      <c r="C303" s="22" t="str">
        <f>IFERROR(VLOOKUP(B303,Colaboradores!A:D,2,),"")</f>
        <v>TAHYNAN FREITAS SILVA COSTA</v>
      </c>
      <c r="D303" s="22" t="str">
        <f>IFERROR(VLOOKUP(B303,Colaboradores!A:D,3,),"")</f>
        <v>SAÚDE OCUPACIONAL</v>
      </c>
      <c r="E303" s="22" t="str">
        <f>IFERROR(VLOOKUP(B303,Colaboradores!A:D,4,),"")</f>
        <v>TÉCNICO DE ENFERMAGEM DO TRABALHO</v>
      </c>
      <c r="F303" s="22" t="s">
        <v>33</v>
      </c>
      <c r="G303" s="24" t="str">
        <f>IFERROR(VLOOKUP(F303,Procedimentos!A:C,2,),"")</f>
        <v>GESTÃO DE INSPEÇÕES AMBIENTAIS</v>
      </c>
      <c r="H303" s="25"/>
      <c r="I303" s="25">
        <v>45863</v>
      </c>
      <c r="J303" s="22">
        <v>12</v>
      </c>
      <c r="K303" s="25">
        <f t="shared" si="11"/>
        <v>46228</v>
      </c>
      <c r="L303" s="28" t="str">
        <f t="shared" ca="1" si="10"/>
        <v>Em dia</v>
      </c>
      <c r="M303" s="31" t="s">
        <v>40</v>
      </c>
      <c r="N303" s="28" t="s">
        <v>21</v>
      </c>
      <c r="O303" s="22" t="s">
        <v>28</v>
      </c>
      <c r="P303" s="25">
        <f t="shared" si="12"/>
        <v>45955</v>
      </c>
      <c r="Q303" s="25"/>
      <c r="R303" s="25"/>
      <c r="S303" s="28" t="s">
        <v>23</v>
      </c>
      <c r="T303" s="28">
        <v>1</v>
      </c>
    </row>
    <row r="304" spans="1:20" ht="14.25" customHeight="1">
      <c r="A304" s="22">
        <v>345</v>
      </c>
      <c r="B304" s="22">
        <v>15059</v>
      </c>
      <c r="C304" s="22" t="str">
        <f>IFERROR(VLOOKUP(B304,Colaboradores!A:D,2,),"")</f>
        <v>GUILHERME LEÃO DOS SANTOS</v>
      </c>
      <c r="D304" s="22" t="str">
        <f>IFERROR(VLOOKUP(B304,Colaboradores!A:D,3,),"")</f>
        <v>SAÚDE OCUPACIONAL</v>
      </c>
      <c r="E304" s="22" t="str">
        <f>IFERROR(VLOOKUP(B304,Colaboradores!A:D,4,),"")</f>
        <v>ASSISTENTE ADMINISTRATIVO</v>
      </c>
      <c r="F304" s="22" t="s">
        <v>33</v>
      </c>
      <c r="G304" s="24" t="str">
        <f>IFERROR(VLOOKUP(F304,Procedimentos!A:C,2,),"")</f>
        <v>GESTÃO DE INSPEÇÕES AMBIENTAIS</v>
      </c>
      <c r="H304" s="25"/>
      <c r="I304" s="25">
        <v>45863</v>
      </c>
      <c r="J304" s="22">
        <v>12</v>
      </c>
      <c r="K304" s="25">
        <f t="shared" si="11"/>
        <v>46228</v>
      </c>
      <c r="L304" s="28" t="str">
        <f t="shared" ca="1" si="10"/>
        <v>Em dia</v>
      </c>
      <c r="M304" s="31" t="s">
        <v>40</v>
      </c>
      <c r="N304" s="28" t="s">
        <v>21</v>
      </c>
      <c r="O304" s="22" t="s">
        <v>28</v>
      </c>
      <c r="P304" s="25">
        <f t="shared" si="12"/>
        <v>45955</v>
      </c>
      <c r="Q304" s="25"/>
      <c r="R304" s="25"/>
      <c r="S304" s="28" t="s">
        <v>23</v>
      </c>
      <c r="T304" s="28">
        <v>1</v>
      </c>
    </row>
    <row r="305" spans="1:20" ht="14.25" customHeight="1">
      <c r="A305" s="22">
        <v>346</v>
      </c>
      <c r="B305" s="32">
        <v>12330</v>
      </c>
      <c r="C305" s="22" t="str">
        <f>IFERROR(VLOOKUP(B305,Colaboradores!A:D,2,),"")</f>
        <v>BIANCA GUEDES SILVA ALMEIDA</v>
      </c>
      <c r="D305" s="22" t="str">
        <f>IFERROR(VLOOKUP(B305,Colaboradores!A:D,3,),"")</f>
        <v>SAÚDE OCUPACIONAL</v>
      </c>
      <c r="E305" s="22" t="str">
        <f>IFERROR(VLOOKUP(B305,Colaboradores!A:D,4,),"")</f>
        <v>NUTRICIONISTA</v>
      </c>
      <c r="F305" s="22" t="s">
        <v>33</v>
      </c>
      <c r="G305" s="24" t="str">
        <f>IFERROR(VLOOKUP(F305,Procedimentos!A:C,2,),"")</f>
        <v>GESTÃO DE INSPEÇÕES AMBIENTAIS</v>
      </c>
      <c r="H305" s="25"/>
      <c r="I305" s="25">
        <v>45863</v>
      </c>
      <c r="J305" s="22">
        <v>12</v>
      </c>
      <c r="K305" s="25">
        <f t="shared" si="11"/>
        <v>46228</v>
      </c>
      <c r="L305" s="28" t="str">
        <f t="shared" ca="1" si="10"/>
        <v>Em dia</v>
      </c>
      <c r="M305" s="31" t="s">
        <v>40</v>
      </c>
      <c r="N305" s="28" t="s">
        <v>21</v>
      </c>
      <c r="O305" s="22" t="s">
        <v>28</v>
      </c>
      <c r="P305" s="25">
        <f t="shared" si="12"/>
        <v>45955</v>
      </c>
      <c r="Q305" s="25"/>
      <c r="R305" s="25"/>
      <c r="S305" s="28" t="s">
        <v>23</v>
      </c>
      <c r="T305" s="28">
        <v>1</v>
      </c>
    </row>
    <row r="306" spans="1:20" ht="14.25" customHeight="1">
      <c r="A306" s="22">
        <v>347</v>
      </c>
      <c r="B306" s="32">
        <v>11149</v>
      </c>
      <c r="C306" s="22" t="str">
        <f>IFERROR(VLOOKUP(B306,Colaboradores!A:D,2,),"")</f>
        <v>CAMYLA CRYSTYNE RABELO LIMA</v>
      </c>
      <c r="D306" s="22" t="str">
        <f>IFERROR(VLOOKUP(B306,Colaboradores!A:D,3,),"")</f>
        <v>COORDENAÇÃO ADMINISTRATIVA</v>
      </c>
      <c r="E306" s="22" t="str">
        <f>IFERROR(VLOOKUP(B306,Colaboradores!A:D,4,),"")</f>
        <v>ANALISTA ADMINISTRATIVO</v>
      </c>
      <c r="F306" s="22" t="s">
        <v>41</v>
      </c>
      <c r="G306" s="24" t="str">
        <f>IFERROR(VLOOKUP(F306,Procedimentos!A:C,2,),"")</f>
        <v>DIRETRIZES PARA COMUNICAÇÃO E INVESTIGAÇÃO DE ACIDENTES</v>
      </c>
      <c r="H306" s="25"/>
      <c r="I306" s="25">
        <v>45888</v>
      </c>
      <c r="J306" s="22">
        <v>12</v>
      </c>
      <c r="K306" s="25">
        <f t="shared" si="11"/>
        <v>46253</v>
      </c>
      <c r="L306" s="28" t="str">
        <f t="shared" ca="1" si="10"/>
        <v>Em dia</v>
      </c>
      <c r="M306" s="33" t="s">
        <v>42</v>
      </c>
      <c r="N306" s="28" t="s">
        <v>21</v>
      </c>
      <c r="O306" s="22" t="s">
        <v>28</v>
      </c>
      <c r="P306" s="25">
        <f t="shared" si="12"/>
        <v>45980</v>
      </c>
      <c r="Q306" s="25"/>
      <c r="R306" s="25"/>
      <c r="S306" s="7" t="s">
        <v>27</v>
      </c>
      <c r="T306" s="28">
        <v>1</v>
      </c>
    </row>
    <row r="307" spans="1:20" ht="14.25" customHeight="1">
      <c r="A307" s="22">
        <v>348</v>
      </c>
      <c r="B307" s="22">
        <v>14824</v>
      </c>
      <c r="C307" s="22" t="str">
        <f>IFERROR(VLOOKUP(B307,Colaboradores!A:D,2,),"")</f>
        <v>DENISE DE SOUSA RIBEIRO SANTOS</v>
      </c>
      <c r="D307" s="22" t="str">
        <f>IFERROR(VLOOKUP(B307,Colaboradores!A:D,3,),"")</f>
        <v>COORDENAÇÃO ADMINISTRATIVA</v>
      </c>
      <c r="E307" s="22" t="str">
        <f>IFERROR(VLOOKUP(B307,Colaboradores!A:D,4,),"")</f>
        <v>ASSISTENTE ADMINISTRATIVO</v>
      </c>
      <c r="F307" s="22" t="s">
        <v>41</v>
      </c>
      <c r="G307" s="24" t="str">
        <f>IFERROR(VLOOKUP(F307,Procedimentos!A:C,2,),"")</f>
        <v>DIRETRIZES PARA COMUNICAÇÃO E INVESTIGAÇÃO DE ACIDENTES</v>
      </c>
      <c r="H307" s="25"/>
      <c r="I307" s="25">
        <v>45888</v>
      </c>
      <c r="J307" s="22">
        <v>12</v>
      </c>
      <c r="K307" s="25">
        <f t="shared" si="11"/>
        <v>46253</v>
      </c>
      <c r="L307" s="28" t="str">
        <f t="shared" ca="1" si="10"/>
        <v>Em dia</v>
      </c>
      <c r="M307" s="33" t="s">
        <v>42</v>
      </c>
      <c r="N307" s="28" t="s">
        <v>21</v>
      </c>
      <c r="O307" s="22" t="s">
        <v>28</v>
      </c>
      <c r="P307" s="25">
        <f t="shared" si="12"/>
        <v>45980</v>
      </c>
      <c r="Q307" s="25"/>
      <c r="R307" s="25"/>
      <c r="S307" s="7" t="s">
        <v>27</v>
      </c>
      <c r="T307" s="28">
        <v>1</v>
      </c>
    </row>
    <row r="308" spans="1:20" ht="14.25" customHeight="1">
      <c r="A308" s="22">
        <v>349</v>
      </c>
      <c r="B308" s="22">
        <v>12748</v>
      </c>
      <c r="C308" s="22" t="str">
        <f>IFERROR(VLOOKUP(B308,Colaboradores!A:D,2,),"")</f>
        <v>KARINY DE SOUZA COSTA</v>
      </c>
      <c r="D308" s="22" t="str">
        <f>IFERROR(VLOOKUP(B308,Colaboradores!A:D,3,),"")</f>
        <v>COORDENAÇÃO ADMINISTRATIVA</v>
      </c>
      <c r="E308" s="22" t="str">
        <f>IFERROR(VLOOKUP(B308,Colaboradores!A:D,4,),"")</f>
        <v>ASSISTENTE ADMINISTRATIVO</v>
      </c>
      <c r="F308" s="22" t="s">
        <v>41</v>
      </c>
      <c r="G308" s="24" t="str">
        <f>IFERROR(VLOOKUP(F308,Procedimentos!A:C,2,),"")</f>
        <v>DIRETRIZES PARA COMUNICAÇÃO E INVESTIGAÇÃO DE ACIDENTES</v>
      </c>
      <c r="H308" s="25"/>
      <c r="I308" s="25">
        <v>45888</v>
      </c>
      <c r="J308" s="22">
        <v>12</v>
      </c>
      <c r="K308" s="25">
        <f t="shared" si="11"/>
        <v>46253</v>
      </c>
      <c r="L308" s="28" t="str">
        <f t="shared" ca="1" si="10"/>
        <v>Em dia</v>
      </c>
      <c r="M308" s="33" t="s">
        <v>42</v>
      </c>
      <c r="N308" s="28" t="s">
        <v>21</v>
      </c>
      <c r="O308" s="22" t="s">
        <v>28</v>
      </c>
      <c r="P308" s="25">
        <f t="shared" si="12"/>
        <v>45980</v>
      </c>
      <c r="Q308" s="25"/>
      <c r="R308" s="25"/>
      <c r="S308" s="7" t="s">
        <v>27</v>
      </c>
      <c r="T308" s="28">
        <v>1</v>
      </c>
    </row>
    <row r="309" spans="1:20" ht="14.25" customHeight="1">
      <c r="A309" s="22">
        <v>350</v>
      </c>
      <c r="B309" s="22">
        <v>12555</v>
      </c>
      <c r="C309" s="22" t="str">
        <f>IFERROR(VLOOKUP(B309,Colaboradores!A:D,2,),"")</f>
        <v>HWGO AUGUSTO ALMEIDA</v>
      </c>
      <c r="D309" s="22" t="str">
        <f>IFERROR(VLOOKUP(B309,Colaboradores!A:D,3,),"")</f>
        <v>COORDENAÇÃO ADMINISTRATIVA</v>
      </c>
      <c r="E309" s="22" t="str">
        <f>IFERROR(VLOOKUP(B309,Colaboradores!A:D,4,),"")</f>
        <v>ANALISTA ADMINISTRATIVO</v>
      </c>
      <c r="F309" s="22" t="s">
        <v>41</v>
      </c>
      <c r="G309" s="24" t="str">
        <f>IFERROR(VLOOKUP(F309,Procedimentos!A:C,2,),"")</f>
        <v>DIRETRIZES PARA COMUNICAÇÃO E INVESTIGAÇÃO DE ACIDENTES</v>
      </c>
      <c r="H309" s="25"/>
      <c r="I309" s="25">
        <v>45888</v>
      </c>
      <c r="J309" s="22">
        <v>12</v>
      </c>
      <c r="K309" s="25">
        <f t="shared" si="11"/>
        <v>46253</v>
      </c>
      <c r="L309" s="28" t="str">
        <f t="shared" ca="1" si="10"/>
        <v>Em dia</v>
      </c>
      <c r="M309" s="33" t="s">
        <v>42</v>
      </c>
      <c r="N309" s="28" t="s">
        <v>21</v>
      </c>
      <c r="O309" s="22" t="s">
        <v>28</v>
      </c>
      <c r="P309" s="25">
        <f t="shared" si="12"/>
        <v>45980</v>
      </c>
      <c r="Q309" s="25"/>
      <c r="R309" s="25"/>
      <c r="S309" s="7" t="s">
        <v>27</v>
      </c>
      <c r="T309" s="28">
        <v>1</v>
      </c>
    </row>
    <row r="310" spans="1:20" ht="14.25" customHeight="1">
      <c r="A310" s="22">
        <v>351</v>
      </c>
      <c r="B310" s="32">
        <v>11149</v>
      </c>
      <c r="C310" s="22" t="str">
        <f>IFERROR(VLOOKUP(B310,Colaboradores!A:D,2,),"")</f>
        <v>CAMYLA CRYSTYNE RABELO LIMA</v>
      </c>
      <c r="D310" s="22" t="str">
        <f>IFERROR(VLOOKUP(B310,Colaboradores!A:D,3,),"")</f>
        <v>COORDENAÇÃO ADMINISTRATIVA</v>
      </c>
      <c r="E310" s="22" t="str">
        <f>IFERROR(VLOOKUP(B310,Colaboradores!A:D,4,),"")</f>
        <v>ANALISTA ADMINISTRATIVO</v>
      </c>
      <c r="F310" s="22" t="s">
        <v>43</v>
      </c>
      <c r="G310" s="24" t="str">
        <f>IFERROR(VLOOKUP(F310,Procedimentos!A:C,2,),"")</f>
        <v>DIÁLOGO DE SAÚDE E SEGURANÇA - DSS</v>
      </c>
      <c r="H310" s="25"/>
      <c r="I310" s="25">
        <v>45888</v>
      </c>
      <c r="J310" s="22">
        <v>12</v>
      </c>
      <c r="K310" s="25">
        <f t="shared" si="11"/>
        <v>46253</v>
      </c>
      <c r="L310" s="28" t="str">
        <f t="shared" ca="1" si="10"/>
        <v>Em dia</v>
      </c>
      <c r="M310" s="33" t="s">
        <v>42</v>
      </c>
      <c r="N310" s="28" t="s">
        <v>21</v>
      </c>
      <c r="O310" s="22" t="s">
        <v>28</v>
      </c>
      <c r="P310" s="25">
        <f t="shared" si="12"/>
        <v>45980</v>
      </c>
      <c r="Q310" s="25"/>
      <c r="R310" s="25"/>
      <c r="S310" s="7" t="s">
        <v>27</v>
      </c>
      <c r="T310" s="28">
        <v>1</v>
      </c>
    </row>
    <row r="311" spans="1:20" ht="14.25" customHeight="1">
      <c r="A311" s="22">
        <v>352</v>
      </c>
      <c r="B311" s="22">
        <v>14824</v>
      </c>
      <c r="C311" s="22" t="str">
        <f>IFERROR(VLOOKUP(B311,Colaboradores!A:D,2,),"")</f>
        <v>DENISE DE SOUSA RIBEIRO SANTOS</v>
      </c>
      <c r="D311" s="22" t="str">
        <f>IFERROR(VLOOKUP(B311,Colaboradores!A:D,3,),"")</f>
        <v>COORDENAÇÃO ADMINISTRATIVA</v>
      </c>
      <c r="E311" s="22" t="str">
        <f>IFERROR(VLOOKUP(B311,Colaboradores!A:D,4,),"")</f>
        <v>ASSISTENTE ADMINISTRATIVO</v>
      </c>
      <c r="F311" s="22" t="s">
        <v>43</v>
      </c>
      <c r="G311" s="24" t="str">
        <f>IFERROR(VLOOKUP(F311,Procedimentos!A:C,2,),"")</f>
        <v>DIÁLOGO DE SAÚDE E SEGURANÇA - DSS</v>
      </c>
      <c r="H311" s="25"/>
      <c r="I311" s="25">
        <v>45888</v>
      </c>
      <c r="J311" s="22">
        <v>12</v>
      </c>
      <c r="K311" s="25">
        <f t="shared" si="11"/>
        <v>46253</v>
      </c>
      <c r="L311" s="28" t="str">
        <f t="shared" ca="1" si="10"/>
        <v>Em dia</v>
      </c>
      <c r="M311" s="33" t="s">
        <v>42</v>
      </c>
      <c r="N311" s="28" t="s">
        <v>21</v>
      </c>
      <c r="O311" s="22" t="s">
        <v>28</v>
      </c>
      <c r="P311" s="25">
        <f t="shared" si="12"/>
        <v>45980</v>
      </c>
      <c r="Q311" s="25"/>
      <c r="R311" s="25"/>
      <c r="S311" s="7" t="s">
        <v>27</v>
      </c>
      <c r="T311" s="28">
        <v>1</v>
      </c>
    </row>
    <row r="312" spans="1:20" ht="14.25" customHeight="1">
      <c r="A312" s="22">
        <v>353</v>
      </c>
      <c r="B312" s="22">
        <v>12748</v>
      </c>
      <c r="C312" s="22" t="str">
        <f>IFERROR(VLOOKUP(B312,Colaboradores!A:D,2,),"")</f>
        <v>KARINY DE SOUZA COSTA</v>
      </c>
      <c r="D312" s="22" t="str">
        <f>IFERROR(VLOOKUP(B312,Colaboradores!A:D,3,),"")</f>
        <v>COORDENAÇÃO ADMINISTRATIVA</v>
      </c>
      <c r="E312" s="22" t="str">
        <f>IFERROR(VLOOKUP(B312,Colaboradores!A:D,4,),"")</f>
        <v>ASSISTENTE ADMINISTRATIVO</v>
      </c>
      <c r="F312" s="22" t="s">
        <v>43</v>
      </c>
      <c r="G312" s="24" t="str">
        <f>IFERROR(VLOOKUP(F312,Procedimentos!A:C,2,),"")</f>
        <v>DIÁLOGO DE SAÚDE E SEGURANÇA - DSS</v>
      </c>
      <c r="H312" s="25"/>
      <c r="I312" s="25">
        <v>45888</v>
      </c>
      <c r="J312" s="22">
        <v>12</v>
      </c>
      <c r="K312" s="25">
        <f t="shared" si="11"/>
        <v>46253</v>
      </c>
      <c r="L312" s="28" t="str">
        <f t="shared" ca="1" si="10"/>
        <v>Em dia</v>
      </c>
      <c r="M312" s="33" t="s">
        <v>42</v>
      </c>
      <c r="N312" s="28" t="s">
        <v>21</v>
      </c>
      <c r="O312" s="22" t="s">
        <v>28</v>
      </c>
      <c r="P312" s="25">
        <f t="shared" si="12"/>
        <v>45980</v>
      </c>
      <c r="Q312" s="25"/>
      <c r="R312" s="25"/>
      <c r="S312" s="7" t="s">
        <v>27</v>
      </c>
      <c r="T312" s="28">
        <v>1</v>
      </c>
    </row>
    <row r="313" spans="1:20" ht="14.25" customHeight="1">
      <c r="A313" s="22">
        <v>354</v>
      </c>
      <c r="B313" s="22">
        <v>12555</v>
      </c>
      <c r="C313" s="22" t="str">
        <f>IFERROR(VLOOKUP(B313,Colaboradores!A:D,2,),"")</f>
        <v>HWGO AUGUSTO ALMEIDA</v>
      </c>
      <c r="D313" s="22" t="str">
        <f>IFERROR(VLOOKUP(B313,Colaboradores!A:D,3,),"")</f>
        <v>COORDENAÇÃO ADMINISTRATIVA</v>
      </c>
      <c r="E313" s="22" t="str">
        <f>IFERROR(VLOOKUP(B313,Colaboradores!A:D,4,),"")</f>
        <v>ANALISTA ADMINISTRATIVO</v>
      </c>
      <c r="F313" s="22" t="s">
        <v>43</v>
      </c>
      <c r="G313" s="24" t="str">
        <f>IFERROR(VLOOKUP(F313,Procedimentos!A:C,2,),"")</f>
        <v>DIÁLOGO DE SAÚDE E SEGURANÇA - DSS</v>
      </c>
      <c r="H313" s="25"/>
      <c r="I313" s="25">
        <v>45888</v>
      </c>
      <c r="J313" s="22">
        <v>12</v>
      </c>
      <c r="K313" s="25">
        <f t="shared" si="11"/>
        <v>46253</v>
      </c>
      <c r="L313" s="28" t="str">
        <f t="shared" ca="1" si="10"/>
        <v>Em dia</v>
      </c>
      <c r="M313" s="33" t="s">
        <v>42</v>
      </c>
      <c r="N313" s="28" t="s">
        <v>21</v>
      </c>
      <c r="O313" s="22" t="s">
        <v>28</v>
      </c>
      <c r="P313" s="25">
        <f t="shared" si="12"/>
        <v>45980</v>
      </c>
      <c r="Q313" s="25"/>
      <c r="R313" s="25"/>
      <c r="S313" s="7" t="s">
        <v>27</v>
      </c>
      <c r="T313" s="28">
        <v>1</v>
      </c>
    </row>
    <row r="314" spans="1:20" ht="14.25" customHeight="1">
      <c r="A314" s="22">
        <v>355</v>
      </c>
      <c r="B314" s="32">
        <v>11149</v>
      </c>
      <c r="C314" s="22" t="str">
        <f>IFERROR(VLOOKUP(B314,Colaboradores!A:D,2,),"")</f>
        <v>CAMYLA CRYSTYNE RABELO LIMA</v>
      </c>
      <c r="D314" s="22" t="str">
        <f>IFERROR(VLOOKUP(B314,Colaboradores!A:D,3,),"")</f>
        <v>COORDENAÇÃO ADMINISTRATIVA</v>
      </c>
      <c r="E314" s="22" t="str">
        <f>IFERROR(VLOOKUP(B314,Colaboradores!A:D,4,),"")</f>
        <v>ANALISTA ADMINISTRATIVO</v>
      </c>
      <c r="F314" s="22" t="s">
        <v>44</v>
      </c>
      <c r="G314" s="24" t="str">
        <f>IFERROR(VLOOKUP(F314,Procedimentos!A:C,2,),"")</f>
        <v>DIRETRIZES PARA GESTÃO DE EQUIPAMENTOS DE PROTEÇÃO INDIVIDUAL - EPI'S</v>
      </c>
      <c r="H314" s="25"/>
      <c r="I314" s="25">
        <v>45888</v>
      </c>
      <c r="J314" s="22">
        <v>12</v>
      </c>
      <c r="K314" s="25">
        <f t="shared" si="11"/>
        <v>46253</v>
      </c>
      <c r="L314" s="28" t="str">
        <f t="shared" ca="1" si="10"/>
        <v>Em dia</v>
      </c>
      <c r="M314" s="33" t="s">
        <v>42</v>
      </c>
      <c r="N314" s="28" t="s">
        <v>21</v>
      </c>
      <c r="O314" s="22" t="s">
        <v>28</v>
      </c>
      <c r="P314" s="25">
        <f t="shared" si="12"/>
        <v>45980</v>
      </c>
      <c r="Q314" s="25"/>
      <c r="R314" s="25"/>
      <c r="S314" s="7" t="s">
        <v>27</v>
      </c>
      <c r="T314" s="28">
        <v>1</v>
      </c>
    </row>
    <row r="315" spans="1:20" ht="14.25" customHeight="1">
      <c r="A315" s="22">
        <v>356</v>
      </c>
      <c r="B315" s="22">
        <v>14824</v>
      </c>
      <c r="C315" s="22" t="str">
        <f>IFERROR(VLOOKUP(B315,Colaboradores!A:D,2,),"")</f>
        <v>DENISE DE SOUSA RIBEIRO SANTOS</v>
      </c>
      <c r="D315" s="22" t="str">
        <f>IFERROR(VLOOKUP(B315,Colaboradores!A:D,3,),"")</f>
        <v>COORDENAÇÃO ADMINISTRATIVA</v>
      </c>
      <c r="E315" s="22" t="str">
        <f>IFERROR(VLOOKUP(B315,Colaboradores!A:D,4,),"")</f>
        <v>ASSISTENTE ADMINISTRATIVO</v>
      </c>
      <c r="F315" s="22" t="s">
        <v>44</v>
      </c>
      <c r="G315" s="24" t="str">
        <f>IFERROR(VLOOKUP(F315,Procedimentos!A:C,2,),"")</f>
        <v>DIRETRIZES PARA GESTÃO DE EQUIPAMENTOS DE PROTEÇÃO INDIVIDUAL - EPI'S</v>
      </c>
      <c r="H315" s="25"/>
      <c r="I315" s="25">
        <v>45888</v>
      </c>
      <c r="J315" s="22">
        <v>12</v>
      </c>
      <c r="K315" s="25">
        <f t="shared" si="11"/>
        <v>46253</v>
      </c>
      <c r="L315" s="28" t="str">
        <f t="shared" ca="1" si="10"/>
        <v>Em dia</v>
      </c>
      <c r="M315" s="33" t="s">
        <v>42</v>
      </c>
      <c r="N315" s="28" t="s">
        <v>21</v>
      </c>
      <c r="O315" s="22" t="s">
        <v>28</v>
      </c>
      <c r="P315" s="25">
        <f t="shared" si="12"/>
        <v>45980</v>
      </c>
      <c r="Q315" s="25"/>
      <c r="R315" s="25"/>
      <c r="S315" s="7" t="s">
        <v>27</v>
      </c>
      <c r="T315" s="28">
        <v>1</v>
      </c>
    </row>
    <row r="316" spans="1:20" ht="14.25" customHeight="1">
      <c r="A316" s="22">
        <v>357</v>
      </c>
      <c r="B316" s="22">
        <v>12748</v>
      </c>
      <c r="C316" s="22" t="str">
        <f>IFERROR(VLOOKUP(B316,Colaboradores!A:D,2,),"")</f>
        <v>KARINY DE SOUZA COSTA</v>
      </c>
      <c r="D316" s="22" t="str">
        <f>IFERROR(VLOOKUP(B316,Colaboradores!A:D,3,),"")</f>
        <v>COORDENAÇÃO ADMINISTRATIVA</v>
      </c>
      <c r="E316" s="22" t="str">
        <f>IFERROR(VLOOKUP(B316,Colaboradores!A:D,4,),"")</f>
        <v>ASSISTENTE ADMINISTRATIVO</v>
      </c>
      <c r="F316" s="22" t="s">
        <v>44</v>
      </c>
      <c r="G316" s="24" t="str">
        <f>IFERROR(VLOOKUP(F316,Procedimentos!A:C,2,),"")</f>
        <v>DIRETRIZES PARA GESTÃO DE EQUIPAMENTOS DE PROTEÇÃO INDIVIDUAL - EPI'S</v>
      </c>
      <c r="H316" s="25"/>
      <c r="I316" s="25">
        <v>45888</v>
      </c>
      <c r="J316" s="22">
        <v>12</v>
      </c>
      <c r="K316" s="25">
        <f t="shared" si="11"/>
        <v>46253</v>
      </c>
      <c r="L316" s="28" t="str">
        <f t="shared" ca="1" si="10"/>
        <v>Em dia</v>
      </c>
      <c r="M316" s="33" t="s">
        <v>42</v>
      </c>
      <c r="N316" s="28" t="s">
        <v>21</v>
      </c>
      <c r="O316" s="22" t="s">
        <v>28</v>
      </c>
      <c r="P316" s="25">
        <f t="shared" si="12"/>
        <v>45980</v>
      </c>
      <c r="Q316" s="25"/>
      <c r="R316" s="25"/>
      <c r="S316" s="7" t="s">
        <v>27</v>
      </c>
      <c r="T316" s="28">
        <v>1</v>
      </c>
    </row>
    <row r="317" spans="1:20" ht="14.25" customHeight="1">
      <c r="A317" s="22">
        <v>358</v>
      </c>
      <c r="B317" s="22">
        <v>12555</v>
      </c>
      <c r="C317" s="22" t="str">
        <f>IFERROR(VLOOKUP(B317,Colaboradores!A:D,2,),"")</f>
        <v>HWGO AUGUSTO ALMEIDA</v>
      </c>
      <c r="D317" s="22" t="str">
        <f>IFERROR(VLOOKUP(B317,Colaboradores!A:D,3,),"")</f>
        <v>COORDENAÇÃO ADMINISTRATIVA</v>
      </c>
      <c r="E317" s="22" t="str">
        <f>IFERROR(VLOOKUP(B317,Colaboradores!A:D,4,),"")</f>
        <v>ANALISTA ADMINISTRATIVO</v>
      </c>
      <c r="F317" s="22" t="s">
        <v>44</v>
      </c>
      <c r="G317" s="24" t="str">
        <f>IFERROR(VLOOKUP(F317,Procedimentos!A:C,2,),"")</f>
        <v>DIRETRIZES PARA GESTÃO DE EQUIPAMENTOS DE PROTEÇÃO INDIVIDUAL - EPI'S</v>
      </c>
      <c r="H317" s="25"/>
      <c r="I317" s="25">
        <v>45888</v>
      </c>
      <c r="J317" s="22">
        <v>12</v>
      </c>
      <c r="K317" s="25">
        <f t="shared" si="11"/>
        <v>46253</v>
      </c>
      <c r="L317" s="28" t="str">
        <f t="shared" ca="1" si="10"/>
        <v>Em dia</v>
      </c>
      <c r="M317" s="33" t="s">
        <v>42</v>
      </c>
      <c r="N317" s="28" t="s">
        <v>21</v>
      </c>
      <c r="O317" s="22" t="s">
        <v>28</v>
      </c>
      <c r="P317" s="25">
        <f t="shared" si="12"/>
        <v>45980</v>
      </c>
      <c r="Q317" s="25"/>
      <c r="R317" s="25"/>
      <c r="S317" s="7" t="s">
        <v>27</v>
      </c>
      <c r="T317" s="28">
        <v>1</v>
      </c>
    </row>
    <row r="318" spans="1:20" ht="14.25" customHeight="1">
      <c r="A318" s="22">
        <v>359</v>
      </c>
      <c r="B318" s="32">
        <v>11149</v>
      </c>
      <c r="C318" s="22" t="str">
        <f>IFERROR(VLOOKUP(B318,Colaboradores!A:D,2,),"")</f>
        <v>CAMYLA CRYSTYNE RABELO LIMA</v>
      </c>
      <c r="D318" s="22" t="str">
        <f>IFERROR(VLOOKUP(B318,Colaboradores!A:D,3,),"")</f>
        <v>COORDENAÇÃO ADMINISTRATIVA</v>
      </c>
      <c r="E318" s="22" t="str">
        <f>IFERROR(VLOOKUP(B318,Colaboradores!A:D,4,),"")</f>
        <v>ANALISTA ADMINISTRATIVO</v>
      </c>
      <c r="F318" s="22" t="s">
        <v>45</v>
      </c>
      <c r="G318" s="24" t="str">
        <f>IFERROR(VLOOKUP(F318,Procedimentos!A:C,2,),"")</f>
        <v>CONSTITUIÇÃO INTERNA DE PREVENÇÃO DE ACIDENTES E DE ASSÉDIOS - CIPA</v>
      </c>
      <c r="H318" s="25"/>
      <c r="I318" s="25">
        <v>45888</v>
      </c>
      <c r="J318" s="22">
        <v>12</v>
      </c>
      <c r="K318" s="25">
        <f t="shared" si="11"/>
        <v>46253</v>
      </c>
      <c r="L318" s="28" t="str">
        <f t="shared" ca="1" si="10"/>
        <v>Em dia</v>
      </c>
      <c r="M318" s="33" t="s">
        <v>42</v>
      </c>
      <c r="N318" s="28" t="s">
        <v>21</v>
      </c>
      <c r="O318" s="22" t="s">
        <v>28</v>
      </c>
      <c r="P318" s="25">
        <f t="shared" si="12"/>
        <v>45980</v>
      </c>
      <c r="Q318" s="25"/>
      <c r="R318" s="25"/>
      <c r="S318" s="7" t="s">
        <v>27</v>
      </c>
      <c r="T318" s="28">
        <v>1</v>
      </c>
    </row>
    <row r="319" spans="1:20" ht="14.25" customHeight="1">
      <c r="A319" s="22">
        <v>360</v>
      </c>
      <c r="B319" s="22">
        <v>14824</v>
      </c>
      <c r="C319" s="22" t="str">
        <f>IFERROR(VLOOKUP(B319,Colaboradores!A:D,2,),"")</f>
        <v>DENISE DE SOUSA RIBEIRO SANTOS</v>
      </c>
      <c r="D319" s="22" t="str">
        <f>IFERROR(VLOOKUP(B319,Colaboradores!A:D,3,),"")</f>
        <v>COORDENAÇÃO ADMINISTRATIVA</v>
      </c>
      <c r="E319" s="22" t="str">
        <f>IFERROR(VLOOKUP(B319,Colaboradores!A:D,4,),"")</f>
        <v>ASSISTENTE ADMINISTRATIVO</v>
      </c>
      <c r="F319" s="22" t="s">
        <v>45</v>
      </c>
      <c r="G319" s="24" t="str">
        <f>IFERROR(VLOOKUP(F319,Procedimentos!A:C,2,),"")</f>
        <v>CONSTITUIÇÃO INTERNA DE PREVENÇÃO DE ACIDENTES E DE ASSÉDIOS - CIPA</v>
      </c>
      <c r="H319" s="25"/>
      <c r="I319" s="25">
        <v>45888</v>
      </c>
      <c r="J319" s="22">
        <v>12</v>
      </c>
      <c r="K319" s="25">
        <f t="shared" si="11"/>
        <v>46253</v>
      </c>
      <c r="L319" s="28" t="str">
        <f t="shared" ca="1" si="10"/>
        <v>Em dia</v>
      </c>
      <c r="M319" s="33" t="s">
        <v>42</v>
      </c>
      <c r="N319" s="28" t="s">
        <v>21</v>
      </c>
      <c r="O319" s="22" t="s">
        <v>28</v>
      </c>
      <c r="P319" s="25">
        <f t="shared" si="12"/>
        <v>45980</v>
      </c>
      <c r="Q319" s="25"/>
      <c r="R319" s="25"/>
      <c r="S319" s="7" t="s">
        <v>27</v>
      </c>
      <c r="T319" s="28">
        <v>1</v>
      </c>
    </row>
    <row r="320" spans="1:20" ht="14.25" customHeight="1">
      <c r="A320" s="22">
        <v>361</v>
      </c>
      <c r="B320" s="22">
        <v>12748</v>
      </c>
      <c r="C320" s="22" t="str">
        <f>IFERROR(VLOOKUP(B320,Colaboradores!A:D,2,),"")</f>
        <v>KARINY DE SOUZA COSTA</v>
      </c>
      <c r="D320" s="22" t="str">
        <f>IFERROR(VLOOKUP(B320,Colaboradores!A:D,3,),"")</f>
        <v>COORDENAÇÃO ADMINISTRATIVA</v>
      </c>
      <c r="E320" s="22" t="str">
        <f>IFERROR(VLOOKUP(B320,Colaboradores!A:D,4,),"")</f>
        <v>ASSISTENTE ADMINISTRATIVO</v>
      </c>
      <c r="F320" s="22" t="s">
        <v>45</v>
      </c>
      <c r="G320" s="24" t="str">
        <f>IFERROR(VLOOKUP(F320,Procedimentos!A:C,2,),"")</f>
        <v>CONSTITUIÇÃO INTERNA DE PREVENÇÃO DE ACIDENTES E DE ASSÉDIOS - CIPA</v>
      </c>
      <c r="H320" s="25"/>
      <c r="I320" s="25">
        <v>45888</v>
      </c>
      <c r="J320" s="22">
        <v>12</v>
      </c>
      <c r="K320" s="25">
        <f t="shared" si="11"/>
        <v>46253</v>
      </c>
      <c r="L320" s="28" t="str">
        <f t="shared" ca="1" si="10"/>
        <v>Em dia</v>
      </c>
      <c r="M320" s="33" t="s">
        <v>42</v>
      </c>
      <c r="N320" s="28" t="s">
        <v>21</v>
      </c>
      <c r="O320" s="22" t="s">
        <v>28</v>
      </c>
      <c r="P320" s="25">
        <f t="shared" si="12"/>
        <v>45980</v>
      </c>
      <c r="Q320" s="25"/>
      <c r="R320" s="25"/>
      <c r="S320" s="7" t="s">
        <v>27</v>
      </c>
      <c r="T320" s="28">
        <v>1</v>
      </c>
    </row>
    <row r="321" spans="1:20" ht="14.25" customHeight="1">
      <c r="A321" s="22">
        <v>362</v>
      </c>
      <c r="B321" s="22">
        <v>12555</v>
      </c>
      <c r="C321" s="22" t="str">
        <f>IFERROR(VLOOKUP(B321,Colaboradores!A:D,2,),"")</f>
        <v>HWGO AUGUSTO ALMEIDA</v>
      </c>
      <c r="D321" s="22" t="str">
        <f>IFERROR(VLOOKUP(B321,Colaboradores!A:D,3,),"")</f>
        <v>COORDENAÇÃO ADMINISTRATIVA</v>
      </c>
      <c r="E321" s="22" t="str">
        <f>IFERROR(VLOOKUP(B321,Colaboradores!A:D,4,),"")</f>
        <v>ANALISTA ADMINISTRATIVO</v>
      </c>
      <c r="F321" s="22" t="s">
        <v>45</v>
      </c>
      <c r="G321" s="24" t="str">
        <f>IFERROR(VLOOKUP(F321,Procedimentos!A:C,2,),"")</f>
        <v>CONSTITUIÇÃO INTERNA DE PREVENÇÃO DE ACIDENTES E DE ASSÉDIOS - CIPA</v>
      </c>
      <c r="H321" s="25"/>
      <c r="I321" s="25">
        <v>45888</v>
      </c>
      <c r="J321" s="22">
        <v>12</v>
      </c>
      <c r="K321" s="25">
        <f t="shared" si="11"/>
        <v>46253</v>
      </c>
      <c r="L321" s="28" t="str">
        <f t="shared" ref="L321:L384" ca="1" si="13">IF(K321="","",IF(K321&lt;TODAY(),"Vencido",IF(K321&lt;=TODAY()+30,"A vencer","Em dia")))</f>
        <v>Em dia</v>
      </c>
      <c r="M321" s="33" t="s">
        <v>42</v>
      </c>
      <c r="N321" s="28" t="s">
        <v>21</v>
      </c>
      <c r="O321" s="22" t="s">
        <v>28</v>
      </c>
      <c r="P321" s="25">
        <f t="shared" si="12"/>
        <v>45980</v>
      </c>
      <c r="Q321" s="25"/>
      <c r="R321" s="25"/>
      <c r="S321" s="7" t="s">
        <v>27</v>
      </c>
      <c r="T321" s="28">
        <v>1</v>
      </c>
    </row>
    <row r="322" spans="1:20" ht="14.25" customHeight="1">
      <c r="A322" s="22">
        <v>363</v>
      </c>
      <c r="B322" s="22">
        <v>15023</v>
      </c>
      <c r="C322" s="22" t="str">
        <f>IFERROR(VLOOKUP(B322,Colaboradores!A:D,2,),"")</f>
        <v>DANIEL ELISON GUSMÃO PEREIRA</v>
      </c>
      <c r="D322" s="22" t="str">
        <f>IFERROR(VLOOKUP(B322,Colaboradores!A:D,3,),"")</f>
        <v>GESTÃO INTEGRADA</v>
      </c>
      <c r="E322" s="22" t="str">
        <f>IFERROR(VLOOKUP(B322,Colaboradores!A:D,4,),"")</f>
        <v>ASSISTENTE ADMINISTRATIVO</v>
      </c>
      <c r="F322" s="22" t="s">
        <v>41</v>
      </c>
      <c r="G322" s="24" t="str">
        <f>IFERROR(VLOOKUP(F322,Procedimentos!A:C,2,),"")</f>
        <v>DIRETRIZES PARA COMUNICAÇÃO E INVESTIGAÇÃO DE ACIDENTES</v>
      </c>
      <c r="H322" s="25"/>
      <c r="I322" s="25">
        <v>45888</v>
      </c>
      <c r="J322" s="22">
        <v>12</v>
      </c>
      <c r="K322" s="25">
        <f t="shared" si="11"/>
        <v>46253</v>
      </c>
      <c r="L322" s="28" t="str">
        <f t="shared" ca="1" si="13"/>
        <v>Em dia</v>
      </c>
      <c r="M322" s="33" t="s">
        <v>42</v>
      </c>
      <c r="N322" s="28" t="s">
        <v>21</v>
      </c>
      <c r="O322" s="22" t="s">
        <v>28</v>
      </c>
      <c r="P322" s="25">
        <f t="shared" si="12"/>
        <v>45980</v>
      </c>
      <c r="Q322" s="25"/>
      <c r="R322" s="25"/>
      <c r="S322" s="7" t="s">
        <v>27</v>
      </c>
      <c r="T322" s="28">
        <v>1</v>
      </c>
    </row>
    <row r="323" spans="1:20" ht="14.25" customHeight="1">
      <c r="A323" s="22">
        <v>364</v>
      </c>
      <c r="B323" s="22">
        <v>14525</v>
      </c>
      <c r="C323" s="22" t="str">
        <f>IFERROR(VLOOKUP(B323,Colaboradores!A:D,2,),"")</f>
        <v>IANKA PRAZERES CUNHA</v>
      </c>
      <c r="D323" s="22" t="str">
        <f>IFERROR(VLOOKUP(B323,Colaboradores!A:D,3,),"")</f>
        <v>GESTÃO INTEGRADA</v>
      </c>
      <c r="E323" s="22" t="str">
        <f>IFERROR(VLOOKUP(B323,Colaboradores!A:D,4,),"")</f>
        <v>ANALISTA DE GESTÃO INTEGRADA</v>
      </c>
      <c r="F323" s="22" t="s">
        <v>41</v>
      </c>
      <c r="G323" s="24" t="str">
        <f>IFERROR(VLOOKUP(F323,Procedimentos!A:C,2,),"")</f>
        <v>DIRETRIZES PARA COMUNICAÇÃO E INVESTIGAÇÃO DE ACIDENTES</v>
      </c>
      <c r="H323" s="25"/>
      <c r="I323" s="25">
        <v>45888</v>
      </c>
      <c r="J323" s="22">
        <v>12</v>
      </c>
      <c r="K323" s="25">
        <f t="shared" ref="K323:K386" si="14">IF(AND(I323&lt;&gt;"",J323&lt;&gt;""),DATE(YEAR(I323),MONTH(I323)+J323,DAY(I323)),"")</f>
        <v>46253</v>
      </c>
      <c r="L323" s="28" t="str">
        <f t="shared" ca="1" si="13"/>
        <v>Em dia</v>
      </c>
      <c r="M323" s="33" t="s">
        <v>42</v>
      </c>
      <c r="N323" s="28" t="s">
        <v>21</v>
      </c>
      <c r="O323" s="22" t="s">
        <v>28</v>
      </c>
      <c r="P323" s="25">
        <f t="shared" si="12"/>
        <v>45980</v>
      </c>
      <c r="Q323" s="25"/>
      <c r="R323" s="25"/>
      <c r="S323" s="7" t="s">
        <v>27</v>
      </c>
      <c r="T323" s="28">
        <v>1</v>
      </c>
    </row>
    <row r="324" spans="1:20" ht="14.25" customHeight="1">
      <c r="A324" s="22">
        <v>365</v>
      </c>
      <c r="B324" s="22">
        <v>12712</v>
      </c>
      <c r="C324" s="22" t="str">
        <f>IFERROR(VLOOKUP(B324,Colaboradores!A:D,2,),"")</f>
        <v>JOYCE CLEIA MIRANDA BARROS</v>
      </c>
      <c r="D324" s="22" t="str">
        <f>IFERROR(VLOOKUP(B324,Colaboradores!A:D,3,),"")</f>
        <v>GESTÃO INTEGRADA</v>
      </c>
      <c r="E324" s="22" t="str">
        <f>IFERROR(VLOOKUP(B324,Colaboradores!A:D,4,),"")</f>
        <v>ANALISTA DE GESTÃO INTEGRADA</v>
      </c>
      <c r="F324" s="22" t="s">
        <v>41</v>
      </c>
      <c r="G324" s="24" t="str">
        <f>IFERROR(VLOOKUP(F324,Procedimentos!A:C,2,),"")</f>
        <v>DIRETRIZES PARA COMUNICAÇÃO E INVESTIGAÇÃO DE ACIDENTES</v>
      </c>
      <c r="H324" s="25"/>
      <c r="I324" s="25">
        <v>45888</v>
      </c>
      <c r="J324" s="22">
        <v>12</v>
      </c>
      <c r="K324" s="25">
        <f t="shared" si="14"/>
        <v>46253</v>
      </c>
      <c r="L324" s="28" t="str">
        <f t="shared" ca="1" si="13"/>
        <v>Em dia</v>
      </c>
      <c r="M324" s="33" t="s">
        <v>42</v>
      </c>
      <c r="N324" s="28" t="s">
        <v>21</v>
      </c>
      <c r="O324" s="22" t="s">
        <v>28</v>
      </c>
      <c r="P324" s="25">
        <f t="shared" si="12"/>
        <v>45980</v>
      </c>
      <c r="Q324" s="25"/>
      <c r="R324" s="25"/>
      <c r="S324" s="7" t="s">
        <v>27</v>
      </c>
      <c r="T324" s="28">
        <v>1</v>
      </c>
    </row>
    <row r="325" spans="1:20" ht="14.25" customHeight="1">
      <c r="A325" s="22">
        <v>366</v>
      </c>
      <c r="B325" s="22">
        <v>12685</v>
      </c>
      <c r="C325" s="22" t="str">
        <f>IFERROR(VLOOKUP(B325,Colaboradores!A:D,2,),"")</f>
        <v>LIDIANA CRISTINA MIRANDA FERREIRA</v>
      </c>
      <c r="D325" s="22" t="str">
        <f>IFERROR(VLOOKUP(B325,Colaboradores!A:D,3,),"")</f>
        <v>GESTÃO INTEGRADA</v>
      </c>
      <c r="E325" s="22" t="str">
        <f>IFERROR(VLOOKUP(B325,Colaboradores!A:D,4,),"")</f>
        <v>COORDENADOR DE GESTÃO INTEGRADA</v>
      </c>
      <c r="F325" s="22" t="s">
        <v>41</v>
      </c>
      <c r="G325" s="24" t="str">
        <f>IFERROR(VLOOKUP(F325,Procedimentos!A:C,2,),"")</f>
        <v>DIRETRIZES PARA COMUNICAÇÃO E INVESTIGAÇÃO DE ACIDENTES</v>
      </c>
      <c r="H325" s="25"/>
      <c r="I325" s="25">
        <v>45888</v>
      </c>
      <c r="J325" s="22">
        <v>12</v>
      </c>
      <c r="K325" s="25">
        <f t="shared" si="14"/>
        <v>46253</v>
      </c>
      <c r="L325" s="28" t="str">
        <f t="shared" ca="1" si="13"/>
        <v>Em dia</v>
      </c>
      <c r="M325" s="33" t="s">
        <v>42</v>
      </c>
      <c r="N325" s="28" t="s">
        <v>21</v>
      </c>
      <c r="O325" s="22" t="s">
        <v>28</v>
      </c>
      <c r="P325" s="25">
        <f t="shared" si="12"/>
        <v>45980</v>
      </c>
      <c r="Q325" s="25"/>
      <c r="R325" s="25"/>
      <c r="S325" s="7" t="s">
        <v>27</v>
      </c>
      <c r="T325" s="28">
        <v>1</v>
      </c>
    </row>
    <row r="326" spans="1:20" ht="14.25" customHeight="1">
      <c r="A326" s="22">
        <v>367</v>
      </c>
      <c r="B326" s="22">
        <v>15068</v>
      </c>
      <c r="C326" s="22" t="str">
        <f>IFERROR(VLOOKUP(B326,Colaboradores!A:D,2,),"")</f>
        <v>TASSO CHAVES DE OLIVEIRA</v>
      </c>
      <c r="D326" s="22" t="str">
        <f>IFERROR(VLOOKUP(B326,Colaboradores!A:D,3,),"")</f>
        <v>GESTÃO INTEGRADA</v>
      </c>
      <c r="E326" s="22" t="str">
        <f>IFERROR(VLOOKUP(B326,Colaboradores!A:D,4,),"")</f>
        <v>ASSESSOR DE GESTÃO INTEGRADA</v>
      </c>
      <c r="F326" s="22" t="s">
        <v>41</v>
      </c>
      <c r="G326" s="24" t="str">
        <f>IFERROR(VLOOKUP(F326,Procedimentos!A:C,2,),"")</f>
        <v>DIRETRIZES PARA COMUNICAÇÃO E INVESTIGAÇÃO DE ACIDENTES</v>
      </c>
      <c r="H326" s="25"/>
      <c r="I326" s="25">
        <v>45888</v>
      </c>
      <c r="J326" s="22">
        <v>12</v>
      </c>
      <c r="K326" s="25">
        <f t="shared" si="14"/>
        <v>46253</v>
      </c>
      <c r="L326" s="28" t="str">
        <f t="shared" ca="1" si="13"/>
        <v>Em dia</v>
      </c>
      <c r="M326" s="33" t="s">
        <v>42</v>
      </c>
      <c r="N326" s="28" t="s">
        <v>21</v>
      </c>
      <c r="O326" s="22" t="s">
        <v>28</v>
      </c>
      <c r="P326" s="25">
        <f t="shared" si="12"/>
        <v>45980</v>
      </c>
      <c r="Q326" s="25"/>
      <c r="R326" s="25"/>
      <c r="S326" s="7" t="s">
        <v>27</v>
      </c>
      <c r="T326" s="28">
        <v>1</v>
      </c>
    </row>
    <row r="327" spans="1:20" ht="14.25" customHeight="1">
      <c r="A327" s="22">
        <v>368</v>
      </c>
      <c r="B327" s="22">
        <v>15023</v>
      </c>
      <c r="C327" s="22" t="str">
        <f>IFERROR(VLOOKUP(B327,Colaboradores!A:D,2,),"")</f>
        <v>DANIEL ELISON GUSMÃO PEREIRA</v>
      </c>
      <c r="D327" s="22" t="str">
        <f>IFERROR(VLOOKUP(B327,Colaboradores!A:D,3,),"")</f>
        <v>GESTÃO INTEGRADA</v>
      </c>
      <c r="E327" s="22" t="str">
        <f>IFERROR(VLOOKUP(B327,Colaboradores!A:D,4,),"")</f>
        <v>ASSISTENTE ADMINISTRATIVO</v>
      </c>
      <c r="F327" s="22" t="s">
        <v>43</v>
      </c>
      <c r="G327" s="24" t="str">
        <f>IFERROR(VLOOKUP(F327,Procedimentos!A:C,2,),"")</f>
        <v>DIÁLOGO DE SAÚDE E SEGURANÇA - DSS</v>
      </c>
      <c r="H327" s="25"/>
      <c r="I327" s="25">
        <v>45888</v>
      </c>
      <c r="J327" s="22">
        <v>12</v>
      </c>
      <c r="K327" s="25">
        <f t="shared" si="14"/>
        <v>46253</v>
      </c>
      <c r="L327" s="28" t="str">
        <f t="shared" ca="1" si="13"/>
        <v>Em dia</v>
      </c>
      <c r="M327" s="33" t="s">
        <v>42</v>
      </c>
      <c r="N327" s="28" t="s">
        <v>21</v>
      </c>
      <c r="O327" s="22" t="s">
        <v>28</v>
      </c>
      <c r="P327" s="25">
        <f t="shared" si="12"/>
        <v>45980</v>
      </c>
      <c r="Q327" s="25"/>
      <c r="R327" s="25"/>
      <c r="S327" s="7" t="s">
        <v>27</v>
      </c>
      <c r="T327" s="28">
        <v>1</v>
      </c>
    </row>
    <row r="328" spans="1:20" ht="14.25" customHeight="1">
      <c r="A328" s="22">
        <v>369</v>
      </c>
      <c r="B328" s="22">
        <v>14525</v>
      </c>
      <c r="C328" s="22" t="str">
        <f>IFERROR(VLOOKUP(B328,Colaboradores!A:D,2,),"")</f>
        <v>IANKA PRAZERES CUNHA</v>
      </c>
      <c r="D328" s="22" t="str">
        <f>IFERROR(VLOOKUP(B328,Colaboradores!A:D,3,),"")</f>
        <v>GESTÃO INTEGRADA</v>
      </c>
      <c r="E328" s="22" t="str">
        <f>IFERROR(VLOOKUP(B328,Colaboradores!A:D,4,),"")</f>
        <v>ANALISTA DE GESTÃO INTEGRADA</v>
      </c>
      <c r="F328" s="22" t="s">
        <v>43</v>
      </c>
      <c r="G328" s="24" t="str">
        <f>IFERROR(VLOOKUP(F328,Procedimentos!A:C,2,),"")</f>
        <v>DIÁLOGO DE SAÚDE E SEGURANÇA - DSS</v>
      </c>
      <c r="H328" s="25"/>
      <c r="I328" s="25">
        <v>45888</v>
      </c>
      <c r="J328" s="22">
        <v>12</v>
      </c>
      <c r="K328" s="25">
        <f t="shared" si="14"/>
        <v>46253</v>
      </c>
      <c r="L328" s="28" t="str">
        <f t="shared" ca="1" si="13"/>
        <v>Em dia</v>
      </c>
      <c r="M328" s="33" t="s">
        <v>42</v>
      </c>
      <c r="N328" s="28" t="s">
        <v>21</v>
      </c>
      <c r="O328" s="22" t="s">
        <v>28</v>
      </c>
      <c r="P328" s="25">
        <f t="shared" si="12"/>
        <v>45980</v>
      </c>
      <c r="Q328" s="25"/>
      <c r="R328" s="25"/>
      <c r="S328" s="7" t="s">
        <v>27</v>
      </c>
      <c r="T328" s="28">
        <v>1</v>
      </c>
    </row>
    <row r="329" spans="1:20" ht="14.25" customHeight="1">
      <c r="A329" s="22">
        <v>370</v>
      </c>
      <c r="B329" s="22">
        <v>12712</v>
      </c>
      <c r="C329" s="22" t="str">
        <f>IFERROR(VLOOKUP(B329,Colaboradores!A:D,2,),"")</f>
        <v>JOYCE CLEIA MIRANDA BARROS</v>
      </c>
      <c r="D329" s="22" t="str">
        <f>IFERROR(VLOOKUP(B329,Colaboradores!A:D,3,),"")</f>
        <v>GESTÃO INTEGRADA</v>
      </c>
      <c r="E329" s="22" t="str">
        <f>IFERROR(VLOOKUP(B329,Colaboradores!A:D,4,),"")</f>
        <v>ANALISTA DE GESTÃO INTEGRADA</v>
      </c>
      <c r="F329" s="22" t="s">
        <v>43</v>
      </c>
      <c r="G329" s="24" t="str">
        <f>IFERROR(VLOOKUP(F329,Procedimentos!A:C,2,),"")</f>
        <v>DIÁLOGO DE SAÚDE E SEGURANÇA - DSS</v>
      </c>
      <c r="H329" s="25"/>
      <c r="I329" s="25">
        <v>45888</v>
      </c>
      <c r="J329" s="22">
        <v>12</v>
      </c>
      <c r="K329" s="25">
        <f t="shared" si="14"/>
        <v>46253</v>
      </c>
      <c r="L329" s="28" t="str">
        <f t="shared" ca="1" si="13"/>
        <v>Em dia</v>
      </c>
      <c r="M329" s="33" t="s">
        <v>42</v>
      </c>
      <c r="N329" s="28" t="s">
        <v>21</v>
      </c>
      <c r="O329" s="22" t="s">
        <v>28</v>
      </c>
      <c r="P329" s="25">
        <f t="shared" si="12"/>
        <v>45980</v>
      </c>
      <c r="Q329" s="25"/>
      <c r="R329" s="25"/>
      <c r="S329" s="7" t="s">
        <v>27</v>
      </c>
      <c r="T329" s="28">
        <v>1</v>
      </c>
    </row>
    <row r="330" spans="1:20" ht="14.25" customHeight="1">
      <c r="A330" s="22">
        <v>371</v>
      </c>
      <c r="B330" s="22">
        <v>12685</v>
      </c>
      <c r="C330" s="22" t="str">
        <f>IFERROR(VLOOKUP(B330,Colaboradores!A:D,2,),"")</f>
        <v>LIDIANA CRISTINA MIRANDA FERREIRA</v>
      </c>
      <c r="D330" s="22" t="str">
        <f>IFERROR(VLOOKUP(B330,Colaboradores!A:D,3,),"")</f>
        <v>GESTÃO INTEGRADA</v>
      </c>
      <c r="E330" s="22" t="str">
        <f>IFERROR(VLOOKUP(B330,Colaboradores!A:D,4,),"")</f>
        <v>COORDENADOR DE GESTÃO INTEGRADA</v>
      </c>
      <c r="F330" s="22" t="s">
        <v>43</v>
      </c>
      <c r="G330" s="24" t="str">
        <f>IFERROR(VLOOKUP(F330,Procedimentos!A:C,2,),"")</f>
        <v>DIÁLOGO DE SAÚDE E SEGURANÇA - DSS</v>
      </c>
      <c r="H330" s="25"/>
      <c r="I330" s="25">
        <v>45888</v>
      </c>
      <c r="J330" s="22">
        <v>12</v>
      </c>
      <c r="K330" s="25">
        <f t="shared" si="14"/>
        <v>46253</v>
      </c>
      <c r="L330" s="28" t="str">
        <f t="shared" ca="1" si="13"/>
        <v>Em dia</v>
      </c>
      <c r="M330" s="33" t="s">
        <v>42</v>
      </c>
      <c r="N330" s="28" t="s">
        <v>21</v>
      </c>
      <c r="O330" s="22" t="s">
        <v>28</v>
      </c>
      <c r="P330" s="25">
        <f t="shared" si="12"/>
        <v>45980</v>
      </c>
      <c r="Q330" s="25"/>
      <c r="R330" s="25"/>
      <c r="S330" s="7" t="s">
        <v>27</v>
      </c>
      <c r="T330" s="28">
        <v>1</v>
      </c>
    </row>
    <row r="331" spans="1:20" ht="14.25" customHeight="1">
      <c r="A331" s="22">
        <v>372</v>
      </c>
      <c r="B331" s="22">
        <v>15068</v>
      </c>
      <c r="C331" s="22" t="str">
        <f>IFERROR(VLOOKUP(B331,Colaboradores!A:D,2,),"")</f>
        <v>TASSO CHAVES DE OLIVEIRA</v>
      </c>
      <c r="D331" s="22" t="str">
        <f>IFERROR(VLOOKUP(B331,Colaboradores!A:D,3,),"")</f>
        <v>GESTÃO INTEGRADA</v>
      </c>
      <c r="E331" s="22" t="str">
        <f>IFERROR(VLOOKUP(B331,Colaboradores!A:D,4,),"")</f>
        <v>ASSESSOR DE GESTÃO INTEGRADA</v>
      </c>
      <c r="F331" s="22" t="s">
        <v>43</v>
      </c>
      <c r="G331" s="24" t="str">
        <f>IFERROR(VLOOKUP(F331,Procedimentos!A:C,2,),"")</f>
        <v>DIÁLOGO DE SAÚDE E SEGURANÇA - DSS</v>
      </c>
      <c r="H331" s="25"/>
      <c r="I331" s="25">
        <v>45888</v>
      </c>
      <c r="J331" s="22">
        <v>12</v>
      </c>
      <c r="K331" s="25">
        <f t="shared" si="14"/>
        <v>46253</v>
      </c>
      <c r="L331" s="28" t="str">
        <f t="shared" ca="1" si="13"/>
        <v>Em dia</v>
      </c>
      <c r="M331" s="33" t="s">
        <v>42</v>
      </c>
      <c r="N331" s="28" t="s">
        <v>21</v>
      </c>
      <c r="O331" s="22" t="s">
        <v>28</v>
      </c>
      <c r="P331" s="25">
        <f t="shared" si="12"/>
        <v>45980</v>
      </c>
      <c r="Q331" s="25"/>
      <c r="R331" s="25"/>
      <c r="S331" s="7" t="s">
        <v>27</v>
      </c>
      <c r="T331" s="28">
        <v>1</v>
      </c>
    </row>
    <row r="332" spans="1:20" ht="14.25" customHeight="1">
      <c r="A332" s="22">
        <v>373</v>
      </c>
      <c r="B332" s="22">
        <v>15023</v>
      </c>
      <c r="C332" s="22" t="str">
        <f>IFERROR(VLOOKUP(B332,Colaboradores!A:D,2,),"")</f>
        <v>DANIEL ELISON GUSMÃO PEREIRA</v>
      </c>
      <c r="D332" s="22" t="str">
        <f>IFERROR(VLOOKUP(B332,Colaboradores!A:D,3,),"")</f>
        <v>GESTÃO INTEGRADA</v>
      </c>
      <c r="E332" s="22" t="str">
        <f>IFERROR(VLOOKUP(B332,Colaboradores!A:D,4,),"")</f>
        <v>ASSISTENTE ADMINISTRATIVO</v>
      </c>
      <c r="F332" s="22" t="s">
        <v>44</v>
      </c>
      <c r="G332" s="24" t="str">
        <f>IFERROR(VLOOKUP(F332,Procedimentos!A:C,2,),"")</f>
        <v>DIRETRIZES PARA GESTÃO DE EQUIPAMENTOS DE PROTEÇÃO INDIVIDUAL - EPI'S</v>
      </c>
      <c r="H332" s="25"/>
      <c r="I332" s="25">
        <v>45888</v>
      </c>
      <c r="J332" s="22">
        <v>12</v>
      </c>
      <c r="K332" s="25">
        <f t="shared" si="14"/>
        <v>46253</v>
      </c>
      <c r="L332" s="28" t="str">
        <f t="shared" ca="1" si="13"/>
        <v>Em dia</v>
      </c>
      <c r="M332" s="33" t="s">
        <v>42</v>
      </c>
      <c r="N332" s="28" t="s">
        <v>21</v>
      </c>
      <c r="O332" s="22" t="s">
        <v>28</v>
      </c>
      <c r="P332" s="25">
        <f t="shared" si="12"/>
        <v>45980</v>
      </c>
      <c r="Q332" s="25"/>
      <c r="R332" s="25"/>
      <c r="S332" s="7" t="s">
        <v>27</v>
      </c>
      <c r="T332" s="28">
        <v>1</v>
      </c>
    </row>
    <row r="333" spans="1:20" ht="14.25" customHeight="1">
      <c r="A333" s="22">
        <v>374</v>
      </c>
      <c r="B333" s="22">
        <v>14525</v>
      </c>
      <c r="C333" s="22" t="str">
        <f>IFERROR(VLOOKUP(B333,Colaboradores!A:D,2,),"")</f>
        <v>IANKA PRAZERES CUNHA</v>
      </c>
      <c r="D333" s="22" t="str">
        <f>IFERROR(VLOOKUP(B333,Colaboradores!A:D,3,),"")</f>
        <v>GESTÃO INTEGRADA</v>
      </c>
      <c r="E333" s="22" t="str">
        <f>IFERROR(VLOOKUP(B333,Colaboradores!A:D,4,),"")</f>
        <v>ANALISTA DE GESTÃO INTEGRADA</v>
      </c>
      <c r="F333" s="22" t="s">
        <v>44</v>
      </c>
      <c r="G333" s="24" t="str">
        <f>IFERROR(VLOOKUP(F333,Procedimentos!A:C,2,),"")</f>
        <v>DIRETRIZES PARA GESTÃO DE EQUIPAMENTOS DE PROTEÇÃO INDIVIDUAL - EPI'S</v>
      </c>
      <c r="H333" s="25"/>
      <c r="I333" s="25">
        <v>45888</v>
      </c>
      <c r="J333" s="22">
        <v>12</v>
      </c>
      <c r="K333" s="25">
        <f t="shared" si="14"/>
        <v>46253</v>
      </c>
      <c r="L333" s="28" t="str">
        <f t="shared" ca="1" si="13"/>
        <v>Em dia</v>
      </c>
      <c r="M333" s="33" t="s">
        <v>42</v>
      </c>
      <c r="N333" s="28" t="s">
        <v>21</v>
      </c>
      <c r="O333" s="22" t="s">
        <v>28</v>
      </c>
      <c r="P333" s="25">
        <f t="shared" si="12"/>
        <v>45980</v>
      </c>
      <c r="Q333" s="25"/>
      <c r="R333" s="25"/>
      <c r="S333" s="7" t="s">
        <v>27</v>
      </c>
      <c r="T333" s="28">
        <v>1</v>
      </c>
    </row>
    <row r="334" spans="1:20" ht="14.25" customHeight="1">
      <c r="A334" s="22">
        <v>375</v>
      </c>
      <c r="B334" s="22">
        <v>12712</v>
      </c>
      <c r="C334" s="22" t="str">
        <f>IFERROR(VLOOKUP(B334,Colaboradores!A:D,2,),"")</f>
        <v>JOYCE CLEIA MIRANDA BARROS</v>
      </c>
      <c r="D334" s="22" t="str">
        <f>IFERROR(VLOOKUP(B334,Colaboradores!A:D,3,),"")</f>
        <v>GESTÃO INTEGRADA</v>
      </c>
      <c r="E334" s="22" t="str">
        <f>IFERROR(VLOOKUP(B334,Colaboradores!A:D,4,),"")</f>
        <v>ANALISTA DE GESTÃO INTEGRADA</v>
      </c>
      <c r="F334" s="22" t="s">
        <v>44</v>
      </c>
      <c r="G334" s="24" t="str">
        <f>IFERROR(VLOOKUP(F334,Procedimentos!A:C,2,),"")</f>
        <v>DIRETRIZES PARA GESTÃO DE EQUIPAMENTOS DE PROTEÇÃO INDIVIDUAL - EPI'S</v>
      </c>
      <c r="H334" s="25"/>
      <c r="I334" s="25">
        <v>45888</v>
      </c>
      <c r="J334" s="22">
        <v>12</v>
      </c>
      <c r="K334" s="25">
        <f t="shared" si="14"/>
        <v>46253</v>
      </c>
      <c r="L334" s="28" t="str">
        <f t="shared" ca="1" si="13"/>
        <v>Em dia</v>
      </c>
      <c r="M334" s="33" t="s">
        <v>42</v>
      </c>
      <c r="N334" s="28" t="s">
        <v>21</v>
      </c>
      <c r="O334" s="22" t="s">
        <v>28</v>
      </c>
      <c r="P334" s="25">
        <f t="shared" si="12"/>
        <v>45980</v>
      </c>
      <c r="Q334" s="25"/>
      <c r="R334" s="25"/>
      <c r="S334" s="7" t="s">
        <v>27</v>
      </c>
      <c r="T334" s="28">
        <v>1</v>
      </c>
    </row>
    <row r="335" spans="1:20" ht="14.25" customHeight="1">
      <c r="A335" s="22">
        <v>376</v>
      </c>
      <c r="B335" s="22">
        <v>12685</v>
      </c>
      <c r="C335" s="22" t="str">
        <f>IFERROR(VLOOKUP(B335,Colaboradores!A:D,2,),"")</f>
        <v>LIDIANA CRISTINA MIRANDA FERREIRA</v>
      </c>
      <c r="D335" s="22" t="str">
        <f>IFERROR(VLOOKUP(B335,Colaboradores!A:D,3,),"")</f>
        <v>GESTÃO INTEGRADA</v>
      </c>
      <c r="E335" s="22" t="str">
        <f>IFERROR(VLOOKUP(B335,Colaboradores!A:D,4,),"")</f>
        <v>COORDENADOR DE GESTÃO INTEGRADA</v>
      </c>
      <c r="F335" s="22" t="s">
        <v>44</v>
      </c>
      <c r="G335" s="24" t="str">
        <f>IFERROR(VLOOKUP(F335,Procedimentos!A:C,2,),"")</f>
        <v>DIRETRIZES PARA GESTÃO DE EQUIPAMENTOS DE PROTEÇÃO INDIVIDUAL - EPI'S</v>
      </c>
      <c r="H335" s="25"/>
      <c r="I335" s="25">
        <v>45888</v>
      </c>
      <c r="J335" s="22">
        <v>12</v>
      </c>
      <c r="K335" s="25">
        <f t="shared" si="14"/>
        <v>46253</v>
      </c>
      <c r="L335" s="28" t="str">
        <f t="shared" ca="1" si="13"/>
        <v>Em dia</v>
      </c>
      <c r="M335" s="33" t="s">
        <v>42</v>
      </c>
      <c r="N335" s="28" t="s">
        <v>21</v>
      </c>
      <c r="O335" s="22" t="s">
        <v>28</v>
      </c>
      <c r="P335" s="25">
        <f t="shared" si="12"/>
        <v>45980</v>
      </c>
      <c r="Q335" s="25"/>
      <c r="R335" s="25"/>
      <c r="S335" s="7" t="s">
        <v>27</v>
      </c>
      <c r="T335" s="28">
        <v>1</v>
      </c>
    </row>
    <row r="336" spans="1:20" ht="14.25" customHeight="1">
      <c r="A336" s="22">
        <v>377</v>
      </c>
      <c r="B336" s="22">
        <v>15068</v>
      </c>
      <c r="C336" s="22" t="str">
        <f>IFERROR(VLOOKUP(B336,Colaboradores!A:D,2,),"")</f>
        <v>TASSO CHAVES DE OLIVEIRA</v>
      </c>
      <c r="D336" s="22" t="str">
        <f>IFERROR(VLOOKUP(B336,Colaboradores!A:D,3,),"")</f>
        <v>GESTÃO INTEGRADA</v>
      </c>
      <c r="E336" s="22" t="str">
        <f>IFERROR(VLOOKUP(B336,Colaboradores!A:D,4,),"")</f>
        <v>ASSESSOR DE GESTÃO INTEGRADA</v>
      </c>
      <c r="F336" s="22" t="s">
        <v>44</v>
      </c>
      <c r="G336" s="24" t="str">
        <f>IFERROR(VLOOKUP(F336,Procedimentos!A:C,2,),"")</f>
        <v>DIRETRIZES PARA GESTÃO DE EQUIPAMENTOS DE PROTEÇÃO INDIVIDUAL - EPI'S</v>
      </c>
      <c r="H336" s="25"/>
      <c r="I336" s="25">
        <v>45888</v>
      </c>
      <c r="J336" s="22">
        <v>12</v>
      </c>
      <c r="K336" s="25">
        <f t="shared" si="14"/>
        <v>46253</v>
      </c>
      <c r="L336" s="28" t="str">
        <f t="shared" ca="1" si="13"/>
        <v>Em dia</v>
      </c>
      <c r="M336" s="33" t="s">
        <v>42</v>
      </c>
      <c r="N336" s="28" t="s">
        <v>21</v>
      </c>
      <c r="O336" s="22" t="s">
        <v>28</v>
      </c>
      <c r="P336" s="25">
        <f t="shared" si="12"/>
        <v>45980</v>
      </c>
      <c r="Q336" s="25"/>
      <c r="R336" s="25"/>
      <c r="S336" s="7" t="s">
        <v>27</v>
      </c>
      <c r="T336" s="28">
        <v>1</v>
      </c>
    </row>
    <row r="337" spans="1:20" ht="14.25" customHeight="1">
      <c r="A337" s="22">
        <v>378</v>
      </c>
      <c r="B337" s="22">
        <v>15023</v>
      </c>
      <c r="C337" s="22" t="str">
        <f>IFERROR(VLOOKUP(B337,Colaboradores!A:D,2,),"")</f>
        <v>DANIEL ELISON GUSMÃO PEREIRA</v>
      </c>
      <c r="D337" s="22" t="str">
        <f>IFERROR(VLOOKUP(B337,Colaboradores!A:D,3,),"")</f>
        <v>GESTÃO INTEGRADA</v>
      </c>
      <c r="E337" s="22" t="str">
        <f>IFERROR(VLOOKUP(B337,Colaboradores!A:D,4,),"")</f>
        <v>ASSISTENTE ADMINISTRATIVO</v>
      </c>
      <c r="F337" s="22" t="s">
        <v>45</v>
      </c>
      <c r="G337" s="24" t="str">
        <f>IFERROR(VLOOKUP(F337,Procedimentos!A:C,2,),"")</f>
        <v>CONSTITUIÇÃO INTERNA DE PREVENÇÃO DE ACIDENTES E DE ASSÉDIOS - CIPA</v>
      </c>
      <c r="H337" s="25"/>
      <c r="I337" s="25">
        <v>45888</v>
      </c>
      <c r="J337" s="22">
        <v>12</v>
      </c>
      <c r="K337" s="25">
        <f t="shared" si="14"/>
        <v>46253</v>
      </c>
      <c r="L337" s="28" t="str">
        <f t="shared" ca="1" si="13"/>
        <v>Em dia</v>
      </c>
      <c r="M337" s="33" t="s">
        <v>42</v>
      </c>
      <c r="N337" s="28" t="s">
        <v>21</v>
      </c>
      <c r="O337" s="22" t="s">
        <v>28</v>
      </c>
      <c r="P337" s="25">
        <f t="shared" si="12"/>
        <v>45980</v>
      </c>
      <c r="Q337" s="25"/>
      <c r="R337" s="25"/>
      <c r="S337" s="7" t="s">
        <v>27</v>
      </c>
      <c r="T337" s="28">
        <v>1</v>
      </c>
    </row>
    <row r="338" spans="1:20" ht="14.25" customHeight="1">
      <c r="A338" s="22">
        <v>379</v>
      </c>
      <c r="B338" s="22">
        <v>14525</v>
      </c>
      <c r="C338" s="22" t="str">
        <f>IFERROR(VLOOKUP(B338,Colaboradores!A:D,2,),"")</f>
        <v>IANKA PRAZERES CUNHA</v>
      </c>
      <c r="D338" s="22" t="str">
        <f>IFERROR(VLOOKUP(B338,Colaboradores!A:D,3,),"")</f>
        <v>GESTÃO INTEGRADA</v>
      </c>
      <c r="E338" s="22" t="str">
        <f>IFERROR(VLOOKUP(B338,Colaboradores!A:D,4,),"")</f>
        <v>ANALISTA DE GESTÃO INTEGRADA</v>
      </c>
      <c r="F338" s="22" t="s">
        <v>45</v>
      </c>
      <c r="G338" s="24" t="str">
        <f>IFERROR(VLOOKUP(F338,Procedimentos!A:C,2,),"")</f>
        <v>CONSTITUIÇÃO INTERNA DE PREVENÇÃO DE ACIDENTES E DE ASSÉDIOS - CIPA</v>
      </c>
      <c r="H338" s="25"/>
      <c r="I338" s="25">
        <v>45888</v>
      </c>
      <c r="J338" s="22">
        <v>12</v>
      </c>
      <c r="K338" s="25">
        <f t="shared" si="14"/>
        <v>46253</v>
      </c>
      <c r="L338" s="28" t="str">
        <f t="shared" ca="1" si="13"/>
        <v>Em dia</v>
      </c>
      <c r="M338" s="33" t="s">
        <v>42</v>
      </c>
      <c r="N338" s="28" t="s">
        <v>21</v>
      </c>
      <c r="O338" s="22" t="s">
        <v>28</v>
      </c>
      <c r="P338" s="25">
        <f t="shared" si="12"/>
        <v>45980</v>
      </c>
      <c r="Q338" s="25"/>
      <c r="R338" s="25"/>
      <c r="S338" s="7" t="s">
        <v>27</v>
      </c>
      <c r="T338" s="28">
        <v>1</v>
      </c>
    </row>
    <row r="339" spans="1:20" ht="14.25" customHeight="1">
      <c r="A339" s="22">
        <v>380</v>
      </c>
      <c r="B339" s="22">
        <v>12712</v>
      </c>
      <c r="C339" s="22" t="str">
        <f>IFERROR(VLOOKUP(B339,Colaboradores!A:D,2,),"")</f>
        <v>JOYCE CLEIA MIRANDA BARROS</v>
      </c>
      <c r="D339" s="22" t="str">
        <f>IFERROR(VLOOKUP(B339,Colaboradores!A:D,3,),"")</f>
        <v>GESTÃO INTEGRADA</v>
      </c>
      <c r="E339" s="22" t="str">
        <f>IFERROR(VLOOKUP(B339,Colaboradores!A:D,4,),"")</f>
        <v>ANALISTA DE GESTÃO INTEGRADA</v>
      </c>
      <c r="F339" s="22" t="s">
        <v>45</v>
      </c>
      <c r="G339" s="24" t="str">
        <f>IFERROR(VLOOKUP(F339,Procedimentos!A:C,2,),"")</f>
        <v>CONSTITUIÇÃO INTERNA DE PREVENÇÃO DE ACIDENTES E DE ASSÉDIOS - CIPA</v>
      </c>
      <c r="H339" s="25"/>
      <c r="I339" s="25">
        <v>45888</v>
      </c>
      <c r="J339" s="22">
        <v>12</v>
      </c>
      <c r="K339" s="25">
        <f t="shared" si="14"/>
        <v>46253</v>
      </c>
      <c r="L339" s="28" t="str">
        <f t="shared" ca="1" si="13"/>
        <v>Em dia</v>
      </c>
      <c r="M339" s="33" t="s">
        <v>42</v>
      </c>
      <c r="N339" s="28" t="s">
        <v>21</v>
      </c>
      <c r="O339" s="22" t="s">
        <v>28</v>
      </c>
      <c r="P339" s="25">
        <f t="shared" si="12"/>
        <v>45980</v>
      </c>
      <c r="Q339" s="25"/>
      <c r="R339" s="25"/>
      <c r="S339" s="7" t="s">
        <v>27</v>
      </c>
      <c r="T339" s="28">
        <v>1</v>
      </c>
    </row>
    <row r="340" spans="1:20" ht="14.25" customHeight="1">
      <c r="A340" s="22">
        <v>381</v>
      </c>
      <c r="B340" s="22">
        <v>12685</v>
      </c>
      <c r="C340" s="22" t="str">
        <f>IFERROR(VLOOKUP(B340,Colaboradores!A:D,2,),"")</f>
        <v>LIDIANA CRISTINA MIRANDA FERREIRA</v>
      </c>
      <c r="D340" s="22" t="str">
        <f>IFERROR(VLOOKUP(B340,Colaboradores!A:D,3,),"")</f>
        <v>GESTÃO INTEGRADA</v>
      </c>
      <c r="E340" s="22" t="str">
        <f>IFERROR(VLOOKUP(B340,Colaboradores!A:D,4,),"")</f>
        <v>COORDENADOR DE GESTÃO INTEGRADA</v>
      </c>
      <c r="F340" s="22" t="s">
        <v>45</v>
      </c>
      <c r="G340" s="24" t="str">
        <f>IFERROR(VLOOKUP(F340,Procedimentos!A:C,2,),"")</f>
        <v>CONSTITUIÇÃO INTERNA DE PREVENÇÃO DE ACIDENTES E DE ASSÉDIOS - CIPA</v>
      </c>
      <c r="H340" s="25"/>
      <c r="I340" s="25">
        <v>45888</v>
      </c>
      <c r="J340" s="22">
        <v>12</v>
      </c>
      <c r="K340" s="25">
        <f t="shared" si="14"/>
        <v>46253</v>
      </c>
      <c r="L340" s="28" t="str">
        <f t="shared" ca="1" si="13"/>
        <v>Em dia</v>
      </c>
      <c r="M340" s="33" t="s">
        <v>42</v>
      </c>
      <c r="N340" s="28" t="s">
        <v>21</v>
      </c>
      <c r="O340" s="22" t="s">
        <v>28</v>
      </c>
      <c r="P340" s="25">
        <f t="shared" si="12"/>
        <v>45980</v>
      </c>
      <c r="Q340" s="25"/>
      <c r="R340" s="25"/>
      <c r="S340" s="7" t="s">
        <v>27</v>
      </c>
      <c r="T340" s="28">
        <v>1</v>
      </c>
    </row>
    <row r="341" spans="1:20" ht="14.25" customHeight="1">
      <c r="A341" s="22">
        <v>382</v>
      </c>
      <c r="B341" s="22">
        <v>15068</v>
      </c>
      <c r="C341" s="22" t="str">
        <f>IFERROR(VLOOKUP(B341,Colaboradores!A:D,2,),"")</f>
        <v>TASSO CHAVES DE OLIVEIRA</v>
      </c>
      <c r="D341" s="22" t="str">
        <f>IFERROR(VLOOKUP(B341,Colaboradores!A:D,3,),"")</f>
        <v>GESTÃO INTEGRADA</v>
      </c>
      <c r="E341" s="22" t="str">
        <f>IFERROR(VLOOKUP(B341,Colaboradores!A:D,4,),"")</f>
        <v>ASSESSOR DE GESTÃO INTEGRADA</v>
      </c>
      <c r="F341" s="22" t="s">
        <v>45</v>
      </c>
      <c r="G341" s="24" t="str">
        <f>IFERROR(VLOOKUP(F341,Procedimentos!A:C,2,),"")</f>
        <v>CONSTITUIÇÃO INTERNA DE PREVENÇÃO DE ACIDENTES E DE ASSÉDIOS - CIPA</v>
      </c>
      <c r="H341" s="25"/>
      <c r="I341" s="25">
        <v>45888</v>
      </c>
      <c r="J341" s="22">
        <v>12</v>
      </c>
      <c r="K341" s="25">
        <f t="shared" si="14"/>
        <v>46253</v>
      </c>
      <c r="L341" s="28" t="str">
        <f t="shared" ca="1" si="13"/>
        <v>Em dia</v>
      </c>
      <c r="M341" s="33" t="s">
        <v>42</v>
      </c>
      <c r="N341" s="28" t="s">
        <v>21</v>
      </c>
      <c r="O341" s="22" t="s">
        <v>28</v>
      </c>
      <c r="P341" s="25">
        <f t="shared" si="12"/>
        <v>45980</v>
      </c>
      <c r="Q341" s="25"/>
      <c r="R341" s="25"/>
      <c r="S341" s="7" t="s">
        <v>27</v>
      </c>
      <c r="T341" s="28">
        <v>1</v>
      </c>
    </row>
    <row r="342" spans="1:20" ht="14.25" customHeight="1">
      <c r="A342" s="22">
        <v>383</v>
      </c>
      <c r="B342" s="22">
        <v>15023</v>
      </c>
      <c r="C342" s="22" t="str">
        <f>IFERROR(VLOOKUP(B342,Colaboradores!A:D,2,),"")</f>
        <v>DANIEL ELISON GUSMÃO PEREIRA</v>
      </c>
      <c r="D342" s="22" t="str">
        <f>IFERROR(VLOOKUP(B342,Colaboradores!A:D,3,),"")</f>
        <v>GESTÃO INTEGRADA</v>
      </c>
      <c r="E342" s="22" t="str">
        <f>IFERROR(VLOOKUP(B342,Colaboradores!A:D,4,),"")</f>
        <v>ASSISTENTE ADMINISTRATIVO</v>
      </c>
      <c r="F342" s="22" t="s">
        <v>46</v>
      </c>
      <c r="G342" s="24" t="str">
        <f>IFERROR(VLOOKUP(F342,Procedimentos!A:C,2,),"")</f>
        <v>POLÍTICA DE SAÚDE E SEGURANÇA DO TRABALHO EMSERH</v>
      </c>
      <c r="H342" s="25"/>
      <c r="I342" s="25">
        <v>45888</v>
      </c>
      <c r="J342" s="22">
        <v>12</v>
      </c>
      <c r="K342" s="25">
        <f t="shared" si="14"/>
        <v>46253</v>
      </c>
      <c r="L342" s="28" t="str">
        <f t="shared" ca="1" si="13"/>
        <v>Em dia</v>
      </c>
      <c r="M342" s="33" t="s">
        <v>42</v>
      </c>
      <c r="N342" s="28" t="s">
        <v>21</v>
      </c>
      <c r="O342" s="22" t="s">
        <v>28</v>
      </c>
      <c r="P342" s="25">
        <f t="shared" si="12"/>
        <v>45980</v>
      </c>
      <c r="Q342" s="25"/>
      <c r="R342" s="25"/>
      <c r="S342" s="7" t="s">
        <v>27</v>
      </c>
      <c r="T342" s="28">
        <v>1</v>
      </c>
    </row>
    <row r="343" spans="1:20" ht="14.25" customHeight="1">
      <c r="A343" s="22">
        <v>384</v>
      </c>
      <c r="B343" s="22">
        <v>15068</v>
      </c>
      <c r="C343" s="22" t="str">
        <f>IFERROR(VLOOKUP(B343,Colaboradores!A:D,2,),"")</f>
        <v>TASSO CHAVES DE OLIVEIRA</v>
      </c>
      <c r="D343" s="22" t="str">
        <f>IFERROR(VLOOKUP(B343,Colaboradores!A:D,3,),"")</f>
        <v>GESTÃO INTEGRADA</v>
      </c>
      <c r="E343" s="22" t="str">
        <f>IFERROR(VLOOKUP(B343,Colaboradores!A:D,4,),"")</f>
        <v>ASSESSOR DE GESTÃO INTEGRADA</v>
      </c>
      <c r="F343" s="22" t="s">
        <v>46</v>
      </c>
      <c r="G343" s="24" t="str">
        <f>IFERROR(VLOOKUP(F343,Procedimentos!A:C,2,),"")</f>
        <v>POLÍTICA DE SAÚDE E SEGURANÇA DO TRABALHO EMSERH</v>
      </c>
      <c r="H343" s="25"/>
      <c r="I343" s="25">
        <v>45888</v>
      </c>
      <c r="J343" s="22">
        <v>12</v>
      </c>
      <c r="K343" s="25">
        <f t="shared" si="14"/>
        <v>46253</v>
      </c>
      <c r="L343" s="28" t="str">
        <f t="shared" ca="1" si="13"/>
        <v>Em dia</v>
      </c>
      <c r="M343" s="33" t="s">
        <v>42</v>
      </c>
      <c r="N343" s="28" t="s">
        <v>21</v>
      </c>
      <c r="O343" s="22" t="s">
        <v>28</v>
      </c>
      <c r="P343" s="25">
        <f t="shared" si="12"/>
        <v>45980</v>
      </c>
      <c r="Q343" s="25"/>
      <c r="R343" s="25"/>
      <c r="S343" s="7" t="s">
        <v>27</v>
      </c>
      <c r="T343" s="28">
        <v>1</v>
      </c>
    </row>
    <row r="344" spans="1:20" ht="14.25" customHeight="1">
      <c r="A344" s="22">
        <v>385</v>
      </c>
      <c r="B344" s="22">
        <v>15295</v>
      </c>
      <c r="C344" s="22" t="str">
        <f>IFERROR(VLOOKUP(B344,Colaboradores!A:D,2,),"")</f>
        <v>ANA CRISTINA GONÇALVES NUNES</v>
      </c>
      <c r="D344" s="22" t="s">
        <v>47</v>
      </c>
      <c r="E344" s="22" t="str">
        <f>IFERROR(VLOOKUP(B344,Colaboradores!A:D,4,),"")</f>
        <v>ENFERMEIRA</v>
      </c>
      <c r="F344" s="22" t="s">
        <v>41</v>
      </c>
      <c r="G344" s="24" t="str">
        <f>IFERROR(VLOOKUP(F344,Procedimentos!A:C,2,),"")</f>
        <v>DIRETRIZES PARA COMUNICAÇÃO E INVESTIGAÇÃO DE ACIDENTES</v>
      </c>
      <c r="H344" s="25"/>
      <c r="I344" s="25">
        <v>45888</v>
      </c>
      <c r="J344" s="22">
        <v>12</v>
      </c>
      <c r="K344" s="25">
        <f t="shared" si="14"/>
        <v>46253</v>
      </c>
      <c r="L344" s="28" t="str">
        <f t="shared" ca="1" si="13"/>
        <v>Em dia</v>
      </c>
      <c r="M344" s="33" t="s">
        <v>42</v>
      </c>
      <c r="N344" s="28" t="s">
        <v>21</v>
      </c>
      <c r="O344" s="22" t="s">
        <v>28</v>
      </c>
      <c r="P344" s="25">
        <f t="shared" si="12"/>
        <v>45980</v>
      </c>
      <c r="Q344" s="25"/>
      <c r="R344" s="25"/>
      <c r="S344" s="7" t="s">
        <v>23</v>
      </c>
      <c r="T344" s="28">
        <v>1</v>
      </c>
    </row>
    <row r="345" spans="1:20" ht="14.25" customHeight="1">
      <c r="A345" s="22">
        <v>386</v>
      </c>
      <c r="B345" s="22">
        <v>12330</v>
      </c>
      <c r="C345" s="22" t="str">
        <f>IFERROR(VLOOKUP(B345,Colaboradores!A:D,2,),"")</f>
        <v>BIANCA GUEDES SILVA ALMEIDA</v>
      </c>
      <c r="D345" s="22" t="s">
        <v>47</v>
      </c>
      <c r="E345" s="22" t="str">
        <f>IFERROR(VLOOKUP(B345,Colaboradores!A:D,4,),"")</f>
        <v>NUTRICIONISTA</v>
      </c>
      <c r="F345" s="22" t="s">
        <v>41</v>
      </c>
      <c r="G345" s="24" t="str">
        <f>IFERROR(VLOOKUP(F345,Procedimentos!A:C,2,),"")</f>
        <v>DIRETRIZES PARA COMUNICAÇÃO E INVESTIGAÇÃO DE ACIDENTES</v>
      </c>
      <c r="H345" s="25"/>
      <c r="I345" s="25">
        <v>45888</v>
      </c>
      <c r="J345" s="22">
        <v>12</v>
      </c>
      <c r="K345" s="25">
        <f t="shared" si="14"/>
        <v>46253</v>
      </c>
      <c r="L345" s="28" t="str">
        <f t="shared" ca="1" si="13"/>
        <v>Em dia</v>
      </c>
      <c r="M345" s="33" t="s">
        <v>42</v>
      </c>
      <c r="N345" s="28" t="s">
        <v>21</v>
      </c>
      <c r="O345" s="22" t="s">
        <v>28</v>
      </c>
      <c r="P345" s="25">
        <f t="shared" si="12"/>
        <v>45980</v>
      </c>
      <c r="Q345" s="25"/>
      <c r="R345" s="25"/>
      <c r="S345" s="7" t="s">
        <v>23</v>
      </c>
      <c r="T345" s="28">
        <v>1</v>
      </c>
    </row>
    <row r="346" spans="1:20" ht="14.25" customHeight="1">
      <c r="A346" s="22">
        <v>387</v>
      </c>
      <c r="B346" s="22">
        <v>14508</v>
      </c>
      <c r="C346" s="22" t="str">
        <f>IFERROR(VLOOKUP(B346,Colaboradores!A:D,2,),"")</f>
        <v>FYAMA SANTOS SILVA</v>
      </c>
      <c r="D346" s="22" t="s">
        <v>47</v>
      </c>
      <c r="E346" s="22" t="str">
        <f>IFERROR(VLOOKUP(B346,Colaboradores!A:D,4,),"")</f>
        <v>ASSISTENTE ADMINISTRATIVO</v>
      </c>
      <c r="F346" s="22" t="s">
        <v>41</v>
      </c>
      <c r="G346" s="24" t="str">
        <f>IFERROR(VLOOKUP(F346,Procedimentos!A:C,2,),"")</f>
        <v>DIRETRIZES PARA COMUNICAÇÃO E INVESTIGAÇÃO DE ACIDENTES</v>
      </c>
      <c r="H346" s="25"/>
      <c r="I346" s="25">
        <v>45888</v>
      </c>
      <c r="J346" s="22">
        <v>12</v>
      </c>
      <c r="K346" s="25">
        <f t="shared" si="14"/>
        <v>46253</v>
      </c>
      <c r="L346" s="28" t="str">
        <f t="shared" ca="1" si="13"/>
        <v>Em dia</v>
      </c>
      <c r="M346" s="33" t="s">
        <v>42</v>
      </c>
      <c r="N346" s="28" t="s">
        <v>21</v>
      </c>
      <c r="O346" s="22" t="s">
        <v>28</v>
      </c>
      <c r="P346" s="25">
        <f t="shared" si="12"/>
        <v>45980</v>
      </c>
      <c r="Q346" s="25"/>
      <c r="R346" s="25"/>
      <c r="S346" s="7" t="s">
        <v>23</v>
      </c>
      <c r="T346" s="28">
        <v>1</v>
      </c>
    </row>
    <row r="347" spans="1:20" ht="14.25" customHeight="1">
      <c r="A347" s="22">
        <v>388</v>
      </c>
      <c r="B347" s="22">
        <v>7601</v>
      </c>
      <c r="C347" s="22" t="str">
        <f>IFERROR(VLOOKUP(B347,Colaboradores!A:D,2,),"")</f>
        <v>RAYANE BEZERRA DE JESUS</v>
      </c>
      <c r="D347" s="22" t="s">
        <v>47</v>
      </c>
      <c r="E347" s="22" t="str">
        <f>IFERROR(VLOOKUP(B347,Colaboradores!A:D,4,),"")</f>
        <v>TÉCNICO DE ENFERMAGEM DO TRABALHO</v>
      </c>
      <c r="F347" s="22" t="s">
        <v>41</v>
      </c>
      <c r="G347" s="24" t="str">
        <f>IFERROR(VLOOKUP(F347,Procedimentos!A:C,2,),"")</f>
        <v>DIRETRIZES PARA COMUNICAÇÃO E INVESTIGAÇÃO DE ACIDENTES</v>
      </c>
      <c r="H347" s="25"/>
      <c r="I347" s="25">
        <v>45888</v>
      </c>
      <c r="J347" s="22">
        <v>12</v>
      </c>
      <c r="K347" s="25">
        <f t="shared" si="14"/>
        <v>46253</v>
      </c>
      <c r="L347" s="28" t="str">
        <f t="shared" ca="1" si="13"/>
        <v>Em dia</v>
      </c>
      <c r="M347" s="33" t="s">
        <v>42</v>
      </c>
      <c r="N347" s="28" t="s">
        <v>21</v>
      </c>
      <c r="O347" s="22" t="s">
        <v>28</v>
      </c>
      <c r="P347" s="25">
        <f t="shared" si="12"/>
        <v>45980</v>
      </c>
      <c r="Q347" s="25"/>
      <c r="R347" s="25"/>
      <c r="S347" s="7" t="s">
        <v>23</v>
      </c>
      <c r="T347" s="28">
        <v>1</v>
      </c>
    </row>
    <row r="348" spans="1:20" ht="14.25" customHeight="1">
      <c r="A348" s="22">
        <v>390</v>
      </c>
      <c r="B348" s="22">
        <v>15295</v>
      </c>
      <c r="C348" s="22" t="str">
        <f>IFERROR(VLOOKUP(B348,Colaboradores!A:D,2,),"")</f>
        <v>ANA CRISTINA GONÇALVES NUNES</v>
      </c>
      <c r="D348" s="22" t="s">
        <v>47</v>
      </c>
      <c r="E348" s="22" t="str">
        <f>IFERROR(VLOOKUP(B348,Colaboradores!A:D,4,),"")</f>
        <v>ENFERMEIRA</v>
      </c>
      <c r="F348" s="22" t="s">
        <v>43</v>
      </c>
      <c r="G348" s="24" t="str">
        <f>IFERROR(VLOOKUP(F348,Procedimentos!A:C,2,),"")</f>
        <v>DIÁLOGO DE SAÚDE E SEGURANÇA - DSS</v>
      </c>
      <c r="H348" s="25"/>
      <c r="I348" s="25">
        <v>45888</v>
      </c>
      <c r="J348" s="22">
        <v>12</v>
      </c>
      <c r="K348" s="25">
        <f t="shared" si="14"/>
        <v>46253</v>
      </c>
      <c r="L348" s="28" t="str">
        <f t="shared" ca="1" si="13"/>
        <v>Em dia</v>
      </c>
      <c r="M348" s="33" t="s">
        <v>42</v>
      </c>
      <c r="N348" s="28" t="s">
        <v>21</v>
      </c>
      <c r="O348" s="22" t="s">
        <v>28</v>
      </c>
      <c r="P348" s="25">
        <f t="shared" si="12"/>
        <v>45980</v>
      </c>
      <c r="Q348" s="25"/>
      <c r="R348" s="25"/>
      <c r="S348" s="7" t="s">
        <v>23</v>
      </c>
      <c r="T348" s="28">
        <v>1</v>
      </c>
    </row>
    <row r="349" spans="1:20" ht="14.25" customHeight="1">
      <c r="A349" s="22">
        <v>391</v>
      </c>
      <c r="B349" s="22">
        <v>12330</v>
      </c>
      <c r="C349" s="22" t="str">
        <f>IFERROR(VLOOKUP(B349,Colaboradores!A:D,2,),"")</f>
        <v>BIANCA GUEDES SILVA ALMEIDA</v>
      </c>
      <c r="D349" s="22" t="s">
        <v>47</v>
      </c>
      <c r="E349" s="22" t="str">
        <f>IFERROR(VLOOKUP(B349,Colaboradores!A:D,4,),"")</f>
        <v>NUTRICIONISTA</v>
      </c>
      <c r="F349" s="22" t="s">
        <v>43</v>
      </c>
      <c r="G349" s="24" t="str">
        <f>IFERROR(VLOOKUP(F349,Procedimentos!A:C,2,),"")</f>
        <v>DIÁLOGO DE SAÚDE E SEGURANÇA - DSS</v>
      </c>
      <c r="H349" s="25"/>
      <c r="I349" s="25">
        <v>45888</v>
      </c>
      <c r="J349" s="22">
        <v>12</v>
      </c>
      <c r="K349" s="25">
        <f t="shared" si="14"/>
        <v>46253</v>
      </c>
      <c r="L349" s="28" t="str">
        <f t="shared" ca="1" si="13"/>
        <v>Em dia</v>
      </c>
      <c r="M349" s="33" t="s">
        <v>42</v>
      </c>
      <c r="N349" s="28" t="s">
        <v>21</v>
      </c>
      <c r="O349" s="22" t="s">
        <v>28</v>
      </c>
      <c r="P349" s="25">
        <f t="shared" si="12"/>
        <v>45980</v>
      </c>
      <c r="Q349" s="25"/>
      <c r="R349" s="25"/>
      <c r="S349" s="7" t="s">
        <v>23</v>
      </c>
      <c r="T349" s="28">
        <v>1</v>
      </c>
    </row>
    <row r="350" spans="1:20" ht="14.25" customHeight="1">
      <c r="A350" s="22">
        <v>392</v>
      </c>
      <c r="B350" s="22">
        <v>14508</v>
      </c>
      <c r="C350" s="22" t="str">
        <f>IFERROR(VLOOKUP(B350,Colaboradores!A:D,2,),"")</f>
        <v>FYAMA SANTOS SILVA</v>
      </c>
      <c r="D350" s="22" t="s">
        <v>47</v>
      </c>
      <c r="E350" s="22" t="str">
        <f>IFERROR(VLOOKUP(B350,Colaboradores!A:D,4,),"")</f>
        <v>ASSISTENTE ADMINISTRATIVO</v>
      </c>
      <c r="F350" s="22" t="s">
        <v>43</v>
      </c>
      <c r="G350" s="24" t="str">
        <f>IFERROR(VLOOKUP(F350,Procedimentos!A:C,2,),"")</f>
        <v>DIÁLOGO DE SAÚDE E SEGURANÇA - DSS</v>
      </c>
      <c r="H350" s="25"/>
      <c r="I350" s="25">
        <v>45888</v>
      </c>
      <c r="J350" s="22">
        <v>12</v>
      </c>
      <c r="K350" s="25">
        <f t="shared" si="14"/>
        <v>46253</v>
      </c>
      <c r="L350" s="28" t="str">
        <f t="shared" ca="1" si="13"/>
        <v>Em dia</v>
      </c>
      <c r="M350" s="33" t="s">
        <v>42</v>
      </c>
      <c r="N350" s="28" t="s">
        <v>21</v>
      </c>
      <c r="O350" s="22" t="s">
        <v>28</v>
      </c>
      <c r="P350" s="25">
        <f t="shared" si="12"/>
        <v>45980</v>
      </c>
      <c r="Q350" s="25"/>
      <c r="R350" s="25"/>
      <c r="S350" s="7" t="s">
        <v>23</v>
      </c>
      <c r="T350" s="28">
        <v>1</v>
      </c>
    </row>
    <row r="351" spans="1:20" ht="14.25" customHeight="1">
      <c r="A351" s="22">
        <v>393</v>
      </c>
      <c r="B351" s="22">
        <v>7601</v>
      </c>
      <c r="C351" s="22" t="str">
        <f>IFERROR(VLOOKUP(B351,Colaboradores!A:D,2,),"")</f>
        <v>RAYANE BEZERRA DE JESUS</v>
      </c>
      <c r="D351" s="22" t="s">
        <v>47</v>
      </c>
      <c r="E351" s="22" t="str">
        <f>IFERROR(VLOOKUP(B351,Colaboradores!A:D,4,),"")</f>
        <v>TÉCNICO DE ENFERMAGEM DO TRABALHO</v>
      </c>
      <c r="F351" s="22" t="s">
        <v>43</v>
      </c>
      <c r="G351" s="24" t="str">
        <f>IFERROR(VLOOKUP(F351,Procedimentos!A:C,2,),"")</f>
        <v>DIÁLOGO DE SAÚDE E SEGURANÇA - DSS</v>
      </c>
      <c r="H351" s="25"/>
      <c r="I351" s="25">
        <v>45888</v>
      </c>
      <c r="J351" s="22">
        <v>12</v>
      </c>
      <c r="K351" s="25">
        <f t="shared" si="14"/>
        <v>46253</v>
      </c>
      <c r="L351" s="28" t="str">
        <f t="shared" ca="1" si="13"/>
        <v>Em dia</v>
      </c>
      <c r="M351" s="33" t="s">
        <v>42</v>
      </c>
      <c r="N351" s="28" t="s">
        <v>21</v>
      </c>
      <c r="O351" s="22" t="s">
        <v>28</v>
      </c>
      <c r="P351" s="25">
        <f t="shared" si="12"/>
        <v>45980</v>
      </c>
      <c r="Q351" s="25"/>
      <c r="R351" s="25"/>
      <c r="S351" s="7" t="s">
        <v>23</v>
      </c>
      <c r="T351" s="28">
        <v>1</v>
      </c>
    </row>
    <row r="352" spans="1:20" ht="14.25" customHeight="1">
      <c r="A352" s="22">
        <v>395</v>
      </c>
      <c r="B352" s="22">
        <v>15295</v>
      </c>
      <c r="C352" s="22" t="str">
        <f>IFERROR(VLOOKUP(B352,Colaboradores!A:D,2,),"")</f>
        <v>ANA CRISTINA GONÇALVES NUNES</v>
      </c>
      <c r="D352" s="22" t="s">
        <v>47</v>
      </c>
      <c r="E352" s="22" t="str">
        <f>IFERROR(VLOOKUP(B352,Colaboradores!A:D,4,),"")</f>
        <v>ENFERMEIRA</v>
      </c>
      <c r="F352" s="22" t="s">
        <v>44</v>
      </c>
      <c r="G352" s="24" t="str">
        <f>IFERROR(VLOOKUP(F352,Procedimentos!A:C,2,),"")</f>
        <v>DIRETRIZES PARA GESTÃO DE EQUIPAMENTOS DE PROTEÇÃO INDIVIDUAL - EPI'S</v>
      </c>
      <c r="H352" s="25"/>
      <c r="I352" s="25">
        <v>45888</v>
      </c>
      <c r="J352" s="22">
        <v>12</v>
      </c>
      <c r="K352" s="25">
        <f t="shared" si="14"/>
        <v>46253</v>
      </c>
      <c r="L352" s="28" t="str">
        <f t="shared" ca="1" si="13"/>
        <v>Em dia</v>
      </c>
      <c r="M352" s="33" t="s">
        <v>42</v>
      </c>
      <c r="N352" s="28" t="s">
        <v>21</v>
      </c>
      <c r="O352" s="22" t="s">
        <v>28</v>
      </c>
      <c r="P352" s="25">
        <f t="shared" si="12"/>
        <v>45980</v>
      </c>
      <c r="Q352" s="25"/>
      <c r="R352" s="25"/>
      <c r="S352" s="7" t="s">
        <v>23</v>
      </c>
      <c r="T352" s="28">
        <v>1</v>
      </c>
    </row>
    <row r="353" spans="1:20" ht="14.25" customHeight="1">
      <c r="A353" s="22">
        <v>396</v>
      </c>
      <c r="B353" s="22">
        <v>12330</v>
      </c>
      <c r="C353" s="22" t="str">
        <f>IFERROR(VLOOKUP(B353,Colaboradores!A:D,2,),"")</f>
        <v>BIANCA GUEDES SILVA ALMEIDA</v>
      </c>
      <c r="D353" s="22" t="s">
        <v>47</v>
      </c>
      <c r="E353" s="22" t="str">
        <f>IFERROR(VLOOKUP(B353,Colaboradores!A:D,4,),"")</f>
        <v>NUTRICIONISTA</v>
      </c>
      <c r="F353" s="22" t="s">
        <v>44</v>
      </c>
      <c r="G353" s="24" t="str">
        <f>IFERROR(VLOOKUP(F353,Procedimentos!A:C,2,),"")</f>
        <v>DIRETRIZES PARA GESTÃO DE EQUIPAMENTOS DE PROTEÇÃO INDIVIDUAL - EPI'S</v>
      </c>
      <c r="H353" s="25"/>
      <c r="I353" s="25">
        <v>45888</v>
      </c>
      <c r="J353" s="22">
        <v>12</v>
      </c>
      <c r="K353" s="25">
        <f t="shared" si="14"/>
        <v>46253</v>
      </c>
      <c r="L353" s="28" t="str">
        <f t="shared" ca="1" si="13"/>
        <v>Em dia</v>
      </c>
      <c r="M353" s="33" t="s">
        <v>42</v>
      </c>
      <c r="N353" s="28" t="s">
        <v>21</v>
      </c>
      <c r="O353" s="22" t="s">
        <v>28</v>
      </c>
      <c r="P353" s="25">
        <f t="shared" si="12"/>
        <v>45980</v>
      </c>
      <c r="Q353" s="25"/>
      <c r="R353" s="25"/>
      <c r="S353" s="7" t="s">
        <v>23</v>
      </c>
      <c r="T353" s="28">
        <v>1</v>
      </c>
    </row>
    <row r="354" spans="1:20" ht="14.25" customHeight="1">
      <c r="A354" s="22">
        <v>397</v>
      </c>
      <c r="B354" s="22">
        <v>14508</v>
      </c>
      <c r="C354" s="22" t="str">
        <f>IFERROR(VLOOKUP(B354,Colaboradores!A:D,2,),"")</f>
        <v>FYAMA SANTOS SILVA</v>
      </c>
      <c r="D354" s="22" t="s">
        <v>47</v>
      </c>
      <c r="E354" s="22" t="str">
        <f>IFERROR(VLOOKUP(B354,Colaboradores!A:D,4,),"")</f>
        <v>ASSISTENTE ADMINISTRATIVO</v>
      </c>
      <c r="F354" s="22" t="s">
        <v>44</v>
      </c>
      <c r="G354" s="24" t="str">
        <f>IFERROR(VLOOKUP(F354,Procedimentos!A:C,2,),"")</f>
        <v>DIRETRIZES PARA GESTÃO DE EQUIPAMENTOS DE PROTEÇÃO INDIVIDUAL - EPI'S</v>
      </c>
      <c r="H354" s="25"/>
      <c r="I354" s="25">
        <v>45888</v>
      </c>
      <c r="J354" s="22">
        <v>12</v>
      </c>
      <c r="K354" s="25">
        <f t="shared" si="14"/>
        <v>46253</v>
      </c>
      <c r="L354" s="28" t="str">
        <f t="shared" ca="1" si="13"/>
        <v>Em dia</v>
      </c>
      <c r="M354" s="33" t="s">
        <v>42</v>
      </c>
      <c r="N354" s="28" t="s">
        <v>21</v>
      </c>
      <c r="O354" s="22" t="s">
        <v>28</v>
      </c>
      <c r="P354" s="25">
        <f t="shared" si="12"/>
        <v>45980</v>
      </c>
      <c r="Q354" s="25"/>
      <c r="R354" s="25"/>
      <c r="S354" s="7" t="s">
        <v>23</v>
      </c>
      <c r="T354" s="28">
        <v>1</v>
      </c>
    </row>
    <row r="355" spans="1:20" ht="14.25" customHeight="1">
      <c r="A355" s="22">
        <v>398</v>
      </c>
      <c r="B355" s="22">
        <v>7601</v>
      </c>
      <c r="C355" s="22" t="str">
        <f>IFERROR(VLOOKUP(B355,Colaboradores!A:D,2,),"")</f>
        <v>RAYANE BEZERRA DE JESUS</v>
      </c>
      <c r="D355" s="22" t="s">
        <v>47</v>
      </c>
      <c r="E355" s="22" t="str">
        <f>IFERROR(VLOOKUP(B355,Colaboradores!A:D,4,),"")</f>
        <v>TÉCNICO DE ENFERMAGEM DO TRABALHO</v>
      </c>
      <c r="F355" s="22" t="s">
        <v>44</v>
      </c>
      <c r="G355" s="24" t="str">
        <f>IFERROR(VLOOKUP(F355,Procedimentos!A:C,2,),"")</f>
        <v>DIRETRIZES PARA GESTÃO DE EQUIPAMENTOS DE PROTEÇÃO INDIVIDUAL - EPI'S</v>
      </c>
      <c r="H355" s="25"/>
      <c r="I355" s="25">
        <v>45888</v>
      </c>
      <c r="J355" s="22">
        <v>12</v>
      </c>
      <c r="K355" s="25">
        <f t="shared" si="14"/>
        <v>46253</v>
      </c>
      <c r="L355" s="28" t="str">
        <f t="shared" ca="1" si="13"/>
        <v>Em dia</v>
      </c>
      <c r="M355" s="33" t="s">
        <v>42</v>
      </c>
      <c r="N355" s="28" t="s">
        <v>21</v>
      </c>
      <c r="O355" s="22" t="s">
        <v>28</v>
      </c>
      <c r="P355" s="25">
        <f t="shared" si="12"/>
        <v>45980</v>
      </c>
      <c r="Q355" s="25"/>
      <c r="R355" s="25"/>
      <c r="S355" s="7" t="s">
        <v>23</v>
      </c>
      <c r="T355" s="28">
        <v>1</v>
      </c>
    </row>
    <row r="356" spans="1:20" ht="14.25" customHeight="1">
      <c r="A356" s="22">
        <v>400</v>
      </c>
      <c r="B356" s="22">
        <v>15295</v>
      </c>
      <c r="C356" s="22" t="str">
        <f>IFERROR(VLOOKUP(B356,Colaboradores!A:D,2,),"")</f>
        <v>ANA CRISTINA GONÇALVES NUNES</v>
      </c>
      <c r="D356" s="22" t="s">
        <v>47</v>
      </c>
      <c r="E356" s="22" t="str">
        <f>IFERROR(VLOOKUP(B356,Colaboradores!A:D,4,),"")</f>
        <v>ENFERMEIRA</v>
      </c>
      <c r="F356" s="22" t="s">
        <v>45</v>
      </c>
      <c r="G356" s="24" t="str">
        <f>IFERROR(VLOOKUP(F356,Procedimentos!A:C,2,),"")</f>
        <v>CONSTITUIÇÃO INTERNA DE PREVENÇÃO DE ACIDENTES E DE ASSÉDIOS - CIPA</v>
      </c>
      <c r="H356" s="25"/>
      <c r="I356" s="25">
        <v>45888</v>
      </c>
      <c r="J356" s="22">
        <v>12</v>
      </c>
      <c r="K356" s="25">
        <f t="shared" si="14"/>
        <v>46253</v>
      </c>
      <c r="L356" s="28" t="str">
        <f t="shared" ca="1" si="13"/>
        <v>Em dia</v>
      </c>
      <c r="M356" s="33" t="s">
        <v>42</v>
      </c>
      <c r="N356" s="28" t="s">
        <v>21</v>
      </c>
      <c r="O356" s="22" t="s">
        <v>28</v>
      </c>
      <c r="P356" s="25">
        <f t="shared" ref="P356:P419" si="15">EDATE(I356,3)</f>
        <v>45980</v>
      </c>
      <c r="Q356" s="25"/>
      <c r="R356" s="25"/>
      <c r="S356" s="7" t="s">
        <v>23</v>
      </c>
      <c r="T356" s="28">
        <v>1</v>
      </c>
    </row>
    <row r="357" spans="1:20" ht="14.25" customHeight="1">
      <c r="A357" s="22">
        <v>401</v>
      </c>
      <c r="B357" s="22">
        <v>12330</v>
      </c>
      <c r="C357" s="22" t="str">
        <f>IFERROR(VLOOKUP(B357,Colaboradores!A:D,2,),"")</f>
        <v>BIANCA GUEDES SILVA ALMEIDA</v>
      </c>
      <c r="D357" s="22" t="s">
        <v>47</v>
      </c>
      <c r="E357" s="22" t="str">
        <f>IFERROR(VLOOKUP(B357,Colaboradores!A:D,4,),"")</f>
        <v>NUTRICIONISTA</v>
      </c>
      <c r="F357" s="22" t="s">
        <v>45</v>
      </c>
      <c r="G357" s="24" t="str">
        <f>IFERROR(VLOOKUP(F357,Procedimentos!A:C,2,),"")</f>
        <v>CONSTITUIÇÃO INTERNA DE PREVENÇÃO DE ACIDENTES E DE ASSÉDIOS - CIPA</v>
      </c>
      <c r="H357" s="25"/>
      <c r="I357" s="25">
        <v>45888</v>
      </c>
      <c r="J357" s="22">
        <v>12</v>
      </c>
      <c r="K357" s="25">
        <f t="shared" si="14"/>
        <v>46253</v>
      </c>
      <c r="L357" s="28" t="str">
        <f t="shared" ca="1" si="13"/>
        <v>Em dia</v>
      </c>
      <c r="M357" s="33" t="s">
        <v>42</v>
      </c>
      <c r="N357" s="28" t="s">
        <v>21</v>
      </c>
      <c r="O357" s="22" t="s">
        <v>28</v>
      </c>
      <c r="P357" s="25">
        <f t="shared" si="15"/>
        <v>45980</v>
      </c>
      <c r="Q357" s="25"/>
      <c r="R357" s="25"/>
      <c r="S357" s="7" t="s">
        <v>23</v>
      </c>
      <c r="T357" s="28">
        <v>1</v>
      </c>
    </row>
    <row r="358" spans="1:20" ht="14.25" customHeight="1">
      <c r="A358" s="22">
        <v>402</v>
      </c>
      <c r="B358" s="22">
        <v>14508</v>
      </c>
      <c r="C358" s="22" t="str">
        <f>IFERROR(VLOOKUP(B358,Colaboradores!A:D,2,),"")</f>
        <v>FYAMA SANTOS SILVA</v>
      </c>
      <c r="D358" s="22" t="s">
        <v>47</v>
      </c>
      <c r="E358" s="22" t="str">
        <f>IFERROR(VLOOKUP(B358,Colaboradores!A:D,4,),"")</f>
        <v>ASSISTENTE ADMINISTRATIVO</v>
      </c>
      <c r="F358" s="22" t="s">
        <v>45</v>
      </c>
      <c r="G358" s="24" t="str">
        <f>IFERROR(VLOOKUP(F358,Procedimentos!A:C,2,),"")</f>
        <v>CONSTITUIÇÃO INTERNA DE PREVENÇÃO DE ACIDENTES E DE ASSÉDIOS - CIPA</v>
      </c>
      <c r="H358" s="25"/>
      <c r="I358" s="25">
        <v>45888</v>
      </c>
      <c r="J358" s="22">
        <v>12</v>
      </c>
      <c r="K358" s="25">
        <f t="shared" si="14"/>
        <v>46253</v>
      </c>
      <c r="L358" s="28" t="str">
        <f t="shared" ca="1" si="13"/>
        <v>Em dia</v>
      </c>
      <c r="M358" s="33" t="s">
        <v>42</v>
      </c>
      <c r="N358" s="28" t="s">
        <v>21</v>
      </c>
      <c r="O358" s="22" t="s">
        <v>28</v>
      </c>
      <c r="P358" s="25">
        <f t="shared" si="15"/>
        <v>45980</v>
      </c>
      <c r="Q358" s="25"/>
      <c r="R358" s="25"/>
      <c r="S358" s="7" t="s">
        <v>23</v>
      </c>
      <c r="T358" s="28">
        <v>1</v>
      </c>
    </row>
    <row r="359" spans="1:20" ht="14.25" customHeight="1">
      <c r="A359" s="22">
        <v>403</v>
      </c>
      <c r="B359" s="22">
        <v>7601</v>
      </c>
      <c r="C359" s="22" t="str">
        <f>IFERROR(VLOOKUP(B359,Colaboradores!A:D,2,),"")</f>
        <v>RAYANE BEZERRA DE JESUS</v>
      </c>
      <c r="D359" s="22" t="s">
        <v>47</v>
      </c>
      <c r="E359" s="22" t="str">
        <f>IFERROR(VLOOKUP(B359,Colaboradores!A:D,4,),"")</f>
        <v>TÉCNICO DE ENFERMAGEM DO TRABALHO</v>
      </c>
      <c r="F359" s="22" t="s">
        <v>45</v>
      </c>
      <c r="G359" s="24" t="str">
        <f>IFERROR(VLOOKUP(F359,Procedimentos!A:C,2,),"")</f>
        <v>CONSTITUIÇÃO INTERNA DE PREVENÇÃO DE ACIDENTES E DE ASSÉDIOS - CIPA</v>
      </c>
      <c r="H359" s="25"/>
      <c r="I359" s="25">
        <v>45888</v>
      </c>
      <c r="J359" s="22">
        <v>12</v>
      </c>
      <c r="K359" s="25">
        <f t="shared" si="14"/>
        <v>46253</v>
      </c>
      <c r="L359" s="28" t="str">
        <f t="shared" ca="1" si="13"/>
        <v>Em dia</v>
      </c>
      <c r="M359" s="33" t="s">
        <v>42</v>
      </c>
      <c r="N359" s="28" t="s">
        <v>21</v>
      </c>
      <c r="O359" s="22" t="s">
        <v>28</v>
      </c>
      <c r="P359" s="25">
        <f t="shared" si="15"/>
        <v>45980</v>
      </c>
      <c r="Q359" s="25"/>
      <c r="R359" s="25"/>
      <c r="S359" s="7" t="s">
        <v>23</v>
      </c>
      <c r="T359" s="28">
        <v>1</v>
      </c>
    </row>
    <row r="360" spans="1:20" ht="14.25" customHeight="1">
      <c r="A360" s="22">
        <v>405</v>
      </c>
      <c r="B360" s="22">
        <v>14565</v>
      </c>
      <c r="C360" s="22" t="str">
        <f>IFERROR(VLOOKUP(B360,Colaboradores!A:D,2,),"")</f>
        <v>CAMILA RODRIGUES GOMES</v>
      </c>
      <c r="D360" s="22" t="str">
        <f>IFERROR(VLOOKUP(B360,Colaboradores!A:D,3,),"")</f>
        <v>SEGURANÇA DO TRABALHO</v>
      </c>
      <c r="E360" s="22" t="str">
        <f>IFERROR(VLOOKUP(B360,Colaboradores!A:D,4,),"")</f>
        <v>TÉCNICO DE SEGURANÇA DO TRABALHO</v>
      </c>
      <c r="F360" s="22" t="s">
        <v>41</v>
      </c>
      <c r="G360" s="24" t="str">
        <f>IFERROR(VLOOKUP(F360,Procedimentos!A:C,2,),"")</f>
        <v>DIRETRIZES PARA COMUNICAÇÃO E INVESTIGAÇÃO DE ACIDENTES</v>
      </c>
      <c r="H360" s="25"/>
      <c r="I360" s="25">
        <v>45888</v>
      </c>
      <c r="J360" s="22">
        <v>12</v>
      </c>
      <c r="K360" s="25">
        <f t="shared" si="14"/>
        <v>46253</v>
      </c>
      <c r="L360" s="28" t="str">
        <f t="shared" ca="1" si="13"/>
        <v>Em dia</v>
      </c>
      <c r="M360" s="33" t="s">
        <v>42</v>
      </c>
      <c r="N360" s="28" t="s">
        <v>21</v>
      </c>
      <c r="O360" s="22" t="s">
        <v>28</v>
      </c>
      <c r="P360" s="25">
        <f t="shared" si="15"/>
        <v>45980</v>
      </c>
      <c r="Q360" s="25"/>
      <c r="R360" s="25"/>
      <c r="S360" s="7" t="s">
        <v>27</v>
      </c>
      <c r="T360" s="28">
        <v>1</v>
      </c>
    </row>
    <row r="361" spans="1:20" ht="14.25" customHeight="1">
      <c r="A361" s="22">
        <v>408</v>
      </c>
      <c r="B361" s="22">
        <v>2740</v>
      </c>
      <c r="C361" s="22" t="str">
        <f>IFERROR(VLOOKUP(B361,Colaboradores!A:D,2,),"")</f>
        <v>LUCIANA BARBOSA SODRE</v>
      </c>
      <c r="D361" s="22" t="str">
        <f>IFERROR(VLOOKUP(B361,Colaboradores!A:D,3,),"")</f>
        <v>SEGURANÇA DO TRABALHO</v>
      </c>
      <c r="E361" s="22" t="str">
        <f>IFERROR(VLOOKUP(B361,Colaboradores!A:D,4,),"")</f>
        <v>TÉCNICO DE SEGURANÇA DO TRABALHO</v>
      </c>
      <c r="F361" s="22" t="s">
        <v>41</v>
      </c>
      <c r="G361" s="24" t="str">
        <f>IFERROR(VLOOKUP(F372,Procedimentos!A:C,2,),"")</f>
        <v>DIRETRIZES PARA COMUNICAÇÃO E INVESTIGAÇÃO DE ACIDENTES</v>
      </c>
      <c r="H361" s="25"/>
      <c r="I361" s="25">
        <v>45888</v>
      </c>
      <c r="J361" s="22">
        <v>12</v>
      </c>
      <c r="K361" s="25">
        <f t="shared" si="14"/>
        <v>46253</v>
      </c>
      <c r="L361" s="28" t="str">
        <f t="shared" ca="1" si="13"/>
        <v>Em dia</v>
      </c>
      <c r="M361" s="33" t="s">
        <v>42</v>
      </c>
      <c r="N361" s="28" t="s">
        <v>21</v>
      </c>
      <c r="O361" s="22" t="s">
        <v>28</v>
      </c>
      <c r="P361" s="25">
        <f t="shared" si="15"/>
        <v>45980</v>
      </c>
      <c r="Q361" s="25"/>
      <c r="R361" s="25"/>
      <c r="S361" s="7" t="s">
        <v>27</v>
      </c>
      <c r="T361" s="28">
        <v>1</v>
      </c>
    </row>
    <row r="362" spans="1:20" ht="14.25" customHeight="1">
      <c r="A362" s="22">
        <v>409</v>
      </c>
      <c r="B362" s="22">
        <v>7580</v>
      </c>
      <c r="C362" s="22" t="str">
        <f>IFERROR(VLOOKUP(B362,Colaboradores!A:D,2,),"")</f>
        <v>LUCIO JOSE DA COSTA LOPES</v>
      </c>
      <c r="D362" s="22" t="str">
        <f>IFERROR(VLOOKUP(B362,Colaboradores!A:D,3,),"")</f>
        <v>SEGURANÇA DO TRABALHO</v>
      </c>
      <c r="E362" s="22" t="str">
        <f>IFERROR(VLOOKUP(B362,Colaboradores!A:D,4,),"")</f>
        <v>TÉCNICO DE SEGURANÇA DO TRABALHO</v>
      </c>
      <c r="F362" s="22" t="s">
        <v>41</v>
      </c>
      <c r="G362" s="24" t="str">
        <f>IFERROR(VLOOKUP(F373,Procedimentos!A:C,2,),"")</f>
        <v>DIRETRIZES PARA COMUNICAÇÃO E INVESTIGAÇÃO DE ACIDENTES</v>
      </c>
      <c r="H362" s="25"/>
      <c r="I362" s="25">
        <v>45888</v>
      </c>
      <c r="J362" s="22">
        <v>12</v>
      </c>
      <c r="K362" s="25">
        <f t="shared" si="14"/>
        <v>46253</v>
      </c>
      <c r="L362" s="28" t="str">
        <f t="shared" ca="1" si="13"/>
        <v>Em dia</v>
      </c>
      <c r="M362" s="33" t="s">
        <v>42</v>
      </c>
      <c r="N362" s="28" t="s">
        <v>21</v>
      </c>
      <c r="O362" s="22" t="s">
        <v>28</v>
      </c>
      <c r="P362" s="25">
        <f t="shared" si="15"/>
        <v>45980</v>
      </c>
      <c r="Q362" s="25"/>
      <c r="R362" s="25"/>
      <c r="S362" s="7" t="s">
        <v>27</v>
      </c>
      <c r="T362" s="28">
        <v>1</v>
      </c>
    </row>
    <row r="363" spans="1:20" ht="14.25" customHeight="1">
      <c r="A363" s="22">
        <v>410</v>
      </c>
      <c r="B363" s="22">
        <v>14565</v>
      </c>
      <c r="C363" s="22" t="str">
        <f>IFERROR(VLOOKUP(B363,Colaboradores!A:D,2,),"")</f>
        <v>CAMILA RODRIGUES GOMES</v>
      </c>
      <c r="D363" s="22" t="str">
        <f>IFERROR(VLOOKUP(B363,Colaboradores!A:D,3,),"")</f>
        <v>SEGURANÇA DO TRABALHO</v>
      </c>
      <c r="E363" s="22" t="str">
        <f>IFERROR(VLOOKUP(B363,Colaboradores!A:D,4,),"")</f>
        <v>TÉCNICO DE SEGURANÇA DO TRABALHO</v>
      </c>
      <c r="F363" s="22" t="s">
        <v>43</v>
      </c>
      <c r="G363" s="24" t="str">
        <f>IFERROR(VLOOKUP(F363,Procedimentos!A:C,2,),"")</f>
        <v>DIÁLOGO DE SAÚDE E SEGURANÇA - DSS</v>
      </c>
      <c r="H363" s="25"/>
      <c r="I363" s="25">
        <v>45888</v>
      </c>
      <c r="J363" s="22">
        <v>12</v>
      </c>
      <c r="K363" s="25">
        <f t="shared" si="14"/>
        <v>46253</v>
      </c>
      <c r="L363" s="28" t="str">
        <f t="shared" ca="1" si="13"/>
        <v>Em dia</v>
      </c>
      <c r="M363" s="33" t="s">
        <v>42</v>
      </c>
      <c r="N363" s="28" t="s">
        <v>21</v>
      </c>
      <c r="O363" s="22" t="s">
        <v>28</v>
      </c>
      <c r="P363" s="25">
        <f t="shared" si="15"/>
        <v>45980</v>
      </c>
      <c r="Q363" s="25"/>
      <c r="R363" s="25"/>
      <c r="S363" s="7" t="s">
        <v>27</v>
      </c>
      <c r="T363" s="28">
        <v>1</v>
      </c>
    </row>
    <row r="364" spans="1:20" ht="14.25" customHeight="1">
      <c r="A364" s="22">
        <v>412</v>
      </c>
      <c r="B364" s="22">
        <v>2740</v>
      </c>
      <c r="C364" s="22" t="str">
        <f>IFERROR(VLOOKUP(B364,Colaboradores!A:D,2,),"")</f>
        <v>LUCIANA BARBOSA SODRE</v>
      </c>
      <c r="D364" s="22" t="str">
        <f>IFERROR(VLOOKUP(B364,Colaboradores!A:D,3,),"")</f>
        <v>SEGURANÇA DO TRABALHO</v>
      </c>
      <c r="E364" s="22" t="str">
        <f>IFERROR(VLOOKUP(B364,Colaboradores!A:D,4,),"")</f>
        <v>TÉCNICO DE SEGURANÇA DO TRABALHO</v>
      </c>
      <c r="F364" s="22" t="s">
        <v>43</v>
      </c>
      <c r="G364" s="24" t="str">
        <f>IFERROR(VLOOKUP(F364,Procedimentos!A:C,2,),"")</f>
        <v>DIÁLOGO DE SAÚDE E SEGURANÇA - DSS</v>
      </c>
      <c r="H364" s="25"/>
      <c r="I364" s="25">
        <v>45888</v>
      </c>
      <c r="J364" s="22">
        <v>12</v>
      </c>
      <c r="K364" s="25">
        <f t="shared" si="14"/>
        <v>46253</v>
      </c>
      <c r="L364" s="28" t="str">
        <f t="shared" ca="1" si="13"/>
        <v>Em dia</v>
      </c>
      <c r="M364" s="33" t="s">
        <v>42</v>
      </c>
      <c r="N364" s="28" t="s">
        <v>21</v>
      </c>
      <c r="O364" s="22" t="s">
        <v>28</v>
      </c>
      <c r="P364" s="25">
        <f t="shared" si="15"/>
        <v>45980</v>
      </c>
      <c r="Q364" s="25"/>
      <c r="R364" s="25"/>
      <c r="S364" s="7" t="s">
        <v>27</v>
      </c>
      <c r="T364" s="28">
        <v>1</v>
      </c>
    </row>
    <row r="365" spans="1:20" ht="14.25" customHeight="1">
      <c r="A365" s="22">
        <v>413</v>
      </c>
      <c r="B365" s="22">
        <v>7580</v>
      </c>
      <c r="C365" s="22" t="str">
        <f>IFERROR(VLOOKUP(B365,Colaboradores!A:D,2,),"")</f>
        <v>LUCIO JOSE DA COSTA LOPES</v>
      </c>
      <c r="D365" s="22" t="str">
        <f>IFERROR(VLOOKUP(B365,Colaboradores!A:D,3,),"")</f>
        <v>SEGURANÇA DO TRABALHO</v>
      </c>
      <c r="E365" s="22" t="str">
        <f>IFERROR(VLOOKUP(B365,Colaboradores!A:D,4,),"")</f>
        <v>TÉCNICO DE SEGURANÇA DO TRABALHO</v>
      </c>
      <c r="F365" s="22" t="s">
        <v>43</v>
      </c>
      <c r="G365" s="24" t="str">
        <f>IFERROR(VLOOKUP(F365,Procedimentos!A:C,2,),"")</f>
        <v>DIÁLOGO DE SAÚDE E SEGURANÇA - DSS</v>
      </c>
      <c r="H365" s="25"/>
      <c r="I365" s="25">
        <v>45888</v>
      </c>
      <c r="J365" s="22">
        <v>12</v>
      </c>
      <c r="K365" s="25">
        <f t="shared" si="14"/>
        <v>46253</v>
      </c>
      <c r="L365" s="28" t="str">
        <f t="shared" ca="1" si="13"/>
        <v>Em dia</v>
      </c>
      <c r="M365" s="33" t="s">
        <v>42</v>
      </c>
      <c r="N365" s="28" t="s">
        <v>21</v>
      </c>
      <c r="O365" s="22" t="s">
        <v>28</v>
      </c>
      <c r="P365" s="25">
        <f t="shared" si="15"/>
        <v>45980</v>
      </c>
      <c r="Q365" s="25"/>
      <c r="R365" s="25"/>
      <c r="S365" s="7" t="s">
        <v>27</v>
      </c>
      <c r="T365" s="28">
        <v>1</v>
      </c>
    </row>
    <row r="366" spans="1:20" ht="14.25" customHeight="1">
      <c r="A366" s="22">
        <v>414</v>
      </c>
      <c r="B366" s="22">
        <v>14565</v>
      </c>
      <c r="C366" s="22" t="str">
        <f>IFERROR(VLOOKUP(B366,Colaboradores!A:D,2,),"")</f>
        <v>CAMILA RODRIGUES GOMES</v>
      </c>
      <c r="D366" s="22" t="str">
        <f>IFERROR(VLOOKUP(B366,Colaboradores!A:D,3,),"")</f>
        <v>SEGURANÇA DO TRABALHO</v>
      </c>
      <c r="E366" s="22" t="str">
        <f>IFERROR(VLOOKUP(B366,Colaboradores!A:D,4,),"")</f>
        <v>TÉCNICO DE SEGURANÇA DO TRABALHO</v>
      </c>
      <c r="F366" s="22" t="s">
        <v>44</v>
      </c>
      <c r="G366" s="24" t="str">
        <f>IFERROR(VLOOKUP(F366,Procedimentos!A:C,2,),"")</f>
        <v>DIRETRIZES PARA GESTÃO DE EQUIPAMENTOS DE PROTEÇÃO INDIVIDUAL - EPI'S</v>
      </c>
      <c r="H366" s="25"/>
      <c r="I366" s="25">
        <v>45888</v>
      </c>
      <c r="J366" s="22">
        <v>12</v>
      </c>
      <c r="K366" s="25">
        <f t="shared" si="14"/>
        <v>46253</v>
      </c>
      <c r="L366" s="28" t="str">
        <f t="shared" ca="1" si="13"/>
        <v>Em dia</v>
      </c>
      <c r="M366" s="33" t="s">
        <v>42</v>
      </c>
      <c r="N366" s="28" t="s">
        <v>21</v>
      </c>
      <c r="O366" s="22" t="s">
        <v>28</v>
      </c>
      <c r="P366" s="25">
        <f t="shared" si="15"/>
        <v>45980</v>
      </c>
      <c r="Q366" s="25"/>
      <c r="R366" s="25"/>
      <c r="S366" s="7" t="s">
        <v>27</v>
      </c>
      <c r="T366" s="28">
        <v>1</v>
      </c>
    </row>
    <row r="367" spans="1:20" ht="14.25" customHeight="1">
      <c r="A367" s="22">
        <v>416</v>
      </c>
      <c r="B367" s="22">
        <v>2740</v>
      </c>
      <c r="C367" s="22" t="str">
        <f>IFERROR(VLOOKUP(B367,Colaboradores!A:D,2,),"")</f>
        <v>LUCIANA BARBOSA SODRE</v>
      </c>
      <c r="D367" s="22" t="str">
        <f>IFERROR(VLOOKUP(B367,Colaboradores!A:D,3,),"")</f>
        <v>SEGURANÇA DO TRABALHO</v>
      </c>
      <c r="E367" s="22" t="str">
        <f>IFERROR(VLOOKUP(B367,Colaboradores!A:D,4,),"")</f>
        <v>TÉCNICO DE SEGURANÇA DO TRABALHO</v>
      </c>
      <c r="F367" s="22" t="s">
        <v>44</v>
      </c>
      <c r="G367" s="24" t="str">
        <f>IFERROR(VLOOKUP(F367,Procedimentos!A:C,2,),"")</f>
        <v>DIRETRIZES PARA GESTÃO DE EQUIPAMENTOS DE PROTEÇÃO INDIVIDUAL - EPI'S</v>
      </c>
      <c r="H367" s="25"/>
      <c r="I367" s="25">
        <v>45888</v>
      </c>
      <c r="J367" s="22">
        <v>12</v>
      </c>
      <c r="K367" s="25">
        <f t="shared" si="14"/>
        <v>46253</v>
      </c>
      <c r="L367" s="28" t="str">
        <f t="shared" ca="1" si="13"/>
        <v>Em dia</v>
      </c>
      <c r="M367" s="33" t="s">
        <v>42</v>
      </c>
      <c r="N367" s="28" t="s">
        <v>21</v>
      </c>
      <c r="O367" s="22" t="s">
        <v>28</v>
      </c>
      <c r="P367" s="25">
        <f t="shared" si="15"/>
        <v>45980</v>
      </c>
      <c r="Q367" s="25"/>
      <c r="R367" s="25"/>
      <c r="S367" s="7" t="s">
        <v>27</v>
      </c>
      <c r="T367" s="28">
        <v>1</v>
      </c>
    </row>
    <row r="368" spans="1:20" ht="14.25" customHeight="1">
      <c r="A368" s="22">
        <v>417</v>
      </c>
      <c r="B368" s="22">
        <v>7580</v>
      </c>
      <c r="C368" s="22" t="str">
        <f>IFERROR(VLOOKUP(B368,Colaboradores!A:D,2,),"")</f>
        <v>LUCIO JOSE DA COSTA LOPES</v>
      </c>
      <c r="D368" s="22" t="str">
        <f>IFERROR(VLOOKUP(B368,Colaboradores!A:D,3,),"")</f>
        <v>SEGURANÇA DO TRABALHO</v>
      </c>
      <c r="E368" s="22" t="str">
        <f>IFERROR(VLOOKUP(B368,Colaboradores!A:D,4,),"")</f>
        <v>TÉCNICO DE SEGURANÇA DO TRABALHO</v>
      </c>
      <c r="F368" s="22" t="s">
        <v>44</v>
      </c>
      <c r="G368" s="24" t="str">
        <f>IFERROR(VLOOKUP(F368,Procedimentos!A:C,2,),"")</f>
        <v>DIRETRIZES PARA GESTÃO DE EQUIPAMENTOS DE PROTEÇÃO INDIVIDUAL - EPI'S</v>
      </c>
      <c r="H368" s="25"/>
      <c r="I368" s="25">
        <v>45888</v>
      </c>
      <c r="J368" s="22">
        <v>12</v>
      </c>
      <c r="K368" s="25">
        <f t="shared" si="14"/>
        <v>46253</v>
      </c>
      <c r="L368" s="28" t="str">
        <f t="shared" ca="1" si="13"/>
        <v>Em dia</v>
      </c>
      <c r="M368" s="33" t="s">
        <v>42</v>
      </c>
      <c r="N368" s="28" t="s">
        <v>21</v>
      </c>
      <c r="O368" s="22" t="s">
        <v>28</v>
      </c>
      <c r="P368" s="25">
        <f t="shared" si="15"/>
        <v>45980</v>
      </c>
      <c r="Q368" s="25"/>
      <c r="R368" s="25"/>
      <c r="S368" s="7" t="s">
        <v>27</v>
      </c>
      <c r="T368" s="28">
        <v>1</v>
      </c>
    </row>
    <row r="369" spans="1:20" ht="14.25" customHeight="1">
      <c r="A369" s="22">
        <v>418</v>
      </c>
      <c r="B369" s="22">
        <v>14565</v>
      </c>
      <c r="C369" s="22" t="str">
        <f>IFERROR(VLOOKUP(B369,Colaboradores!A:D,2,),"")</f>
        <v>CAMILA RODRIGUES GOMES</v>
      </c>
      <c r="D369" s="22" t="str">
        <f>IFERROR(VLOOKUP(B369,Colaboradores!A:D,3,),"")</f>
        <v>SEGURANÇA DO TRABALHO</v>
      </c>
      <c r="E369" s="22" t="str">
        <f>IFERROR(VLOOKUP(B369,Colaboradores!A:D,4,),"")</f>
        <v>TÉCNICO DE SEGURANÇA DO TRABALHO</v>
      </c>
      <c r="F369" s="22" t="s">
        <v>45</v>
      </c>
      <c r="G369" s="24" t="str">
        <f>IFERROR(VLOOKUP(F369,Procedimentos!A:C,2,),"")</f>
        <v>CONSTITUIÇÃO INTERNA DE PREVENÇÃO DE ACIDENTES E DE ASSÉDIOS - CIPA</v>
      </c>
      <c r="H369" s="25"/>
      <c r="I369" s="25">
        <v>45888</v>
      </c>
      <c r="J369" s="22">
        <v>12</v>
      </c>
      <c r="K369" s="25">
        <f t="shared" si="14"/>
        <v>46253</v>
      </c>
      <c r="L369" s="28" t="str">
        <f t="shared" ca="1" si="13"/>
        <v>Em dia</v>
      </c>
      <c r="M369" s="33" t="s">
        <v>42</v>
      </c>
      <c r="N369" s="28" t="s">
        <v>21</v>
      </c>
      <c r="O369" s="22" t="s">
        <v>28</v>
      </c>
      <c r="P369" s="25">
        <f t="shared" si="15"/>
        <v>45980</v>
      </c>
      <c r="Q369" s="25"/>
      <c r="R369" s="25"/>
      <c r="S369" s="7" t="s">
        <v>27</v>
      </c>
      <c r="T369" s="28">
        <v>1</v>
      </c>
    </row>
    <row r="370" spans="1:20" ht="14.25" customHeight="1">
      <c r="A370" s="22">
        <v>420</v>
      </c>
      <c r="B370" s="22">
        <v>2740</v>
      </c>
      <c r="C370" s="22" t="str">
        <f>IFERROR(VLOOKUP(B370,Colaboradores!A:D,2,),"")</f>
        <v>LUCIANA BARBOSA SODRE</v>
      </c>
      <c r="D370" s="22" t="str">
        <f>IFERROR(VLOOKUP(B370,Colaboradores!A:D,3,),"")</f>
        <v>SEGURANÇA DO TRABALHO</v>
      </c>
      <c r="E370" s="22" t="str">
        <f>IFERROR(VLOOKUP(B370,Colaboradores!A:D,4,),"")</f>
        <v>TÉCNICO DE SEGURANÇA DO TRABALHO</v>
      </c>
      <c r="F370" s="22" t="s">
        <v>45</v>
      </c>
      <c r="G370" s="24" t="str">
        <f>IFERROR(VLOOKUP(F370,Procedimentos!A:C,2,),"")</f>
        <v>CONSTITUIÇÃO INTERNA DE PREVENÇÃO DE ACIDENTES E DE ASSÉDIOS - CIPA</v>
      </c>
      <c r="H370" s="25"/>
      <c r="I370" s="25">
        <v>45888</v>
      </c>
      <c r="J370" s="22">
        <v>12</v>
      </c>
      <c r="K370" s="25">
        <f t="shared" si="14"/>
        <v>46253</v>
      </c>
      <c r="L370" s="28" t="str">
        <f t="shared" ca="1" si="13"/>
        <v>Em dia</v>
      </c>
      <c r="M370" s="33" t="s">
        <v>42</v>
      </c>
      <c r="N370" s="28" t="s">
        <v>21</v>
      </c>
      <c r="O370" s="22" t="s">
        <v>28</v>
      </c>
      <c r="P370" s="25">
        <f t="shared" si="15"/>
        <v>45980</v>
      </c>
      <c r="Q370" s="25"/>
      <c r="R370" s="25"/>
      <c r="S370" s="7" t="s">
        <v>27</v>
      </c>
      <c r="T370" s="28">
        <v>1</v>
      </c>
    </row>
    <row r="371" spans="1:20" ht="14.25" customHeight="1">
      <c r="A371" s="22">
        <v>421</v>
      </c>
      <c r="B371" s="22">
        <v>7580</v>
      </c>
      <c r="C371" s="22" t="str">
        <f>IFERROR(VLOOKUP(B371,Colaboradores!A:D,2,),"")</f>
        <v>LUCIO JOSE DA COSTA LOPES</v>
      </c>
      <c r="D371" s="22" t="str">
        <f>IFERROR(VLOOKUP(B371,Colaboradores!A:D,3,),"")</f>
        <v>SEGURANÇA DO TRABALHO</v>
      </c>
      <c r="E371" s="22" t="str">
        <f>IFERROR(VLOOKUP(B371,Colaboradores!A:D,4,),"")</f>
        <v>TÉCNICO DE SEGURANÇA DO TRABALHO</v>
      </c>
      <c r="F371" s="22" t="s">
        <v>45</v>
      </c>
      <c r="G371" s="24" t="str">
        <f>IFERROR(VLOOKUP(F371,Procedimentos!A:C,2,),"")</f>
        <v>CONSTITUIÇÃO INTERNA DE PREVENÇÃO DE ACIDENTES E DE ASSÉDIOS - CIPA</v>
      </c>
      <c r="H371" s="25"/>
      <c r="I371" s="25">
        <v>45888</v>
      </c>
      <c r="J371" s="22">
        <v>12</v>
      </c>
      <c r="K371" s="25">
        <f t="shared" si="14"/>
        <v>46253</v>
      </c>
      <c r="L371" s="28" t="str">
        <f t="shared" ca="1" si="13"/>
        <v>Em dia</v>
      </c>
      <c r="M371" s="33" t="s">
        <v>42</v>
      </c>
      <c r="N371" s="28" t="s">
        <v>21</v>
      </c>
      <c r="O371" s="22" t="s">
        <v>28</v>
      </c>
      <c r="P371" s="25">
        <f t="shared" si="15"/>
        <v>45980</v>
      </c>
      <c r="Q371" s="25"/>
      <c r="R371" s="25"/>
      <c r="S371" s="7" t="s">
        <v>27</v>
      </c>
      <c r="T371" s="28">
        <v>1</v>
      </c>
    </row>
    <row r="372" spans="1:20" ht="14.25" customHeight="1">
      <c r="A372" s="22">
        <v>422</v>
      </c>
      <c r="B372" s="34">
        <v>15134</v>
      </c>
      <c r="C372" s="22" t="str">
        <f>IFERROR(VLOOKUP(B372,Colaboradores!A:D,2,),"")</f>
        <v>ADRIANE MENDES ROSA</v>
      </c>
      <c r="D372" s="22" t="str">
        <f>IFERROR(VLOOKUP(B372,Colaboradores!A:D,3,),"")</f>
        <v>REGIONAL CENTRAL</v>
      </c>
      <c r="E372" s="22" t="str">
        <f>IFERROR(VLOOKUP(B372,Colaboradores!A:D,4,),"")</f>
        <v>ENFERMEIRA DO TRABALHO</v>
      </c>
      <c r="F372" s="22" t="s">
        <v>41</v>
      </c>
      <c r="G372" s="24" t="str">
        <f>IFERROR(VLOOKUP(F372,Procedimentos!A:C,2,),"")</f>
        <v>DIRETRIZES PARA COMUNICAÇÃO E INVESTIGAÇÃO DE ACIDENTES</v>
      </c>
      <c r="H372" s="25"/>
      <c r="I372" s="25">
        <v>45888</v>
      </c>
      <c r="J372" s="22">
        <v>12</v>
      </c>
      <c r="K372" s="25">
        <f t="shared" si="14"/>
        <v>46253</v>
      </c>
      <c r="L372" s="28" t="str">
        <f t="shared" ca="1" si="13"/>
        <v>Em dia</v>
      </c>
      <c r="M372" s="33" t="s">
        <v>42</v>
      </c>
      <c r="N372" s="28" t="s">
        <v>21</v>
      </c>
      <c r="O372" s="22" t="s">
        <v>28</v>
      </c>
      <c r="P372" s="25">
        <f t="shared" si="15"/>
        <v>45980</v>
      </c>
      <c r="Q372" s="25"/>
      <c r="R372" s="25"/>
      <c r="S372" s="7" t="s">
        <v>23</v>
      </c>
      <c r="T372" s="28">
        <v>1</v>
      </c>
    </row>
    <row r="373" spans="1:20" ht="14.25" customHeight="1">
      <c r="A373" s="22">
        <v>423</v>
      </c>
      <c r="B373" s="34">
        <v>13822</v>
      </c>
      <c r="C373" s="22" t="str">
        <f>IFERROR(VLOOKUP(B373,Colaboradores!A:D,2,),"")</f>
        <v>JULIANA DE CASTRO ALMEIDA</v>
      </c>
      <c r="D373" s="22" t="str">
        <f>IFERROR(VLOOKUP(B373,Colaboradores!A:D,3,),"")</f>
        <v>REGIONAL CENTRAL</v>
      </c>
      <c r="E373" s="22" t="str">
        <f>IFERROR(VLOOKUP(B373,Colaboradores!A:D,4,),"")</f>
        <v>COORDENADOR DE SSMA</v>
      </c>
      <c r="F373" s="22" t="s">
        <v>41</v>
      </c>
      <c r="G373" s="24" t="str">
        <f>IFERROR(VLOOKUP(F373,Procedimentos!A:C,2,),"")</f>
        <v>DIRETRIZES PARA COMUNICAÇÃO E INVESTIGAÇÃO DE ACIDENTES</v>
      </c>
      <c r="H373" s="25"/>
      <c r="I373" s="25">
        <v>45888</v>
      </c>
      <c r="J373" s="22">
        <v>12</v>
      </c>
      <c r="K373" s="25">
        <f t="shared" si="14"/>
        <v>46253</v>
      </c>
      <c r="L373" s="28" t="str">
        <f t="shared" ca="1" si="13"/>
        <v>Em dia</v>
      </c>
      <c r="M373" s="33" t="s">
        <v>42</v>
      </c>
      <c r="N373" s="28" t="s">
        <v>21</v>
      </c>
      <c r="O373" s="22" t="s">
        <v>28</v>
      </c>
      <c r="P373" s="25">
        <f t="shared" si="15"/>
        <v>45980</v>
      </c>
      <c r="Q373" s="25"/>
      <c r="R373" s="25"/>
      <c r="S373" s="7" t="s">
        <v>23</v>
      </c>
      <c r="T373" s="28">
        <v>1</v>
      </c>
    </row>
    <row r="374" spans="1:20" ht="14.25" customHeight="1">
      <c r="A374" s="22">
        <v>424</v>
      </c>
      <c r="B374" s="34">
        <v>15134</v>
      </c>
      <c r="C374" s="22" t="str">
        <f>IFERROR(VLOOKUP(B374,Colaboradores!A:D,2,),"")</f>
        <v>ADRIANE MENDES ROSA</v>
      </c>
      <c r="D374" s="22" t="str">
        <f>IFERROR(VLOOKUP(B374,Colaboradores!A:D,3,),"")</f>
        <v>REGIONAL CENTRAL</v>
      </c>
      <c r="E374" s="22" t="str">
        <f>IFERROR(VLOOKUP(B374,Colaboradores!A:D,4,),"")</f>
        <v>ENFERMEIRA DO TRABALHO</v>
      </c>
      <c r="F374" s="22" t="s">
        <v>43</v>
      </c>
      <c r="G374" s="24" t="str">
        <f>IFERROR(VLOOKUP(F374,Procedimentos!A:C,2,),"")</f>
        <v>DIÁLOGO DE SAÚDE E SEGURANÇA - DSS</v>
      </c>
      <c r="H374" s="25"/>
      <c r="I374" s="25">
        <v>45888</v>
      </c>
      <c r="J374" s="22">
        <v>12</v>
      </c>
      <c r="K374" s="25">
        <f t="shared" si="14"/>
        <v>46253</v>
      </c>
      <c r="L374" s="28" t="str">
        <f t="shared" ca="1" si="13"/>
        <v>Em dia</v>
      </c>
      <c r="M374" s="33" t="s">
        <v>42</v>
      </c>
      <c r="N374" s="28" t="s">
        <v>21</v>
      </c>
      <c r="O374" s="22" t="s">
        <v>28</v>
      </c>
      <c r="P374" s="25">
        <f t="shared" si="15"/>
        <v>45980</v>
      </c>
      <c r="Q374" s="25"/>
      <c r="R374" s="25"/>
      <c r="S374" s="7" t="s">
        <v>23</v>
      </c>
      <c r="T374" s="28">
        <v>1</v>
      </c>
    </row>
    <row r="375" spans="1:20" ht="14.25" customHeight="1">
      <c r="A375" s="22">
        <v>425</v>
      </c>
      <c r="B375" s="34">
        <v>13822</v>
      </c>
      <c r="C375" s="22" t="str">
        <f>IFERROR(VLOOKUP(B375,Colaboradores!A:D,2,),"")</f>
        <v>JULIANA DE CASTRO ALMEIDA</v>
      </c>
      <c r="D375" s="22" t="str">
        <f>IFERROR(VLOOKUP(B375,Colaboradores!A:D,3,),"")</f>
        <v>REGIONAL CENTRAL</v>
      </c>
      <c r="E375" s="22" t="str">
        <f>IFERROR(VLOOKUP(B375,Colaboradores!A:D,4,),"")</f>
        <v>COORDENADOR DE SSMA</v>
      </c>
      <c r="F375" s="22" t="s">
        <v>43</v>
      </c>
      <c r="G375" s="24" t="str">
        <f>IFERROR(VLOOKUP(F375,Procedimentos!A:C,2,),"")</f>
        <v>DIÁLOGO DE SAÚDE E SEGURANÇA - DSS</v>
      </c>
      <c r="H375" s="25"/>
      <c r="I375" s="25">
        <v>45888</v>
      </c>
      <c r="J375" s="22">
        <v>12</v>
      </c>
      <c r="K375" s="25">
        <f t="shared" si="14"/>
        <v>46253</v>
      </c>
      <c r="L375" s="28" t="str">
        <f t="shared" ca="1" si="13"/>
        <v>Em dia</v>
      </c>
      <c r="M375" s="33" t="s">
        <v>42</v>
      </c>
      <c r="N375" s="28" t="s">
        <v>21</v>
      </c>
      <c r="O375" s="22" t="s">
        <v>28</v>
      </c>
      <c r="P375" s="25">
        <f t="shared" si="15"/>
        <v>45980</v>
      </c>
      <c r="Q375" s="25"/>
      <c r="R375" s="25"/>
      <c r="S375" s="7" t="s">
        <v>23</v>
      </c>
      <c r="T375" s="28">
        <v>1</v>
      </c>
    </row>
    <row r="376" spans="1:20" ht="14.25" customHeight="1">
      <c r="A376" s="22">
        <v>426</v>
      </c>
      <c r="B376" s="34">
        <v>15134</v>
      </c>
      <c r="C376" s="22" t="str">
        <f>IFERROR(VLOOKUP(B376,Colaboradores!A:D,2,),"")</f>
        <v>ADRIANE MENDES ROSA</v>
      </c>
      <c r="D376" s="22" t="str">
        <f>IFERROR(VLOOKUP(B376,Colaboradores!A:D,3,),"")</f>
        <v>REGIONAL CENTRAL</v>
      </c>
      <c r="E376" s="22" t="str">
        <f>IFERROR(VLOOKUP(B376,Colaboradores!A:D,4,),"")</f>
        <v>ENFERMEIRA DO TRABALHO</v>
      </c>
      <c r="F376" s="22" t="s">
        <v>44</v>
      </c>
      <c r="G376" s="24" t="str">
        <f>IFERROR(VLOOKUP(F376,Procedimentos!A:C,2,),"")</f>
        <v>DIRETRIZES PARA GESTÃO DE EQUIPAMENTOS DE PROTEÇÃO INDIVIDUAL - EPI'S</v>
      </c>
      <c r="H376" s="25"/>
      <c r="I376" s="25">
        <v>45888</v>
      </c>
      <c r="J376" s="22">
        <v>12</v>
      </c>
      <c r="K376" s="25">
        <f t="shared" si="14"/>
        <v>46253</v>
      </c>
      <c r="L376" s="28" t="str">
        <f t="shared" ca="1" si="13"/>
        <v>Em dia</v>
      </c>
      <c r="M376" s="33" t="s">
        <v>42</v>
      </c>
      <c r="N376" s="28" t="s">
        <v>21</v>
      </c>
      <c r="O376" s="22" t="s">
        <v>28</v>
      </c>
      <c r="P376" s="25">
        <f t="shared" si="15"/>
        <v>45980</v>
      </c>
      <c r="Q376" s="25"/>
      <c r="R376" s="25"/>
      <c r="S376" s="7" t="s">
        <v>23</v>
      </c>
      <c r="T376" s="28">
        <v>1</v>
      </c>
    </row>
    <row r="377" spans="1:20" ht="14.25" customHeight="1">
      <c r="A377" s="22">
        <v>427</v>
      </c>
      <c r="B377" s="34">
        <v>13822</v>
      </c>
      <c r="C377" s="22" t="str">
        <f>IFERROR(VLOOKUP(B377,Colaboradores!A:D,2,),"")</f>
        <v>JULIANA DE CASTRO ALMEIDA</v>
      </c>
      <c r="D377" s="22" t="str">
        <f>IFERROR(VLOOKUP(B377,Colaboradores!A:D,3,),"")</f>
        <v>REGIONAL CENTRAL</v>
      </c>
      <c r="E377" s="22" t="str">
        <f>IFERROR(VLOOKUP(B377,Colaboradores!A:D,4,),"")</f>
        <v>COORDENADOR DE SSMA</v>
      </c>
      <c r="F377" s="22" t="s">
        <v>44</v>
      </c>
      <c r="G377" s="24" t="str">
        <f>IFERROR(VLOOKUP(F377,Procedimentos!A:C,2,),"")</f>
        <v>DIRETRIZES PARA GESTÃO DE EQUIPAMENTOS DE PROTEÇÃO INDIVIDUAL - EPI'S</v>
      </c>
      <c r="H377" s="25"/>
      <c r="I377" s="25">
        <v>45888</v>
      </c>
      <c r="J377" s="22">
        <v>12</v>
      </c>
      <c r="K377" s="25">
        <f t="shared" si="14"/>
        <v>46253</v>
      </c>
      <c r="L377" s="28" t="str">
        <f t="shared" ca="1" si="13"/>
        <v>Em dia</v>
      </c>
      <c r="M377" s="33" t="s">
        <v>42</v>
      </c>
      <c r="N377" s="28" t="s">
        <v>21</v>
      </c>
      <c r="O377" s="22" t="s">
        <v>28</v>
      </c>
      <c r="P377" s="25">
        <f t="shared" si="15"/>
        <v>45980</v>
      </c>
      <c r="Q377" s="25"/>
      <c r="R377" s="25"/>
      <c r="S377" s="7" t="s">
        <v>23</v>
      </c>
      <c r="T377" s="28">
        <v>1</v>
      </c>
    </row>
    <row r="378" spans="1:20" ht="14.25" customHeight="1">
      <c r="A378" s="22">
        <v>428</v>
      </c>
      <c r="B378" s="34">
        <v>15134</v>
      </c>
      <c r="C378" s="22" t="str">
        <f>IFERROR(VLOOKUP(B378,Colaboradores!A:D,2,),"")</f>
        <v>ADRIANE MENDES ROSA</v>
      </c>
      <c r="D378" s="22" t="str">
        <f>IFERROR(VLOOKUP(B378,Colaboradores!A:D,3,),"")</f>
        <v>REGIONAL CENTRAL</v>
      </c>
      <c r="E378" s="22" t="str">
        <f>IFERROR(VLOOKUP(B378,Colaboradores!A:D,4,),"")</f>
        <v>ENFERMEIRA DO TRABALHO</v>
      </c>
      <c r="F378" s="22" t="s">
        <v>45</v>
      </c>
      <c r="G378" s="24" t="str">
        <f>IFERROR(VLOOKUP(F383,Procedimentos!A:C,2,),"")</f>
        <v>CONSTITUIÇÃO INTERNA DE PREVENÇÃO DE ACIDENTES E DE ASSÉDIOS - CIPA</v>
      </c>
      <c r="H378" s="25"/>
      <c r="I378" s="25">
        <v>45888</v>
      </c>
      <c r="J378" s="22">
        <v>12</v>
      </c>
      <c r="K378" s="25">
        <f t="shared" si="14"/>
        <v>46253</v>
      </c>
      <c r="L378" s="28" t="str">
        <f t="shared" ca="1" si="13"/>
        <v>Em dia</v>
      </c>
      <c r="M378" s="33" t="s">
        <v>42</v>
      </c>
      <c r="N378" s="28" t="s">
        <v>21</v>
      </c>
      <c r="O378" s="22" t="s">
        <v>28</v>
      </c>
      <c r="P378" s="25">
        <f t="shared" si="15"/>
        <v>45980</v>
      </c>
      <c r="Q378" s="25"/>
      <c r="R378" s="25"/>
      <c r="S378" s="7" t="s">
        <v>23</v>
      </c>
      <c r="T378" s="28">
        <v>1</v>
      </c>
    </row>
    <row r="379" spans="1:20" ht="14.25" customHeight="1">
      <c r="A379" s="22">
        <v>429</v>
      </c>
      <c r="B379" s="34">
        <v>13822</v>
      </c>
      <c r="C379" s="22" t="str">
        <f>IFERROR(VLOOKUP(B379,Colaboradores!A:D,2,),"")</f>
        <v>JULIANA DE CASTRO ALMEIDA</v>
      </c>
      <c r="D379" s="22" t="str">
        <f>IFERROR(VLOOKUP(B379,Colaboradores!A:D,3,),"")</f>
        <v>REGIONAL CENTRAL</v>
      </c>
      <c r="E379" s="22" t="str">
        <f>IFERROR(VLOOKUP(B379,Colaboradores!A:D,4,),"")</f>
        <v>COORDENADOR DE SSMA</v>
      </c>
      <c r="F379" s="22" t="s">
        <v>45</v>
      </c>
      <c r="G379" s="24" t="str">
        <f>IFERROR(VLOOKUP(F379,Procedimentos!A:C,2,),"")</f>
        <v>CONSTITUIÇÃO INTERNA DE PREVENÇÃO DE ACIDENTES E DE ASSÉDIOS - CIPA</v>
      </c>
      <c r="H379" s="25"/>
      <c r="I379" s="25">
        <v>45888</v>
      </c>
      <c r="J379" s="22">
        <v>12</v>
      </c>
      <c r="K379" s="25">
        <f t="shared" si="14"/>
        <v>46253</v>
      </c>
      <c r="L379" s="28" t="str">
        <f t="shared" ca="1" si="13"/>
        <v>Em dia</v>
      </c>
      <c r="M379" s="33" t="s">
        <v>42</v>
      </c>
      <c r="N379" s="28" t="s">
        <v>21</v>
      </c>
      <c r="O379" s="22" t="s">
        <v>28</v>
      </c>
      <c r="P379" s="25">
        <f t="shared" si="15"/>
        <v>45980</v>
      </c>
      <c r="Q379" s="25"/>
      <c r="R379" s="25"/>
      <c r="S379" s="7" t="s">
        <v>23</v>
      </c>
      <c r="T379" s="28">
        <v>1</v>
      </c>
    </row>
    <row r="380" spans="1:20" ht="14.25" customHeight="1">
      <c r="A380" s="22">
        <v>430</v>
      </c>
      <c r="B380" s="35">
        <v>13584</v>
      </c>
      <c r="C380" s="22" t="str">
        <f>IFERROR(VLOOKUP(B380,Colaboradores!A:D,2,),"")</f>
        <v>ALANA RODRIGUES FERREIRA</v>
      </c>
      <c r="D380" s="22" t="str">
        <f>IFERROR(VLOOKUP(B380,Colaboradores!A:D,3,),"")</f>
        <v>REGIONAL LESTE</v>
      </c>
      <c r="E380" s="22" t="str">
        <f>IFERROR(VLOOKUP(B380,Colaboradores!A:D,4,),"")</f>
        <v>COORDENADOR DE SSMA</v>
      </c>
      <c r="F380" s="22" t="s">
        <v>41</v>
      </c>
      <c r="G380" s="24" t="str">
        <f>IFERROR(VLOOKUP(F380,Procedimentos!A:C,2,),"")</f>
        <v>DIRETRIZES PARA COMUNICAÇÃO E INVESTIGAÇÃO DE ACIDENTES</v>
      </c>
      <c r="H380" s="25"/>
      <c r="I380" s="25">
        <v>45888</v>
      </c>
      <c r="J380" s="22">
        <v>12</v>
      </c>
      <c r="K380" s="25">
        <f t="shared" si="14"/>
        <v>46253</v>
      </c>
      <c r="L380" s="28" t="str">
        <f t="shared" ca="1" si="13"/>
        <v>Em dia</v>
      </c>
      <c r="M380" s="33" t="s">
        <v>42</v>
      </c>
      <c r="N380" s="28" t="s">
        <v>21</v>
      </c>
      <c r="O380" s="22" t="s">
        <v>28</v>
      </c>
      <c r="P380" s="25">
        <f t="shared" si="15"/>
        <v>45980</v>
      </c>
      <c r="Q380" s="25"/>
      <c r="R380" s="25"/>
      <c r="S380" s="7" t="s">
        <v>23</v>
      </c>
      <c r="T380" s="28">
        <v>1</v>
      </c>
    </row>
    <row r="381" spans="1:20" ht="14.25" customHeight="1">
      <c r="A381" s="22">
        <v>431</v>
      </c>
      <c r="B381" s="35">
        <v>13584</v>
      </c>
      <c r="C381" s="22" t="str">
        <f>IFERROR(VLOOKUP(B381,Colaboradores!A:D,2,),"")</f>
        <v>ALANA RODRIGUES FERREIRA</v>
      </c>
      <c r="D381" s="22" t="str">
        <f>IFERROR(VLOOKUP(B381,Colaboradores!A:D,3,),"")</f>
        <v>REGIONAL LESTE</v>
      </c>
      <c r="E381" s="22" t="str">
        <f>IFERROR(VLOOKUP(B381,Colaboradores!A:D,4,),"")</f>
        <v>COORDENADOR DE SSMA</v>
      </c>
      <c r="F381" s="22" t="s">
        <v>43</v>
      </c>
      <c r="G381" s="24" t="str">
        <f>IFERROR(VLOOKUP(F381,Procedimentos!A:C,2,),"")</f>
        <v>DIÁLOGO DE SAÚDE E SEGURANÇA - DSS</v>
      </c>
      <c r="H381" s="25"/>
      <c r="I381" s="25">
        <v>45888</v>
      </c>
      <c r="J381" s="22">
        <v>12</v>
      </c>
      <c r="K381" s="25">
        <f t="shared" si="14"/>
        <v>46253</v>
      </c>
      <c r="L381" s="28" t="str">
        <f t="shared" ca="1" si="13"/>
        <v>Em dia</v>
      </c>
      <c r="M381" s="33" t="s">
        <v>42</v>
      </c>
      <c r="N381" s="28" t="s">
        <v>21</v>
      </c>
      <c r="O381" s="22" t="s">
        <v>28</v>
      </c>
      <c r="P381" s="25">
        <f t="shared" si="15"/>
        <v>45980</v>
      </c>
      <c r="Q381" s="25"/>
      <c r="R381" s="25"/>
      <c r="S381" s="7" t="s">
        <v>23</v>
      </c>
      <c r="T381" s="28">
        <v>1</v>
      </c>
    </row>
    <row r="382" spans="1:20" ht="14.25" customHeight="1">
      <c r="A382" s="22">
        <v>432</v>
      </c>
      <c r="B382" s="35">
        <v>13584</v>
      </c>
      <c r="C382" s="22" t="str">
        <f>IFERROR(VLOOKUP(B382,Colaboradores!A:D,2,),"")</f>
        <v>ALANA RODRIGUES FERREIRA</v>
      </c>
      <c r="D382" s="22" t="str">
        <f>IFERROR(VLOOKUP(B382,Colaboradores!A:D,3,),"")</f>
        <v>REGIONAL LESTE</v>
      </c>
      <c r="E382" s="22" t="str">
        <f>IFERROR(VLOOKUP(B382,Colaboradores!A:D,4,),"")</f>
        <v>COORDENADOR DE SSMA</v>
      </c>
      <c r="F382" s="22" t="s">
        <v>44</v>
      </c>
      <c r="G382" s="24" t="str">
        <f>IFERROR(VLOOKUP(F382,Procedimentos!A:C,2,),"")</f>
        <v>DIRETRIZES PARA GESTÃO DE EQUIPAMENTOS DE PROTEÇÃO INDIVIDUAL - EPI'S</v>
      </c>
      <c r="H382" s="25"/>
      <c r="I382" s="25">
        <v>45888</v>
      </c>
      <c r="J382" s="22">
        <v>12</v>
      </c>
      <c r="K382" s="25">
        <f t="shared" si="14"/>
        <v>46253</v>
      </c>
      <c r="L382" s="28" t="str">
        <f t="shared" ca="1" si="13"/>
        <v>Em dia</v>
      </c>
      <c r="M382" s="33" t="s">
        <v>42</v>
      </c>
      <c r="N382" s="28" t="s">
        <v>21</v>
      </c>
      <c r="O382" s="22" t="s">
        <v>28</v>
      </c>
      <c r="P382" s="25">
        <f t="shared" si="15"/>
        <v>45980</v>
      </c>
      <c r="Q382" s="25"/>
      <c r="R382" s="25"/>
      <c r="S382" s="7" t="s">
        <v>23</v>
      </c>
      <c r="T382" s="28">
        <v>1</v>
      </c>
    </row>
    <row r="383" spans="1:20" ht="14.25" customHeight="1">
      <c r="A383" s="22">
        <v>433</v>
      </c>
      <c r="B383" s="35">
        <v>13584</v>
      </c>
      <c r="C383" s="22" t="str">
        <f>IFERROR(VLOOKUP(B383,Colaboradores!A:D,2,),"")</f>
        <v>ALANA RODRIGUES FERREIRA</v>
      </c>
      <c r="D383" s="22" t="str">
        <f>IFERROR(VLOOKUP(B383,Colaboradores!A:D,3,),"")</f>
        <v>REGIONAL LESTE</v>
      </c>
      <c r="E383" s="22" t="str">
        <f>IFERROR(VLOOKUP(B383,Colaboradores!A:D,4,),"")</f>
        <v>COORDENADOR DE SSMA</v>
      </c>
      <c r="F383" s="22" t="s">
        <v>45</v>
      </c>
      <c r="G383" s="24" t="str">
        <f>IFERROR(VLOOKUP(F383,Procedimentos!A:C,2,),"")</f>
        <v>CONSTITUIÇÃO INTERNA DE PREVENÇÃO DE ACIDENTES E DE ASSÉDIOS - CIPA</v>
      </c>
      <c r="H383" s="25"/>
      <c r="I383" s="25">
        <v>45888</v>
      </c>
      <c r="J383" s="22">
        <v>12</v>
      </c>
      <c r="K383" s="25">
        <f t="shared" si="14"/>
        <v>46253</v>
      </c>
      <c r="L383" s="28" t="str">
        <f t="shared" ca="1" si="13"/>
        <v>Em dia</v>
      </c>
      <c r="M383" s="33" t="s">
        <v>42</v>
      </c>
      <c r="N383" s="28" t="s">
        <v>21</v>
      </c>
      <c r="O383" s="22" t="s">
        <v>28</v>
      </c>
      <c r="P383" s="25">
        <f t="shared" si="15"/>
        <v>45980</v>
      </c>
      <c r="Q383" s="25"/>
      <c r="R383" s="25"/>
      <c r="S383" s="7" t="s">
        <v>23</v>
      </c>
      <c r="T383" s="28">
        <v>1</v>
      </c>
    </row>
    <row r="384" spans="1:20" ht="14.25" customHeight="1">
      <c r="A384" s="22">
        <v>434</v>
      </c>
      <c r="B384" s="35">
        <v>13964</v>
      </c>
      <c r="C384" s="22" t="str">
        <f>IFERROR(VLOOKUP(B384,Colaboradores!A:D,2,),"")</f>
        <v>ESTER MOREIRA AMBROSIO DE CARVALHO</v>
      </c>
      <c r="D384" s="22" t="str">
        <f>IFERROR(VLOOKUP(B384,Colaboradores!A:D,3,),"")</f>
        <v>REGIONAL SUL</v>
      </c>
      <c r="E384" s="22" t="str">
        <f>IFERROR(VLOOKUP(B384,Colaboradores!A:D,4,),"")</f>
        <v>ENFERMEIRO DO TRABALHO</v>
      </c>
      <c r="F384" s="22" t="s">
        <v>41</v>
      </c>
      <c r="G384" s="24" t="str">
        <f>IFERROR(VLOOKUP(F384,Procedimentos!A:C,2,),"")</f>
        <v>DIRETRIZES PARA COMUNICAÇÃO E INVESTIGAÇÃO DE ACIDENTES</v>
      </c>
      <c r="H384" s="25"/>
      <c r="I384" s="25">
        <v>45888</v>
      </c>
      <c r="J384" s="22">
        <v>12</v>
      </c>
      <c r="K384" s="25">
        <f t="shared" si="14"/>
        <v>46253</v>
      </c>
      <c r="L384" s="28" t="str">
        <f t="shared" ca="1" si="13"/>
        <v>Em dia</v>
      </c>
      <c r="M384" s="33" t="s">
        <v>42</v>
      </c>
      <c r="N384" s="28" t="s">
        <v>21</v>
      </c>
      <c r="O384" s="22" t="s">
        <v>28</v>
      </c>
      <c r="P384" s="25">
        <f t="shared" si="15"/>
        <v>45980</v>
      </c>
      <c r="Q384" s="25"/>
      <c r="R384" s="25"/>
      <c r="S384" s="7" t="s">
        <v>23</v>
      </c>
      <c r="T384" s="28">
        <v>1</v>
      </c>
    </row>
    <row r="385" spans="1:20" ht="14.25" customHeight="1">
      <c r="A385" s="22">
        <v>435</v>
      </c>
      <c r="B385" s="35">
        <v>14321</v>
      </c>
      <c r="C385" s="22" t="str">
        <f>IFERROR(VLOOKUP(B385,Colaboradores!A:D,2,),"")</f>
        <v>LAYANA KARINE SILVA BARBOSA</v>
      </c>
      <c r="D385" s="22" t="str">
        <f>IFERROR(VLOOKUP(B385,Colaboradores!A:D,3,),"")</f>
        <v>REGIONAL SUL</v>
      </c>
      <c r="E385" s="22" t="str">
        <f>IFERROR(VLOOKUP(B385,Colaboradores!A:D,4,),"")</f>
        <v>ASSISTENTE ADMINISTRATIVO</v>
      </c>
      <c r="F385" s="22" t="s">
        <v>41</v>
      </c>
      <c r="G385" s="24" t="str">
        <f>IFERROR(VLOOKUP(F385,Procedimentos!A:C,2,),"")</f>
        <v>DIRETRIZES PARA COMUNICAÇÃO E INVESTIGAÇÃO DE ACIDENTES</v>
      </c>
      <c r="H385" s="25"/>
      <c r="I385" s="25">
        <v>45888</v>
      </c>
      <c r="J385" s="22">
        <v>12</v>
      </c>
      <c r="K385" s="25">
        <f t="shared" si="14"/>
        <v>46253</v>
      </c>
      <c r="L385" s="28" t="str">
        <f t="shared" ref="L385:L448" ca="1" si="16">IF(K385="","",IF(K385&lt;TODAY(),"Vencido",IF(K385&lt;=TODAY()+30,"A vencer","Em dia")))</f>
        <v>Em dia</v>
      </c>
      <c r="M385" s="33" t="s">
        <v>42</v>
      </c>
      <c r="N385" s="28" t="s">
        <v>21</v>
      </c>
      <c r="O385" s="22" t="s">
        <v>28</v>
      </c>
      <c r="P385" s="25">
        <f t="shared" si="15"/>
        <v>45980</v>
      </c>
      <c r="Q385" s="25"/>
      <c r="R385" s="25"/>
      <c r="S385" s="7" t="s">
        <v>23</v>
      </c>
      <c r="T385" s="28">
        <v>1</v>
      </c>
    </row>
    <row r="386" spans="1:20" ht="14.25" customHeight="1">
      <c r="A386" s="22">
        <v>436</v>
      </c>
      <c r="B386" s="35">
        <v>13964</v>
      </c>
      <c r="C386" s="22" t="str">
        <f>IFERROR(VLOOKUP(B386,Colaboradores!A:D,2,),"")</f>
        <v>ESTER MOREIRA AMBROSIO DE CARVALHO</v>
      </c>
      <c r="D386" s="22" t="str">
        <f>IFERROR(VLOOKUP(B386,Colaboradores!A:D,3,),"")</f>
        <v>REGIONAL SUL</v>
      </c>
      <c r="E386" s="22" t="str">
        <f>IFERROR(VLOOKUP(B386,Colaboradores!A:D,4,),"")</f>
        <v>ENFERMEIRO DO TRABALHO</v>
      </c>
      <c r="F386" s="22" t="s">
        <v>43</v>
      </c>
      <c r="G386" s="24" t="str">
        <f>IFERROR(VLOOKUP(F386,Procedimentos!A:C,2,),"")</f>
        <v>DIÁLOGO DE SAÚDE E SEGURANÇA - DSS</v>
      </c>
      <c r="H386" s="25"/>
      <c r="I386" s="25">
        <v>45888</v>
      </c>
      <c r="J386" s="22">
        <v>12</v>
      </c>
      <c r="K386" s="25">
        <f t="shared" si="14"/>
        <v>46253</v>
      </c>
      <c r="L386" s="28" t="str">
        <f t="shared" ca="1" si="16"/>
        <v>Em dia</v>
      </c>
      <c r="M386" s="33" t="s">
        <v>42</v>
      </c>
      <c r="N386" s="28" t="s">
        <v>21</v>
      </c>
      <c r="O386" s="22" t="s">
        <v>28</v>
      </c>
      <c r="P386" s="25">
        <f t="shared" si="15"/>
        <v>45980</v>
      </c>
      <c r="Q386" s="25"/>
      <c r="R386" s="25"/>
      <c r="S386" s="7" t="s">
        <v>23</v>
      </c>
      <c r="T386" s="28">
        <v>1</v>
      </c>
    </row>
    <row r="387" spans="1:20" ht="14.25" customHeight="1">
      <c r="A387" s="22">
        <v>437</v>
      </c>
      <c r="B387" s="35">
        <v>14321</v>
      </c>
      <c r="C387" s="22" t="str">
        <f>IFERROR(VLOOKUP(B387,Colaboradores!A:D,2,),"")</f>
        <v>LAYANA KARINE SILVA BARBOSA</v>
      </c>
      <c r="D387" s="22" t="str">
        <f>IFERROR(VLOOKUP(B387,Colaboradores!A:D,3,),"")</f>
        <v>REGIONAL SUL</v>
      </c>
      <c r="E387" s="22" t="str">
        <f>IFERROR(VLOOKUP(B387,Colaboradores!A:D,4,),"")</f>
        <v>ASSISTENTE ADMINISTRATIVO</v>
      </c>
      <c r="F387" s="22" t="s">
        <v>43</v>
      </c>
      <c r="G387" s="24" t="str">
        <f>IFERROR(VLOOKUP(F387,Procedimentos!A:C,2,),"")</f>
        <v>DIÁLOGO DE SAÚDE E SEGURANÇA - DSS</v>
      </c>
      <c r="H387" s="25"/>
      <c r="I387" s="25">
        <v>45888</v>
      </c>
      <c r="J387" s="22">
        <v>12</v>
      </c>
      <c r="K387" s="25">
        <f t="shared" ref="K387:K450" si="17">IF(AND(I387&lt;&gt;"",J387&lt;&gt;""),DATE(YEAR(I387),MONTH(I387)+J387,DAY(I387)),"")</f>
        <v>46253</v>
      </c>
      <c r="L387" s="28" t="str">
        <f t="shared" ca="1" si="16"/>
        <v>Em dia</v>
      </c>
      <c r="M387" s="33" t="s">
        <v>42</v>
      </c>
      <c r="N387" s="28" t="s">
        <v>21</v>
      </c>
      <c r="O387" s="22" t="s">
        <v>28</v>
      </c>
      <c r="P387" s="25">
        <f t="shared" si="15"/>
        <v>45980</v>
      </c>
      <c r="Q387" s="25"/>
      <c r="R387" s="25"/>
      <c r="S387" s="7" t="s">
        <v>23</v>
      </c>
      <c r="T387" s="28">
        <v>1</v>
      </c>
    </row>
    <row r="388" spans="1:20" ht="14.25" customHeight="1">
      <c r="A388" s="22">
        <v>438</v>
      </c>
      <c r="B388" s="35">
        <v>13964</v>
      </c>
      <c r="C388" s="22" t="str">
        <f>IFERROR(VLOOKUP(B388,Colaboradores!A:D,2,),"")</f>
        <v>ESTER MOREIRA AMBROSIO DE CARVALHO</v>
      </c>
      <c r="D388" s="22" t="str">
        <f>IFERROR(VLOOKUP(B388,Colaboradores!A:D,3,),"")</f>
        <v>REGIONAL SUL</v>
      </c>
      <c r="E388" s="22" t="str">
        <f>IFERROR(VLOOKUP(B388,Colaboradores!A:D,4,),"")</f>
        <v>ENFERMEIRO DO TRABALHO</v>
      </c>
      <c r="F388" s="22" t="s">
        <v>44</v>
      </c>
      <c r="G388" s="24" t="str">
        <f>IFERROR(VLOOKUP(F388,Procedimentos!A:C,2,),"")</f>
        <v>DIRETRIZES PARA GESTÃO DE EQUIPAMENTOS DE PROTEÇÃO INDIVIDUAL - EPI'S</v>
      </c>
      <c r="H388" s="25"/>
      <c r="I388" s="25">
        <v>45888</v>
      </c>
      <c r="J388" s="22">
        <v>12</v>
      </c>
      <c r="K388" s="25">
        <f t="shared" si="17"/>
        <v>46253</v>
      </c>
      <c r="L388" s="28" t="str">
        <f t="shared" ca="1" si="16"/>
        <v>Em dia</v>
      </c>
      <c r="M388" s="33" t="s">
        <v>42</v>
      </c>
      <c r="N388" s="28" t="s">
        <v>21</v>
      </c>
      <c r="O388" s="22" t="s">
        <v>28</v>
      </c>
      <c r="P388" s="25">
        <f t="shared" si="15"/>
        <v>45980</v>
      </c>
      <c r="Q388" s="25"/>
      <c r="R388" s="25"/>
      <c r="S388" s="7" t="s">
        <v>23</v>
      </c>
      <c r="T388" s="28">
        <v>1</v>
      </c>
    </row>
    <row r="389" spans="1:20" ht="14.25" customHeight="1">
      <c r="A389" s="22">
        <v>439</v>
      </c>
      <c r="B389" s="35">
        <v>14321</v>
      </c>
      <c r="C389" s="22" t="str">
        <f>IFERROR(VLOOKUP(B389,Colaboradores!A:D,2,),"")</f>
        <v>LAYANA KARINE SILVA BARBOSA</v>
      </c>
      <c r="D389" s="22" t="str">
        <f>IFERROR(VLOOKUP(B389,Colaboradores!A:D,3,),"")</f>
        <v>REGIONAL SUL</v>
      </c>
      <c r="E389" s="22" t="str">
        <f>IFERROR(VLOOKUP(B389,Colaboradores!A:D,4,),"")</f>
        <v>ASSISTENTE ADMINISTRATIVO</v>
      </c>
      <c r="F389" s="22" t="s">
        <v>44</v>
      </c>
      <c r="G389" s="24" t="str">
        <f>IFERROR(VLOOKUP(F389,Procedimentos!A:C,2,),"")</f>
        <v>DIRETRIZES PARA GESTÃO DE EQUIPAMENTOS DE PROTEÇÃO INDIVIDUAL - EPI'S</v>
      </c>
      <c r="H389" s="25"/>
      <c r="I389" s="25">
        <v>45888</v>
      </c>
      <c r="J389" s="22">
        <v>12</v>
      </c>
      <c r="K389" s="25">
        <f t="shared" si="17"/>
        <v>46253</v>
      </c>
      <c r="L389" s="28" t="str">
        <f t="shared" ca="1" si="16"/>
        <v>Em dia</v>
      </c>
      <c r="M389" s="33" t="s">
        <v>42</v>
      </c>
      <c r="N389" s="28" t="s">
        <v>21</v>
      </c>
      <c r="O389" s="22" t="s">
        <v>28</v>
      </c>
      <c r="P389" s="25">
        <f t="shared" si="15"/>
        <v>45980</v>
      </c>
      <c r="Q389" s="25"/>
      <c r="R389" s="25"/>
      <c r="S389" s="7" t="s">
        <v>23</v>
      </c>
      <c r="T389" s="28">
        <v>1</v>
      </c>
    </row>
    <row r="390" spans="1:20" ht="14.25" customHeight="1">
      <c r="A390" s="22">
        <v>440</v>
      </c>
      <c r="B390" s="35">
        <v>13964</v>
      </c>
      <c r="C390" s="22" t="str">
        <f>IFERROR(VLOOKUP(B390,Colaboradores!A:D,2,),"")</f>
        <v>ESTER MOREIRA AMBROSIO DE CARVALHO</v>
      </c>
      <c r="D390" s="22" t="str">
        <f>IFERROR(VLOOKUP(B390,Colaboradores!A:D,3,),"")</f>
        <v>REGIONAL SUL</v>
      </c>
      <c r="E390" s="22" t="str">
        <f>IFERROR(VLOOKUP(B390,Colaboradores!A:D,4,),"")</f>
        <v>ENFERMEIRO DO TRABALHO</v>
      </c>
      <c r="F390" s="22" t="s">
        <v>45</v>
      </c>
      <c r="G390" s="24" t="str">
        <f>IFERROR(VLOOKUP(F390,Procedimentos!A:C,2,),"")</f>
        <v>CONSTITUIÇÃO INTERNA DE PREVENÇÃO DE ACIDENTES E DE ASSÉDIOS - CIPA</v>
      </c>
      <c r="H390" s="25"/>
      <c r="I390" s="25">
        <v>45888</v>
      </c>
      <c r="J390" s="22">
        <v>12</v>
      </c>
      <c r="K390" s="25">
        <f t="shared" si="17"/>
        <v>46253</v>
      </c>
      <c r="L390" s="28" t="str">
        <f t="shared" ca="1" si="16"/>
        <v>Em dia</v>
      </c>
      <c r="M390" s="33" t="s">
        <v>42</v>
      </c>
      <c r="N390" s="28" t="s">
        <v>21</v>
      </c>
      <c r="O390" s="22" t="s">
        <v>28</v>
      </c>
      <c r="P390" s="25">
        <f t="shared" si="15"/>
        <v>45980</v>
      </c>
      <c r="Q390" s="25"/>
      <c r="R390" s="25"/>
      <c r="S390" s="7" t="s">
        <v>23</v>
      </c>
      <c r="T390" s="28">
        <v>1</v>
      </c>
    </row>
    <row r="391" spans="1:20" ht="14.25" customHeight="1">
      <c r="A391" s="22">
        <v>441</v>
      </c>
      <c r="B391" s="35">
        <v>14321</v>
      </c>
      <c r="C391" s="22" t="str">
        <f>IFERROR(VLOOKUP(B391,Colaboradores!A:D,2,),"")</f>
        <v>LAYANA KARINE SILVA BARBOSA</v>
      </c>
      <c r="D391" s="22" t="str">
        <f>IFERROR(VLOOKUP(B391,Colaboradores!A:D,3,),"")</f>
        <v>REGIONAL SUL</v>
      </c>
      <c r="E391" s="22" t="str">
        <f>IFERROR(VLOOKUP(B391,Colaboradores!A:D,4,),"")</f>
        <v>ASSISTENTE ADMINISTRATIVO</v>
      </c>
      <c r="F391" s="22" t="s">
        <v>45</v>
      </c>
      <c r="G391" s="24" t="str">
        <f>IFERROR(VLOOKUP(F391,Procedimentos!A:C,2,),"")</f>
        <v>CONSTITUIÇÃO INTERNA DE PREVENÇÃO DE ACIDENTES E DE ASSÉDIOS - CIPA</v>
      </c>
      <c r="H391" s="25"/>
      <c r="I391" s="25">
        <v>45888</v>
      </c>
      <c r="J391" s="22">
        <v>12</v>
      </c>
      <c r="K391" s="25">
        <f t="shared" si="17"/>
        <v>46253</v>
      </c>
      <c r="L391" s="28" t="str">
        <f t="shared" ca="1" si="16"/>
        <v>Em dia</v>
      </c>
      <c r="M391" s="33" t="s">
        <v>42</v>
      </c>
      <c r="N391" s="28" t="s">
        <v>21</v>
      </c>
      <c r="O391" s="22" t="s">
        <v>28</v>
      </c>
      <c r="P391" s="25">
        <f t="shared" si="15"/>
        <v>45980</v>
      </c>
      <c r="Q391" s="25"/>
      <c r="R391" s="25"/>
      <c r="S391" s="7" t="s">
        <v>23</v>
      </c>
      <c r="T391" s="28">
        <v>1</v>
      </c>
    </row>
    <row r="392" spans="1:20" ht="14.25" customHeight="1">
      <c r="A392" s="22">
        <v>442</v>
      </c>
      <c r="B392" s="36">
        <v>12451</v>
      </c>
      <c r="C392" s="22" t="str">
        <f>IFERROR(VLOOKUP(B392,Colaboradores!A:D,2,),"")</f>
        <v>JORGE CARLOS ARAUJO DE ARAUJO</v>
      </c>
      <c r="D392" s="22" t="str">
        <f>IFERROR(VLOOKUP(B392,Colaboradores!A:D,3,),"")</f>
        <v>DIRETORIA</v>
      </c>
      <c r="E392" s="22" t="str">
        <f>IFERROR(VLOOKUP(B392,Colaboradores!A:D,4,),"")</f>
        <v>DIRETOR GERAL</v>
      </c>
      <c r="F392" s="22" t="s">
        <v>41</v>
      </c>
      <c r="G392" s="24" t="str">
        <f>IFERROR(VLOOKUP(F392,Procedimentos!A:C,2,),"")</f>
        <v>DIRETRIZES PARA COMUNICAÇÃO E INVESTIGAÇÃO DE ACIDENTES</v>
      </c>
      <c r="H392" s="25"/>
      <c r="I392" s="25">
        <v>45888</v>
      </c>
      <c r="J392" s="22">
        <v>12</v>
      </c>
      <c r="K392" s="25">
        <f t="shared" si="17"/>
        <v>46253</v>
      </c>
      <c r="L392" s="28" t="str">
        <f t="shared" ca="1" si="16"/>
        <v>Em dia</v>
      </c>
      <c r="M392" s="33" t="s">
        <v>42</v>
      </c>
      <c r="N392" s="28" t="s">
        <v>21</v>
      </c>
      <c r="O392" s="22" t="s">
        <v>28</v>
      </c>
      <c r="P392" s="25">
        <f t="shared" si="15"/>
        <v>45980</v>
      </c>
      <c r="Q392" s="25"/>
      <c r="R392" s="25"/>
      <c r="S392" s="7" t="s">
        <v>27</v>
      </c>
      <c r="T392" s="28">
        <v>1</v>
      </c>
    </row>
    <row r="393" spans="1:20" ht="14.25" customHeight="1">
      <c r="A393" s="22">
        <v>443</v>
      </c>
      <c r="B393" s="36">
        <v>13810</v>
      </c>
      <c r="C393" s="22" t="str">
        <f>IFERROR(VLOOKUP(B393,Colaboradores!A:D,2,),"")</f>
        <v>CAMILA CHAVES SILVA</v>
      </c>
      <c r="D393" s="22" t="str">
        <f>IFERROR(VLOOKUP(B393,Colaboradores!A:D,3,),"")</f>
        <v>DIRETORIA</v>
      </c>
      <c r="E393" s="22" t="str">
        <f>IFERROR(VLOOKUP(B393,Colaboradores!A:D,4,),"")</f>
        <v>ASSESSOR JURÍDICO</v>
      </c>
      <c r="F393" s="22" t="s">
        <v>41</v>
      </c>
      <c r="G393" s="24" t="str">
        <f>IFERROR(VLOOKUP(F393,Procedimentos!A:C,2,),"")</f>
        <v>DIRETRIZES PARA COMUNICAÇÃO E INVESTIGAÇÃO DE ACIDENTES</v>
      </c>
      <c r="H393" s="25"/>
      <c r="I393" s="25">
        <v>45888</v>
      </c>
      <c r="J393" s="22">
        <v>12</v>
      </c>
      <c r="K393" s="25">
        <f t="shared" si="17"/>
        <v>46253</v>
      </c>
      <c r="L393" s="28" t="str">
        <f t="shared" ca="1" si="16"/>
        <v>Em dia</v>
      </c>
      <c r="M393" s="33" t="s">
        <v>42</v>
      </c>
      <c r="N393" s="28" t="s">
        <v>21</v>
      </c>
      <c r="O393" s="22" t="s">
        <v>28</v>
      </c>
      <c r="P393" s="25">
        <f t="shared" si="15"/>
        <v>45980</v>
      </c>
      <c r="Q393" s="25"/>
      <c r="R393" s="25"/>
      <c r="S393" s="7" t="s">
        <v>27</v>
      </c>
      <c r="T393" s="28">
        <v>1</v>
      </c>
    </row>
    <row r="394" spans="1:20" ht="14.25" customHeight="1">
      <c r="A394" s="22">
        <v>444</v>
      </c>
      <c r="B394" s="36">
        <v>12451</v>
      </c>
      <c r="C394" s="22" t="str">
        <f>IFERROR(VLOOKUP(B394,Colaboradores!A:D,2,),"")</f>
        <v>JORGE CARLOS ARAUJO DE ARAUJO</v>
      </c>
      <c r="D394" s="22" t="str">
        <f>IFERROR(VLOOKUP(B394,Colaboradores!A:D,3,),"")</f>
        <v>DIRETORIA</v>
      </c>
      <c r="E394" s="22" t="str">
        <f>IFERROR(VLOOKUP(B394,Colaboradores!A:D,4,),"")</f>
        <v>DIRETOR GERAL</v>
      </c>
      <c r="F394" s="22" t="s">
        <v>43</v>
      </c>
      <c r="G394" s="24" t="str">
        <f>IFERROR(VLOOKUP(F394,Procedimentos!A:C,2,),"")</f>
        <v>DIÁLOGO DE SAÚDE E SEGURANÇA - DSS</v>
      </c>
      <c r="H394" s="25"/>
      <c r="I394" s="25">
        <v>45888</v>
      </c>
      <c r="J394" s="22">
        <v>12</v>
      </c>
      <c r="K394" s="25">
        <f t="shared" si="17"/>
        <v>46253</v>
      </c>
      <c r="L394" s="28" t="str">
        <f t="shared" ca="1" si="16"/>
        <v>Em dia</v>
      </c>
      <c r="M394" s="33" t="s">
        <v>42</v>
      </c>
      <c r="N394" s="28" t="s">
        <v>21</v>
      </c>
      <c r="O394" s="22" t="s">
        <v>28</v>
      </c>
      <c r="P394" s="25">
        <f t="shared" si="15"/>
        <v>45980</v>
      </c>
      <c r="Q394" s="25"/>
      <c r="R394" s="25"/>
      <c r="S394" s="7" t="s">
        <v>27</v>
      </c>
      <c r="T394" s="28">
        <v>1</v>
      </c>
    </row>
    <row r="395" spans="1:20" ht="14.25" customHeight="1">
      <c r="A395" s="22">
        <v>445</v>
      </c>
      <c r="B395" s="36">
        <v>13810</v>
      </c>
      <c r="C395" s="22" t="str">
        <f>IFERROR(VLOOKUP(B395,Colaboradores!A:D,2,),"")</f>
        <v>CAMILA CHAVES SILVA</v>
      </c>
      <c r="D395" s="22" t="str">
        <f>IFERROR(VLOOKUP(B395,Colaboradores!A:D,3,),"")</f>
        <v>DIRETORIA</v>
      </c>
      <c r="E395" s="22" t="str">
        <f>IFERROR(VLOOKUP(B395,Colaboradores!A:D,4,),"")</f>
        <v>ASSESSOR JURÍDICO</v>
      </c>
      <c r="F395" s="22" t="s">
        <v>43</v>
      </c>
      <c r="G395" s="24" t="str">
        <f>IFERROR(VLOOKUP(F395,Procedimentos!A:C,2,),"")</f>
        <v>DIÁLOGO DE SAÚDE E SEGURANÇA - DSS</v>
      </c>
      <c r="H395" s="25"/>
      <c r="I395" s="25">
        <v>45888</v>
      </c>
      <c r="J395" s="22">
        <v>12</v>
      </c>
      <c r="K395" s="25">
        <f t="shared" si="17"/>
        <v>46253</v>
      </c>
      <c r="L395" s="28" t="str">
        <f t="shared" ca="1" si="16"/>
        <v>Em dia</v>
      </c>
      <c r="M395" s="33" t="s">
        <v>42</v>
      </c>
      <c r="N395" s="28" t="s">
        <v>21</v>
      </c>
      <c r="O395" s="22" t="s">
        <v>28</v>
      </c>
      <c r="P395" s="25">
        <f t="shared" si="15"/>
        <v>45980</v>
      </c>
      <c r="Q395" s="25"/>
      <c r="R395" s="25"/>
      <c r="S395" s="7" t="s">
        <v>27</v>
      </c>
      <c r="T395" s="28">
        <v>1</v>
      </c>
    </row>
    <row r="396" spans="1:20" ht="14.25" customHeight="1">
      <c r="A396" s="22">
        <v>446</v>
      </c>
      <c r="B396" s="36">
        <v>12451</v>
      </c>
      <c r="C396" s="22" t="str">
        <f>IFERROR(VLOOKUP(B396,Colaboradores!A:D,2,),"")</f>
        <v>JORGE CARLOS ARAUJO DE ARAUJO</v>
      </c>
      <c r="D396" s="22" t="str">
        <f>IFERROR(VLOOKUP(B396,Colaboradores!A:D,3,),"")</f>
        <v>DIRETORIA</v>
      </c>
      <c r="E396" s="22" t="str">
        <f>IFERROR(VLOOKUP(B396,Colaboradores!A:D,4,),"")</f>
        <v>DIRETOR GERAL</v>
      </c>
      <c r="F396" s="22" t="s">
        <v>44</v>
      </c>
      <c r="G396" s="24" t="str">
        <f>IFERROR(VLOOKUP(F396,Procedimentos!A:C,2,),"")</f>
        <v>DIRETRIZES PARA GESTÃO DE EQUIPAMENTOS DE PROTEÇÃO INDIVIDUAL - EPI'S</v>
      </c>
      <c r="H396" s="25"/>
      <c r="I396" s="25">
        <v>45888</v>
      </c>
      <c r="J396" s="22">
        <v>12</v>
      </c>
      <c r="K396" s="25">
        <f t="shared" si="17"/>
        <v>46253</v>
      </c>
      <c r="L396" s="28" t="str">
        <f t="shared" ca="1" si="16"/>
        <v>Em dia</v>
      </c>
      <c r="M396" s="33" t="s">
        <v>42</v>
      </c>
      <c r="N396" s="28" t="s">
        <v>21</v>
      </c>
      <c r="O396" s="22" t="s">
        <v>28</v>
      </c>
      <c r="P396" s="25">
        <f t="shared" si="15"/>
        <v>45980</v>
      </c>
      <c r="Q396" s="25"/>
      <c r="R396" s="25"/>
      <c r="S396" s="7" t="s">
        <v>27</v>
      </c>
      <c r="T396" s="28">
        <v>1</v>
      </c>
    </row>
    <row r="397" spans="1:20" ht="14.25" customHeight="1">
      <c r="A397" s="22">
        <v>447</v>
      </c>
      <c r="B397" s="36">
        <v>13810</v>
      </c>
      <c r="C397" s="22" t="str">
        <f>IFERROR(VLOOKUP(B397,Colaboradores!A:D,2,),"")</f>
        <v>CAMILA CHAVES SILVA</v>
      </c>
      <c r="D397" s="22" t="str">
        <f>IFERROR(VLOOKUP(B397,Colaboradores!A:D,3,),"")</f>
        <v>DIRETORIA</v>
      </c>
      <c r="E397" s="22" t="str">
        <f>IFERROR(VLOOKUP(B397,Colaboradores!A:D,4,),"")</f>
        <v>ASSESSOR JURÍDICO</v>
      </c>
      <c r="F397" s="22" t="s">
        <v>44</v>
      </c>
      <c r="G397" s="24" t="str">
        <f>IFERROR(VLOOKUP(F397,Procedimentos!A:C,2,),"")</f>
        <v>DIRETRIZES PARA GESTÃO DE EQUIPAMENTOS DE PROTEÇÃO INDIVIDUAL - EPI'S</v>
      </c>
      <c r="H397" s="25"/>
      <c r="I397" s="25">
        <v>45888</v>
      </c>
      <c r="J397" s="22">
        <v>12</v>
      </c>
      <c r="K397" s="25">
        <f t="shared" si="17"/>
        <v>46253</v>
      </c>
      <c r="L397" s="28" t="str">
        <f t="shared" ca="1" si="16"/>
        <v>Em dia</v>
      </c>
      <c r="M397" s="33" t="s">
        <v>42</v>
      </c>
      <c r="N397" s="28" t="s">
        <v>21</v>
      </c>
      <c r="O397" s="22" t="s">
        <v>28</v>
      </c>
      <c r="P397" s="25">
        <f t="shared" si="15"/>
        <v>45980</v>
      </c>
      <c r="Q397" s="25"/>
      <c r="R397" s="25"/>
      <c r="S397" s="7" t="s">
        <v>27</v>
      </c>
      <c r="T397" s="28">
        <v>1</v>
      </c>
    </row>
    <row r="398" spans="1:20" ht="14.25" customHeight="1">
      <c r="A398" s="22">
        <v>448</v>
      </c>
      <c r="B398" s="36">
        <v>12451</v>
      </c>
      <c r="C398" s="22" t="str">
        <f>IFERROR(VLOOKUP(B398,Colaboradores!A:D,2,),"")</f>
        <v>JORGE CARLOS ARAUJO DE ARAUJO</v>
      </c>
      <c r="D398" s="22" t="str">
        <f>IFERROR(VLOOKUP(B398,Colaboradores!A:D,3,),"")</f>
        <v>DIRETORIA</v>
      </c>
      <c r="E398" s="22" t="str">
        <f>IFERROR(VLOOKUP(B398,Colaboradores!A:D,4,),"")</f>
        <v>DIRETOR GERAL</v>
      </c>
      <c r="F398" s="22" t="s">
        <v>45</v>
      </c>
      <c r="G398" s="24" t="str">
        <f>IFERROR(VLOOKUP(F398,Procedimentos!A:C,2,),"")</f>
        <v>CONSTITUIÇÃO INTERNA DE PREVENÇÃO DE ACIDENTES E DE ASSÉDIOS - CIPA</v>
      </c>
      <c r="H398" s="25"/>
      <c r="I398" s="25">
        <v>45888</v>
      </c>
      <c r="J398" s="22">
        <v>12</v>
      </c>
      <c r="K398" s="25">
        <f t="shared" si="17"/>
        <v>46253</v>
      </c>
      <c r="L398" s="28" t="str">
        <f t="shared" ca="1" si="16"/>
        <v>Em dia</v>
      </c>
      <c r="M398" s="33" t="s">
        <v>42</v>
      </c>
      <c r="N398" s="28" t="s">
        <v>21</v>
      </c>
      <c r="O398" s="22" t="s">
        <v>28</v>
      </c>
      <c r="P398" s="25">
        <f t="shared" si="15"/>
        <v>45980</v>
      </c>
      <c r="Q398" s="25"/>
      <c r="R398" s="25"/>
      <c r="S398" s="7" t="s">
        <v>27</v>
      </c>
      <c r="T398" s="28">
        <v>1</v>
      </c>
    </row>
    <row r="399" spans="1:20" ht="14.25" customHeight="1">
      <c r="A399" s="22">
        <v>449</v>
      </c>
      <c r="B399" s="36">
        <v>13810</v>
      </c>
      <c r="C399" s="22" t="str">
        <f>IFERROR(VLOOKUP(B399,Colaboradores!A:D,2,),"")</f>
        <v>CAMILA CHAVES SILVA</v>
      </c>
      <c r="D399" s="22" t="str">
        <f>IFERROR(VLOOKUP(B399,Colaboradores!A:D,3,),"")</f>
        <v>DIRETORIA</v>
      </c>
      <c r="E399" s="22" t="str">
        <f>IFERROR(VLOOKUP(B399,Colaboradores!A:D,4,),"")</f>
        <v>ASSESSOR JURÍDICO</v>
      </c>
      <c r="F399" s="22" t="s">
        <v>45</v>
      </c>
      <c r="G399" s="24" t="str">
        <f>IFERROR(VLOOKUP(F399,Procedimentos!A:C,2,),"")</f>
        <v>CONSTITUIÇÃO INTERNA DE PREVENÇÃO DE ACIDENTES E DE ASSÉDIOS - CIPA</v>
      </c>
      <c r="H399" s="25"/>
      <c r="I399" s="25">
        <v>45888</v>
      </c>
      <c r="J399" s="22">
        <v>12</v>
      </c>
      <c r="K399" s="25">
        <f t="shared" si="17"/>
        <v>46253</v>
      </c>
      <c r="L399" s="28" t="str">
        <f t="shared" ca="1" si="16"/>
        <v>Em dia</v>
      </c>
      <c r="M399" s="33" t="s">
        <v>42</v>
      </c>
      <c r="N399" s="28" t="s">
        <v>21</v>
      </c>
      <c r="O399" s="22" t="s">
        <v>28</v>
      </c>
      <c r="P399" s="25">
        <f t="shared" si="15"/>
        <v>45980</v>
      </c>
      <c r="Q399" s="25"/>
      <c r="R399" s="25"/>
      <c r="S399" s="7" t="s">
        <v>27</v>
      </c>
      <c r="T399" s="28">
        <v>1</v>
      </c>
    </row>
    <row r="400" spans="1:20" ht="14.25" customHeight="1">
      <c r="A400" s="22">
        <v>451</v>
      </c>
      <c r="B400" s="37">
        <v>12486</v>
      </c>
      <c r="C400" s="22" t="str">
        <f>IFERROR(VLOOKUP(B400,Colaboradores!A:D,2,),"")</f>
        <v>ENEAS GALVAO MAGALHAES BRITO</v>
      </c>
      <c r="D400" s="22" t="str">
        <f>IFERROR(VLOOKUP(B400,Colaboradores!A:D,3,),"")</f>
        <v>MEIO AMBIENTE</v>
      </c>
      <c r="E400" s="22" t="str">
        <f>IFERROR(VLOOKUP(B400,Colaboradores!A:D,4,),"")</f>
        <v>ENGENHEIRO DE MEIO AMBIENTE</v>
      </c>
      <c r="F400" s="22" t="s">
        <v>41</v>
      </c>
      <c r="G400" s="24" t="str">
        <f>IFERROR(VLOOKUP(F400,Procedimentos!A:C,2,),"")</f>
        <v>DIRETRIZES PARA COMUNICAÇÃO E INVESTIGAÇÃO DE ACIDENTES</v>
      </c>
      <c r="H400" s="25"/>
      <c r="I400" s="25">
        <v>45888</v>
      </c>
      <c r="J400" s="22">
        <v>12</v>
      </c>
      <c r="K400" s="25">
        <f t="shared" si="17"/>
        <v>46253</v>
      </c>
      <c r="L400" s="28" t="str">
        <f t="shared" ca="1" si="16"/>
        <v>Em dia</v>
      </c>
      <c r="M400" s="33" t="s">
        <v>42</v>
      </c>
      <c r="N400" s="28" t="s">
        <v>21</v>
      </c>
      <c r="O400" s="22" t="s">
        <v>28</v>
      </c>
      <c r="P400" s="25">
        <f t="shared" si="15"/>
        <v>45980</v>
      </c>
      <c r="Q400" s="25"/>
      <c r="R400" s="25"/>
      <c r="S400" s="7" t="s">
        <v>27</v>
      </c>
      <c r="T400" s="28">
        <v>1</v>
      </c>
    </row>
    <row r="401" spans="1:20" ht="14.25" customHeight="1">
      <c r="A401" s="22">
        <v>452</v>
      </c>
      <c r="B401" s="37">
        <v>14013</v>
      </c>
      <c r="C401" s="22" t="str">
        <f>IFERROR(VLOOKUP(B401,Colaboradores!A:D,2,),"")</f>
        <v>IGOR WARWICK SANTOS DE CASTRO</v>
      </c>
      <c r="D401" s="22" t="str">
        <f>IFERROR(VLOOKUP(B401,Colaboradores!A:D,3,),"")</f>
        <v>MEIO AMBIENTE</v>
      </c>
      <c r="E401" s="22" t="str">
        <f>IFERROR(VLOOKUP(B401,Colaboradores!A:D,4,),"")</f>
        <v>ASSISTENTE ADMINISTRATIVO</v>
      </c>
      <c r="F401" s="22" t="s">
        <v>41</v>
      </c>
      <c r="G401" s="24" t="str">
        <f>IFERROR(VLOOKUP(F401,Procedimentos!A:C,2,),"")</f>
        <v>DIRETRIZES PARA COMUNICAÇÃO E INVESTIGAÇÃO DE ACIDENTES</v>
      </c>
      <c r="H401" s="25"/>
      <c r="I401" s="25">
        <v>45888</v>
      </c>
      <c r="J401" s="22">
        <v>12</v>
      </c>
      <c r="K401" s="25">
        <f t="shared" si="17"/>
        <v>46253</v>
      </c>
      <c r="L401" s="28" t="str">
        <f t="shared" ca="1" si="16"/>
        <v>Em dia</v>
      </c>
      <c r="M401" s="33" t="s">
        <v>42</v>
      </c>
      <c r="N401" s="28" t="s">
        <v>21</v>
      </c>
      <c r="O401" s="22" t="s">
        <v>28</v>
      </c>
      <c r="P401" s="25">
        <f t="shared" si="15"/>
        <v>45980</v>
      </c>
      <c r="Q401" s="25"/>
      <c r="R401" s="25"/>
      <c r="S401" s="7" t="s">
        <v>27</v>
      </c>
      <c r="T401" s="28">
        <v>1</v>
      </c>
    </row>
    <row r="402" spans="1:20" ht="14.25" customHeight="1">
      <c r="A402" s="22">
        <v>453</v>
      </c>
      <c r="B402" s="37">
        <v>13741</v>
      </c>
      <c r="C402" s="22" t="str">
        <f>IFERROR(VLOOKUP(B402,Colaboradores!A:D,2,),"")</f>
        <v>LUCAS LOPES VIEIRA</v>
      </c>
      <c r="D402" s="22" t="str">
        <f>IFERROR(VLOOKUP(B402,Colaboradores!A:D,3,),"")</f>
        <v>MEIO AMBIENTE</v>
      </c>
      <c r="E402" s="22" t="str">
        <f>IFERROR(VLOOKUP(B402,Colaboradores!A:D,4,),"")</f>
        <v>ENGENHEIRO DE MEIO AMBIENTE</v>
      </c>
      <c r="F402" s="22" t="s">
        <v>41</v>
      </c>
      <c r="G402" s="24" t="str">
        <f>IFERROR(VLOOKUP(F402,Procedimentos!A:C,2,),"")</f>
        <v>DIRETRIZES PARA COMUNICAÇÃO E INVESTIGAÇÃO DE ACIDENTES</v>
      </c>
      <c r="H402" s="25"/>
      <c r="I402" s="25">
        <v>45888</v>
      </c>
      <c r="J402" s="22">
        <v>12</v>
      </c>
      <c r="K402" s="25">
        <f t="shared" si="17"/>
        <v>46253</v>
      </c>
      <c r="L402" s="28" t="str">
        <f t="shared" ca="1" si="16"/>
        <v>Em dia</v>
      </c>
      <c r="M402" s="33" t="s">
        <v>42</v>
      </c>
      <c r="N402" s="28" t="s">
        <v>21</v>
      </c>
      <c r="O402" s="22" t="s">
        <v>28</v>
      </c>
      <c r="P402" s="25">
        <f t="shared" si="15"/>
        <v>45980</v>
      </c>
      <c r="Q402" s="25"/>
      <c r="R402" s="25"/>
      <c r="S402" s="7" t="s">
        <v>27</v>
      </c>
      <c r="T402" s="28">
        <v>1</v>
      </c>
    </row>
    <row r="403" spans="1:20" ht="14.25" customHeight="1">
      <c r="A403" s="22">
        <v>454</v>
      </c>
      <c r="B403" s="37">
        <v>14246</v>
      </c>
      <c r="C403" s="22" t="str">
        <f>IFERROR(VLOOKUP(B403,Colaboradores!A:D,2,),"")</f>
        <v>THIALISSON SILVA MORAES</v>
      </c>
      <c r="D403" s="22" t="str">
        <f>IFERROR(VLOOKUP(B403,Colaboradores!A:D,3,),"")</f>
        <v>MEIO AMBIENTE</v>
      </c>
      <c r="E403" s="22" t="str">
        <f>IFERROR(VLOOKUP(B403,Colaboradores!A:D,4,),"")</f>
        <v>ANALISTA DE MEIO AMBIENTE</v>
      </c>
      <c r="F403" s="22" t="s">
        <v>41</v>
      </c>
      <c r="G403" s="24" t="str">
        <f>IFERROR(VLOOKUP(F403,Procedimentos!A:C,2,),"")</f>
        <v>DIRETRIZES PARA COMUNICAÇÃO E INVESTIGAÇÃO DE ACIDENTES</v>
      </c>
      <c r="H403" s="25"/>
      <c r="I403" s="25">
        <v>45888</v>
      </c>
      <c r="J403" s="22">
        <v>12</v>
      </c>
      <c r="K403" s="25">
        <f t="shared" si="17"/>
        <v>46253</v>
      </c>
      <c r="L403" s="28" t="str">
        <f t="shared" ca="1" si="16"/>
        <v>Em dia</v>
      </c>
      <c r="M403" s="33" t="s">
        <v>42</v>
      </c>
      <c r="N403" s="28" t="s">
        <v>21</v>
      </c>
      <c r="O403" s="22" t="s">
        <v>28</v>
      </c>
      <c r="P403" s="25">
        <f t="shared" si="15"/>
        <v>45980</v>
      </c>
      <c r="Q403" s="25"/>
      <c r="R403" s="25"/>
      <c r="S403" s="7" t="s">
        <v>27</v>
      </c>
      <c r="T403" s="28">
        <v>1</v>
      </c>
    </row>
    <row r="404" spans="1:20" ht="14.25" customHeight="1">
      <c r="A404" s="22">
        <v>456</v>
      </c>
      <c r="B404" s="37">
        <v>12486</v>
      </c>
      <c r="C404" s="22" t="str">
        <f>IFERROR(VLOOKUP(B404,Colaboradores!A:D,2,),"")</f>
        <v>ENEAS GALVAO MAGALHAES BRITO</v>
      </c>
      <c r="D404" s="22" t="str">
        <f>IFERROR(VLOOKUP(B404,Colaboradores!A:D,3,),"")</f>
        <v>MEIO AMBIENTE</v>
      </c>
      <c r="E404" s="22" t="str">
        <f>IFERROR(VLOOKUP(B404,Colaboradores!A:D,4,),"")</f>
        <v>ENGENHEIRO DE MEIO AMBIENTE</v>
      </c>
      <c r="F404" s="22" t="s">
        <v>43</v>
      </c>
      <c r="G404" s="24" t="str">
        <f>IFERROR(VLOOKUP(F404,Procedimentos!A:C,2,),"")</f>
        <v>DIÁLOGO DE SAÚDE E SEGURANÇA - DSS</v>
      </c>
      <c r="H404" s="25"/>
      <c r="I404" s="25">
        <v>45888</v>
      </c>
      <c r="J404" s="22">
        <v>12</v>
      </c>
      <c r="K404" s="25">
        <f t="shared" si="17"/>
        <v>46253</v>
      </c>
      <c r="L404" s="28" t="str">
        <f t="shared" ca="1" si="16"/>
        <v>Em dia</v>
      </c>
      <c r="M404" s="33" t="s">
        <v>42</v>
      </c>
      <c r="N404" s="28" t="s">
        <v>21</v>
      </c>
      <c r="O404" s="22" t="s">
        <v>28</v>
      </c>
      <c r="P404" s="25">
        <f t="shared" si="15"/>
        <v>45980</v>
      </c>
      <c r="Q404" s="25"/>
      <c r="R404" s="25"/>
      <c r="S404" s="7" t="s">
        <v>27</v>
      </c>
      <c r="T404" s="28">
        <v>1</v>
      </c>
    </row>
    <row r="405" spans="1:20" ht="14.25" customHeight="1">
      <c r="A405" s="22">
        <v>457</v>
      </c>
      <c r="B405" s="37">
        <v>14013</v>
      </c>
      <c r="C405" s="22" t="str">
        <f>IFERROR(VLOOKUP(B405,Colaboradores!A:D,2,),"")</f>
        <v>IGOR WARWICK SANTOS DE CASTRO</v>
      </c>
      <c r="D405" s="22" t="str">
        <f>IFERROR(VLOOKUP(B405,Colaboradores!A:D,3,),"")</f>
        <v>MEIO AMBIENTE</v>
      </c>
      <c r="E405" s="22" t="str">
        <f>IFERROR(VLOOKUP(B405,Colaboradores!A:D,4,),"")</f>
        <v>ASSISTENTE ADMINISTRATIVO</v>
      </c>
      <c r="F405" s="22" t="s">
        <v>43</v>
      </c>
      <c r="G405" s="24" t="str">
        <f>IFERROR(VLOOKUP(F405,Procedimentos!A:C,2,),"")</f>
        <v>DIÁLOGO DE SAÚDE E SEGURANÇA - DSS</v>
      </c>
      <c r="H405" s="25"/>
      <c r="I405" s="25">
        <v>45888</v>
      </c>
      <c r="J405" s="22">
        <v>12</v>
      </c>
      <c r="K405" s="25">
        <f t="shared" si="17"/>
        <v>46253</v>
      </c>
      <c r="L405" s="28" t="str">
        <f t="shared" ca="1" si="16"/>
        <v>Em dia</v>
      </c>
      <c r="M405" s="33" t="s">
        <v>42</v>
      </c>
      <c r="N405" s="28" t="s">
        <v>21</v>
      </c>
      <c r="O405" s="22" t="s">
        <v>28</v>
      </c>
      <c r="P405" s="25">
        <f t="shared" si="15"/>
        <v>45980</v>
      </c>
      <c r="Q405" s="25"/>
      <c r="R405" s="25"/>
      <c r="S405" s="7" t="s">
        <v>27</v>
      </c>
      <c r="T405" s="28">
        <v>1</v>
      </c>
    </row>
    <row r="406" spans="1:20" ht="14.25" customHeight="1">
      <c r="A406" s="22">
        <v>458</v>
      </c>
      <c r="B406" s="37">
        <v>13741</v>
      </c>
      <c r="C406" s="22" t="str">
        <f>IFERROR(VLOOKUP(B406,Colaboradores!A:D,2,),"")</f>
        <v>LUCAS LOPES VIEIRA</v>
      </c>
      <c r="D406" s="22" t="str">
        <f>IFERROR(VLOOKUP(B406,Colaboradores!A:D,3,),"")</f>
        <v>MEIO AMBIENTE</v>
      </c>
      <c r="E406" s="22" t="str">
        <f>IFERROR(VLOOKUP(B406,Colaboradores!A:D,4,),"")</f>
        <v>ENGENHEIRO DE MEIO AMBIENTE</v>
      </c>
      <c r="F406" s="22" t="s">
        <v>43</v>
      </c>
      <c r="G406" s="24" t="str">
        <f>IFERROR(VLOOKUP(F406,Procedimentos!A:C,2,),"")</f>
        <v>DIÁLOGO DE SAÚDE E SEGURANÇA - DSS</v>
      </c>
      <c r="H406" s="25"/>
      <c r="I406" s="25">
        <v>45888</v>
      </c>
      <c r="J406" s="22">
        <v>12</v>
      </c>
      <c r="K406" s="25">
        <f t="shared" si="17"/>
        <v>46253</v>
      </c>
      <c r="L406" s="28" t="str">
        <f t="shared" ca="1" si="16"/>
        <v>Em dia</v>
      </c>
      <c r="M406" s="33" t="s">
        <v>42</v>
      </c>
      <c r="N406" s="28" t="s">
        <v>21</v>
      </c>
      <c r="O406" s="22" t="s">
        <v>28</v>
      </c>
      <c r="P406" s="25">
        <f t="shared" si="15"/>
        <v>45980</v>
      </c>
      <c r="Q406" s="25"/>
      <c r="R406" s="25"/>
      <c r="S406" s="7" t="s">
        <v>27</v>
      </c>
      <c r="T406" s="28">
        <v>1</v>
      </c>
    </row>
    <row r="407" spans="1:20" ht="14.25" customHeight="1">
      <c r="A407" s="22">
        <v>459</v>
      </c>
      <c r="B407" s="37">
        <v>14246</v>
      </c>
      <c r="C407" s="22" t="str">
        <f>IFERROR(VLOOKUP(B407,Colaboradores!A:D,2,),"")</f>
        <v>THIALISSON SILVA MORAES</v>
      </c>
      <c r="D407" s="22" t="str">
        <f>IFERROR(VLOOKUP(B407,Colaboradores!A:D,3,),"")</f>
        <v>MEIO AMBIENTE</v>
      </c>
      <c r="E407" s="22" t="str">
        <f>IFERROR(VLOOKUP(B407,Colaboradores!A:D,4,),"")</f>
        <v>ANALISTA DE MEIO AMBIENTE</v>
      </c>
      <c r="F407" s="22" t="s">
        <v>43</v>
      </c>
      <c r="G407" s="24" t="str">
        <f>IFERROR(VLOOKUP(F407,Procedimentos!A:C,2,),"")</f>
        <v>DIÁLOGO DE SAÚDE E SEGURANÇA - DSS</v>
      </c>
      <c r="H407" s="25"/>
      <c r="I407" s="25">
        <v>45888</v>
      </c>
      <c r="J407" s="22">
        <v>12</v>
      </c>
      <c r="K407" s="25">
        <f t="shared" si="17"/>
        <v>46253</v>
      </c>
      <c r="L407" s="28" t="str">
        <f t="shared" ca="1" si="16"/>
        <v>Em dia</v>
      </c>
      <c r="M407" s="33" t="s">
        <v>42</v>
      </c>
      <c r="N407" s="28" t="s">
        <v>21</v>
      </c>
      <c r="O407" s="22" t="s">
        <v>28</v>
      </c>
      <c r="P407" s="25">
        <f t="shared" si="15"/>
        <v>45980</v>
      </c>
      <c r="Q407" s="25"/>
      <c r="R407" s="25"/>
      <c r="S407" s="7" t="s">
        <v>27</v>
      </c>
      <c r="T407" s="28">
        <v>1</v>
      </c>
    </row>
    <row r="408" spans="1:20" ht="14.25" customHeight="1">
      <c r="A408" s="22">
        <v>461</v>
      </c>
      <c r="B408" s="37">
        <v>12486</v>
      </c>
      <c r="C408" s="22" t="str">
        <f>IFERROR(VLOOKUP(B408,Colaboradores!A:D,2,),"")</f>
        <v>ENEAS GALVAO MAGALHAES BRITO</v>
      </c>
      <c r="D408" s="22" t="str">
        <f>IFERROR(VLOOKUP(B408,Colaboradores!A:D,3,),"")</f>
        <v>MEIO AMBIENTE</v>
      </c>
      <c r="E408" s="22" t="str">
        <f>IFERROR(VLOOKUP(B408,Colaboradores!A:D,4,),"")</f>
        <v>ENGENHEIRO DE MEIO AMBIENTE</v>
      </c>
      <c r="F408" s="22" t="s">
        <v>44</v>
      </c>
      <c r="G408" s="24" t="str">
        <f>IFERROR(VLOOKUP(F408,Procedimentos!A:C,2,),"")</f>
        <v>DIRETRIZES PARA GESTÃO DE EQUIPAMENTOS DE PROTEÇÃO INDIVIDUAL - EPI'S</v>
      </c>
      <c r="H408" s="25"/>
      <c r="I408" s="25">
        <v>45888</v>
      </c>
      <c r="J408" s="22">
        <v>12</v>
      </c>
      <c r="K408" s="25">
        <f t="shared" si="17"/>
        <v>46253</v>
      </c>
      <c r="L408" s="28" t="str">
        <f t="shared" ca="1" si="16"/>
        <v>Em dia</v>
      </c>
      <c r="M408" s="33" t="s">
        <v>42</v>
      </c>
      <c r="N408" s="28" t="s">
        <v>21</v>
      </c>
      <c r="O408" s="22" t="s">
        <v>28</v>
      </c>
      <c r="P408" s="25">
        <f t="shared" si="15"/>
        <v>45980</v>
      </c>
      <c r="Q408" s="25"/>
      <c r="R408" s="25"/>
      <c r="S408" s="7" t="s">
        <v>27</v>
      </c>
      <c r="T408" s="28">
        <v>1</v>
      </c>
    </row>
    <row r="409" spans="1:20" ht="14.25" customHeight="1">
      <c r="A409" s="22">
        <v>462</v>
      </c>
      <c r="B409" s="37">
        <v>14013</v>
      </c>
      <c r="C409" s="22" t="str">
        <f>IFERROR(VLOOKUP(B409,Colaboradores!A:D,2,),"")</f>
        <v>IGOR WARWICK SANTOS DE CASTRO</v>
      </c>
      <c r="D409" s="22" t="str">
        <f>IFERROR(VLOOKUP(B409,Colaboradores!A:D,3,),"")</f>
        <v>MEIO AMBIENTE</v>
      </c>
      <c r="E409" s="22" t="str">
        <f>IFERROR(VLOOKUP(B409,Colaboradores!A:D,4,),"")</f>
        <v>ASSISTENTE ADMINISTRATIVO</v>
      </c>
      <c r="F409" s="22" t="s">
        <v>44</v>
      </c>
      <c r="G409" s="24" t="str">
        <f>IFERROR(VLOOKUP(F409,Procedimentos!A:C,2,),"")</f>
        <v>DIRETRIZES PARA GESTÃO DE EQUIPAMENTOS DE PROTEÇÃO INDIVIDUAL - EPI'S</v>
      </c>
      <c r="H409" s="25"/>
      <c r="I409" s="25">
        <v>45888</v>
      </c>
      <c r="J409" s="22">
        <v>12</v>
      </c>
      <c r="K409" s="25">
        <f t="shared" si="17"/>
        <v>46253</v>
      </c>
      <c r="L409" s="28" t="str">
        <f t="shared" ca="1" si="16"/>
        <v>Em dia</v>
      </c>
      <c r="M409" s="33" t="s">
        <v>42</v>
      </c>
      <c r="N409" s="28" t="s">
        <v>21</v>
      </c>
      <c r="O409" s="22" t="s">
        <v>28</v>
      </c>
      <c r="P409" s="25">
        <f t="shared" si="15"/>
        <v>45980</v>
      </c>
      <c r="Q409" s="25"/>
      <c r="R409" s="25"/>
      <c r="S409" s="7" t="s">
        <v>27</v>
      </c>
      <c r="T409" s="28">
        <v>1</v>
      </c>
    </row>
    <row r="410" spans="1:20" ht="14.25" customHeight="1">
      <c r="A410" s="22">
        <v>463</v>
      </c>
      <c r="B410" s="37">
        <v>13741</v>
      </c>
      <c r="C410" s="22" t="str">
        <f>IFERROR(VLOOKUP(B410,Colaboradores!A:D,2,),"")</f>
        <v>LUCAS LOPES VIEIRA</v>
      </c>
      <c r="D410" s="22" t="str">
        <f>IFERROR(VLOOKUP(B410,Colaboradores!A:D,3,),"")</f>
        <v>MEIO AMBIENTE</v>
      </c>
      <c r="E410" s="22" t="str">
        <f>IFERROR(VLOOKUP(B410,Colaboradores!A:D,4,),"")</f>
        <v>ENGENHEIRO DE MEIO AMBIENTE</v>
      </c>
      <c r="F410" s="22" t="s">
        <v>44</v>
      </c>
      <c r="G410" s="24" t="str">
        <f>IFERROR(VLOOKUP(F410,Procedimentos!A:C,2,),"")</f>
        <v>DIRETRIZES PARA GESTÃO DE EQUIPAMENTOS DE PROTEÇÃO INDIVIDUAL - EPI'S</v>
      </c>
      <c r="H410" s="25"/>
      <c r="I410" s="25">
        <v>45888</v>
      </c>
      <c r="J410" s="22">
        <v>12</v>
      </c>
      <c r="K410" s="25">
        <f t="shared" si="17"/>
        <v>46253</v>
      </c>
      <c r="L410" s="28" t="str">
        <f t="shared" ca="1" si="16"/>
        <v>Em dia</v>
      </c>
      <c r="M410" s="33" t="s">
        <v>42</v>
      </c>
      <c r="N410" s="28" t="s">
        <v>21</v>
      </c>
      <c r="O410" s="22" t="s">
        <v>28</v>
      </c>
      <c r="P410" s="25">
        <f t="shared" si="15"/>
        <v>45980</v>
      </c>
      <c r="Q410" s="25"/>
      <c r="R410" s="25"/>
      <c r="S410" s="7" t="s">
        <v>27</v>
      </c>
      <c r="T410" s="28">
        <v>1</v>
      </c>
    </row>
    <row r="411" spans="1:20" ht="14.25" customHeight="1">
      <c r="A411" s="22">
        <v>464</v>
      </c>
      <c r="B411" s="37">
        <v>14246</v>
      </c>
      <c r="C411" s="22" t="str">
        <f>IFERROR(VLOOKUP(B411,Colaboradores!A:D,2,),"")</f>
        <v>THIALISSON SILVA MORAES</v>
      </c>
      <c r="D411" s="22" t="str">
        <f>IFERROR(VLOOKUP(B411,Colaboradores!A:D,3,),"")</f>
        <v>MEIO AMBIENTE</v>
      </c>
      <c r="E411" s="22" t="str">
        <f>IFERROR(VLOOKUP(B411,Colaboradores!A:D,4,),"")</f>
        <v>ANALISTA DE MEIO AMBIENTE</v>
      </c>
      <c r="F411" s="22" t="s">
        <v>44</v>
      </c>
      <c r="G411" s="24" t="str">
        <f>IFERROR(VLOOKUP(F411,Procedimentos!A:C,2,),"")</f>
        <v>DIRETRIZES PARA GESTÃO DE EQUIPAMENTOS DE PROTEÇÃO INDIVIDUAL - EPI'S</v>
      </c>
      <c r="H411" s="25"/>
      <c r="I411" s="25">
        <v>45888</v>
      </c>
      <c r="J411" s="22">
        <v>12</v>
      </c>
      <c r="K411" s="25">
        <f t="shared" si="17"/>
        <v>46253</v>
      </c>
      <c r="L411" s="28" t="str">
        <f t="shared" ca="1" si="16"/>
        <v>Em dia</v>
      </c>
      <c r="M411" s="33" t="s">
        <v>42</v>
      </c>
      <c r="N411" s="28" t="s">
        <v>21</v>
      </c>
      <c r="O411" s="22" t="s">
        <v>28</v>
      </c>
      <c r="P411" s="25">
        <f t="shared" si="15"/>
        <v>45980</v>
      </c>
      <c r="Q411" s="25"/>
      <c r="R411" s="25"/>
      <c r="S411" s="7" t="s">
        <v>27</v>
      </c>
      <c r="T411" s="28">
        <v>1</v>
      </c>
    </row>
    <row r="412" spans="1:20" ht="14.25" customHeight="1">
      <c r="A412" s="22">
        <v>466</v>
      </c>
      <c r="B412" s="37">
        <v>12486</v>
      </c>
      <c r="C412" s="22" t="str">
        <f>IFERROR(VLOOKUP(B412,Colaboradores!A:D,2,),"")</f>
        <v>ENEAS GALVAO MAGALHAES BRITO</v>
      </c>
      <c r="D412" s="22" t="str">
        <f>IFERROR(VLOOKUP(B412,Colaboradores!A:D,3,),"")</f>
        <v>MEIO AMBIENTE</v>
      </c>
      <c r="E412" s="22" t="str">
        <f>IFERROR(VLOOKUP(B412,Colaboradores!A:D,4,),"")</f>
        <v>ENGENHEIRO DE MEIO AMBIENTE</v>
      </c>
      <c r="F412" s="22" t="s">
        <v>45</v>
      </c>
      <c r="G412" s="24" t="str">
        <f>IFERROR(VLOOKUP(F412,Procedimentos!A:C,2,),"")</f>
        <v>CONSTITUIÇÃO INTERNA DE PREVENÇÃO DE ACIDENTES E DE ASSÉDIOS - CIPA</v>
      </c>
      <c r="H412" s="25"/>
      <c r="I412" s="25">
        <v>45888</v>
      </c>
      <c r="J412" s="22">
        <v>12</v>
      </c>
      <c r="K412" s="25">
        <f t="shared" si="17"/>
        <v>46253</v>
      </c>
      <c r="L412" s="28" t="str">
        <f t="shared" ca="1" si="16"/>
        <v>Em dia</v>
      </c>
      <c r="M412" s="33" t="s">
        <v>42</v>
      </c>
      <c r="N412" s="28" t="s">
        <v>21</v>
      </c>
      <c r="O412" s="22" t="s">
        <v>28</v>
      </c>
      <c r="P412" s="25">
        <f t="shared" si="15"/>
        <v>45980</v>
      </c>
      <c r="Q412" s="25"/>
      <c r="R412" s="25"/>
      <c r="S412" s="7" t="s">
        <v>27</v>
      </c>
      <c r="T412" s="28">
        <v>1</v>
      </c>
    </row>
    <row r="413" spans="1:20" ht="14.25" customHeight="1">
      <c r="A413" s="22">
        <v>467</v>
      </c>
      <c r="B413" s="37">
        <v>14013</v>
      </c>
      <c r="C413" s="22" t="str">
        <f>IFERROR(VLOOKUP(B413,Colaboradores!A:D,2,),"")</f>
        <v>IGOR WARWICK SANTOS DE CASTRO</v>
      </c>
      <c r="D413" s="22" t="str">
        <f>IFERROR(VLOOKUP(B413,Colaboradores!A:D,3,),"")</f>
        <v>MEIO AMBIENTE</v>
      </c>
      <c r="E413" s="22" t="str">
        <f>IFERROR(VLOOKUP(B413,Colaboradores!A:D,4,),"")</f>
        <v>ASSISTENTE ADMINISTRATIVO</v>
      </c>
      <c r="F413" s="22" t="s">
        <v>45</v>
      </c>
      <c r="G413" s="24" t="str">
        <f>IFERROR(VLOOKUP(F413,Procedimentos!A:C,2,),"")</f>
        <v>CONSTITUIÇÃO INTERNA DE PREVENÇÃO DE ACIDENTES E DE ASSÉDIOS - CIPA</v>
      </c>
      <c r="H413" s="25"/>
      <c r="I413" s="25">
        <v>45888</v>
      </c>
      <c r="J413" s="22">
        <v>12</v>
      </c>
      <c r="K413" s="25">
        <f t="shared" si="17"/>
        <v>46253</v>
      </c>
      <c r="L413" s="28" t="str">
        <f t="shared" ca="1" si="16"/>
        <v>Em dia</v>
      </c>
      <c r="M413" s="33" t="s">
        <v>42</v>
      </c>
      <c r="N413" s="28" t="s">
        <v>21</v>
      </c>
      <c r="O413" s="22" t="s">
        <v>28</v>
      </c>
      <c r="P413" s="25">
        <f t="shared" si="15"/>
        <v>45980</v>
      </c>
      <c r="Q413" s="25"/>
      <c r="R413" s="25"/>
      <c r="S413" s="7" t="s">
        <v>27</v>
      </c>
      <c r="T413" s="28">
        <v>1</v>
      </c>
    </row>
    <row r="414" spans="1:20" ht="14.25" customHeight="1">
      <c r="A414" s="22">
        <v>468</v>
      </c>
      <c r="B414" s="37">
        <v>13741</v>
      </c>
      <c r="C414" s="22" t="str">
        <f>IFERROR(VLOOKUP(B414,Colaboradores!A:D,2,),"")</f>
        <v>LUCAS LOPES VIEIRA</v>
      </c>
      <c r="D414" s="22" t="str">
        <f>IFERROR(VLOOKUP(B414,Colaboradores!A:D,3,),"")</f>
        <v>MEIO AMBIENTE</v>
      </c>
      <c r="E414" s="22" t="str">
        <f>IFERROR(VLOOKUP(B414,Colaboradores!A:D,4,),"")</f>
        <v>ENGENHEIRO DE MEIO AMBIENTE</v>
      </c>
      <c r="F414" s="22" t="s">
        <v>45</v>
      </c>
      <c r="G414" s="24" t="str">
        <f>IFERROR(VLOOKUP(F414,Procedimentos!A:C,2,),"")</f>
        <v>CONSTITUIÇÃO INTERNA DE PREVENÇÃO DE ACIDENTES E DE ASSÉDIOS - CIPA</v>
      </c>
      <c r="H414" s="25"/>
      <c r="I414" s="25">
        <v>45888</v>
      </c>
      <c r="J414" s="22">
        <v>12</v>
      </c>
      <c r="K414" s="25">
        <f t="shared" si="17"/>
        <v>46253</v>
      </c>
      <c r="L414" s="28" t="str">
        <f t="shared" ca="1" si="16"/>
        <v>Em dia</v>
      </c>
      <c r="M414" s="33" t="s">
        <v>42</v>
      </c>
      <c r="N414" s="28" t="s">
        <v>21</v>
      </c>
      <c r="O414" s="22" t="s">
        <v>28</v>
      </c>
      <c r="P414" s="25">
        <f t="shared" si="15"/>
        <v>45980</v>
      </c>
      <c r="Q414" s="25"/>
      <c r="R414" s="25"/>
      <c r="S414" s="7" t="s">
        <v>27</v>
      </c>
      <c r="T414" s="28">
        <v>1</v>
      </c>
    </row>
    <row r="415" spans="1:20" ht="14.25" customHeight="1">
      <c r="A415" s="22">
        <v>469</v>
      </c>
      <c r="B415" s="37">
        <v>14246</v>
      </c>
      <c r="C415" s="22" t="str">
        <f>IFERROR(VLOOKUP(B415,Colaboradores!A:D,2,),"")</f>
        <v>THIALISSON SILVA MORAES</v>
      </c>
      <c r="D415" s="22" t="str">
        <f>IFERROR(VLOOKUP(B415,Colaboradores!A:D,3,),"")</f>
        <v>MEIO AMBIENTE</v>
      </c>
      <c r="E415" s="22" t="str">
        <f>IFERROR(VLOOKUP(B415,Colaboradores!A:D,4,),"")</f>
        <v>ANALISTA DE MEIO AMBIENTE</v>
      </c>
      <c r="F415" s="22" t="s">
        <v>45</v>
      </c>
      <c r="G415" s="24" t="str">
        <f>IFERROR(VLOOKUP(F415,Procedimentos!A:C,2,),"")</f>
        <v>CONSTITUIÇÃO INTERNA DE PREVENÇÃO DE ACIDENTES E DE ASSÉDIOS - CIPA</v>
      </c>
      <c r="H415" s="25"/>
      <c r="I415" s="25">
        <v>45888</v>
      </c>
      <c r="J415" s="22">
        <v>12</v>
      </c>
      <c r="K415" s="25">
        <f t="shared" si="17"/>
        <v>46253</v>
      </c>
      <c r="L415" s="28" t="str">
        <f t="shared" ca="1" si="16"/>
        <v>Em dia</v>
      </c>
      <c r="M415" s="33" t="s">
        <v>42</v>
      </c>
      <c r="N415" s="28" t="s">
        <v>21</v>
      </c>
      <c r="O415" s="22" t="s">
        <v>28</v>
      </c>
      <c r="P415" s="25">
        <f t="shared" si="15"/>
        <v>45980</v>
      </c>
      <c r="Q415" s="25"/>
      <c r="R415" s="25"/>
      <c r="S415" s="7" t="s">
        <v>27</v>
      </c>
      <c r="T415" s="28">
        <v>1</v>
      </c>
    </row>
    <row r="416" spans="1:20" ht="14.25" customHeight="1">
      <c r="A416" s="22">
        <v>470</v>
      </c>
      <c r="B416" s="37">
        <v>12748</v>
      </c>
      <c r="C416" s="22" t="str">
        <f>IFERROR(VLOOKUP(B416,Colaboradores!A:D,2,),"")</f>
        <v>KARINY DE SOUZA COSTA</v>
      </c>
      <c r="D416" s="22" t="str">
        <f>IFERROR(VLOOKUP(B416,Colaboradores!A:D,3,),"")</f>
        <v>COORDENAÇÃO ADMINISTRATIVA</v>
      </c>
      <c r="E416" s="22" t="str">
        <f>IFERROR(VLOOKUP(B416,Colaboradores!A:D,4,),"")</f>
        <v>ASSISTENTE ADMINISTRATIVO</v>
      </c>
      <c r="F416" s="22" t="s">
        <v>29</v>
      </c>
      <c r="G416" s="24" t="str">
        <f>IFERROR(VLOOKUP(F416,Procedimentos!A:C,2,),"")</f>
        <v>COLETA SELETIVA DESSMA</v>
      </c>
      <c r="H416" s="25"/>
      <c r="I416" s="25">
        <v>45889</v>
      </c>
      <c r="J416" s="22">
        <v>12</v>
      </c>
      <c r="K416" s="25">
        <f t="shared" si="17"/>
        <v>46254</v>
      </c>
      <c r="L416" s="28" t="str">
        <f t="shared" ca="1" si="16"/>
        <v>Em dia</v>
      </c>
      <c r="M416" s="33" t="s">
        <v>30</v>
      </c>
      <c r="N416" s="28" t="s">
        <v>21</v>
      </c>
      <c r="O416" s="22" t="s">
        <v>28</v>
      </c>
      <c r="P416" s="25">
        <f t="shared" si="15"/>
        <v>45981</v>
      </c>
      <c r="Q416" s="25"/>
      <c r="R416" s="25"/>
      <c r="S416" s="7" t="s">
        <v>27</v>
      </c>
      <c r="T416" s="28">
        <v>1</v>
      </c>
    </row>
    <row r="417" spans="1:20" ht="14.25" customHeight="1">
      <c r="A417" s="22">
        <v>471</v>
      </c>
      <c r="B417" s="37">
        <v>12555</v>
      </c>
      <c r="C417" s="22" t="str">
        <f>IFERROR(VLOOKUP(B417,Colaboradores!A:D,2,),"")</f>
        <v>HWGO AUGUSTO ALMEIDA</v>
      </c>
      <c r="D417" s="22" t="str">
        <f>IFERROR(VLOOKUP(B417,Colaboradores!A:D,3,),"")</f>
        <v>COORDENAÇÃO ADMINISTRATIVA</v>
      </c>
      <c r="E417" s="22" t="str">
        <f>IFERROR(VLOOKUP(B417,Colaboradores!A:D,4,),"")</f>
        <v>ANALISTA ADMINISTRATIVO</v>
      </c>
      <c r="F417" s="22" t="s">
        <v>29</v>
      </c>
      <c r="G417" s="24" t="str">
        <f>IFERROR(VLOOKUP(F417,Procedimentos!A:C,2,),"")</f>
        <v>COLETA SELETIVA DESSMA</v>
      </c>
      <c r="H417" s="25"/>
      <c r="I417" s="25">
        <v>45889</v>
      </c>
      <c r="J417" s="22">
        <v>12</v>
      </c>
      <c r="K417" s="25">
        <f t="shared" si="17"/>
        <v>46254</v>
      </c>
      <c r="L417" s="28" t="str">
        <f t="shared" ca="1" si="16"/>
        <v>Em dia</v>
      </c>
      <c r="M417" s="33" t="s">
        <v>30</v>
      </c>
      <c r="N417" s="28" t="s">
        <v>21</v>
      </c>
      <c r="O417" s="22" t="s">
        <v>28</v>
      </c>
      <c r="P417" s="25">
        <f t="shared" si="15"/>
        <v>45981</v>
      </c>
      <c r="Q417" s="25"/>
      <c r="R417" s="25"/>
      <c r="S417" s="7" t="s">
        <v>27</v>
      </c>
      <c r="T417" s="28">
        <v>1</v>
      </c>
    </row>
    <row r="418" spans="1:20" ht="14.25" customHeight="1">
      <c r="A418" s="22">
        <v>472</v>
      </c>
      <c r="B418" s="37">
        <v>12748</v>
      </c>
      <c r="C418" s="22" t="str">
        <f>IFERROR(VLOOKUP(B418,Colaboradores!A:D,2,),"")</f>
        <v>KARINY DE SOUZA COSTA</v>
      </c>
      <c r="D418" s="22" t="str">
        <f>IFERROR(VLOOKUP(B418,Colaboradores!A:D,3,),"")</f>
        <v>COORDENAÇÃO ADMINISTRATIVA</v>
      </c>
      <c r="E418" s="22" t="str">
        <f>IFERROR(VLOOKUP(B418,Colaboradores!A:D,4,),"")</f>
        <v>ASSISTENTE ADMINISTRATIVO</v>
      </c>
      <c r="F418" s="22" t="s">
        <v>32</v>
      </c>
      <c r="G418" s="24" t="str">
        <f>IFERROR(VLOOKUP(F418,Procedimentos!A:C,2,),"")</f>
        <v>GESTÃO DE LEVANTAMENTO DE ASPECTOS E IMPACTOS AMBIENTAIS</v>
      </c>
      <c r="H418" s="25"/>
      <c r="I418" s="25">
        <v>45889</v>
      </c>
      <c r="J418" s="22">
        <v>12</v>
      </c>
      <c r="K418" s="25">
        <f t="shared" si="17"/>
        <v>46254</v>
      </c>
      <c r="L418" s="28" t="str">
        <f t="shared" ca="1" si="16"/>
        <v>Em dia</v>
      </c>
      <c r="M418" s="33" t="s">
        <v>30</v>
      </c>
      <c r="N418" s="28" t="s">
        <v>21</v>
      </c>
      <c r="O418" s="22" t="s">
        <v>28</v>
      </c>
      <c r="P418" s="25">
        <f t="shared" si="15"/>
        <v>45981</v>
      </c>
      <c r="Q418" s="25"/>
      <c r="R418" s="25"/>
      <c r="S418" s="7" t="s">
        <v>27</v>
      </c>
      <c r="T418" s="28">
        <v>1</v>
      </c>
    </row>
    <row r="419" spans="1:20" ht="14.25" customHeight="1">
      <c r="A419" s="22">
        <v>473</v>
      </c>
      <c r="B419" s="37">
        <v>12555</v>
      </c>
      <c r="C419" s="22" t="str">
        <f>IFERROR(VLOOKUP(B419,Colaboradores!A:D,2,),"")</f>
        <v>HWGO AUGUSTO ALMEIDA</v>
      </c>
      <c r="D419" s="22" t="str">
        <f>IFERROR(VLOOKUP(B419,Colaboradores!A:D,3,),"")</f>
        <v>COORDENAÇÃO ADMINISTRATIVA</v>
      </c>
      <c r="E419" s="22" t="str">
        <f>IFERROR(VLOOKUP(B419,Colaboradores!A:D,4,),"")</f>
        <v>ANALISTA ADMINISTRATIVO</v>
      </c>
      <c r="F419" s="22" t="s">
        <v>32</v>
      </c>
      <c r="G419" s="24" t="str">
        <f>IFERROR(VLOOKUP(F419,Procedimentos!A:C,2,),"")</f>
        <v>GESTÃO DE LEVANTAMENTO DE ASPECTOS E IMPACTOS AMBIENTAIS</v>
      </c>
      <c r="H419" s="25"/>
      <c r="I419" s="25">
        <v>45889</v>
      </c>
      <c r="J419" s="22">
        <v>12</v>
      </c>
      <c r="K419" s="25">
        <f t="shared" si="17"/>
        <v>46254</v>
      </c>
      <c r="L419" s="28" t="str">
        <f t="shared" ca="1" si="16"/>
        <v>Em dia</v>
      </c>
      <c r="M419" s="33" t="s">
        <v>30</v>
      </c>
      <c r="N419" s="28" t="s">
        <v>21</v>
      </c>
      <c r="O419" s="22" t="s">
        <v>28</v>
      </c>
      <c r="P419" s="25">
        <f t="shared" si="15"/>
        <v>45981</v>
      </c>
      <c r="Q419" s="25"/>
      <c r="R419" s="25"/>
      <c r="S419" s="7" t="s">
        <v>27</v>
      </c>
      <c r="T419" s="28">
        <v>1</v>
      </c>
    </row>
    <row r="420" spans="1:20" ht="14.25" customHeight="1">
      <c r="A420" s="22">
        <v>474</v>
      </c>
      <c r="B420" s="37">
        <v>12748</v>
      </c>
      <c r="C420" s="22" t="str">
        <f>IFERROR(VLOOKUP(B420,Colaboradores!A:D,2,),"")</f>
        <v>KARINY DE SOUZA COSTA</v>
      </c>
      <c r="D420" s="22" t="str">
        <f>IFERROR(VLOOKUP(B420,Colaboradores!A:D,3,),"")</f>
        <v>COORDENAÇÃO ADMINISTRATIVA</v>
      </c>
      <c r="E420" s="22" t="str">
        <f>IFERROR(VLOOKUP(B420,Colaboradores!A:D,4,),"")</f>
        <v>ASSISTENTE ADMINISTRATIVO</v>
      </c>
      <c r="F420" s="22" t="s">
        <v>31</v>
      </c>
      <c r="G420" s="24" t="str">
        <f>IFERROR(VLOOKUP(F420,Procedimentos!A:C,2,),"")</f>
        <v>GESTÃO DE COMUNICAÇÃO, CLASSIFICAÇÃO E INVESTIGAÇÃO DE OCORRÊNCIAS AMBIENTAIS</v>
      </c>
      <c r="H420" s="25"/>
      <c r="I420" s="25">
        <v>45889</v>
      </c>
      <c r="J420" s="22">
        <v>12</v>
      </c>
      <c r="K420" s="25">
        <f t="shared" si="17"/>
        <v>46254</v>
      </c>
      <c r="L420" s="28" t="str">
        <f t="shared" ca="1" si="16"/>
        <v>Em dia</v>
      </c>
      <c r="M420" s="33" t="s">
        <v>30</v>
      </c>
      <c r="N420" s="28" t="s">
        <v>21</v>
      </c>
      <c r="O420" s="22" t="s">
        <v>28</v>
      </c>
      <c r="P420" s="25">
        <f t="shared" ref="P420:P483" si="18">EDATE(I420,3)</f>
        <v>45981</v>
      </c>
      <c r="Q420" s="25"/>
      <c r="R420" s="25"/>
      <c r="S420" s="7" t="s">
        <v>27</v>
      </c>
      <c r="T420" s="28">
        <v>1</v>
      </c>
    </row>
    <row r="421" spans="1:20" ht="14.25" customHeight="1">
      <c r="A421" s="22">
        <v>475</v>
      </c>
      <c r="B421" s="37">
        <v>12555</v>
      </c>
      <c r="C421" s="22" t="str">
        <f>IFERROR(VLOOKUP(B421,Colaboradores!A:D,2,),"")</f>
        <v>HWGO AUGUSTO ALMEIDA</v>
      </c>
      <c r="D421" s="22" t="str">
        <f>IFERROR(VLOOKUP(B421,Colaboradores!A:D,3,),"")</f>
        <v>COORDENAÇÃO ADMINISTRATIVA</v>
      </c>
      <c r="E421" s="22" t="str">
        <f>IFERROR(VLOOKUP(B421,Colaboradores!A:D,4,),"")</f>
        <v>ANALISTA ADMINISTRATIVO</v>
      </c>
      <c r="F421" s="22" t="s">
        <v>31</v>
      </c>
      <c r="G421" s="24" t="str">
        <f>IFERROR(VLOOKUP(F421,Procedimentos!A:C,2,),"")</f>
        <v>GESTÃO DE COMUNICAÇÃO, CLASSIFICAÇÃO E INVESTIGAÇÃO DE OCORRÊNCIAS AMBIENTAIS</v>
      </c>
      <c r="H421" s="25"/>
      <c r="I421" s="25">
        <v>45889</v>
      </c>
      <c r="J421" s="22">
        <v>12</v>
      </c>
      <c r="K421" s="25">
        <f t="shared" si="17"/>
        <v>46254</v>
      </c>
      <c r="L421" s="28" t="str">
        <f t="shared" ca="1" si="16"/>
        <v>Em dia</v>
      </c>
      <c r="M421" s="33" t="s">
        <v>30</v>
      </c>
      <c r="N421" s="28" t="s">
        <v>21</v>
      </c>
      <c r="O421" s="22" t="s">
        <v>28</v>
      </c>
      <c r="P421" s="25">
        <f t="shared" si="18"/>
        <v>45981</v>
      </c>
      <c r="Q421" s="25"/>
      <c r="R421" s="25"/>
      <c r="S421" s="7" t="s">
        <v>27</v>
      </c>
      <c r="T421" s="28">
        <v>1</v>
      </c>
    </row>
    <row r="422" spans="1:20" ht="14.25" customHeight="1">
      <c r="A422" s="22">
        <v>476</v>
      </c>
      <c r="B422" s="37">
        <v>12748</v>
      </c>
      <c r="C422" s="22" t="str">
        <f>IFERROR(VLOOKUP(B422,Colaboradores!A:D,2,),"")</f>
        <v>KARINY DE SOUZA COSTA</v>
      </c>
      <c r="D422" s="22" t="str">
        <f>IFERROR(VLOOKUP(B422,Colaboradores!A:D,3,),"")</f>
        <v>COORDENAÇÃO ADMINISTRATIVA</v>
      </c>
      <c r="E422" s="22" t="str">
        <f>IFERROR(VLOOKUP(B422,Colaboradores!A:D,4,),"")</f>
        <v>ASSISTENTE ADMINISTRATIVO</v>
      </c>
      <c r="F422" s="22" t="s">
        <v>33</v>
      </c>
      <c r="G422" s="24" t="str">
        <f>IFERROR(VLOOKUP(F422,Procedimentos!A:C,2,),"")</f>
        <v>GESTÃO DE INSPEÇÕES AMBIENTAIS</v>
      </c>
      <c r="H422" s="25"/>
      <c r="I422" s="25">
        <v>45889</v>
      </c>
      <c r="J422" s="22">
        <v>12</v>
      </c>
      <c r="K422" s="25">
        <f t="shared" si="17"/>
        <v>46254</v>
      </c>
      <c r="L422" s="28" t="str">
        <f t="shared" ca="1" si="16"/>
        <v>Em dia</v>
      </c>
      <c r="M422" s="33" t="s">
        <v>30</v>
      </c>
      <c r="N422" s="28" t="s">
        <v>21</v>
      </c>
      <c r="O422" s="22" t="s">
        <v>28</v>
      </c>
      <c r="P422" s="25">
        <f t="shared" si="18"/>
        <v>45981</v>
      </c>
      <c r="Q422" s="25"/>
      <c r="R422" s="25"/>
      <c r="S422" s="7" t="s">
        <v>27</v>
      </c>
      <c r="T422" s="28">
        <v>1</v>
      </c>
    </row>
    <row r="423" spans="1:20" ht="14.25" customHeight="1">
      <c r="A423" s="22">
        <v>477</v>
      </c>
      <c r="B423" s="37">
        <v>12555</v>
      </c>
      <c r="C423" s="22" t="str">
        <f>IFERROR(VLOOKUP(B423,Colaboradores!A:D,2,),"")</f>
        <v>HWGO AUGUSTO ALMEIDA</v>
      </c>
      <c r="D423" s="22" t="str">
        <f>IFERROR(VLOOKUP(B423,Colaboradores!A:D,3,),"")</f>
        <v>COORDENAÇÃO ADMINISTRATIVA</v>
      </c>
      <c r="E423" s="22" t="str">
        <f>IFERROR(VLOOKUP(B423,Colaboradores!A:D,4,),"")</f>
        <v>ANALISTA ADMINISTRATIVO</v>
      </c>
      <c r="F423" s="22" t="s">
        <v>33</v>
      </c>
      <c r="G423" s="24" t="str">
        <f>IFERROR(VLOOKUP(F423,Procedimentos!A:C,2,),"")</f>
        <v>GESTÃO DE INSPEÇÕES AMBIENTAIS</v>
      </c>
      <c r="H423" s="25"/>
      <c r="I423" s="25">
        <v>45889</v>
      </c>
      <c r="J423" s="22">
        <v>12</v>
      </c>
      <c r="K423" s="25">
        <f t="shared" si="17"/>
        <v>46254</v>
      </c>
      <c r="L423" s="28" t="str">
        <f t="shared" ca="1" si="16"/>
        <v>Em dia</v>
      </c>
      <c r="M423" s="33" t="s">
        <v>30</v>
      </c>
      <c r="N423" s="28" t="s">
        <v>21</v>
      </c>
      <c r="O423" s="22" t="s">
        <v>28</v>
      </c>
      <c r="P423" s="25">
        <f t="shared" si="18"/>
        <v>45981</v>
      </c>
      <c r="Q423" s="25"/>
      <c r="R423" s="25"/>
      <c r="S423" s="7" t="s">
        <v>27</v>
      </c>
      <c r="T423" s="28">
        <v>1</v>
      </c>
    </row>
    <row r="424" spans="1:20" ht="14.25" customHeight="1">
      <c r="A424" s="22">
        <v>478</v>
      </c>
      <c r="B424" s="33">
        <v>15023</v>
      </c>
      <c r="C424" s="22" t="str">
        <f>IFERROR(VLOOKUP(B424,Colaboradores!A:D,2,),"")</f>
        <v>DANIEL ELISON GUSMÃO PEREIRA</v>
      </c>
      <c r="D424" s="22" t="str">
        <f>IFERROR(VLOOKUP(B424,Colaboradores!A:D,3,),"")</f>
        <v>GESTÃO INTEGRADA</v>
      </c>
      <c r="E424" s="22" t="str">
        <f>IFERROR(VLOOKUP(B424,Colaboradores!A:D,4,),"")</f>
        <v>ASSISTENTE ADMINISTRATIVO</v>
      </c>
      <c r="F424" s="22" t="s">
        <v>48</v>
      </c>
      <c r="G424" s="24" t="str">
        <f>IFERROR(VLOOKUP(F424,Procedimentos!A:C,2,),"")</f>
        <v>POLÍTICA MEIO AMBIENTE EMSERH</v>
      </c>
      <c r="H424" s="25"/>
      <c r="I424" s="25">
        <v>45889</v>
      </c>
      <c r="J424" s="22">
        <v>12</v>
      </c>
      <c r="K424" s="25">
        <f t="shared" si="17"/>
        <v>46254</v>
      </c>
      <c r="L424" s="28" t="str">
        <f t="shared" ca="1" si="16"/>
        <v>Em dia</v>
      </c>
      <c r="M424" s="33" t="s">
        <v>30</v>
      </c>
      <c r="N424" s="28" t="s">
        <v>21</v>
      </c>
      <c r="O424" s="22" t="s">
        <v>28</v>
      </c>
      <c r="P424" s="25">
        <f t="shared" si="18"/>
        <v>45981</v>
      </c>
      <c r="Q424" s="25"/>
      <c r="R424" s="25"/>
      <c r="S424" s="7" t="s">
        <v>27</v>
      </c>
      <c r="T424" s="28">
        <v>1</v>
      </c>
    </row>
    <row r="425" spans="1:20" ht="14.25" customHeight="1">
      <c r="A425" s="22">
        <v>479</v>
      </c>
      <c r="B425" s="33">
        <v>15068</v>
      </c>
      <c r="C425" s="22" t="str">
        <f>IFERROR(VLOOKUP(B425,Colaboradores!A:D,2,),"")</f>
        <v>TASSO CHAVES DE OLIVEIRA</v>
      </c>
      <c r="D425" s="22" t="str">
        <f>IFERROR(VLOOKUP(B425,Colaboradores!A:D,3,),"")</f>
        <v>GESTÃO INTEGRADA</v>
      </c>
      <c r="E425" s="22" t="str">
        <f>IFERROR(VLOOKUP(B425,Colaboradores!A:D,4,),"")</f>
        <v>ASSESSOR DE GESTÃO INTEGRADA</v>
      </c>
      <c r="F425" s="22" t="s">
        <v>48</v>
      </c>
      <c r="G425" s="24" t="str">
        <f>IFERROR(VLOOKUP(F425,Procedimentos!A:C,2,),"")</f>
        <v>POLÍTICA MEIO AMBIENTE EMSERH</v>
      </c>
      <c r="H425" s="25"/>
      <c r="I425" s="25">
        <v>45889</v>
      </c>
      <c r="J425" s="22">
        <v>12</v>
      </c>
      <c r="K425" s="25">
        <f t="shared" si="17"/>
        <v>46254</v>
      </c>
      <c r="L425" s="28" t="str">
        <f t="shared" ca="1" si="16"/>
        <v>Em dia</v>
      </c>
      <c r="M425" s="33" t="s">
        <v>30</v>
      </c>
      <c r="N425" s="28" t="s">
        <v>21</v>
      </c>
      <c r="O425" s="22" t="s">
        <v>28</v>
      </c>
      <c r="P425" s="25">
        <f t="shared" si="18"/>
        <v>45981</v>
      </c>
      <c r="Q425" s="25"/>
      <c r="R425" s="25"/>
      <c r="S425" s="7" t="s">
        <v>27</v>
      </c>
      <c r="T425" s="28">
        <v>1</v>
      </c>
    </row>
    <row r="426" spans="1:20" ht="14.25" customHeight="1">
      <c r="A426" s="22">
        <v>480</v>
      </c>
      <c r="B426" s="33">
        <v>13750</v>
      </c>
      <c r="C426" s="22" t="str">
        <f>IFERROR(VLOOKUP(B426,Colaboradores!A:D,2,),"")</f>
        <v>JOSE ANTONIO ALVES MAGALHAES</v>
      </c>
      <c r="D426" s="22" t="str">
        <f>IFERROR(VLOOKUP(B426,Colaboradores!A:D,3,),"")</f>
        <v>GESTÃO INTEGRADA</v>
      </c>
      <c r="E426" s="22" t="str">
        <f>IFERROR(VLOOKUP(B426,Colaboradores!A:D,4,),"")</f>
        <v>GERENTE DE GESTÃO INTEGRADA</v>
      </c>
      <c r="F426" s="22" t="s">
        <v>29</v>
      </c>
      <c r="G426" s="24" t="str">
        <f>IFERROR(VLOOKUP(F426,Procedimentos!A:C,2,),"")</f>
        <v>COLETA SELETIVA DESSMA</v>
      </c>
      <c r="H426" s="25"/>
      <c r="I426" s="25">
        <v>45889</v>
      </c>
      <c r="J426" s="22">
        <v>12</v>
      </c>
      <c r="K426" s="25">
        <f t="shared" si="17"/>
        <v>46254</v>
      </c>
      <c r="L426" s="28" t="str">
        <f t="shared" ca="1" si="16"/>
        <v>Em dia</v>
      </c>
      <c r="M426" s="33" t="s">
        <v>30</v>
      </c>
      <c r="N426" s="28" t="s">
        <v>21</v>
      </c>
      <c r="O426" s="22" t="s">
        <v>28</v>
      </c>
      <c r="P426" s="25">
        <f t="shared" si="18"/>
        <v>45981</v>
      </c>
      <c r="Q426" s="25"/>
      <c r="R426" s="25"/>
      <c r="S426" s="7" t="s">
        <v>27</v>
      </c>
      <c r="T426" s="28">
        <v>1</v>
      </c>
    </row>
    <row r="427" spans="1:20" ht="14.25" customHeight="1">
      <c r="A427" s="22">
        <v>481</v>
      </c>
      <c r="B427" s="33">
        <v>13750</v>
      </c>
      <c r="C427" s="22" t="str">
        <f>IFERROR(VLOOKUP(B427,Colaboradores!A:D,2,),"")</f>
        <v>JOSE ANTONIO ALVES MAGALHAES</v>
      </c>
      <c r="D427" s="22" t="str">
        <f>IFERROR(VLOOKUP(B427,Colaboradores!A:D,3,),"")</f>
        <v>GESTÃO INTEGRADA</v>
      </c>
      <c r="E427" s="22" t="str">
        <f>IFERROR(VLOOKUP(B427,Colaboradores!A:D,4,),"")</f>
        <v>GERENTE DE GESTÃO INTEGRADA</v>
      </c>
      <c r="F427" s="22" t="s">
        <v>32</v>
      </c>
      <c r="G427" s="24" t="str">
        <f>IFERROR(VLOOKUP(F427,Procedimentos!A:C,2,),"")</f>
        <v>GESTÃO DE LEVANTAMENTO DE ASPECTOS E IMPACTOS AMBIENTAIS</v>
      </c>
      <c r="H427" s="25"/>
      <c r="I427" s="25">
        <v>45889</v>
      </c>
      <c r="J427" s="22">
        <v>12</v>
      </c>
      <c r="K427" s="25">
        <f t="shared" si="17"/>
        <v>46254</v>
      </c>
      <c r="L427" s="28" t="str">
        <f t="shared" ca="1" si="16"/>
        <v>Em dia</v>
      </c>
      <c r="M427" s="33" t="s">
        <v>30</v>
      </c>
      <c r="N427" s="28" t="s">
        <v>21</v>
      </c>
      <c r="O427" s="22" t="s">
        <v>28</v>
      </c>
      <c r="P427" s="25">
        <f t="shared" si="18"/>
        <v>45981</v>
      </c>
      <c r="Q427" s="25"/>
      <c r="R427" s="25"/>
      <c r="S427" s="7" t="s">
        <v>27</v>
      </c>
      <c r="T427" s="28">
        <v>1</v>
      </c>
    </row>
    <row r="428" spans="1:20" ht="14.25" customHeight="1">
      <c r="A428" s="22">
        <v>482</v>
      </c>
      <c r="B428" s="33">
        <v>13750</v>
      </c>
      <c r="C428" s="22" t="str">
        <f>IFERROR(VLOOKUP(B428,Colaboradores!A:D,2,),"")</f>
        <v>JOSE ANTONIO ALVES MAGALHAES</v>
      </c>
      <c r="D428" s="22" t="str">
        <f>IFERROR(VLOOKUP(B428,Colaboradores!A:D,3,),"")</f>
        <v>GESTÃO INTEGRADA</v>
      </c>
      <c r="E428" s="22" t="str">
        <f>IFERROR(VLOOKUP(B428,Colaboradores!A:D,4,),"")</f>
        <v>GERENTE DE GESTÃO INTEGRADA</v>
      </c>
      <c r="F428" s="22" t="s">
        <v>31</v>
      </c>
      <c r="G428" s="24" t="str">
        <f>IFERROR(VLOOKUP(F428,Procedimentos!A:C,2,),"")</f>
        <v>GESTÃO DE COMUNICAÇÃO, CLASSIFICAÇÃO E INVESTIGAÇÃO DE OCORRÊNCIAS AMBIENTAIS</v>
      </c>
      <c r="H428" s="25"/>
      <c r="I428" s="25">
        <v>45889</v>
      </c>
      <c r="J428" s="22">
        <v>12</v>
      </c>
      <c r="K428" s="25">
        <f t="shared" si="17"/>
        <v>46254</v>
      </c>
      <c r="L428" s="28" t="str">
        <f t="shared" ca="1" si="16"/>
        <v>Em dia</v>
      </c>
      <c r="M428" s="33" t="s">
        <v>30</v>
      </c>
      <c r="N428" s="28" t="s">
        <v>21</v>
      </c>
      <c r="O428" s="22" t="s">
        <v>28</v>
      </c>
      <c r="P428" s="25">
        <f t="shared" si="18"/>
        <v>45981</v>
      </c>
      <c r="Q428" s="25"/>
      <c r="R428" s="25"/>
      <c r="S428" s="7" t="s">
        <v>27</v>
      </c>
      <c r="T428" s="28">
        <v>1</v>
      </c>
    </row>
    <row r="429" spans="1:20" ht="14.25" customHeight="1">
      <c r="A429" s="22">
        <v>483</v>
      </c>
      <c r="B429" s="33">
        <v>13750</v>
      </c>
      <c r="C429" s="22" t="str">
        <f>IFERROR(VLOOKUP(B429,Colaboradores!A:D,2,),"")</f>
        <v>JOSE ANTONIO ALVES MAGALHAES</v>
      </c>
      <c r="D429" s="22" t="str">
        <f>IFERROR(VLOOKUP(B429,Colaboradores!A:D,3,),"")</f>
        <v>GESTÃO INTEGRADA</v>
      </c>
      <c r="E429" s="22" t="str">
        <f>IFERROR(VLOOKUP(B429,Colaboradores!A:D,4,),"")</f>
        <v>GERENTE DE GESTÃO INTEGRADA</v>
      </c>
      <c r="F429" s="22" t="s">
        <v>33</v>
      </c>
      <c r="G429" s="24" t="str">
        <f>IFERROR(VLOOKUP(F429,Procedimentos!A:C,2,),"")</f>
        <v>GESTÃO DE INSPEÇÕES AMBIENTAIS</v>
      </c>
      <c r="H429" s="25"/>
      <c r="I429" s="25">
        <v>45889</v>
      </c>
      <c r="J429" s="22">
        <v>12</v>
      </c>
      <c r="K429" s="25">
        <f t="shared" si="17"/>
        <v>46254</v>
      </c>
      <c r="L429" s="28" t="str">
        <f t="shared" ca="1" si="16"/>
        <v>Em dia</v>
      </c>
      <c r="M429" s="33" t="s">
        <v>30</v>
      </c>
      <c r="N429" s="28" t="s">
        <v>21</v>
      </c>
      <c r="O429" s="22" t="s">
        <v>28</v>
      </c>
      <c r="P429" s="25">
        <f t="shared" si="18"/>
        <v>45981</v>
      </c>
      <c r="Q429" s="25"/>
      <c r="R429" s="25"/>
      <c r="S429" s="7" t="s">
        <v>27</v>
      </c>
      <c r="T429" s="28">
        <v>1</v>
      </c>
    </row>
    <row r="430" spans="1:20" ht="14.25" customHeight="1">
      <c r="A430" s="22">
        <v>484</v>
      </c>
      <c r="B430" s="38">
        <v>14508</v>
      </c>
      <c r="C430" s="22" t="str">
        <f>IFERROR(VLOOKUP(B430,Colaboradores!A:D,2,),"")</f>
        <v>FYAMA SANTOS SILVA</v>
      </c>
      <c r="D430" s="22" t="str">
        <f>IFERROR(VLOOKUP(B430,Colaboradores!A:D,3,),"")</f>
        <v>SAÚDE OCUPACIONAL</v>
      </c>
      <c r="E430" s="22" t="str">
        <f>IFERROR(VLOOKUP(B430,Colaboradores!A:D,4,),"")</f>
        <v>ASSISTENTE ADMINISTRATIVO</v>
      </c>
      <c r="F430" s="22" t="s">
        <v>29</v>
      </c>
      <c r="G430" s="24" t="str">
        <f>IFERROR(VLOOKUP(F430,Procedimentos!A:C,2,),"")</f>
        <v>COLETA SELETIVA DESSMA</v>
      </c>
      <c r="H430" s="25"/>
      <c r="I430" s="25">
        <v>45889</v>
      </c>
      <c r="J430" s="22">
        <v>12</v>
      </c>
      <c r="K430" s="25">
        <f t="shared" si="17"/>
        <v>46254</v>
      </c>
      <c r="L430" s="28" t="str">
        <f t="shared" ca="1" si="16"/>
        <v>Em dia</v>
      </c>
      <c r="M430" s="33" t="s">
        <v>30</v>
      </c>
      <c r="N430" s="28" t="s">
        <v>21</v>
      </c>
      <c r="O430" s="22" t="s">
        <v>28</v>
      </c>
      <c r="P430" s="25">
        <f t="shared" si="18"/>
        <v>45981</v>
      </c>
      <c r="Q430" s="25"/>
      <c r="R430" s="25"/>
      <c r="S430" s="7" t="s">
        <v>23</v>
      </c>
      <c r="T430" s="28">
        <v>1</v>
      </c>
    </row>
    <row r="431" spans="1:20" ht="14.25" customHeight="1">
      <c r="A431" s="22">
        <v>485</v>
      </c>
      <c r="B431" s="38">
        <v>13778</v>
      </c>
      <c r="C431" s="22" t="str">
        <f>IFERROR(VLOOKUP(B431,Colaboradores!A:D,2,),"")</f>
        <v>LAIS FERREIRA CAMPOS MINEIRO</v>
      </c>
      <c r="D431" s="22" t="str">
        <f>IFERROR(VLOOKUP(B431,Colaboradores!A:D,3,),"")</f>
        <v>SAÚDE OCUPACIONAL</v>
      </c>
      <c r="E431" s="22" t="str">
        <f>IFERROR(VLOOKUP(B431,Colaboradores!A:D,4,),"")</f>
        <v>FISIOTERAPEUTA</v>
      </c>
      <c r="F431" s="22" t="s">
        <v>29</v>
      </c>
      <c r="G431" s="24" t="str">
        <f>IFERROR(VLOOKUP(F431,Procedimentos!A:C,2,),"")</f>
        <v>COLETA SELETIVA DESSMA</v>
      </c>
      <c r="H431" s="25"/>
      <c r="I431" s="25">
        <v>45889</v>
      </c>
      <c r="J431" s="22">
        <v>12</v>
      </c>
      <c r="K431" s="25">
        <f t="shared" si="17"/>
        <v>46254</v>
      </c>
      <c r="L431" s="28" t="str">
        <f t="shared" ca="1" si="16"/>
        <v>Em dia</v>
      </c>
      <c r="M431" s="33" t="s">
        <v>30</v>
      </c>
      <c r="N431" s="28" t="s">
        <v>21</v>
      </c>
      <c r="O431" s="22" t="s">
        <v>28</v>
      </c>
      <c r="P431" s="25">
        <f t="shared" si="18"/>
        <v>45981</v>
      </c>
      <c r="Q431" s="25"/>
      <c r="R431" s="25"/>
      <c r="S431" s="7" t="s">
        <v>23</v>
      </c>
      <c r="T431" s="28">
        <v>1</v>
      </c>
    </row>
    <row r="432" spans="1:20" ht="14.25" customHeight="1">
      <c r="A432" s="22">
        <v>486</v>
      </c>
      <c r="B432" s="38">
        <v>7590</v>
      </c>
      <c r="C432" s="22" t="str">
        <f>IFERROR(VLOOKUP(B432,Colaboradores!A:D,2,),"")</f>
        <v>FABIOLA SOUSA MOURA BORGES</v>
      </c>
      <c r="D432" s="22" t="str">
        <f>IFERROR(VLOOKUP(B432,Colaboradores!A:D,3,),"")</f>
        <v>SAÚDE OCUPACIONAL</v>
      </c>
      <c r="E432" s="22" t="str">
        <f>IFERROR(VLOOKUP(B432,Colaboradores!A:D,4,),"")</f>
        <v>GERENTE DE SAÚDE OCUPACIONAL</v>
      </c>
      <c r="F432" s="22" t="s">
        <v>29</v>
      </c>
      <c r="G432" s="24" t="str">
        <f>IFERROR(VLOOKUP(F432,Procedimentos!A:C,2,),"")</f>
        <v>COLETA SELETIVA DESSMA</v>
      </c>
      <c r="H432" s="25"/>
      <c r="I432" s="25">
        <v>45889</v>
      </c>
      <c r="J432" s="22">
        <v>12</v>
      </c>
      <c r="K432" s="25">
        <f t="shared" si="17"/>
        <v>46254</v>
      </c>
      <c r="L432" s="28" t="str">
        <f t="shared" ca="1" si="16"/>
        <v>Em dia</v>
      </c>
      <c r="M432" s="33" t="s">
        <v>30</v>
      </c>
      <c r="N432" s="28" t="s">
        <v>21</v>
      </c>
      <c r="O432" s="22" t="s">
        <v>28</v>
      </c>
      <c r="P432" s="25">
        <f t="shared" si="18"/>
        <v>45981</v>
      </c>
      <c r="Q432" s="25"/>
      <c r="R432" s="25"/>
      <c r="S432" s="7" t="s">
        <v>23</v>
      </c>
      <c r="T432" s="28">
        <v>1</v>
      </c>
    </row>
    <row r="433" spans="1:20" ht="14.25" customHeight="1">
      <c r="A433" s="22">
        <v>487</v>
      </c>
      <c r="B433" s="38">
        <v>14508</v>
      </c>
      <c r="C433" s="22" t="str">
        <f>IFERROR(VLOOKUP(B433,Colaboradores!A:D,2,),"")</f>
        <v>FYAMA SANTOS SILVA</v>
      </c>
      <c r="D433" s="22" t="str">
        <f>IFERROR(VLOOKUP(B433,Colaboradores!A:D,3,),"")</f>
        <v>SAÚDE OCUPACIONAL</v>
      </c>
      <c r="E433" s="22" t="str">
        <f>IFERROR(VLOOKUP(B433,Colaboradores!A:D,4,),"")</f>
        <v>ASSISTENTE ADMINISTRATIVO</v>
      </c>
      <c r="F433" s="22" t="s">
        <v>36</v>
      </c>
      <c r="G433" s="24" t="str">
        <f>IFERROR(VLOOKUP(F433,Procedimentos!A:C,2,),"")</f>
        <v>GESTÃO DE PRODUTOS QUÍMICOS</v>
      </c>
      <c r="H433" s="25"/>
      <c r="I433" s="25">
        <v>45889</v>
      </c>
      <c r="J433" s="22">
        <v>12</v>
      </c>
      <c r="K433" s="25">
        <f t="shared" si="17"/>
        <v>46254</v>
      </c>
      <c r="L433" s="28" t="str">
        <f t="shared" ca="1" si="16"/>
        <v>Em dia</v>
      </c>
      <c r="M433" s="33" t="s">
        <v>30</v>
      </c>
      <c r="N433" s="28" t="s">
        <v>21</v>
      </c>
      <c r="O433" s="22" t="s">
        <v>28</v>
      </c>
      <c r="P433" s="25">
        <f t="shared" si="18"/>
        <v>45981</v>
      </c>
      <c r="Q433" s="25"/>
      <c r="R433" s="25"/>
      <c r="S433" s="7" t="s">
        <v>23</v>
      </c>
      <c r="T433" s="28">
        <v>1</v>
      </c>
    </row>
    <row r="434" spans="1:20" ht="14.25" customHeight="1">
      <c r="A434" s="22">
        <v>488</v>
      </c>
      <c r="B434" s="38">
        <v>13778</v>
      </c>
      <c r="C434" s="22" t="str">
        <f>IFERROR(VLOOKUP(B434,Colaboradores!A:D,2,),"")</f>
        <v>LAIS FERREIRA CAMPOS MINEIRO</v>
      </c>
      <c r="D434" s="22" t="str">
        <f>IFERROR(VLOOKUP(B434,Colaboradores!A:D,3,),"")</f>
        <v>SAÚDE OCUPACIONAL</v>
      </c>
      <c r="E434" s="22" t="str">
        <f>IFERROR(VLOOKUP(B434,Colaboradores!A:D,4,),"")</f>
        <v>FISIOTERAPEUTA</v>
      </c>
      <c r="F434" s="22" t="s">
        <v>36</v>
      </c>
      <c r="G434" s="24" t="str">
        <f>IFERROR(VLOOKUP(F434,Procedimentos!A:C,2,),"")</f>
        <v>GESTÃO DE PRODUTOS QUÍMICOS</v>
      </c>
      <c r="H434" s="25"/>
      <c r="I434" s="25">
        <v>45889</v>
      </c>
      <c r="J434" s="22">
        <v>12</v>
      </c>
      <c r="K434" s="25">
        <f t="shared" si="17"/>
        <v>46254</v>
      </c>
      <c r="L434" s="28" t="str">
        <f t="shared" ca="1" si="16"/>
        <v>Em dia</v>
      </c>
      <c r="M434" s="33" t="s">
        <v>30</v>
      </c>
      <c r="N434" s="28" t="s">
        <v>21</v>
      </c>
      <c r="O434" s="22" t="s">
        <v>28</v>
      </c>
      <c r="P434" s="25">
        <f t="shared" si="18"/>
        <v>45981</v>
      </c>
      <c r="Q434" s="25"/>
      <c r="R434" s="25"/>
      <c r="S434" s="7" t="s">
        <v>23</v>
      </c>
      <c r="T434" s="28">
        <v>1</v>
      </c>
    </row>
    <row r="435" spans="1:20" ht="14.25" customHeight="1">
      <c r="A435" s="22">
        <v>489</v>
      </c>
      <c r="B435" s="38">
        <v>7590</v>
      </c>
      <c r="C435" s="22" t="str">
        <f>IFERROR(VLOOKUP(B435,Colaboradores!A:D,2,),"")</f>
        <v>FABIOLA SOUSA MOURA BORGES</v>
      </c>
      <c r="D435" s="22" t="str">
        <f>IFERROR(VLOOKUP(B435,Colaboradores!A:D,3,),"")</f>
        <v>SAÚDE OCUPACIONAL</v>
      </c>
      <c r="E435" s="22" t="str">
        <f>IFERROR(VLOOKUP(B435,Colaboradores!A:D,4,),"")</f>
        <v>GERENTE DE SAÚDE OCUPACIONAL</v>
      </c>
      <c r="F435" s="22" t="s">
        <v>36</v>
      </c>
      <c r="G435" s="24" t="str">
        <f>IFERROR(VLOOKUP(F435,Procedimentos!A:C,2,),"")</f>
        <v>GESTÃO DE PRODUTOS QUÍMICOS</v>
      </c>
      <c r="H435" s="25"/>
      <c r="I435" s="25">
        <v>45889</v>
      </c>
      <c r="J435" s="22">
        <v>12</v>
      </c>
      <c r="K435" s="25">
        <f t="shared" si="17"/>
        <v>46254</v>
      </c>
      <c r="L435" s="28" t="str">
        <f t="shared" ca="1" si="16"/>
        <v>Em dia</v>
      </c>
      <c r="M435" s="33" t="s">
        <v>30</v>
      </c>
      <c r="N435" s="28" t="s">
        <v>21</v>
      </c>
      <c r="O435" s="22" t="s">
        <v>28</v>
      </c>
      <c r="P435" s="25">
        <f t="shared" si="18"/>
        <v>45981</v>
      </c>
      <c r="Q435" s="25"/>
      <c r="R435" s="25"/>
      <c r="S435" s="7" t="s">
        <v>23</v>
      </c>
      <c r="T435" s="28">
        <v>1</v>
      </c>
    </row>
    <row r="436" spans="1:20" ht="14.25" customHeight="1">
      <c r="A436" s="22">
        <v>490</v>
      </c>
      <c r="B436" s="38">
        <v>14508</v>
      </c>
      <c r="C436" s="22" t="str">
        <f>IFERROR(VLOOKUP(B436,Colaboradores!A:D,2,),"")</f>
        <v>FYAMA SANTOS SILVA</v>
      </c>
      <c r="D436" s="22" t="str">
        <f>IFERROR(VLOOKUP(B436,Colaboradores!A:D,3,),"")</f>
        <v>SAÚDE OCUPACIONAL</v>
      </c>
      <c r="E436" s="22" t="str">
        <f>IFERROR(VLOOKUP(B436,Colaboradores!A:D,4,),"")</f>
        <v>ASSISTENTE ADMINISTRATIVO</v>
      </c>
      <c r="F436" s="22" t="s">
        <v>32</v>
      </c>
      <c r="G436" s="24" t="str">
        <f>IFERROR(VLOOKUP(F436,Procedimentos!A:C,2,),"")</f>
        <v>GESTÃO DE LEVANTAMENTO DE ASPECTOS E IMPACTOS AMBIENTAIS</v>
      </c>
      <c r="H436" s="25"/>
      <c r="I436" s="25">
        <v>45889</v>
      </c>
      <c r="J436" s="22">
        <v>12</v>
      </c>
      <c r="K436" s="25">
        <f t="shared" si="17"/>
        <v>46254</v>
      </c>
      <c r="L436" s="28" t="str">
        <f t="shared" ca="1" si="16"/>
        <v>Em dia</v>
      </c>
      <c r="M436" s="33" t="s">
        <v>30</v>
      </c>
      <c r="N436" s="28" t="s">
        <v>21</v>
      </c>
      <c r="O436" s="22" t="s">
        <v>28</v>
      </c>
      <c r="P436" s="25">
        <f t="shared" si="18"/>
        <v>45981</v>
      </c>
      <c r="Q436" s="25"/>
      <c r="R436" s="25"/>
      <c r="S436" s="7" t="s">
        <v>23</v>
      </c>
      <c r="T436" s="28">
        <v>1</v>
      </c>
    </row>
    <row r="437" spans="1:20" ht="14.25" customHeight="1">
      <c r="A437" s="22">
        <v>491</v>
      </c>
      <c r="B437" s="38">
        <v>13778</v>
      </c>
      <c r="C437" s="22" t="str">
        <f>IFERROR(VLOOKUP(B437,Colaboradores!A:D,2,),"")</f>
        <v>LAIS FERREIRA CAMPOS MINEIRO</v>
      </c>
      <c r="D437" s="22" t="str">
        <f>IFERROR(VLOOKUP(B437,Colaboradores!A:D,3,),"")</f>
        <v>SAÚDE OCUPACIONAL</v>
      </c>
      <c r="E437" s="22" t="str">
        <f>IFERROR(VLOOKUP(B437,Colaboradores!A:D,4,),"")</f>
        <v>FISIOTERAPEUTA</v>
      </c>
      <c r="F437" s="22" t="s">
        <v>32</v>
      </c>
      <c r="G437" s="24" t="str">
        <f>IFERROR(VLOOKUP(F437,Procedimentos!A:C,2,),"")</f>
        <v>GESTÃO DE LEVANTAMENTO DE ASPECTOS E IMPACTOS AMBIENTAIS</v>
      </c>
      <c r="H437" s="25"/>
      <c r="I437" s="25">
        <v>45889</v>
      </c>
      <c r="J437" s="22">
        <v>12</v>
      </c>
      <c r="K437" s="25">
        <f t="shared" si="17"/>
        <v>46254</v>
      </c>
      <c r="L437" s="28" t="str">
        <f t="shared" ca="1" si="16"/>
        <v>Em dia</v>
      </c>
      <c r="M437" s="33" t="s">
        <v>30</v>
      </c>
      <c r="N437" s="28" t="s">
        <v>21</v>
      </c>
      <c r="O437" s="22" t="s">
        <v>28</v>
      </c>
      <c r="P437" s="25">
        <f t="shared" si="18"/>
        <v>45981</v>
      </c>
      <c r="Q437" s="25"/>
      <c r="R437" s="25"/>
      <c r="S437" s="7" t="s">
        <v>23</v>
      </c>
      <c r="T437" s="28">
        <v>1</v>
      </c>
    </row>
    <row r="438" spans="1:20" ht="14.25" customHeight="1">
      <c r="A438" s="22">
        <v>492</v>
      </c>
      <c r="B438" s="38">
        <v>7590</v>
      </c>
      <c r="C438" s="22" t="str">
        <f>IFERROR(VLOOKUP(B438,Colaboradores!A:D,2,),"")</f>
        <v>FABIOLA SOUSA MOURA BORGES</v>
      </c>
      <c r="D438" s="22" t="str">
        <f>IFERROR(VLOOKUP(B438,Colaboradores!A:D,3,),"")</f>
        <v>SAÚDE OCUPACIONAL</v>
      </c>
      <c r="E438" s="22" t="str">
        <f>IFERROR(VLOOKUP(B438,Colaboradores!A:D,4,),"")</f>
        <v>GERENTE DE SAÚDE OCUPACIONAL</v>
      </c>
      <c r="F438" s="22" t="s">
        <v>32</v>
      </c>
      <c r="G438" s="24" t="str">
        <f>IFERROR(VLOOKUP(F438,Procedimentos!A:C,2,),"")</f>
        <v>GESTÃO DE LEVANTAMENTO DE ASPECTOS E IMPACTOS AMBIENTAIS</v>
      </c>
      <c r="H438" s="25"/>
      <c r="I438" s="25">
        <v>45889</v>
      </c>
      <c r="J438" s="22">
        <v>12</v>
      </c>
      <c r="K438" s="25">
        <f t="shared" si="17"/>
        <v>46254</v>
      </c>
      <c r="L438" s="28" t="str">
        <f t="shared" ca="1" si="16"/>
        <v>Em dia</v>
      </c>
      <c r="M438" s="33" t="s">
        <v>30</v>
      </c>
      <c r="N438" s="28" t="s">
        <v>21</v>
      </c>
      <c r="O438" s="22" t="s">
        <v>28</v>
      </c>
      <c r="P438" s="25">
        <f t="shared" si="18"/>
        <v>45981</v>
      </c>
      <c r="Q438" s="25"/>
      <c r="R438" s="25"/>
      <c r="S438" s="7" t="s">
        <v>23</v>
      </c>
      <c r="T438" s="28">
        <v>1</v>
      </c>
    </row>
    <row r="439" spans="1:20" ht="14.25" customHeight="1">
      <c r="A439" s="22">
        <v>493</v>
      </c>
      <c r="B439" s="38">
        <v>14508</v>
      </c>
      <c r="C439" s="22" t="str">
        <f>IFERROR(VLOOKUP(B439,Colaboradores!A:D,2,),"")</f>
        <v>FYAMA SANTOS SILVA</v>
      </c>
      <c r="D439" s="22" t="str">
        <f>IFERROR(VLOOKUP(B439,Colaboradores!A:D,3,),"")</f>
        <v>SAÚDE OCUPACIONAL</v>
      </c>
      <c r="E439" s="22" t="str">
        <f>IFERROR(VLOOKUP(B439,Colaboradores!A:D,4,),"")</f>
        <v>ASSISTENTE ADMINISTRATIVO</v>
      </c>
      <c r="F439" s="22" t="s">
        <v>31</v>
      </c>
      <c r="G439" s="24" t="str">
        <f>IFERROR(VLOOKUP(F439,Procedimentos!A:C,2,),"")</f>
        <v>GESTÃO DE COMUNICAÇÃO, CLASSIFICAÇÃO E INVESTIGAÇÃO DE OCORRÊNCIAS AMBIENTAIS</v>
      </c>
      <c r="H439" s="25"/>
      <c r="I439" s="25">
        <v>45889</v>
      </c>
      <c r="J439" s="22">
        <v>12</v>
      </c>
      <c r="K439" s="25">
        <f t="shared" si="17"/>
        <v>46254</v>
      </c>
      <c r="L439" s="28" t="str">
        <f t="shared" ca="1" si="16"/>
        <v>Em dia</v>
      </c>
      <c r="M439" s="33" t="s">
        <v>30</v>
      </c>
      <c r="N439" s="28" t="s">
        <v>21</v>
      </c>
      <c r="O439" s="22" t="s">
        <v>28</v>
      </c>
      <c r="P439" s="25">
        <f t="shared" si="18"/>
        <v>45981</v>
      </c>
      <c r="Q439" s="25"/>
      <c r="R439" s="25"/>
      <c r="S439" s="7" t="s">
        <v>23</v>
      </c>
      <c r="T439" s="28">
        <v>1</v>
      </c>
    </row>
    <row r="440" spans="1:20" ht="14.25" customHeight="1">
      <c r="A440" s="22">
        <v>494</v>
      </c>
      <c r="B440" s="38">
        <v>13778</v>
      </c>
      <c r="C440" s="22" t="str">
        <f>IFERROR(VLOOKUP(B440,Colaboradores!A:D,2,),"")</f>
        <v>LAIS FERREIRA CAMPOS MINEIRO</v>
      </c>
      <c r="D440" s="22" t="str">
        <f>IFERROR(VLOOKUP(B440,Colaboradores!A:D,3,),"")</f>
        <v>SAÚDE OCUPACIONAL</v>
      </c>
      <c r="E440" s="22" t="str">
        <f>IFERROR(VLOOKUP(B440,Colaboradores!A:D,4,),"")</f>
        <v>FISIOTERAPEUTA</v>
      </c>
      <c r="F440" s="22" t="s">
        <v>31</v>
      </c>
      <c r="G440" s="24" t="str">
        <f>IFERROR(VLOOKUP(F440,Procedimentos!A:C,2,),"")</f>
        <v>GESTÃO DE COMUNICAÇÃO, CLASSIFICAÇÃO E INVESTIGAÇÃO DE OCORRÊNCIAS AMBIENTAIS</v>
      </c>
      <c r="H440" s="25"/>
      <c r="I440" s="25">
        <v>45889</v>
      </c>
      <c r="J440" s="22">
        <v>12</v>
      </c>
      <c r="K440" s="25">
        <f t="shared" si="17"/>
        <v>46254</v>
      </c>
      <c r="L440" s="28" t="str">
        <f t="shared" ca="1" si="16"/>
        <v>Em dia</v>
      </c>
      <c r="M440" s="33" t="s">
        <v>30</v>
      </c>
      <c r="N440" s="28" t="s">
        <v>21</v>
      </c>
      <c r="O440" s="22" t="s">
        <v>28</v>
      </c>
      <c r="P440" s="25">
        <f t="shared" si="18"/>
        <v>45981</v>
      </c>
      <c r="Q440" s="25"/>
      <c r="R440" s="25"/>
      <c r="S440" s="7" t="s">
        <v>23</v>
      </c>
      <c r="T440" s="28">
        <v>1</v>
      </c>
    </row>
    <row r="441" spans="1:20" ht="14.25" customHeight="1">
      <c r="A441" s="22">
        <v>495</v>
      </c>
      <c r="B441" s="38">
        <v>7590</v>
      </c>
      <c r="C441" s="22" t="str">
        <f>IFERROR(VLOOKUP(B441,Colaboradores!A:D,2,),"")</f>
        <v>FABIOLA SOUSA MOURA BORGES</v>
      </c>
      <c r="D441" s="22" t="str">
        <f>IFERROR(VLOOKUP(B441,Colaboradores!A:D,3,),"")</f>
        <v>SAÚDE OCUPACIONAL</v>
      </c>
      <c r="E441" s="22" t="str">
        <f>IFERROR(VLOOKUP(B441,Colaboradores!A:D,4,),"")</f>
        <v>GERENTE DE SAÚDE OCUPACIONAL</v>
      </c>
      <c r="F441" s="22" t="s">
        <v>31</v>
      </c>
      <c r="G441" s="24" t="str">
        <f>IFERROR(VLOOKUP(F441,Procedimentos!A:C,2,),"")</f>
        <v>GESTÃO DE COMUNICAÇÃO, CLASSIFICAÇÃO E INVESTIGAÇÃO DE OCORRÊNCIAS AMBIENTAIS</v>
      </c>
      <c r="H441" s="25"/>
      <c r="I441" s="25">
        <v>45889</v>
      </c>
      <c r="J441" s="22">
        <v>12</v>
      </c>
      <c r="K441" s="25">
        <f t="shared" si="17"/>
        <v>46254</v>
      </c>
      <c r="L441" s="28" t="str">
        <f t="shared" ca="1" si="16"/>
        <v>Em dia</v>
      </c>
      <c r="M441" s="33" t="s">
        <v>30</v>
      </c>
      <c r="N441" s="28" t="s">
        <v>21</v>
      </c>
      <c r="O441" s="22" t="s">
        <v>28</v>
      </c>
      <c r="P441" s="25">
        <f t="shared" si="18"/>
        <v>45981</v>
      </c>
      <c r="Q441" s="25"/>
      <c r="R441" s="25"/>
      <c r="S441" s="7" t="s">
        <v>23</v>
      </c>
      <c r="T441" s="28">
        <v>1</v>
      </c>
    </row>
    <row r="442" spans="1:20" ht="14.25" customHeight="1">
      <c r="A442" s="22">
        <v>496</v>
      </c>
      <c r="B442" s="38">
        <v>14508</v>
      </c>
      <c r="C442" s="22" t="str">
        <f>IFERROR(VLOOKUP(B442,Colaboradores!A:D,2,),"")</f>
        <v>FYAMA SANTOS SILVA</v>
      </c>
      <c r="D442" s="22" t="str">
        <f>IFERROR(VLOOKUP(B442,Colaboradores!A:D,3,),"")</f>
        <v>SAÚDE OCUPACIONAL</v>
      </c>
      <c r="E442" s="22" t="str">
        <f>IFERROR(VLOOKUP(B442,Colaboradores!A:D,4,),"")</f>
        <v>ASSISTENTE ADMINISTRATIVO</v>
      </c>
      <c r="F442" s="22" t="s">
        <v>33</v>
      </c>
      <c r="G442" s="24" t="str">
        <f>IFERROR(VLOOKUP(F442,Procedimentos!A:C,2,),"")</f>
        <v>GESTÃO DE INSPEÇÕES AMBIENTAIS</v>
      </c>
      <c r="H442" s="25"/>
      <c r="I442" s="25">
        <v>45889</v>
      </c>
      <c r="J442" s="22">
        <v>12</v>
      </c>
      <c r="K442" s="25">
        <f t="shared" si="17"/>
        <v>46254</v>
      </c>
      <c r="L442" s="28" t="str">
        <f t="shared" ca="1" si="16"/>
        <v>Em dia</v>
      </c>
      <c r="M442" s="33" t="s">
        <v>30</v>
      </c>
      <c r="N442" s="28" t="s">
        <v>21</v>
      </c>
      <c r="O442" s="22" t="s">
        <v>28</v>
      </c>
      <c r="P442" s="25">
        <f t="shared" si="18"/>
        <v>45981</v>
      </c>
      <c r="Q442" s="25"/>
      <c r="R442" s="25"/>
      <c r="S442" s="7" t="s">
        <v>23</v>
      </c>
      <c r="T442" s="28">
        <v>1</v>
      </c>
    </row>
    <row r="443" spans="1:20" ht="14.25" customHeight="1">
      <c r="A443" s="22">
        <v>497</v>
      </c>
      <c r="B443" s="38">
        <v>13778</v>
      </c>
      <c r="C443" s="22" t="str">
        <f>IFERROR(VLOOKUP(B443,Colaboradores!A:D,2,),"")</f>
        <v>LAIS FERREIRA CAMPOS MINEIRO</v>
      </c>
      <c r="D443" s="22" t="str">
        <f>IFERROR(VLOOKUP(B443,Colaboradores!A:D,3,),"")</f>
        <v>SAÚDE OCUPACIONAL</v>
      </c>
      <c r="E443" s="22" t="str">
        <f>IFERROR(VLOOKUP(B443,Colaboradores!A:D,4,),"")</f>
        <v>FISIOTERAPEUTA</v>
      </c>
      <c r="F443" s="22" t="s">
        <v>33</v>
      </c>
      <c r="G443" s="24" t="str">
        <f>IFERROR(VLOOKUP(F443,Procedimentos!A:C,2,),"")</f>
        <v>GESTÃO DE INSPEÇÕES AMBIENTAIS</v>
      </c>
      <c r="H443" s="25"/>
      <c r="I443" s="25">
        <v>45889</v>
      </c>
      <c r="J443" s="22">
        <v>12</v>
      </c>
      <c r="K443" s="25">
        <f t="shared" si="17"/>
        <v>46254</v>
      </c>
      <c r="L443" s="28" t="str">
        <f t="shared" ca="1" si="16"/>
        <v>Em dia</v>
      </c>
      <c r="M443" s="33" t="s">
        <v>30</v>
      </c>
      <c r="N443" s="28" t="s">
        <v>21</v>
      </c>
      <c r="O443" s="22" t="s">
        <v>28</v>
      </c>
      <c r="P443" s="25">
        <f t="shared" si="18"/>
        <v>45981</v>
      </c>
      <c r="Q443" s="25"/>
      <c r="R443" s="25"/>
      <c r="S443" s="7" t="s">
        <v>23</v>
      </c>
      <c r="T443" s="28">
        <v>1</v>
      </c>
    </row>
    <row r="444" spans="1:20" ht="14.25" customHeight="1">
      <c r="A444" s="22">
        <v>498</v>
      </c>
      <c r="B444" s="38">
        <v>7590</v>
      </c>
      <c r="C444" s="22" t="str">
        <f>IFERROR(VLOOKUP(B444,Colaboradores!A:D,2,),"")</f>
        <v>FABIOLA SOUSA MOURA BORGES</v>
      </c>
      <c r="D444" s="22" t="str">
        <f>IFERROR(VLOOKUP(B444,Colaboradores!A:D,3,),"")</f>
        <v>SAÚDE OCUPACIONAL</v>
      </c>
      <c r="E444" s="22" t="str">
        <f>IFERROR(VLOOKUP(B444,Colaboradores!A:D,4,),"")</f>
        <v>GERENTE DE SAÚDE OCUPACIONAL</v>
      </c>
      <c r="F444" s="22" t="s">
        <v>33</v>
      </c>
      <c r="G444" s="24" t="str">
        <f>IFERROR(VLOOKUP(F444,Procedimentos!A:C,2,),"")</f>
        <v>GESTÃO DE INSPEÇÕES AMBIENTAIS</v>
      </c>
      <c r="H444" s="22"/>
      <c r="I444" s="25">
        <v>45889</v>
      </c>
      <c r="J444" s="22">
        <v>12</v>
      </c>
      <c r="K444" s="25">
        <f t="shared" si="17"/>
        <v>46254</v>
      </c>
      <c r="L444" s="28" t="str">
        <f t="shared" ca="1" si="16"/>
        <v>Em dia</v>
      </c>
      <c r="M444" s="33" t="s">
        <v>30</v>
      </c>
      <c r="N444" s="28" t="s">
        <v>21</v>
      </c>
      <c r="O444" s="22" t="s">
        <v>28</v>
      </c>
      <c r="P444" s="25">
        <f t="shared" si="18"/>
        <v>45981</v>
      </c>
      <c r="Q444" s="25"/>
      <c r="R444" s="25"/>
      <c r="S444" s="7" t="s">
        <v>23</v>
      </c>
      <c r="T444" s="28">
        <v>1</v>
      </c>
    </row>
    <row r="445" spans="1:20" ht="14.25" customHeight="1">
      <c r="A445" s="22">
        <v>500</v>
      </c>
      <c r="B445" s="38">
        <v>13524</v>
      </c>
      <c r="C445" s="22" t="str">
        <f>IFERROR(VLOOKUP(B445,Colaboradores!A:D,2,),"")</f>
        <v>JOAO WILKER RIBEIRO BARROS LIMA</v>
      </c>
      <c r="D445" s="22" t="str">
        <f>IFERROR(VLOOKUP(B445,Colaboradores!A:D,3,),"")</f>
        <v>SEGURANÇA DO TRABALHO</v>
      </c>
      <c r="E445" s="22" t="str">
        <f>IFERROR(VLOOKUP(B445,Colaboradores!A:D,4,),"")</f>
        <v>COORDENADOR DE SEGURANÇA DO TRABALHO</v>
      </c>
      <c r="F445" s="22" t="s">
        <v>29</v>
      </c>
      <c r="G445" s="24" t="str">
        <f>IFERROR(VLOOKUP(F445,Procedimentos!A:C,2,),"")</f>
        <v>COLETA SELETIVA DESSMA</v>
      </c>
      <c r="H445" s="25"/>
      <c r="I445" s="25">
        <v>45889</v>
      </c>
      <c r="J445" s="22">
        <v>12</v>
      </c>
      <c r="K445" s="25">
        <f t="shared" si="17"/>
        <v>46254</v>
      </c>
      <c r="L445" s="28" t="str">
        <f t="shared" ca="1" si="16"/>
        <v>Em dia</v>
      </c>
      <c r="M445" s="33" t="s">
        <v>30</v>
      </c>
      <c r="N445" s="28" t="s">
        <v>21</v>
      </c>
      <c r="O445" s="22" t="s">
        <v>28</v>
      </c>
      <c r="P445" s="25">
        <f t="shared" si="18"/>
        <v>45981</v>
      </c>
      <c r="Q445" s="25"/>
      <c r="R445" s="25"/>
      <c r="S445" s="7" t="s">
        <v>27</v>
      </c>
      <c r="T445" s="28">
        <v>1</v>
      </c>
    </row>
    <row r="446" spans="1:20" ht="14.25" customHeight="1">
      <c r="A446" s="22">
        <v>501</v>
      </c>
      <c r="B446" s="38">
        <v>2740</v>
      </c>
      <c r="C446" s="22" t="str">
        <f>IFERROR(VLOOKUP(B446,Colaboradores!A:D,2,),"")</f>
        <v>LUCIANA BARBOSA SODRE</v>
      </c>
      <c r="D446" s="22" t="str">
        <f>IFERROR(VLOOKUP(B446,Colaboradores!A:D,3,),"")</f>
        <v>SEGURANÇA DO TRABALHO</v>
      </c>
      <c r="E446" s="22" t="str">
        <f>IFERROR(VLOOKUP(B446,Colaboradores!A:D,4,),"")</f>
        <v>TÉCNICO DE SEGURANÇA DO TRABALHO</v>
      </c>
      <c r="F446" s="22" t="s">
        <v>29</v>
      </c>
      <c r="G446" s="24" t="str">
        <f>IFERROR(VLOOKUP(F446,Procedimentos!A:C,2,),"")</f>
        <v>COLETA SELETIVA DESSMA</v>
      </c>
      <c r="H446" s="25"/>
      <c r="I446" s="25">
        <v>45889</v>
      </c>
      <c r="J446" s="22">
        <v>12</v>
      </c>
      <c r="K446" s="25">
        <f t="shared" si="17"/>
        <v>46254</v>
      </c>
      <c r="L446" s="28" t="str">
        <f t="shared" ca="1" si="16"/>
        <v>Em dia</v>
      </c>
      <c r="M446" s="33" t="s">
        <v>30</v>
      </c>
      <c r="N446" s="28" t="s">
        <v>21</v>
      </c>
      <c r="O446" s="22" t="s">
        <v>28</v>
      </c>
      <c r="P446" s="25">
        <f t="shared" si="18"/>
        <v>45981</v>
      </c>
      <c r="Q446" s="25"/>
      <c r="R446" s="25"/>
      <c r="S446" s="7" t="s">
        <v>27</v>
      </c>
      <c r="T446" s="28">
        <v>1</v>
      </c>
    </row>
    <row r="447" spans="1:20" ht="14.25" customHeight="1">
      <c r="A447" s="22">
        <v>502</v>
      </c>
      <c r="B447" s="38">
        <v>7580</v>
      </c>
      <c r="C447" s="22" t="str">
        <f>IFERROR(VLOOKUP(B447,Colaboradores!A:D,2,),"")</f>
        <v>LUCIO JOSE DA COSTA LOPES</v>
      </c>
      <c r="D447" s="22" t="str">
        <f>IFERROR(VLOOKUP(B447,Colaboradores!A:D,3,),"")</f>
        <v>SEGURANÇA DO TRABALHO</v>
      </c>
      <c r="E447" s="22" t="str">
        <f>IFERROR(VLOOKUP(B447,Colaboradores!A:D,4,),"")</f>
        <v>TÉCNICO DE SEGURANÇA DO TRABALHO</v>
      </c>
      <c r="F447" s="22" t="s">
        <v>29</v>
      </c>
      <c r="G447" s="24" t="str">
        <f>IFERROR(VLOOKUP(F447,Procedimentos!A:C,2,),"")</f>
        <v>COLETA SELETIVA DESSMA</v>
      </c>
      <c r="H447" s="25"/>
      <c r="I447" s="25">
        <v>45889</v>
      </c>
      <c r="J447" s="22">
        <v>12</v>
      </c>
      <c r="K447" s="25">
        <f t="shared" si="17"/>
        <v>46254</v>
      </c>
      <c r="L447" s="28" t="str">
        <f t="shared" ca="1" si="16"/>
        <v>Em dia</v>
      </c>
      <c r="M447" s="33" t="s">
        <v>30</v>
      </c>
      <c r="N447" s="28" t="s">
        <v>21</v>
      </c>
      <c r="O447" s="22" t="s">
        <v>28</v>
      </c>
      <c r="P447" s="25">
        <f t="shared" si="18"/>
        <v>45981</v>
      </c>
      <c r="Q447" s="25"/>
      <c r="R447" s="25"/>
      <c r="S447" s="7" t="s">
        <v>27</v>
      </c>
      <c r="T447" s="28">
        <v>1</v>
      </c>
    </row>
    <row r="448" spans="1:20" ht="14.25" customHeight="1">
      <c r="A448" s="22">
        <v>504</v>
      </c>
      <c r="B448" s="38">
        <v>13524</v>
      </c>
      <c r="C448" s="22" t="str">
        <f>IFERROR(VLOOKUP(B448,Colaboradores!A:D,2,),"")</f>
        <v>JOAO WILKER RIBEIRO BARROS LIMA</v>
      </c>
      <c r="D448" s="22" t="str">
        <f>IFERROR(VLOOKUP(B448,Colaboradores!A:D,3,),"")</f>
        <v>SEGURANÇA DO TRABALHO</v>
      </c>
      <c r="E448" s="22" t="str">
        <f>IFERROR(VLOOKUP(B448,Colaboradores!A:D,4,),"")</f>
        <v>COORDENADOR DE SEGURANÇA DO TRABALHO</v>
      </c>
      <c r="F448" s="22" t="s">
        <v>36</v>
      </c>
      <c r="G448" s="24" t="str">
        <f>IFERROR(VLOOKUP(F448,Procedimentos!A:C,2,),"")</f>
        <v>GESTÃO DE PRODUTOS QUÍMICOS</v>
      </c>
      <c r="H448" s="25"/>
      <c r="I448" s="25">
        <v>45889</v>
      </c>
      <c r="J448" s="22">
        <v>12</v>
      </c>
      <c r="K448" s="25">
        <f t="shared" si="17"/>
        <v>46254</v>
      </c>
      <c r="L448" s="28" t="str">
        <f t="shared" ca="1" si="16"/>
        <v>Em dia</v>
      </c>
      <c r="M448" s="33" t="s">
        <v>30</v>
      </c>
      <c r="N448" s="28" t="s">
        <v>21</v>
      </c>
      <c r="O448" s="22" t="s">
        <v>28</v>
      </c>
      <c r="P448" s="25">
        <f t="shared" si="18"/>
        <v>45981</v>
      </c>
      <c r="Q448" s="25"/>
      <c r="R448" s="25"/>
      <c r="S448" s="7" t="s">
        <v>27</v>
      </c>
      <c r="T448" s="28">
        <v>1</v>
      </c>
    </row>
    <row r="449" spans="1:20" ht="14.25" customHeight="1">
      <c r="A449" s="22">
        <v>505</v>
      </c>
      <c r="B449" s="38">
        <v>2740</v>
      </c>
      <c r="C449" s="22" t="str">
        <f>IFERROR(VLOOKUP(B449,Colaboradores!A:D,2,),"")</f>
        <v>LUCIANA BARBOSA SODRE</v>
      </c>
      <c r="D449" s="22" t="str">
        <f>IFERROR(VLOOKUP(B449,Colaboradores!A:D,3,),"")</f>
        <v>SEGURANÇA DO TRABALHO</v>
      </c>
      <c r="E449" s="22" t="str">
        <f>IFERROR(VLOOKUP(B449,Colaboradores!A:D,4,),"")</f>
        <v>TÉCNICO DE SEGURANÇA DO TRABALHO</v>
      </c>
      <c r="F449" s="22" t="s">
        <v>36</v>
      </c>
      <c r="G449" s="24" t="str">
        <f>IFERROR(VLOOKUP(F449,Procedimentos!A:C,2,),"")</f>
        <v>GESTÃO DE PRODUTOS QUÍMICOS</v>
      </c>
      <c r="H449" s="25"/>
      <c r="I449" s="25">
        <v>45889</v>
      </c>
      <c r="J449" s="22">
        <v>12</v>
      </c>
      <c r="K449" s="25">
        <f t="shared" si="17"/>
        <v>46254</v>
      </c>
      <c r="L449" s="28" t="str">
        <f t="shared" ref="L449:L512" ca="1" si="19">IF(K449="","",IF(K449&lt;TODAY(),"Vencido",IF(K449&lt;=TODAY()+30,"A vencer","Em dia")))</f>
        <v>Em dia</v>
      </c>
      <c r="M449" s="33" t="s">
        <v>30</v>
      </c>
      <c r="N449" s="28" t="s">
        <v>21</v>
      </c>
      <c r="O449" s="22" t="s">
        <v>28</v>
      </c>
      <c r="P449" s="25">
        <f t="shared" si="18"/>
        <v>45981</v>
      </c>
      <c r="Q449" s="25"/>
      <c r="R449" s="25"/>
      <c r="S449" s="7" t="s">
        <v>27</v>
      </c>
      <c r="T449" s="28">
        <v>1</v>
      </c>
    </row>
    <row r="450" spans="1:20" ht="14.25" customHeight="1">
      <c r="A450" s="22">
        <v>506</v>
      </c>
      <c r="B450" s="38">
        <v>7580</v>
      </c>
      <c r="C450" s="22" t="str">
        <f>IFERROR(VLOOKUP(B450,Colaboradores!A:D,2,),"")</f>
        <v>LUCIO JOSE DA COSTA LOPES</v>
      </c>
      <c r="D450" s="22" t="str">
        <f>IFERROR(VLOOKUP(B450,Colaboradores!A:D,3,),"")</f>
        <v>SEGURANÇA DO TRABALHO</v>
      </c>
      <c r="E450" s="22" t="str">
        <f>IFERROR(VLOOKUP(B450,Colaboradores!A:D,4,),"")</f>
        <v>TÉCNICO DE SEGURANÇA DO TRABALHO</v>
      </c>
      <c r="F450" s="22" t="s">
        <v>36</v>
      </c>
      <c r="G450" s="24" t="str">
        <f>IFERROR(VLOOKUP(F450,Procedimentos!A:C,2,),"")</f>
        <v>GESTÃO DE PRODUTOS QUÍMICOS</v>
      </c>
      <c r="H450" s="25"/>
      <c r="I450" s="25">
        <v>45889</v>
      </c>
      <c r="J450" s="22">
        <v>12</v>
      </c>
      <c r="K450" s="25">
        <f t="shared" si="17"/>
        <v>46254</v>
      </c>
      <c r="L450" s="28" t="str">
        <f t="shared" ca="1" si="19"/>
        <v>Em dia</v>
      </c>
      <c r="M450" s="33" t="s">
        <v>30</v>
      </c>
      <c r="N450" s="28" t="s">
        <v>21</v>
      </c>
      <c r="O450" s="22" t="s">
        <v>28</v>
      </c>
      <c r="P450" s="25">
        <f t="shared" si="18"/>
        <v>45981</v>
      </c>
      <c r="Q450" s="25"/>
      <c r="R450" s="25"/>
      <c r="S450" s="7" t="s">
        <v>27</v>
      </c>
      <c r="T450" s="28">
        <v>1</v>
      </c>
    </row>
    <row r="451" spans="1:20" ht="14.25" customHeight="1">
      <c r="A451" s="22">
        <v>508</v>
      </c>
      <c r="B451" s="38">
        <v>13524</v>
      </c>
      <c r="C451" s="22" t="str">
        <f>IFERROR(VLOOKUP(B451,Colaboradores!A:D,2,),"")</f>
        <v>JOAO WILKER RIBEIRO BARROS LIMA</v>
      </c>
      <c r="D451" s="22" t="str">
        <f>IFERROR(VLOOKUP(B451,Colaboradores!A:D,3,),"")</f>
        <v>SEGURANÇA DO TRABALHO</v>
      </c>
      <c r="E451" s="22" t="str">
        <f>IFERROR(VLOOKUP(B451,Colaboradores!A:D,4,),"")</f>
        <v>COORDENADOR DE SEGURANÇA DO TRABALHO</v>
      </c>
      <c r="F451" s="22" t="s">
        <v>32</v>
      </c>
      <c r="G451" s="24" t="str">
        <f>IFERROR(VLOOKUP(F451,Procedimentos!A:C,2,),"")</f>
        <v>GESTÃO DE LEVANTAMENTO DE ASPECTOS E IMPACTOS AMBIENTAIS</v>
      </c>
      <c r="H451" s="25"/>
      <c r="I451" s="25">
        <v>45889</v>
      </c>
      <c r="J451" s="22">
        <v>12</v>
      </c>
      <c r="K451" s="25">
        <f t="shared" ref="K451:K514" si="20">IF(AND(I451&lt;&gt;"",J451&lt;&gt;""),DATE(YEAR(I451),MONTH(I451)+J451,DAY(I451)),"")</f>
        <v>46254</v>
      </c>
      <c r="L451" s="28" t="str">
        <f t="shared" ca="1" si="19"/>
        <v>Em dia</v>
      </c>
      <c r="M451" s="33" t="s">
        <v>30</v>
      </c>
      <c r="N451" s="28" t="s">
        <v>21</v>
      </c>
      <c r="O451" s="22" t="s">
        <v>28</v>
      </c>
      <c r="P451" s="25">
        <f t="shared" si="18"/>
        <v>45981</v>
      </c>
      <c r="Q451" s="25"/>
      <c r="R451" s="25"/>
      <c r="S451" s="7" t="s">
        <v>27</v>
      </c>
      <c r="T451" s="28">
        <v>1</v>
      </c>
    </row>
    <row r="452" spans="1:20" ht="14.25" customHeight="1">
      <c r="A452" s="22">
        <v>509</v>
      </c>
      <c r="B452" s="38">
        <v>2740</v>
      </c>
      <c r="C452" s="22" t="str">
        <f>IFERROR(VLOOKUP(B452,Colaboradores!A:D,2,),"")</f>
        <v>LUCIANA BARBOSA SODRE</v>
      </c>
      <c r="D452" s="22" t="str">
        <f>IFERROR(VLOOKUP(B452,Colaboradores!A:D,3,),"")</f>
        <v>SEGURANÇA DO TRABALHO</v>
      </c>
      <c r="E452" s="22" t="str">
        <f>IFERROR(VLOOKUP(B452,Colaboradores!A:D,4,),"")</f>
        <v>TÉCNICO DE SEGURANÇA DO TRABALHO</v>
      </c>
      <c r="F452" s="22" t="s">
        <v>32</v>
      </c>
      <c r="G452" s="24" t="str">
        <f>IFERROR(VLOOKUP(F452,Procedimentos!A:C,2,),"")</f>
        <v>GESTÃO DE LEVANTAMENTO DE ASPECTOS E IMPACTOS AMBIENTAIS</v>
      </c>
      <c r="H452" s="25"/>
      <c r="I452" s="25">
        <v>45889</v>
      </c>
      <c r="J452" s="22">
        <v>12</v>
      </c>
      <c r="K452" s="25">
        <f t="shared" si="20"/>
        <v>46254</v>
      </c>
      <c r="L452" s="28" t="str">
        <f t="shared" ca="1" si="19"/>
        <v>Em dia</v>
      </c>
      <c r="M452" s="33" t="s">
        <v>30</v>
      </c>
      <c r="N452" s="28" t="s">
        <v>21</v>
      </c>
      <c r="O452" s="22" t="s">
        <v>28</v>
      </c>
      <c r="P452" s="25">
        <f t="shared" si="18"/>
        <v>45981</v>
      </c>
      <c r="Q452" s="25"/>
      <c r="R452" s="25"/>
      <c r="S452" s="7" t="s">
        <v>27</v>
      </c>
      <c r="T452" s="28">
        <v>1</v>
      </c>
    </row>
    <row r="453" spans="1:20" ht="14.25" customHeight="1">
      <c r="A453" s="22">
        <v>510</v>
      </c>
      <c r="B453" s="38">
        <v>7580</v>
      </c>
      <c r="C453" s="22" t="str">
        <f>IFERROR(VLOOKUP(B453,Colaboradores!A:D,2,),"")</f>
        <v>LUCIO JOSE DA COSTA LOPES</v>
      </c>
      <c r="D453" s="22" t="str">
        <f>IFERROR(VLOOKUP(B453,Colaboradores!A:D,3,),"")</f>
        <v>SEGURANÇA DO TRABALHO</v>
      </c>
      <c r="E453" s="22" t="str">
        <f>IFERROR(VLOOKUP(B453,Colaboradores!A:D,4,),"")</f>
        <v>TÉCNICO DE SEGURANÇA DO TRABALHO</v>
      </c>
      <c r="F453" s="22" t="s">
        <v>32</v>
      </c>
      <c r="G453" s="24" t="str">
        <f>IFERROR(VLOOKUP(F453,Procedimentos!A:C,2,),"")</f>
        <v>GESTÃO DE LEVANTAMENTO DE ASPECTOS E IMPACTOS AMBIENTAIS</v>
      </c>
      <c r="H453" s="25"/>
      <c r="I453" s="25">
        <v>45889</v>
      </c>
      <c r="J453" s="22">
        <v>12</v>
      </c>
      <c r="K453" s="25">
        <f t="shared" si="20"/>
        <v>46254</v>
      </c>
      <c r="L453" s="28" t="str">
        <f t="shared" ca="1" si="19"/>
        <v>Em dia</v>
      </c>
      <c r="M453" s="33" t="s">
        <v>30</v>
      </c>
      <c r="N453" s="28" t="s">
        <v>21</v>
      </c>
      <c r="O453" s="22" t="s">
        <v>28</v>
      </c>
      <c r="P453" s="25">
        <f t="shared" si="18"/>
        <v>45981</v>
      </c>
      <c r="Q453" s="25"/>
      <c r="R453" s="25"/>
      <c r="S453" s="7" t="s">
        <v>27</v>
      </c>
      <c r="T453" s="28">
        <v>1</v>
      </c>
    </row>
    <row r="454" spans="1:20" ht="14.25" customHeight="1">
      <c r="A454" s="22">
        <v>512</v>
      </c>
      <c r="B454" s="38">
        <v>13524</v>
      </c>
      <c r="C454" s="22" t="str">
        <f>IFERROR(VLOOKUP(B454,Colaboradores!A:D,2,),"")</f>
        <v>JOAO WILKER RIBEIRO BARROS LIMA</v>
      </c>
      <c r="D454" s="22" t="str">
        <f>IFERROR(VLOOKUP(B454,Colaboradores!A:D,3,),"")</f>
        <v>SEGURANÇA DO TRABALHO</v>
      </c>
      <c r="E454" s="22" t="str">
        <f>IFERROR(VLOOKUP(B454,Colaboradores!A:D,4,),"")</f>
        <v>COORDENADOR DE SEGURANÇA DO TRABALHO</v>
      </c>
      <c r="F454" s="22" t="s">
        <v>31</v>
      </c>
      <c r="G454" s="24" t="str">
        <f>IFERROR(VLOOKUP(F454,Procedimentos!A:C,2,),"")</f>
        <v>GESTÃO DE COMUNICAÇÃO, CLASSIFICAÇÃO E INVESTIGAÇÃO DE OCORRÊNCIAS AMBIENTAIS</v>
      </c>
      <c r="H454" s="25"/>
      <c r="I454" s="25">
        <v>45889</v>
      </c>
      <c r="J454" s="22">
        <v>12</v>
      </c>
      <c r="K454" s="25">
        <f t="shared" si="20"/>
        <v>46254</v>
      </c>
      <c r="L454" s="28" t="str">
        <f t="shared" ca="1" si="19"/>
        <v>Em dia</v>
      </c>
      <c r="M454" s="33" t="s">
        <v>30</v>
      </c>
      <c r="N454" s="28" t="s">
        <v>21</v>
      </c>
      <c r="O454" s="22" t="s">
        <v>28</v>
      </c>
      <c r="P454" s="25">
        <f t="shared" si="18"/>
        <v>45981</v>
      </c>
      <c r="Q454" s="25"/>
      <c r="R454" s="25"/>
      <c r="S454" s="7" t="s">
        <v>27</v>
      </c>
      <c r="T454" s="28">
        <v>1</v>
      </c>
    </row>
    <row r="455" spans="1:20" ht="14.25" customHeight="1">
      <c r="A455" s="22">
        <v>513</v>
      </c>
      <c r="B455" s="38">
        <v>2740</v>
      </c>
      <c r="C455" s="22" t="str">
        <f>IFERROR(VLOOKUP(B455,Colaboradores!A:D,2,),"")</f>
        <v>LUCIANA BARBOSA SODRE</v>
      </c>
      <c r="D455" s="22" t="str">
        <f>IFERROR(VLOOKUP(B455,Colaboradores!A:D,3,),"")</f>
        <v>SEGURANÇA DO TRABALHO</v>
      </c>
      <c r="E455" s="22" t="str">
        <f>IFERROR(VLOOKUP(B455,Colaboradores!A:D,4,),"")</f>
        <v>TÉCNICO DE SEGURANÇA DO TRABALHO</v>
      </c>
      <c r="F455" s="22" t="s">
        <v>31</v>
      </c>
      <c r="G455" s="24" t="str">
        <f>IFERROR(VLOOKUP(F455,Procedimentos!A:C,2,),"")</f>
        <v>GESTÃO DE COMUNICAÇÃO, CLASSIFICAÇÃO E INVESTIGAÇÃO DE OCORRÊNCIAS AMBIENTAIS</v>
      </c>
      <c r="H455" s="25"/>
      <c r="I455" s="25">
        <v>45889</v>
      </c>
      <c r="J455" s="22">
        <v>12</v>
      </c>
      <c r="K455" s="25">
        <f t="shared" si="20"/>
        <v>46254</v>
      </c>
      <c r="L455" s="28" t="str">
        <f t="shared" ca="1" si="19"/>
        <v>Em dia</v>
      </c>
      <c r="M455" s="33" t="s">
        <v>30</v>
      </c>
      <c r="N455" s="28" t="s">
        <v>21</v>
      </c>
      <c r="O455" s="22" t="s">
        <v>28</v>
      </c>
      <c r="P455" s="25">
        <f t="shared" si="18"/>
        <v>45981</v>
      </c>
      <c r="Q455" s="25"/>
      <c r="R455" s="25"/>
      <c r="S455" s="7" t="s">
        <v>27</v>
      </c>
      <c r="T455" s="28">
        <v>1</v>
      </c>
    </row>
    <row r="456" spans="1:20" ht="14.25" customHeight="1">
      <c r="A456" s="22">
        <v>514</v>
      </c>
      <c r="B456" s="38">
        <v>7580</v>
      </c>
      <c r="C456" s="22" t="str">
        <f>IFERROR(VLOOKUP(B456,Colaboradores!A:D,2,),"")</f>
        <v>LUCIO JOSE DA COSTA LOPES</v>
      </c>
      <c r="D456" s="22" t="str">
        <f>IFERROR(VLOOKUP(B456,Colaboradores!A:D,3,),"")</f>
        <v>SEGURANÇA DO TRABALHO</v>
      </c>
      <c r="E456" s="22" t="str">
        <f>IFERROR(VLOOKUP(B456,Colaboradores!A:D,4,),"")</f>
        <v>TÉCNICO DE SEGURANÇA DO TRABALHO</v>
      </c>
      <c r="F456" s="22" t="s">
        <v>31</v>
      </c>
      <c r="G456" s="24" t="str">
        <f>IFERROR(VLOOKUP(F456,Procedimentos!A:C,2,),"")</f>
        <v>GESTÃO DE COMUNICAÇÃO, CLASSIFICAÇÃO E INVESTIGAÇÃO DE OCORRÊNCIAS AMBIENTAIS</v>
      </c>
      <c r="H456" s="25"/>
      <c r="I456" s="25">
        <v>45889</v>
      </c>
      <c r="J456" s="22">
        <v>12</v>
      </c>
      <c r="K456" s="25">
        <f t="shared" si="20"/>
        <v>46254</v>
      </c>
      <c r="L456" s="28" t="str">
        <f t="shared" ca="1" si="19"/>
        <v>Em dia</v>
      </c>
      <c r="M456" s="33" t="s">
        <v>30</v>
      </c>
      <c r="N456" s="28" t="s">
        <v>21</v>
      </c>
      <c r="O456" s="22" t="s">
        <v>28</v>
      </c>
      <c r="P456" s="25">
        <f t="shared" si="18"/>
        <v>45981</v>
      </c>
      <c r="Q456" s="25"/>
      <c r="R456" s="25"/>
      <c r="S456" s="7" t="s">
        <v>27</v>
      </c>
      <c r="T456" s="28">
        <v>1</v>
      </c>
    </row>
    <row r="457" spans="1:20" ht="14.25" customHeight="1">
      <c r="A457" s="22">
        <v>516</v>
      </c>
      <c r="B457" s="38">
        <v>13524</v>
      </c>
      <c r="C457" s="22" t="str">
        <f>IFERROR(VLOOKUP(B457,Colaboradores!A:D,2,),"")</f>
        <v>JOAO WILKER RIBEIRO BARROS LIMA</v>
      </c>
      <c r="D457" s="22" t="str">
        <f>IFERROR(VLOOKUP(B457,Colaboradores!A:D,3,),"")</f>
        <v>SEGURANÇA DO TRABALHO</v>
      </c>
      <c r="E457" s="22" t="str">
        <f>IFERROR(VLOOKUP(B457,Colaboradores!A:D,4,),"")</f>
        <v>COORDENADOR DE SEGURANÇA DO TRABALHO</v>
      </c>
      <c r="F457" s="22" t="s">
        <v>33</v>
      </c>
      <c r="G457" s="24" t="str">
        <f>IFERROR(VLOOKUP(F457,Procedimentos!A:C,2,),"")</f>
        <v>GESTÃO DE INSPEÇÕES AMBIENTAIS</v>
      </c>
      <c r="H457" s="25"/>
      <c r="I457" s="25">
        <v>45889</v>
      </c>
      <c r="J457" s="22">
        <v>12</v>
      </c>
      <c r="K457" s="25">
        <f t="shared" si="20"/>
        <v>46254</v>
      </c>
      <c r="L457" s="28" t="str">
        <f t="shared" ca="1" si="19"/>
        <v>Em dia</v>
      </c>
      <c r="M457" s="33" t="s">
        <v>30</v>
      </c>
      <c r="N457" s="28" t="s">
        <v>21</v>
      </c>
      <c r="O457" s="22" t="s">
        <v>28</v>
      </c>
      <c r="P457" s="25">
        <f t="shared" si="18"/>
        <v>45981</v>
      </c>
      <c r="Q457" s="25"/>
      <c r="R457" s="25"/>
      <c r="S457" s="7" t="s">
        <v>27</v>
      </c>
      <c r="T457" s="28">
        <v>1</v>
      </c>
    </row>
    <row r="458" spans="1:20" ht="14.25" customHeight="1">
      <c r="A458" s="22">
        <v>517</v>
      </c>
      <c r="B458" s="38">
        <v>2740</v>
      </c>
      <c r="C458" s="22" t="str">
        <f>IFERROR(VLOOKUP(B458,Colaboradores!A:D,2,),"")</f>
        <v>LUCIANA BARBOSA SODRE</v>
      </c>
      <c r="D458" s="22" t="str">
        <f>IFERROR(VLOOKUP(B458,Colaboradores!A:D,3,),"")</f>
        <v>SEGURANÇA DO TRABALHO</v>
      </c>
      <c r="E458" s="22" t="str">
        <f>IFERROR(VLOOKUP(B458,Colaboradores!A:D,4,),"")</f>
        <v>TÉCNICO DE SEGURANÇA DO TRABALHO</v>
      </c>
      <c r="F458" s="22" t="s">
        <v>33</v>
      </c>
      <c r="G458" s="24" t="str">
        <f>IFERROR(VLOOKUP(F458,Procedimentos!A:C,2,),"")</f>
        <v>GESTÃO DE INSPEÇÕES AMBIENTAIS</v>
      </c>
      <c r="H458" s="25"/>
      <c r="I458" s="25">
        <v>45889</v>
      </c>
      <c r="J458" s="22">
        <v>12</v>
      </c>
      <c r="K458" s="25">
        <f t="shared" si="20"/>
        <v>46254</v>
      </c>
      <c r="L458" s="28" t="str">
        <f t="shared" ca="1" si="19"/>
        <v>Em dia</v>
      </c>
      <c r="M458" s="33" t="s">
        <v>30</v>
      </c>
      <c r="N458" s="28" t="s">
        <v>21</v>
      </c>
      <c r="O458" s="22" t="s">
        <v>28</v>
      </c>
      <c r="P458" s="25">
        <f t="shared" si="18"/>
        <v>45981</v>
      </c>
      <c r="Q458" s="25"/>
      <c r="R458" s="25"/>
      <c r="S458" s="7" t="s">
        <v>27</v>
      </c>
      <c r="T458" s="28">
        <v>1</v>
      </c>
    </row>
    <row r="459" spans="1:20" ht="14.25" customHeight="1">
      <c r="A459" s="22">
        <v>518</v>
      </c>
      <c r="B459" s="38">
        <v>7580</v>
      </c>
      <c r="C459" s="22" t="str">
        <f>IFERROR(VLOOKUP(B459,Colaboradores!A:D,2,),"")</f>
        <v>LUCIO JOSE DA COSTA LOPES</v>
      </c>
      <c r="D459" s="22" t="str">
        <f>IFERROR(VLOOKUP(B459,Colaboradores!A:D,3,),"")</f>
        <v>SEGURANÇA DO TRABALHO</v>
      </c>
      <c r="E459" s="22" t="str">
        <f>IFERROR(VLOOKUP(B459,Colaboradores!A:D,4,),"")</f>
        <v>TÉCNICO DE SEGURANÇA DO TRABALHO</v>
      </c>
      <c r="F459" s="22" t="s">
        <v>33</v>
      </c>
      <c r="G459" s="24" t="str">
        <f>IFERROR(VLOOKUP(F459,Procedimentos!A:C,2,),"")</f>
        <v>GESTÃO DE INSPEÇÕES AMBIENTAIS</v>
      </c>
      <c r="H459" s="25"/>
      <c r="I459" s="25">
        <v>45889</v>
      </c>
      <c r="J459" s="22">
        <v>12</v>
      </c>
      <c r="K459" s="25">
        <f t="shared" si="20"/>
        <v>46254</v>
      </c>
      <c r="L459" s="28" t="str">
        <f t="shared" ca="1" si="19"/>
        <v>Em dia</v>
      </c>
      <c r="M459" s="33" t="s">
        <v>30</v>
      </c>
      <c r="N459" s="28" t="s">
        <v>21</v>
      </c>
      <c r="O459" s="22" t="s">
        <v>28</v>
      </c>
      <c r="P459" s="25">
        <f t="shared" si="18"/>
        <v>45981</v>
      </c>
      <c r="Q459" s="25"/>
      <c r="R459" s="25"/>
      <c r="S459" s="7" t="s">
        <v>27</v>
      </c>
      <c r="T459" s="28">
        <v>1</v>
      </c>
    </row>
    <row r="460" spans="1:20" ht="14.25" customHeight="1">
      <c r="A460" s="22">
        <v>519</v>
      </c>
      <c r="B460" s="35">
        <v>14356</v>
      </c>
      <c r="C460" s="22" t="str">
        <f>IFERROR(VLOOKUP(B460,Colaboradores!A:D,2,),"")</f>
        <v>JACILENE BELO LIMA</v>
      </c>
      <c r="D460" s="22" t="str">
        <f>IFERROR(VLOOKUP(B460,Colaboradores!A:D,3,),"")</f>
        <v>REGIONAL LESTE</v>
      </c>
      <c r="E460" s="22" t="str">
        <f>IFERROR(VLOOKUP(B460,Colaboradores!A:D,4,),"")</f>
        <v>ASSISTENTE ADMINISTRATIVO</v>
      </c>
      <c r="F460" s="22" t="s">
        <v>48</v>
      </c>
      <c r="G460" s="24" t="str">
        <f>IFERROR(VLOOKUP(F460,Procedimentos!A:C,2,),"")</f>
        <v>POLÍTICA MEIO AMBIENTE EMSERH</v>
      </c>
      <c r="H460" s="25"/>
      <c r="I460" s="25">
        <v>45889</v>
      </c>
      <c r="J460" s="22">
        <v>12</v>
      </c>
      <c r="K460" s="25">
        <f t="shared" si="20"/>
        <v>46254</v>
      </c>
      <c r="L460" s="28" t="str">
        <f t="shared" ca="1" si="19"/>
        <v>Em dia</v>
      </c>
      <c r="M460" s="33" t="s">
        <v>30</v>
      </c>
      <c r="N460" s="28" t="s">
        <v>21</v>
      </c>
      <c r="O460" s="22" t="s">
        <v>28</v>
      </c>
      <c r="P460" s="25">
        <f t="shared" si="18"/>
        <v>45981</v>
      </c>
      <c r="Q460" s="25"/>
      <c r="R460" s="25"/>
      <c r="S460" s="7" t="s">
        <v>23</v>
      </c>
      <c r="T460" s="28">
        <v>1</v>
      </c>
    </row>
    <row r="461" spans="1:20" ht="14.25" customHeight="1">
      <c r="A461" s="22">
        <v>520</v>
      </c>
      <c r="B461" s="35">
        <v>13964</v>
      </c>
      <c r="C461" s="22" t="str">
        <f>IFERROR(VLOOKUP(B461,Colaboradores!A:D,2,),"")</f>
        <v>ESTER MOREIRA AMBROSIO DE CARVALHO</v>
      </c>
      <c r="D461" s="22" t="str">
        <f>IFERROR(VLOOKUP(B461,Colaboradores!A:D,3,),"")</f>
        <v>REGIONAL SUL</v>
      </c>
      <c r="E461" s="22" t="str">
        <f>IFERROR(VLOOKUP(B461,Colaboradores!A:D,4,),"")</f>
        <v>ENFERMEIRO DO TRABALHO</v>
      </c>
      <c r="F461" s="22" t="s">
        <v>29</v>
      </c>
      <c r="G461" s="24" t="str">
        <f>IFERROR(VLOOKUP(F461,Procedimentos!A:C,2,),"")</f>
        <v>COLETA SELETIVA DESSMA</v>
      </c>
      <c r="H461" s="25"/>
      <c r="I461" s="25">
        <v>45889</v>
      </c>
      <c r="J461" s="22">
        <v>12</v>
      </c>
      <c r="K461" s="25">
        <f t="shared" si="20"/>
        <v>46254</v>
      </c>
      <c r="L461" s="28" t="str">
        <f t="shared" ca="1" si="19"/>
        <v>Em dia</v>
      </c>
      <c r="M461" s="33" t="s">
        <v>30</v>
      </c>
      <c r="N461" s="28" t="s">
        <v>21</v>
      </c>
      <c r="O461" s="22" t="s">
        <v>28</v>
      </c>
      <c r="P461" s="25">
        <f t="shared" si="18"/>
        <v>45981</v>
      </c>
      <c r="Q461" s="25"/>
      <c r="R461" s="25"/>
      <c r="S461" s="7" t="s">
        <v>23</v>
      </c>
      <c r="T461" s="28">
        <v>1</v>
      </c>
    </row>
    <row r="462" spans="1:20" ht="14.25" customHeight="1">
      <c r="A462" s="22">
        <v>521</v>
      </c>
      <c r="B462" s="35">
        <v>13964</v>
      </c>
      <c r="C462" s="22" t="str">
        <f>IFERROR(VLOOKUP(B462,Colaboradores!A:D,2,),"")</f>
        <v>ESTER MOREIRA AMBROSIO DE CARVALHO</v>
      </c>
      <c r="D462" s="22" t="str">
        <f>IFERROR(VLOOKUP(B462,Colaboradores!A:D,3,),"")</f>
        <v>REGIONAL SUL</v>
      </c>
      <c r="E462" s="22" t="str">
        <f>IFERROR(VLOOKUP(B462,Colaboradores!A:D,4,),"")</f>
        <v>ENFERMEIRO DO TRABALHO</v>
      </c>
      <c r="F462" s="22" t="s">
        <v>36</v>
      </c>
      <c r="G462" s="24" t="str">
        <f>IFERROR(VLOOKUP(F462,Procedimentos!A:C,2,),"")</f>
        <v>GESTÃO DE PRODUTOS QUÍMICOS</v>
      </c>
      <c r="H462" s="25"/>
      <c r="I462" s="25">
        <v>45889</v>
      </c>
      <c r="J462" s="22">
        <v>12</v>
      </c>
      <c r="K462" s="25">
        <f t="shared" si="20"/>
        <v>46254</v>
      </c>
      <c r="L462" s="28" t="str">
        <f t="shared" ca="1" si="19"/>
        <v>Em dia</v>
      </c>
      <c r="M462" s="33" t="s">
        <v>30</v>
      </c>
      <c r="N462" s="28" t="s">
        <v>21</v>
      </c>
      <c r="O462" s="22" t="s">
        <v>28</v>
      </c>
      <c r="P462" s="25">
        <f t="shared" si="18"/>
        <v>45981</v>
      </c>
      <c r="Q462" s="25"/>
      <c r="R462" s="25"/>
      <c r="S462" s="7" t="s">
        <v>23</v>
      </c>
      <c r="T462" s="28">
        <v>1</v>
      </c>
    </row>
    <row r="463" spans="1:20" ht="14.25" customHeight="1">
      <c r="A463" s="22">
        <v>522</v>
      </c>
      <c r="B463" s="35">
        <v>13964</v>
      </c>
      <c r="C463" s="22" t="str">
        <f>IFERROR(VLOOKUP(B463,Colaboradores!A:D,2,),"")</f>
        <v>ESTER MOREIRA AMBROSIO DE CARVALHO</v>
      </c>
      <c r="D463" s="22" t="str">
        <f>IFERROR(VLOOKUP(B463,Colaboradores!A:D,3,),"")</f>
        <v>REGIONAL SUL</v>
      </c>
      <c r="E463" s="22" t="str">
        <f>IFERROR(VLOOKUP(B463,Colaboradores!A:D,4,),"")</f>
        <v>ENFERMEIRO DO TRABALHO</v>
      </c>
      <c r="F463" s="22" t="s">
        <v>32</v>
      </c>
      <c r="G463" s="24" t="str">
        <f>IFERROR(VLOOKUP(F463,Procedimentos!A:C,2,),"")</f>
        <v>GESTÃO DE LEVANTAMENTO DE ASPECTOS E IMPACTOS AMBIENTAIS</v>
      </c>
      <c r="H463" s="25"/>
      <c r="I463" s="25">
        <v>45889</v>
      </c>
      <c r="J463" s="22">
        <v>12</v>
      </c>
      <c r="K463" s="25">
        <f t="shared" si="20"/>
        <v>46254</v>
      </c>
      <c r="L463" s="28" t="str">
        <f t="shared" ca="1" si="19"/>
        <v>Em dia</v>
      </c>
      <c r="M463" s="33" t="s">
        <v>30</v>
      </c>
      <c r="N463" s="28" t="s">
        <v>21</v>
      </c>
      <c r="O463" s="22" t="s">
        <v>28</v>
      </c>
      <c r="P463" s="25">
        <f t="shared" si="18"/>
        <v>45981</v>
      </c>
      <c r="Q463" s="25"/>
      <c r="R463" s="25"/>
      <c r="S463" s="7" t="s">
        <v>23</v>
      </c>
      <c r="T463" s="28">
        <v>1</v>
      </c>
    </row>
    <row r="464" spans="1:20" ht="14.25" customHeight="1">
      <c r="A464" s="22">
        <v>523</v>
      </c>
      <c r="B464" s="35">
        <v>13964</v>
      </c>
      <c r="C464" s="22" t="str">
        <f>IFERROR(VLOOKUP(B464,Colaboradores!A:D,2,),"")</f>
        <v>ESTER MOREIRA AMBROSIO DE CARVALHO</v>
      </c>
      <c r="D464" s="22" t="str">
        <f>IFERROR(VLOOKUP(B464,Colaboradores!A:D,3,),"")</f>
        <v>REGIONAL SUL</v>
      </c>
      <c r="E464" s="22" t="str">
        <f>IFERROR(VLOOKUP(B464,Colaboradores!A:D,4,),"")</f>
        <v>ENFERMEIRO DO TRABALHO</v>
      </c>
      <c r="F464" s="22" t="s">
        <v>31</v>
      </c>
      <c r="G464" s="24" t="str">
        <f>IFERROR(VLOOKUP(F464,Procedimentos!A:C,2,),"")</f>
        <v>GESTÃO DE COMUNICAÇÃO, CLASSIFICAÇÃO E INVESTIGAÇÃO DE OCORRÊNCIAS AMBIENTAIS</v>
      </c>
      <c r="H464" s="25"/>
      <c r="I464" s="25">
        <v>45889</v>
      </c>
      <c r="J464" s="22">
        <v>12</v>
      </c>
      <c r="K464" s="25">
        <f t="shared" si="20"/>
        <v>46254</v>
      </c>
      <c r="L464" s="28" t="str">
        <f t="shared" ca="1" si="19"/>
        <v>Em dia</v>
      </c>
      <c r="M464" s="33" t="s">
        <v>30</v>
      </c>
      <c r="N464" s="28" t="s">
        <v>21</v>
      </c>
      <c r="O464" s="22" t="s">
        <v>28</v>
      </c>
      <c r="P464" s="25">
        <f t="shared" si="18"/>
        <v>45981</v>
      </c>
      <c r="Q464" s="25"/>
      <c r="R464" s="25"/>
      <c r="S464" s="7" t="s">
        <v>23</v>
      </c>
      <c r="T464" s="28">
        <v>1</v>
      </c>
    </row>
    <row r="465" spans="1:20" ht="14.25" customHeight="1">
      <c r="A465" s="22">
        <v>524</v>
      </c>
      <c r="B465" s="35">
        <v>13964</v>
      </c>
      <c r="C465" s="22" t="str">
        <f>IFERROR(VLOOKUP(B465,Colaboradores!A:D,2,),"")</f>
        <v>ESTER MOREIRA AMBROSIO DE CARVALHO</v>
      </c>
      <c r="D465" s="22" t="str">
        <f>IFERROR(VLOOKUP(B465,Colaboradores!A:D,3,),"")</f>
        <v>REGIONAL SUL</v>
      </c>
      <c r="E465" s="22" t="str">
        <f>IFERROR(VLOOKUP(B465,Colaboradores!A:D,4,),"")</f>
        <v>ENFERMEIRO DO TRABALHO</v>
      </c>
      <c r="F465" s="22" t="s">
        <v>33</v>
      </c>
      <c r="G465" s="24" t="str">
        <f>IFERROR(VLOOKUP(F465,Procedimentos!A:C,2,),"")</f>
        <v>GESTÃO DE INSPEÇÕES AMBIENTAIS</v>
      </c>
      <c r="H465" s="25"/>
      <c r="I465" s="25">
        <v>45889</v>
      </c>
      <c r="J465" s="22">
        <v>12</v>
      </c>
      <c r="K465" s="25">
        <f t="shared" si="20"/>
        <v>46254</v>
      </c>
      <c r="L465" s="28" t="str">
        <f t="shared" ca="1" si="19"/>
        <v>Em dia</v>
      </c>
      <c r="M465" s="33" t="s">
        <v>30</v>
      </c>
      <c r="N465" s="28" t="s">
        <v>21</v>
      </c>
      <c r="O465" s="22" t="s">
        <v>28</v>
      </c>
      <c r="P465" s="25">
        <f t="shared" si="18"/>
        <v>45981</v>
      </c>
      <c r="Q465" s="25"/>
      <c r="R465" s="25"/>
      <c r="S465" s="7" t="s">
        <v>23</v>
      </c>
      <c r="T465" s="28">
        <v>1</v>
      </c>
    </row>
    <row r="466" spans="1:20" ht="14.25" customHeight="1">
      <c r="A466" s="22">
        <v>525</v>
      </c>
      <c r="B466" s="36">
        <v>13810</v>
      </c>
      <c r="C466" s="22" t="str">
        <f>IFERROR(VLOOKUP(B466,Colaboradores!A:D,2,),"")</f>
        <v>CAMILA CHAVES SILVA</v>
      </c>
      <c r="D466" s="22" t="str">
        <f>IFERROR(VLOOKUP(B466,Colaboradores!A:D,3,),"")</f>
        <v>DIRETORIA</v>
      </c>
      <c r="E466" s="22" t="str">
        <f>IFERROR(VLOOKUP(B466,Colaboradores!A:D,4,),"")</f>
        <v>ASSESSOR JURÍDICO</v>
      </c>
      <c r="F466" s="22" t="s">
        <v>29</v>
      </c>
      <c r="G466" s="24" t="str">
        <f>IFERROR(VLOOKUP(F466,Procedimentos!A:C,2,),"")</f>
        <v>COLETA SELETIVA DESSMA</v>
      </c>
      <c r="H466" s="25"/>
      <c r="I466" s="25">
        <v>45889</v>
      </c>
      <c r="J466" s="22">
        <v>12</v>
      </c>
      <c r="K466" s="25">
        <f t="shared" si="20"/>
        <v>46254</v>
      </c>
      <c r="L466" s="28" t="str">
        <f t="shared" ca="1" si="19"/>
        <v>Em dia</v>
      </c>
      <c r="M466" s="33" t="s">
        <v>30</v>
      </c>
      <c r="N466" s="28" t="s">
        <v>21</v>
      </c>
      <c r="O466" s="22" t="s">
        <v>28</v>
      </c>
      <c r="P466" s="25">
        <f t="shared" si="18"/>
        <v>45981</v>
      </c>
      <c r="Q466" s="25"/>
      <c r="R466" s="25"/>
      <c r="S466" s="7" t="s">
        <v>23</v>
      </c>
      <c r="T466" s="28">
        <v>1</v>
      </c>
    </row>
    <row r="467" spans="1:20" ht="14.25" customHeight="1">
      <c r="A467" s="22">
        <v>526</v>
      </c>
      <c r="B467" s="36">
        <v>13810</v>
      </c>
      <c r="C467" s="22" t="str">
        <f>IFERROR(VLOOKUP(B467,Colaboradores!A:D,2,),"")</f>
        <v>CAMILA CHAVES SILVA</v>
      </c>
      <c r="D467" s="22" t="str">
        <f>IFERROR(VLOOKUP(B467,Colaboradores!A:D,3,),"")</f>
        <v>DIRETORIA</v>
      </c>
      <c r="E467" s="22" t="str">
        <f>IFERROR(VLOOKUP(B467,Colaboradores!A:D,4,),"")</f>
        <v>ASSESSOR JURÍDICO</v>
      </c>
      <c r="F467" s="22" t="s">
        <v>32</v>
      </c>
      <c r="G467" s="24" t="str">
        <f>IFERROR(VLOOKUP(F467,Procedimentos!A:C,2,),"")</f>
        <v>GESTÃO DE LEVANTAMENTO DE ASPECTOS E IMPACTOS AMBIENTAIS</v>
      </c>
      <c r="H467" s="25"/>
      <c r="I467" s="25">
        <v>45889</v>
      </c>
      <c r="J467" s="22">
        <v>12</v>
      </c>
      <c r="K467" s="25">
        <f t="shared" si="20"/>
        <v>46254</v>
      </c>
      <c r="L467" s="28" t="str">
        <f t="shared" ca="1" si="19"/>
        <v>Em dia</v>
      </c>
      <c r="M467" s="33" t="s">
        <v>30</v>
      </c>
      <c r="N467" s="28" t="s">
        <v>21</v>
      </c>
      <c r="O467" s="22" t="s">
        <v>28</v>
      </c>
      <c r="P467" s="25">
        <f t="shared" si="18"/>
        <v>45981</v>
      </c>
      <c r="Q467" s="25"/>
      <c r="R467" s="25"/>
      <c r="S467" s="7" t="s">
        <v>23</v>
      </c>
      <c r="T467" s="28">
        <v>1</v>
      </c>
    </row>
    <row r="468" spans="1:20" ht="14.25" customHeight="1">
      <c r="A468" s="22">
        <v>527</v>
      </c>
      <c r="B468" s="36">
        <v>13810</v>
      </c>
      <c r="C468" s="22" t="str">
        <f>IFERROR(VLOOKUP(B468,Colaboradores!A:D,2,),"")</f>
        <v>CAMILA CHAVES SILVA</v>
      </c>
      <c r="D468" s="22" t="str">
        <f>IFERROR(VLOOKUP(B468,Colaboradores!A:D,3,),"")</f>
        <v>DIRETORIA</v>
      </c>
      <c r="E468" s="22" t="str">
        <f>IFERROR(VLOOKUP(B468,Colaboradores!A:D,4,),"")</f>
        <v>ASSESSOR JURÍDICO</v>
      </c>
      <c r="F468" s="22" t="s">
        <v>31</v>
      </c>
      <c r="G468" s="24" t="str">
        <f>IFERROR(VLOOKUP(F468,Procedimentos!A:C,2,),"")</f>
        <v>GESTÃO DE COMUNICAÇÃO, CLASSIFICAÇÃO E INVESTIGAÇÃO DE OCORRÊNCIAS AMBIENTAIS</v>
      </c>
      <c r="H468" s="25"/>
      <c r="I468" s="25">
        <v>45889</v>
      </c>
      <c r="J468" s="22">
        <v>12</v>
      </c>
      <c r="K468" s="25">
        <f t="shared" si="20"/>
        <v>46254</v>
      </c>
      <c r="L468" s="28" t="str">
        <f t="shared" ca="1" si="19"/>
        <v>Em dia</v>
      </c>
      <c r="M468" s="33" t="s">
        <v>30</v>
      </c>
      <c r="N468" s="28" t="s">
        <v>21</v>
      </c>
      <c r="O468" s="22" t="s">
        <v>28</v>
      </c>
      <c r="P468" s="25">
        <f t="shared" si="18"/>
        <v>45981</v>
      </c>
      <c r="Q468" s="25"/>
      <c r="R468" s="25"/>
      <c r="S468" s="7" t="s">
        <v>23</v>
      </c>
      <c r="T468" s="28">
        <v>1</v>
      </c>
    </row>
    <row r="469" spans="1:20" ht="14.25" customHeight="1">
      <c r="A469" s="22">
        <v>528</v>
      </c>
      <c r="B469" s="36">
        <v>13810</v>
      </c>
      <c r="C469" s="22" t="str">
        <f>IFERROR(VLOOKUP(B469,Colaboradores!A:D,2,),"")</f>
        <v>CAMILA CHAVES SILVA</v>
      </c>
      <c r="D469" s="22" t="str">
        <f>IFERROR(VLOOKUP(B469,Colaboradores!A:D,3,),"")</f>
        <v>DIRETORIA</v>
      </c>
      <c r="E469" s="22" t="str">
        <f>IFERROR(VLOOKUP(B469,Colaboradores!A:D,4,),"")</f>
        <v>ASSESSOR JURÍDICO</v>
      </c>
      <c r="F469" s="22" t="s">
        <v>33</v>
      </c>
      <c r="G469" s="24" t="str">
        <f>IFERROR(VLOOKUP(F469,Procedimentos!A:C,2,),"")</f>
        <v>GESTÃO DE INSPEÇÕES AMBIENTAIS</v>
      </c>
      <c r="H469" s="25"/>
      <c r="I469" s="25">
        <v>45889</v>
      </c>
      <c r="J469" s="22">
        <v>12</v>
      </c>
      <c r="K469" s="25">
        <f t="shared" si="20"/>
        <v>46254</v>
      </c>
      <c r="L469" s="28" t="str">
        <f t="shared" ca="1" si="19"/>
        <v>Em dia</v>
      </c>
      <c r="M469" s="33" t="s">
        <v>30</v>
      </c>
      <c r="N469" s="28" t="s">
        <v>21</v>
      </c>
      <c r="O469" s="22" t="s">
        <v>28</v>
      </c>
      <c r="P469" s="25">
        <f t="shared" si="18"/>
        <v>45981</v>
      </c>
      <c r="Q469" s="25"/>
      <c r="R469" s="25"/>
      <c r="S469" s="7" t="s">
        <v>23</v>
      </c>
      <c r="T469" s="28">
        <v>1</v>
      </c>
    </row>
    <row r="470" spans="1:20" ht="14.25" customHeight="1">
      <c r="A470" s="22">
        <v>529</v>
      </c>
      <c r="B470" s="33">
        <v>11149</v>
      </c>
      <c r="C470" s="22" t="str">
        <f>IFERROR(VLOOKUP(B470,Colaboradores!A:D,2,),"")</f>
        <v>CAMYLA CRYSTYNE RABELO LIMA</v>
      </c>
      <c r="D470" s="22" t="str">
        <f>IFERROR(VLOOKUP(B470,Colaboradores!A:D,3,),"")</f>
        <v>COORDENAÇÃO ADMINISTRATIVA</v>
      </c>
      <c r="E470" s="22" t="str">
        <f>IFERROR(VLOOKUP(B470,Colaboradores!A:D,4,),"")</f>
        <v>ANALISTA ADMINISTRATIVO</v>
      </c>
      <c r="F470" s="22" t="s">
        <v>49</v>
      </c>
      <c r="G470" s="24" t="str">
        <f>IFERROR(VLOOKUP(F470,Procedimentos!A:C,2,),"")</f>
        <v>DIRETRIZES PARA REALIZAÇÃO DE EXAMES OCUPACIONAIS</v>
      </c>
      <c r="H470" s="25"/>
      <c r="I470" s="25">
        <v>45890</v>
      </c>
      <c r="J470" s="22">
        <v>12</v>
      </c>
      <c r="K470" s="25">
        <f t="shared" si="20"/>
        <v>46255</v>
      </c>
      <c r="L470" s="28" t="str">
        <f t="shared" ca="1" si="19"/>
        <v>Em dia</v>
      </c>
      <c r="M470" s="33" t="s">
        <v>50</v>
      </c>
      <c r="N470" s="28" t="s">
        <v>21</v>
      </c>
      <c r="O470" s="22" t="s">
        <v>28</v>
      </c>
      <c r="P470" s="25">
        <f t="shared" si="18"/>
        <v>45982</v>
      </c>
      <c r="Q470" s="25"/>
      <c r="R470" s="25"/>
      <c r="S470" s="7" t="s">
        <v>27</v>
      </c>
      <c r="T470" s="28">
        <v>1</v>
      </c>
    </row>
    <row r="471" spans="1:20" ht="14.25" customHeight="1">
      <c r="A471" s="22">
        <v>530</v>
      </c>
      <c r="B471" s="37">
        <v>12748</v>
      </c>
      <c r="C471" s="22" t="str">
        <f>IFERROR(VLOOKUP(B471,Colaboradores!A:D,2,),"")</f>
        <v>KARINY DE SOUZA COSTA</v>
      </c>
      <c r="D471" s="22" t="str">
        <f>IFERROR(VLOOKUP(B471,Colaboradores!A:D,3,),"")</f>
        <v>COORDENAÇÃO ADMINISTRATIVA</v>
      </c>
      <c r="E471" s="22" t="str">
        <f>IFERROR(VLOOKUP(B471,Colaboradores!A:D,4,),"")</f>
        <v>ASSISTENTE ADMINISTRATIVO</v>
      </c>
      <c r="F471" s="22" t="s">
        <v>49</v>
      </c>
      <c r="G471" s="24" t="str">
        <f>IFERROR(VLOOKUP(F471,Procedimentos!A:C,2,),"")</f>
        <v>DIRETRIZES PARA REALIZAÇÃO DE EXAMES OCUPACIONAIS</v>
      </c>
      <c r="H471" s="25"/>
      <c r="I471" s="25">
        <v>45890</v>
      </c>
      <c r="J471" s="22">
        <v>12</v>
      </c>
      <c r="K471" s="25">
        <f t="shared" si="20"/>
        <v>46255</v>
      </c>
      <c r="L471" s="28" t="str">
        <f t="shared" ca="1" si="19"/>
        <v>Em dia</v>
      </c>
      <c r="M471" s="33" t="s">
        <v>50</v>
      </c>
      <c r="N471" s="28" t="s">
        <v>21</v>
      </c>
      <c r="O471" s="22" t="s">
        <v>28</v>
      </c>
      <c r="P471" s="25">
        <f t="shared" si="18"/>
        <v>45982</v>
      </c>
      <c r="Q471" s="25"/>
      <c r="R471" s="25"/>
      <c r="S471" s="7" t="s">
        <v>27</v>
      </c>
      <c r="T471" s="28">
        <v>1</v>
      </c>
    </row>
    <row r="472" spans="1:20" ht="14.25" customHeight="1">
      <c r="A472" s="22">
        <v>531</v>
      </c>
      <c r="B472" s="37">
        <v>12555</v>
      </c>
      <c r="C472" s="22" t="str">
        <f>IFERROR(VLOOKUP(B472,Colaboradores!A:D,2,),"")</f>
        <v>HWGO AUGUSTO ALMEIDA</v>
      </c>
      <c r="D472" s="22" t="str">
        <f>IFERROR(VLOOKUP(B472,Colaboradores!A:D,3,),"")</f>
        <v>COORDENAÇÃO ADMINISTRATIVA</v>
      </c>
      <c r="E472" s="22" t="str">
        <f>IFERROR(VLOOKUP(B472,Colaboradores!A:D,4,),"")</f>
        <v>ANALISTA ADMINISTRATIVO</v>
      </c>
      <c r="F472" s="22" t="s">
        <v>49</v>
      </c>
      <c r="G472" s="24" t="str">
        <f>IFERROR(VLOOKUP(F472,Procedimentos!A:C,2,),"")</f>
        <v>DIRETRIZES PARA REALIZAÇÃO DE EXAMES OCUPACIONAIS</v>
      </c>
      <c r="H472" s="25"/>
      <c r="I472" s="25">
        <v>45890</v>
      </c>
      <c r="J472" s="22">
        <v>12</v>
      </c>
      <c r="K472" s="25">
        <f t="shared" si="20"/>
        <v>46255</v>
      </c>
      <c r="L472" s="28" t="str">
        <f t="shared" ca="1" si="19"/>
        <v>Em dia</v>
      </c>
      <c r="M472" s="33" t="s">
        <v>50</v>
      </c>
      <c r="N472" s="28" t="s">
        <v>21</v>
      </c>
      <c r="O472" s="22" t="s">
        <v>28</v>
      </c>
      <c r="P472" s="25">
        <f t="shared" si="18"/>
        <v>45982</v>
      </c>
      <c r="Q472" s="25"/>
      <c r="R472" s="25"/>
      <c r="S472" s="7" t="s">
        <v>27</v>
      </c>
      <c r="T472" s="28">
        <v>1</v>
      </c>
    </row>
    <row r="473" spans="1:20" ht="14.25" customHeight="1">
      <c r="A473" s="22">
        <v>532</v>
      </c>
      <c r="B473" s="37">
        <v>13766</v>
      </c>
      <c r="C473" s="22" t="str">
        <f>IFERROR(VLOOKUP(B473,Colaboradores!A:D,2,),"")</f>
        <v>RAIMUNDO TAVARES PESSOA</v>
      </c>
      <c r="D473" s="22" t="str">
        <f>IFERROR(VLOOKUP(B473,Colaboradores!A:D,3,),"")</f>
        <v>COORDENAÇÃO ADMINISTRATIVA</v>
      </c>
      <c r="E473" s="22" t="str">
        <f>IFERROR(VLOOKUP(B473,Colaboradores!A:D,4,),"")</f>
        <v>ANALISTA ADMINISTRATIVO</v>
      </c>
      <c r="F473" s="22" t="s">
        <v>49</v>
      </c>
      <c r="G473" s="24" t="str">
        <f>IFERROR(VLOOKUP(F473,Procedimentos!A:C,2,),"")</f>
        <v>DIRETRIZES PARA REALIZAÇÃO DE EXAMES OCUPACIONAIS</v>
      </c>
      <c r="H473" s="25"/>
      <c r="I473" s="25">
        <v>45890</v>
      </c>
      <c r="J473" s="22">
        <v>12</v>
      </c>
      <c r="K473" s="25">
        <f t="shared" si="20"/>
        <v>46255</v>
      </c>
      <c r="L473" s="28" t="str">
        <f t="shared" ca="1" si="19"/>
        <v>Em dia</v>
      </c>
      <c r="M473" s="33" t="s">
        <v>50</v>
      </c>
      <c r="N473" s="28" t="s">
        <v>21</v>
      </c>
      <c r="O473" s="22" t="s">
        <v>28</v>
      </c>
      <c r="P473" s="25">
        <f t="shared" si="18"/>
        <v>45982</v>
      </c>
      <c r="Q473" s="25"/>
      <c r="R473" s="25"/>
      <c r="S473" s="7" t="s">
        <v>27</v>
      </c>
      <c r="T473" s="28">
        <v>1</v>
      </c>
    </row>
    <row r="474" spans="1:20" ht="14.25" customHeight="1">
      <c r="A474" s="22">
        <v>533</v>
      </c>
      <c r="B474" s="33">
        <v>11149</v>
      </c>
      <c r="C474" s="22" t="str">
        <f>IFERROR(VLOOKUP(B474,Colaboradores!A:D,2,),"")</f>
        <v>CAMYLA CRYSTYNE RABELO LIMA</v>
      </c>
      <c r="D474" s="22" t="str">
        <f>IFERROR(VLOOKUP(B474,Colaboradores!A:D,3,),"")</f>
        <v>COORDENAÇÃO ADMINISTRATIVA</v>
      </c>
      <c r="E474" s="22" t="str">
        <f>IFERROR(VLOOKUP(B474,Colaboradores!A:D,4,),"")</f>
        <v>ANALISTA ADMINISTRATIVO</v>
      </c>
      <c r="F474" s="22" t="s">
        <v>51</v>
      </c>
      <c r="G474" s="24" t="str">
        <f>IFERROR(VLOOKUP(F474,Procedimentos!A:C,2,),"")</f>
        <v>DIRETRIZES PARA ENTREGA DE ATESTADOS MÉDICOS E ODONTOLÓGICOS</v>
      </c>
      <c r="H474" s="25"/>
      <c r="I474" s="25">
        <v>45890</v>
      </c>
      <c r="J474" s="22">
        <v>12</v>
      </c>
      <c r="K474" s="25">
        <f t="shared" si="20"/>
        <v>46255</v>
      </c>
      <c r="L474" s="28" t="str">
        <f t="shared" ca="1" si="19"/>
        <v>Em dia</v>
      </c>
      <c r="M474" s="33" t="s">
        <v>50</v>
      </c>
      <c r="N474" s="28" t="s">
        <v>21</v>
      </c>
      <c r="O474" s="22" t="s">
        <v>28</v>
      </c>
      <c r="P474" s="25">
        <f t="shared" si="18"/>
        <v>45982</v>
      </c>
      <c r="Q474" s="25"/>
      <c r="R474" s="25"/>
      <c r="S474" s="7" t="s">
        <v>27</v>
      </c>
      <c r="T474" s="28">
        <v>1</v>
      </c>
    </row>
    <row r="475" spans="1:20" ht="14.25" customHeight="1">
      <c r="A475" s="22">
        <v>534</v>
      </c>
      <c r="B475" s="37">
        <v>12748</v>
      </c>
      <c r="C475" s="22" t="str">
        <f>IFERROR(VLOOKUP(B475,Colaboradores!A:D,2,),"")</f>
        <v>KARINY DE SOUZA COSTA</v>
      </c>
      <c r="D475" s="22" t="str">
        <f>IFERROR(VLOOKUP(B475,Colaboradores!A:D,3,),"")</f>
        <v>COORDENAÇÃO ADMINISTRATIVA</v>
      </c>
      <c r="E475" s="22" t="str">
        <f>IFERROR(VLOOKUP(B475,Colaboradores!A:D,4,),"")</f>
        <v>ASSISTENTE ADMINISTRATIVO</v>
      </c>
      <c r="F475" s="22" t="s">
        <v>51</v>
      </c>
      <c r="G475" s="24" t="str">
        <f>IFERROR(VLOOKUP(F475,Procedimentos!A:C,2,),"")</f>
        <v>DIRETRIZES PARA ENTREGA DE ATESTADOS MÉDICOS E ODONTOLÓGICOS</v>
      </c>
      <c r="H475" s="25"/>
      <c r="I475" s="25">
        <v>45890</v>
      </c>
      <c r="J475" s="22">
        <v>12</v>
      </c>
      <c r="K475" s="25">
        <f t="shared" si="20"/>
        <v>46255</v>
      </c>
      <c r="L475" s="28" t="str">
        <f t="shared" ca="1" si="19"/>
        <v>Em dia</v>
      </c>
      <c r="M475" s="33" t="s">
        <v>50</v>
      </c>
      <c r="N475" s="28" t="s">
        <v>21</v>
      </c>
      <c r="O475" s="22" t="s">
        <v>28</v>
      </c>
      <c r="P475" s="25">
        <f t="shared" si="18"/>
        <v>45982</v>
      </c>
      <c r="Q475" s="25"/>
      <c r="R475" s="25"/>
      <c r="S475" s="7" t="s">
        <v>27</v>
      </c>
      <c r="T475" s="28">
        <v>1</v>
      </c>
    </row>
    <row r="476" spans="1:20" ht="14.25" customHeight="1">
      <c r="A476" s="22">
        <v>535</v>
      </c>
      <c r="B476" s="37">
        <v>12555</v>
      </c>
      <c r="C476" s="22" t="str">
        <f>IFERROR(VLOOKUP(B476,Colaboradores!A:D,2,),"")</f>
        <v>HWGO AUGUSTO ALMEIDA</v>
      </c>
      <c r="D476" s="22" t="str">
        <f>IFERROR(VLOOKUP(B476,Colaboradores!A:D,3,),"")</f>
        <v>COORDENAÇÃO ADMINISTRATIVA</v>
      </c>
      <c r="E476" s="22" t="str">
        <f>IFERROR(VLOOKUP(B476,Colaboradores!A:D,4,),"")</f>
        <v>ANALISTA ADMINISTRATIVO</v>
      </c>
      <c r="F476" s="22" t="s">
        <v>51</v>
      </c>
      <c r="G476" s="24" t="str">
        <f>IFERROR(VLOOKUP(F476,Procedimentos!A:C,2,),"")</f>
        <v>DIRETRIZES PARA ENTREGA DE ATESTADOS MÉDICOS E ODONTOLÓGICOS</v>
      </c>
      <c r="H476" s="25"/>
      <c r="I476" s="25">
        <v>45890</v>
      </c>
      <c r="J476" s="22">
        <v>12</v>
      </c>
      <c r="K476" s="25">
        <f t="shared" si="20"/>
        <v>46255</v>
      </c>
      <c r="L476" s="28" t="str">
        <f t="shared" ca="1" si="19"/>
        <v>Em dia</v>
      </c>
      <c r="M476" s="33" t="s">
        <v>50</v>
      </c>
      <c r="N476" s="28" t="s">
        <v>21</v>
      </c>
      <c r="O476" s="22" t="s">
        <v>28</v>
      </c>
      <c r="P476" s="25">
        <f t="shared" si="18"/>
        <v>45982</v>
      </c>
      <c r="Q476" s="25"/>
      <c r="R476" s="25"/>
      <c r="S476" s="7" t="s">
        <v>27</v>
      </c>
      <c r="T476" s="28">
        <v>1</v>
      </c>
    </row>
    <row r="477" spans="1:20" ht="14.25" customHeight="1">
      <c r="A477" s="22">
        <v>536</v>
      </c>
      <c r="B477" s="37">
        <v>13766</v>
      </c>
      <c r="C477" s="22" t="str">
        <f>IFERROR(VLOOKUP(B477,Colaboradores!A:D,2,),"")</f>
        <v>RAIMUNDO TAVARES PESSOA</v>
      </c>
      <c r="D477" s="22" t="str">
        <f>IFERROR(VLOOKUP(B477,Colaboradores!A:D,3,),"")</f>
        <v>COORDENAÇÃO ADMINISTRATIVA</v>
      </c>
      <c r="E477" s="22" t="str">
        <f>IFERROR(VLOOKUP(B477,Colaboradores!A:D,4,),"")</f>
        <v>ANALISTA ADMINISTRATIVO</v>
      </c>
      <c r="F477" s="22" t="s">
        <v>51</v>
      </c>
      <c r="G477" s="24" t="str">
        <f>IFERROR(VLOOKUP(F477,Procedimentos!A:C,2,),"")</f>
        <v>DIRETRIZES PARA ENTREGA DE ATESTADOS MÉDICOS E ODONTOLÓGICOS</v>
      </c>
      <c r="H477" s="25"/>
      <c r="I477" s="25">
        <v>45890</v>
      </c>
      <c r="J477" s="22">
        <v>12</v>
      </c>
      <c r="K477" s="25">
        <f t="shared" si="20"/>
        <v>46255</v>
      </c>
      <c r="L477" s="28" t="str">
        <f t="shared" ca="1" si="19"/>
        <v>Em dia</v>
      </c>
      <c r="M477" s="33" t="s">
        <v>50</v>
      </c>
      <c r="N477" s="28" t="s">
        <v>21</v>
      </c>
      <c r="O477" s="22" t="s">
        <v>28</v>
      </c>
      <c r="P477" s="25">
        <f t="shared" si="18"/>
        <v>45982</v>
      </c>
      <c r="Q477" s="25"/>
      <c r="R477" s="25"/>
      <c r="S477" s="7" t="s">
        <v>27</v>
      </c>
      <c r="T477" s="28">
        <v>1</v>
      </c>
    </row>
    <row r="478" spans="1:20" ht="14.25" customHeight="1">
      <c r="A478" s="22">
        <v>537</v>
      </c>
      <c r="B478" s="33">
        <v>11149</v>
      </c>
      <c r="C478" s="22" t="str">
        <f>IFERROR(VLOOKUP(B478,Colaboradores!A:D,2,),"")</f>
        <v>CAMYLA CRYSTYNE RABELO LIMA</v>
      </c>
      <c r="D478" s="22" t="str">
        <f>IFERROR(VLOOKUP(B478,Colaboradores!A:D,3,),"")</f>
        <v>COORDENAÇÃO ADMINISTRATIVA</v>
      </c>
      <c r="E478" s="22" t="str">
        <f>IFERROR(VLOOKUP(B478,Colaboradores!A:D,4,),"")</f>
        <v>ANALISTA ADMINISTRATIVO</v>
      </c>
      <c r="F478" s="22" t="s">
        <v>52</v>
      </c>
      <c r="G478" s="24" t="str">
        <f>IFERROR(VLOOKUP(F478,Procedimentos!A:C,2,),"")</f>
        <v>DIRETRIZES E ACOMPANHAMENTO  DE ACIDENTE COM MATERIAL BIOLOGICO</v>
      </c>
      <c r="H478" s="25"/>
      <c r="I478" s="25">
        <v>45890</v>
      </c>
      <c r="J478" s="22">
        <v>12</v>
      </c>
      <c r="K478" s="25">
        <f t="shared" si="20"/>
        <v>46255</v>
      </c>
      <c r="L478" s="28" t="str">
        <f t="shared" ca="1" si="19"/>
        <v>Em dia</v>
      </c>
      <c r="M478" s="33" t="s">
        <v>50</v>
      </c>
      <c r="N478" s="28" t="s">
        <v>21</v>
      </c>
      <c r="O478" s="22" t="s">
        <v>28</v>
      </c>
      <c r="P478" s="25">
        <f t="shared" si="18"/>
        <v>45982</v>
      </c>
      <c r="Q478" s="25"/>
      <c r="R478" s="25"/>
      <c r="S478" s="7" t="s">
        <v>27</v>
      </c>
      <c r="T478" s="28">
        <v>1</v>
      </c>
    </row>
    <row r="479" spans="1:20" ht="14.25" customHeight="1">
      <c r="A479" s="22">
        <v>538</v>
      </c>
      <c r="B479" s="37">
        <v>12748</v>
      </c>
      <c r="C479" s="22" t="str">
        <f>IFERROR(VLOOKUP(B479,Colaboradores!A:D,2,),"")</f>
        <v>KARINY DE SOUZA COSTA</v>
      </c>
      <c r="D479" s="22" t="str">
        <f>IFERROR(VLOOKUP(B479,Colaboradores!A:D,3,),"")</f>
        <v>COORDENAÇÃO ADMINISTRATIVA</v>
      </c>
      <c r="E479" s="22" t="str">
        <f>IFERROR(VLOOKUP(B479,Colaboradores!A:D,4,),"")</f>
        <v>ASSISTENTE ADMINISTRATIVO</v>
      </c>
      <c r="F479" s="22" t="s">
        <v>52</v>
      </c>
      <c r="G479" s="24" t="str">
        <f>IFERROR(VLOOKUP(F479,Procedimentos!A:C,2,),"")</f>
        <v>DIRETRIZES E ACOMPANHAMENTO  DE ACIDENTE COM MATERIAL BIOLOGICO</v>
      </c>
      <c r="H479" s="25"/>
      <c r="I479" s="25">
        <v>45890</v>
      </c>
      <c r="J479" s="22">
        <v>12</v>
      </c>
      <c r="K479" s="25">
        <f t="shared" si="20"/>
        <v>46255</v>
      </c>
      <c r="L479" s="28" t="str">
        <f t="shared" ca="1" si="19"/>
        <v>Em dia</v>
      </c>
      <c r="M479" s="33" t="s">
        <v>50</v>
      </c>
      <c r="N479" s="28" t="s">
        <v>21</v>
      </c>
      <c r="O479" s="22" t="s">
        <v>28</v>
      </c>
      <c r="P479" s="25">
        <f t="shared" si="18"/>
        <v>45982</v>
      </c>
      <c r="Q479" s="25"/>
      <c r="R479" s="25"/>
      <c r="S479" s="7" t="s">
        <v>27</v>
      </c>
      <c r="T479" s="28">
        <v>1</v>
      </c>
    </row>
    <row r="480" spans="1:20" ht="14.25" customHeight="1">
      <c r="A480" s="22">
        <v>539</v>
      </c>
      <c r="B480" s="37">
        <v>12555</v>
      </c>
      <c r="C480" s="22" t="str">
        <f>IFERROR(VLOOKUP(B480,Colaboradores!A:D,2,),"")</f>
        <v>HWGO AUGUSTO ALMEIDA</v>
      </c>
      <c r="D480" s="22" t="str">
        <f>IFERROR(VLOOKUP(B480,Colaboradores!A:D,3,),"")</f>
        <v>COORDENAÇÃO ADMINISTRATIVA</v>
      </c>
      <c r="E480" s="22" t="str">
        <f>IFERROR(VLOOKUP(B480,Colaboradores!A:D,4,),"")</f>
        <v>ANALISTA ADMINISTRATIVO</v>
      </c>
      <c r="F480" s="22" t="s">
        <v>52</v>
      </c>
      <c r="G480" s="24" t="str">
        <f>IFERROR(VLOOKUP(F480,Procedimentos!A:C,2,),"")</f>
        <v>DIRETRIZES E ACOMPANHAMENTO  DE ACIDENTE COM MATERIAL BIOLOGICO</v>
      </c>
      <c r="H480" s="25"/>
      <c r="I480" s="25">
        <v>45890</v>
      </c>
      <c r="J480" s="22">
        <v>12</v>
      </c>
      <c r="K480" s="25">
        <f t="shared" si="20"/>
        <v>46255</v>
      </c>
      <c r="L480" s="28" t="str">
        <f t="shared" ca="1" si="19"/>
        <v>Em dia</v>
      </c>
      <c r="M480" s="33" t="s">
        <v>50</v>
      </c>
      <c r="N480" s="28" t="s">
        <v>21</v>
      </c>
      <c r="O480" s="22" t="s">
        <v>28</v>
      </c>
      <c r="P480" s="25">
        <f t="shared" si="18"/>
        <v>45982</v>
      </c>
      <c r="Q480" s="25"/>
      <c r="R480" s="25"/>
      <c r="S480" s="7" t="s">
        <v>27</v>
      </c>
      <c r="T480" s="28">
        <v>1</v>
      </c>
    </row>
    <row r="481" spans="1:20" ht="14.25" customHeight="1">
      <c r="A481" s="22">
        <v>540</v>
      </c>
      <c r="B481" s="37">
        <v>13766</v>
      </c>
      <c r="C481" s="22" t="str">
        <f>IFERROR(VLOOKUP(B481,Colaboradores!A:D,2,),"")</f>
        <v>RAIMUNDO TAVARES PESSOA</v>
      </c>
      <c r="D481" s="22" t="str">
        <f>IFERROR(VLOOKUP(B481,Colaboradores!A:D,3,),"")</f>
        <v>COORDENAÇÃO ADMINISTRATIVA</v>
      </c>
      <c r="E481" s="22" t="str">
        <f>IFERROR(VLOOKUP(B481,Colaboradores!A:D,4,),"")</f>
        <v>ANALISTA ADMINISTRATIVO</v>
      </c>
      <c r="F481" s="22" t="s">
        <v>52</v>
      </c>
      <c r="G481" s="24" t="str">
        <f>IFERROR(VLOOKUP(F481,Procedimentos!A:C,2,),"")</f>
        <v>DIRETRIZES E ACOMPANHAMENTO  DE ACIDENTE COM MATERIAL BIOLOGICO</v>
      </c>
      <c r="H481" s="25"/>
      <c r="I481" s="25">
        <v>45890</v>
      </c>
      <c r="J481" s="22">
        <v>12</v>
      </c>
      <c r="K481" s="25">
        <f t="shared" si="20"/>
        <v>46255</v>
      </c>
      <c r="L481" s="28" t="str">
        <f t="shared" ca="1" si="19"/>
        <v>Em dia</v>
      </c>
      <c r="M481" s="33" t="s">
        <v>50</v>
      </c>
      <c r="N481" s="28" t="s">
        <v>21</v>
      </c>
      <c r="O481" s="22" t="s">
        <v>28</v>
      </c>
      <c r="P481" s="25">
        <f t="shared" si="18"/>
        <v>45982</v>
      </c>
      <c r="Q481" s="25"/>
      <c r="R481" s="25"/>
      <c r="S481" s="7" t="s">
        <v>27</v>
      </c>
      <c r="T481" s="28">
        <v>1</v>
      </c>
    </row>
    <row r="482" spans="1:20" ht="14.25" customHeight="1">
      <c r="A482" s="22">
        <v>541</v>
      </c>
      <c r="B482" s="33">
        <v>11149</v>
      </c>
      <c r="C482" s="22" t="str">
        <f>IFERROR(VLOOKUP(B482,Colaboradores!A:D,2,),"")</f>
        <v>CAMYLA CRYSTYNE RABELO LIMA</v>
      </c>
      <c r="D482" s="22" t="str">
        <f>IFERROR(VLOOKUP(B482,Colaboradores!A:D,3,),"")</f>
        <v>COORDENAÇÃO ADMINISTRATIVA</v>
      </c>
      <c r="E482" s="22" t="str">
        <f>IFERROR(VLOOKUP(B482,Colaboradores!A:D,4,),"")</f>
        <v>ANALISTA ADMINISTRATIVO</v>
      </c>
      <c r="F482" s="22" t="s">
        <v>53</v>
      </c>
      <c r="G482" s="24" t="str">
        <f>IFERROR(VLOOKUP(F482,Procedimentos!A:C,2,),"")</f>
        <v>DIRETRIZES PARA MONITORAMENTO DE GESTANTE</v>
      </c>
      <c r="H482" s="25"/>
      <c r="I482" s="25">
        <v>45890</v>
      </c>
      <c r="J482" s="22">
        <v>12</v>
      </c>
      <c r="K482" s="25">
        <f t="shared" si="20"/>
        <v>46255</v>
      </c>
      <c r="L482" s="28" t="str">
        <f t="shared" ca="1" si="19"/>
        <v>Em dia</v>
      </c>
      <c r="M482" s="33" t="s">
        <v>50</v>
      </c>
      <c r="N482" s="28" t="s">
        <v>21</v>
      </c>
      <c r="O482" s="22" t="s">
        <v>28</v>
      </c>
      <c r="P482" s="25">
        <f t="shared" si="18"/>
        <v>45982</v>
      </c>
      <c r="Q482" s="25"/>
      <c r="R482" s="25"/>
      <c r="S482" s="7" t="s">
        <v>27</v>
      </c>
      <c r="T482" s="28">
        <v>1</v>
      </c>
    </row>
    <row r="483" spans="1:20" ht="14.25" customHeight="1">
      <c r="A483" s="22">
        <v>542</v>
      </c>
      <c r="B483" s="37">
        <v>12748</v>
      </c>
      <c r="C483" s="22" t="str">
        <f>IFERROR(VLOOKUP(B483,Colaboradores!A:D,2,),"")</f>
        <v>KARINY DE SOUZA COSTA</v>
      </c>
      <c r="D483" s="22" t="str">
        <f>IFERROR(VLOOKUP(B483,Colaboradores!A:D,3,),"")</f>
        <v>COORDENAÇÃO ADMINISTRATIVA</v>
      </c>
      <c r="E483" s="22" t="str">
        <f>IFERROR(VLOOKUP(B483,Colaboradores!A:D,4,),"")</f>
        <v>ASSISTENTE ADMINISTRATIVO</v>
      </c>
      <c r="F483" s="22" t="s">
        <v>53</v>
      </c>
      <c r="G483" s="24" t="str">
        <f>IFERROR(VLOOKUP(F483,Procedimentos!A:C,2,),"")</f>
        <v>DIRETRIZES PARA MONITORAMENTO DE GESTANTE</v>
      </c>
      <c r="H483" s="25"/>
      <c r="I483" s="25">
        <v>45890</v>
      </c>
      <c r="J483" s="22">
        <v>12</v>
      </c>
      <c r="K483" s="25">
        <f t="shared" si="20"/>
        <v>46255</v>
      </c>
      <c r="L483" s="28" t="str">
        <f t="shared" ca="1" si="19"/>
        <v>Em dia</v>
      </c>
      <c r="M483" s="33" t="s">
        <v>50</v>
      </c>
      <c r="N483" s="28" t="s">
        <v>21</v>
      </c>
      <c r="O483" s="22" t="s">
        <v>28</v>
      </c>
      <c r="P483" s="25">
        <f t="shared" si="18"/>
        <v>45982</v>
      </c>
      <c r="Q483" s="25"/>
      <c r="R483" s="25"/>
      <c r="S483" s="7" t="s">
        <v>27</v>
      </c>
      <c r="T483" s="28">
        <v>1</v>
      </c>
    </row>
    <row r="484" spans="1:20" ht="14.25" customHeight="1">
      <c r="A484" s="22">
        <v>543</v>
      </c>
      <c r="B484" s="37">
        <v>12555</v>
      </c>
      <c r="C484" s="22" t="str">
        <f>IFERROR(VLOOKUP(B484,Colaboradores!A:D,2,),"")</f>
        <v>HWGO AUGUSTO ALMEIDA</v>
      </c>
      <c r="D484" s="22" t="str">
        <f>IFERROR(VLOOKUP(B484,Colaboradores!A:D,3,),"")</f>
        <v>COORDENAÇÃO ADMINISTRATIVA</v>
      </c>
      <c r="E484" s="22" t="str">
        <f>IFERROR(VLOOKUP(B484,Colaboradores!A:D,4,),"")</f>
        <v>ANALISTA ADMINISTRATIVO</v>
      </c>
      <c r="F484" s="22" t="s">
        <v>53</v>
      </c>
      <c r="G484" s="24" t="str">
        <f>IFERROR(VLOOKUP(F484,Procedimentos!A:C,2,),"")</f>
        <v>DIRETRIZES PARA MONITORAMENTO DE GESTANTE</v>
      </c>
      <c r="H484" s="25"/>
      <c r="I484" s="25">
        <v>45890</v>
      </c>
      <c r="J484" s="22">
        <v>12</v>
      </c>
      <c r="K484" s="25">
        <f t="shared" si="20"/>
        <v>46255</v>
      </c>
      <c r="L484" s="28" t="str">
        <f t="shared" ca="1" si="19"/>
        <v>Em dia</v>
      </c>
      <c r="M484" s="33" t="s">
        <v>50</v>
      </c>
      <c r="N484" s="28" t="s">
        <v>21</v>
      </c>
      <c r="O484" s="22" t="s">
        <v>28</v>
      </c>
      <c r="P484" s="25">
        <f t="shared" ref="P484:P547" si="21">EDATE(I484,3)</f>
        <v>45982</v>
      </c>
      <c r="Q484" s="25"/>
      <c r="R484" s="25"/>
      <c r="S484" s="7" t="s">
        <v>27</v>
      </c>
      <c r="T484" s="28">
        <v>1</v>
      </c>
    </row>
    <row r="485" spans="1:20" ht="14.25" customHeight="1">
      <c r="A485" s="22">
        <v>544</v>
      </c>
      <c r="B485" s="37">
        <v>13766</v>
      </c>
      <c r="C485" s="22" t="str">
        <f>IFERROR(VLOOKUP(B485,Colaboradores!A:D,2,),"")</f>
        <v>RAIMUNDO TAVARES PESSOA</v>
      </c>
      <c r="D485" s="22" t="str">
        <f>IFERROR(VLOOKUP(B485,Colaboradores!A:D,3,),"")</f>
        <v>COORDENAÇÃO ADMINISTRATIVA</v>
      </c>
      <c r="E485" s="22" t="str">
        <f>IFERROR(VLOOKUP(B485,Colaboradores!A:D,4,),"")</f>
        <v>ANALISTA ADMINISTRATIVO</v>
      </c>
      <c r="F485" s="22" t="s">
        <v>53</v>
      </c>
      <c r="G485" s="24" t="str">
        <f>IFERROR(VLOOKUP(F485,Procedimentos!A:C,2,),"")</f>
        <v>DIRETRIZES PARA MONITORAMENTO DE GESTANTE</v>
      </c>
      <c r="H485" s="25"/>
      <c r="I485" s="25">
        <v>45890</v>
      </c>
      <c r="J485" s="22">
        <v>12</v>
      </c>
      <c r="K485" s="25">
        <f t="shared" si="20"/>
        <v>46255</v>
      </c>
      <c r="L485" s="28" t="str">
        <f t="shared" ca="1" si="19"/>
        <v>Em dia</v>
      </c>
      <c r="M485" s="33" t="s">
        <v>50</v>
      </c>
      <c r="N485" s="28" t="s">
        <v>21</v>
      </c>
      <c r="O485" s="22" t="s">
        <v>28</v>
      </c>
      <c r="P485" s="25">
        <f t="shared" si="21"/>
        <v>45982</v>
      </c>
      <c r="Q485" s="25"/>
      <c r="R485" s="25"/>
      <c r="S485" s="7" t="s">
        <v>27</v>
      </c>
      <c r="T485" s="28">
        <v>1</v>
      </c>
    </row>
    <row r="486" spans="1:20" ht="14.25" customHeight="1">
      <c r="A486" s="22">
        <v>545</v>
      </c>
      <c r="B486" s="33">
        <v>11149</v>
      </c>
      <c r="C486" s="22" t="str">
        <f>IFERROR(VLOOKUP(B486,Colaboradores!A:D,2,),"")</f>
        <v>CAMYLA CRYSTYNE RABELO LIMA</v>
      </c>
      <c r="D486" s="22" t="str">
        <f>IFERROR(VLOOKUP(B486,Colaboradores!A:D,3,),"")</f>
        <v>COORDENAÇÃO ADMINISTRATIVA</v>
      </c>
      <c r="E486" s="22" t="str">
        <f>IFERROR(VLOOKUP(B486,Colaboradores!A:D,4,),"")</f>
        <v>ANALISTA ADMINISTRATIVO</v>
      </c>
      <c r="F486" s="22" t="s">
        <v>54</v>
      </c>
      <c r="G486" s="24" t="str">
        <f>IFERROR(VLOOKUP(F486,Procedimentos!A:C,2,),"")</f>
        <v>DIRETRIZES DE IMUNIZAÇÃO OCUPACIONAL</v>
      </c>
      <c r="H486" s="25"/>
      <c r="I486" s="25">
        <v>45890</v>
      </c>
      <c r="J486" s="22">
        <v>12</v>
      </c>
      <c r="K486" s="25">
        <f t="shared" si="20"/>
        <v>46255</v>
      </c>
      <c r="L486" s="28" t="str">
        <f t="shared" ca="1" si="19"/>
        <v>Em dia</v>
      </c>
      <c r="M486" s="33" t="s">
        <v>50</v>
      </c>
      <c r="N486" s="28" t="s">
        <v>21</v>
      </c>
      <c r="O486" s="22" t="s">
        <v>28</v>
      </c>
      <c r="P486" s="25">
        <f t="shared" si="21"/>
        <v>45982</v>
      </c>
      <c r="Q486" s="25"/>
      <c r="R486" s="25"/>
      <c r="S486" s="7" t="s">
        <v>27</v>
      </c>
      <c r="T486" s="28">
        <v>1</v>
      </c>
    </row>
    <row r="487" spans="1:20" ht="14.25" customHeight="1">
      <c r="A487" s="22">
        <v>546</v>
      </c>
      <c r="B487" s="37">
        <v>12748</v>
      </c>
      <c r="C487" s="22" t="str">
        <f>IFERROR(VLOOKUP(B487,Colaboradores!A:D,2,),"")</f>
        <v>KARINY DE SOUZA COSTA</v>
      </c>
      <c r="D487" s="22" t="str">
        <f>IFERROR(VLOOKUP(B487,Colaboradores!A:D,3,),"")</f>
        <v>COORDENAÇÃO ADMINISTRATIVA</v>
      </c>
      <c r="E487" s="22" t="str">
        <f>IFERROR(VLOOKUP(B487,Colaboradores!A:D,4,),"")</f>
        <v>ASSISTENTE ADMINISTRATIVO</v>
      </c>
      <c r="F487" s="22" t="s">
        <v>54</v>
      </c>
      <c r="G487" s="24" t="str">
        <f>IFERROR(VLOOKUP(F487,Procedimentos!A:C,2,),"")</f>
        <v>DIRETRIZES DE IMUNIZAÇÃO OCUPACIONAL</v>
      </c>
      <c r="H487" s="25"/>
      <c r="I487" s="25">
        <v>45890</v>
      </c>
      <c r="J487" s="22">
        <v>12</v>
      </c>
      <c r="K487" s="25">
        <f t="shared" si="20"/>
        <v>46255</v>
      </c>
      <c r="L487" s="28" t="str">
        <f t="shared" ca="1" si="19"/>
        <v>Em dia</v>
      </c>
      <c r="M487" s="33" t="s">
        <v>50</v>
      </c>
      <c r="N487" s="28" t="s">
        <v>21</v>
      </c>
      <c r="O487" s="22" t="s">
        <v>28</v>
      </c>
      <c r="P487" s="25">
        <f t="shared" si="21"/>
        <v>45982</v>
      </c>
      <c r="Q487" s="25"/>
      <c r="R487" s="25"/>
      <c r="S487" s="7" t="s">
        <v>27</v>
      </c>
      <c r="T487" s="28">
        <v>1</v>
      </c>
    </row>
    <row r="488" spans="1:20" ht="14.25" customHeight="1">
      <c r="A488" s="22">
        <v>547</v>
      </c>
      <c r="B488" s="37">
        <v>12555</v>
      </c>
      <c r="C488" s="22" t="str">
        <f>IFERROR(VLOOKUP(B488,Colaboradores!A:D,2,),"")</f>
        <v>HWGO AUGUSTO ALMEIDA</v>
      </c>
      <c r="D488" s="22" t="str">
        <f>IFERROR(VLOOKUP(B488,Colaboradores!A:D,3,),"")</f>
        <v>COORDENAÇÃO ADMINISTRATIVA</v>
      </c>
      <c r="E488" s="22" t="str">
        <f>IFERROR(VLOOKUP(B488,Colaboradores!A:D,4,),"")</f>
        <v>ANALISTA ADMINISTRATIVO</v>
      </c>
      <c r="F488" s="22" t="s">
        <v>54</v>
      </c>
      <c r="G488" s="24" t="str">
        <f>IFERROR(VLOOKUP(F488,Procedimentos!A:C,2,),"")</f>
        <v>DIRETRIZES DE IMUNIZAÇÃO OCUPACIONAL</v>
      </c>
      <c r="H488" s="25"/>
      <c r="I488" s="25">
        <v>45890</v>
      </c>
      <c r="J488" s="22">
        <v>12</v>
      </c>
      <c r="K488" s="25">
        <f t="shared" si="20"/>
        <v>46255</v>
      </c>
      <c r="L488" s="28" t="str">
        <f t="shared" ca="1" si="19"/>
        <v>Em dia</v>
      </c>
      <c r="M488" s="33" t="s">
        <v>50</v>
      </c>
      <c r="N488" s="28" t="s">
        <v>21</v>
      </c>
      <c r="O488" s="22" t="s">
        <v>28</v>
      </c>
      <c r="P488" s="25">
        <f t="shared" si="21"/>
        <v>45982</v>
      </c>
      <c r="Q488" s="25"/>
      <c r="R488" s="25"/>
      <c r="S488" s="7" t="s">
        <v>27</v>
      </c>
      <c r="T488" s="28">
        <v>1</v>
      </c>
    </row>
    <row r="489" spans="1:20" ht="14.25" customHeight="1">
      <c r="A489" s="22">
        <v>548</v>
      </c>
      <c r="B489" s="37">
        <v>13766</v>
      </c>
      <c r="C489" s="22" t="str">
        <f>IFERROR(VLOOKUP(B489,Colaboradores!A:D,2,),"")</f>
        <v>RAIMUNDO TAVARES PESSOA</v>
      </c>
      <c r="D489" s="22" t="str">
        <f>IFERROR(VLOOKUP(B489,Colaboradores!A:D,3,),"")</f>
        <v>COORDENAÇÃO ADMINISTRATIVA</v>
      </c>
      <c r="E489" s="22" t="str">
        <f>IFERROR(VLOOKUP(B489,Colaboradores!A:D,4,),"")</f>
        <v>ANALISTA ADMINISTRATIVO</v>
      </c>
      <c r="F489" s="22" t="s">
        <v>54</v>
      </c>
      <c r="G489" s="24" t="str">
        <f>IFERROR(VLOOKUP(F489,Procedimentos!A:C,2,),"")</f>
        <v>DIRETRIZES DE IMUNIZAÇÃO OCUPACIONAL</v>
      </c>
      <c r="H489" s="25"/>
      <c r="I489" s="25">
        <v>45890</v>
      </c>
      <c r="J489" s="22">
        <v>12</v>
      </c>
      <c r="K489" s="25">
        <f t="shared" si="20"/>
        <v>46255</v>
      </c>
      <c r="L489" s="28" t="str">
        <f t="shared" ca="1" si="19"/>
        <v>Em dia</v>
      </c>
      <c r="M489" s="33" t="s">
        <v>50</v>
      </c>
      <c r="N489" s="28" t="s">
        <v>21</v>
      </c>
      <c r="O489" s="22" t="s">
        <v>28</v>
      </c>
      <c r="P489" s="25">
        <f t="shared" si="21"/>
        <v>45982</v>
      </c>
      <c r="Q489" s="25"/>
      <c r="R489" s="25"/>
      <c r="S489" s="7" t="s">
        <v>27</v>
      </c>
      <c r="T489" s="28">
        <v>1</v>
      </c>
    </row>
    <row r="490" spans="1:20" ht="14.25" customHeight="1">
      <c r="A490" s="22">
        <v>549</v>
      </c>
      <c r="B490" s="33">
        <v>11149</v>
      </c>
      <c r="C490" s="22" t="str">
        <f>IFERROR(VLOOKUP(B490,Colaboradores!A:D,2,),"")</f>
        <v>CAMYLA CRYSTYNE RABELO LIMA</v>
      </c>
      <c r="D490" s="22" t="str">
        <f>IFERROR(VLOOKUP(B490,Colaboradores!A:D,3,),"")</f>
        <v>COORDENAÇÃO ADMINISTRATIVA</v>
      </c>
      <c r="E490" s="22" t="str">
        <f>IFERROR(VLOOKUP(B490,Colaboradores!A:D,4,),"")</f>
        <v>ANALISTA ADMINISTRATIVO</v>
      </c>
      <c r="F490" s="22" t="s">
        <v>55</v>
      </c>
      <c r="G490" s="24" t="str">
        <f>IFERROR(VLOOKUP(F490,Procedimentos!A:C,2,),"")</f>
        <v>DIRETRIZES PARA ACOMPANHAMENTO DE AFASTADOS</v>
      </c>
      <c r="H490" s="25"/>
      <c r="I490" s="25">
        <v>45890</v>
      </c>
      <c r="J490" s="22">
        <v>12</v>
      </c>
      <c r="K490" s="25">
        <f t="shared" si="20"/>
        <v>46255</v>
      </c>
      <c r="L490" s="28" t="str">
        <f t="shared" ca="1" si="19"/>
        <v>Em dia</v>
      </c>
      <c r="M490" s="33" t="s">
        <v>50</v>
      </c>
      <c r="N490" s="28" t="s">
        <v>21</v>
      </c>
      <c r="O490" s="22" t="s">
        <v>28</v>
      </c>
      <c r="P490" s="25">
        <f t="shared" si="21"/>
        <v>45982</v>
      </c>
      <c r="Q490" s="25"/>
      <c r="R490" s="25"/>
      <c r="S490" s="7" t="s">
        <v>27</v>
      </c>
      <c r="T490" s="28">
        <v>1</v>
      </c>
    </row>
    <row r="491" spans="1:20" ht="14.25" customHeight="1">
      <c r="A491" s="22">
        <v>550</v>
      </c>
      <c r="B491" s="37">
        <v>12748</v>
      </c>
      <c r="C491" s="22" t="str">
        <f>IFERROR(VLOOKUP(B491,Colaboradores!A:D,2,),"")</f>
        <v>KARINY DE SOUZA COSTA</v>
      </c>
      <c r="D491" s="22" t="str">
        <f>IFERROR(VLOOKUP(B491,Colaboradores!A:D,3,),"")</f>
        <v>COORDENAÇÃO ADMINISTRATIVA</v>
      </c>
      <c r="E491" s="22" t="str">
        <f>IFERROR(VLOOKUP(B491,Colaboradores!A:D,4,),"")</f>
        <v>ASSISTENTE ADMINISTRATIVO</v>
      </c>
      <c r="F491" s="22" t="s">
        <v>55</v>
      </c>
      <c r="G491" s="24" t="str">
        <f>IFERROR(VLOOKUP(F491,Procedimentos!A:C,2,),"")</f>
        <v>DIRETRIZES PARA ACOMPANHAMENTO DE AFASTADOS</v>
      </c>
      <c r="H491" s="25"/>
      <c r="I491" s="25">
        <v>45890</v>
      </c>
      <c r="J491" s="22">
        <v>12</v>
      </c>
      <c r="K491" s="25">
        <f t="shared" si="20"/>
        <v>46255</v>
      </c>
      <c r="L491" s="28" t="str">
        <f t="shared" ca="1" si="19"/>
        <v>Em dia</v>
      </c>
      <c r="M491" s="33" t="s">
        <v>50</v>
      </c>
      <c r="N491" s="28" t="s">
        <v>21</v>
      </c>
      <c r="O491" s="22" t="s">
        <v>28</v>
      </c>
      <c r="P491" s="25">
        <f t="shared" si="21"/>
        <v>45982</v>
      </c>
      <c r="Q491" s="25"/>
      <c r="R491" s="25"/>
      <c r="S491" s="7" t="s">
        <v>27</v>
      </c>
      <c r="T491" s="28">
        <v>1</v>
      </c>
    </row>
    <row r="492" spans="1:20" ht="14.25" customHeight="1">
      <c r="A492" s="22">
        <v>551</v>
      </c>
      <c r="B492" s="37">
        <v>12555</v>
      </c>
      <c r="C492" s="22" t="str">
        <f>IFERROR(VLOOKUP(B492,Colaboradores!A:D,2,),"")</f>
        <v>HWGO AUGUSTO ALMEIDA</v>
      </c>
      <c r="D492" s="22" t="str">
        <f>IFERROR(VLOOKUP(B492,Colaboradores!A:D,3,),"")</f>
        <v>COORDENAÇÃO ADMINISTRATIVA</v>
      </c>
      <c r="E492" s="22" t="str">
        <f>IFERROR(VLOOKUP(B492,Colaboradores!A:D,4,),"")</f>
        <v>ANALISTA ADMINISTRATIVO</v>
      </c>
      <c r="F492" s="22" t="s">
        <v>55</v>
      </c>
      <c r="G492" s="24" t="str">
        <f>IFERROR(VLOOKUP(F492,Procedimentos!A:C,2,),"")</f>
        <v>DIRETRIZES PARA ACOMPANHAMENTO DE AFASTADOS</v>
      </c>
      <c r="H492" s="25"/>
      <c r="I492" s="25">
        <v>45890</v>
      </c>
      <c r="J492" s="22">
        <v>12</v>
      </c>
      <c r="K492" s="25">
        <f t="shared" si="20"/>
        <v>46255</v>
      </c>
      <c r="L492" s="28" t="str">
        <f t="shared" ca="1" si="19"/>
        <v>Em dia</v>
      </c>
      <c r="M492" s="33" t="s">
        <v>50</v>
      </c>
      <c r="N492" s="28" t="s">
        <v>21</v>
      </c>
      <c r="O492" s="22" t="s">
        <v>28</v>
      </c>
      <c r="P492" s="25">
        <f t="shared" si="21"/>
        <v>45982</v>
      </c>
      <c r="Q492" s="25"/>
      <c r="R492" s="25"/>
      <c r="S492" s="7" t="s">
        <v>27</v>
      </c>
      <c r="T492" s="28">
        <v>1</v>
      </c>
    </row>
    <row r="493" spans="1:20" ht="14.25" customHeight="1">
      <c r="A493" s="22">
        <v>552</v>
      </c>
      <c r="B493" s="37">
        <v>13766</v>
      </c>
      <c r="C493" s="22" t="str">
        <f>IFERROR(VLOOKUP(B493,Colaboradores!A:D,2,),"")</f>
        <v>RAIMUNDO TAVARES PESSOA</v>
      </c>
      <c r="D493" s="22" t="str">
        <f>IFERROR(VLOOKUP(B493,Colaboradores!A:D,3,),"")</f>
        <v>COORDENAÇÃO ADMINISTRATIVA</v>
      </c>
      <c r="E493" s="22" t="str">
        <f>IFERROR(VLOOKUP(B493,Colaboradores!A:D,4,),"")</f>
        <v>ANALISTA ADMINISTRATIVO</v>
      </c>
      <c r="F493" s="22" t="s">
        <v>55</v>
      </c>
      <c r="G493" s="24" t="str">
        <f>IFERROR(VLOOKUP(F493,Procedimentos!A:C,2,),"")</f>
        <v>DIRETRIZES PARA ACOMPANHAMENTO DE AFASTADOS</v>
      </c>
      <c r="H493" s="25"/>
      <c r="I493" s="25">
        <v>45890</v>
      </c>
      <c r="J493" s="22">
        <v>12</v>
      </c>
      <c r="K493" s="25">
        <f t="shared" si="20"/>
        <v>46255</v>
      </c>
      <c r="L493" s="28" t="str">
        <f t="shared" ca="1" si="19"/>
        <v>Em dia</v>
      </c>
      <c r="M493" s="33" t="s">
        <v>50</v>
      </c>
      <c r="N493" s="28" t="s">
        <v>21</v>
      </c>
      <c r="O493" s="22" t="s">
        <v>28</v>
      </c>
      <c r="P493" s="25">
        <f t="shared" si="21"/>
        <v>45982</v>
      </c>
      <c r="Q493" s="25"/>
      <c r="R493" s="25"/>
      <c r="S493" s="7" t="s">
        <v>27</v>
      </c>
      <c r="T493" s="28">
        <v>1</v>
      </c>
    </row>
    <row r="494" spans="1:20" ht="14.25" customHeight="1">
      <c r="A494" s="22">
        <v>553</v>
      </c>
      <c r="B494" s="33">
        <v>13787</v>
      </c>
      <c r="C494" s="22" t="str">
        <f>IFERROR(VLOOKUP(B494,Colaboradores!A:D,2,),"")</f>
        <v>KELLE SOCORRO MENDES GUIGNONI</v>
      </c>
      <c r="D494" s="22" t="str">
        <f>IFERROR(VLOOKUP(B494,Colaboradores!A:D,3,),"")</f>
        <v>GESTÃO INTEGRADA</v>
      </c>
      <c r="E494" s="22" t="str">
        <f>IFERROR(VLOOKUP(B494,Colaboradores!A:D,4,),"")</f>
        <v>ANALISTA DE GESTÃO INTEGRADA</v>
      </c>
      <c r="F494" s="22" t="s">
        <v>49</v>
      </c>
      <c r="G494" s="24" t="str">
        <f>IFERROR(VLOOKUP(F494,Procedimentos!A:C,2,),"")</f>
        <v>DIRETRIZES PARA REALIZAÇÃO DE EXAMES OCUPACIONAIS</v>
      </c>
      <c r="H494" s="25"/>
      <c r="I494" s="25">
        <v>45890</v>
      </c>
      <c r="J494" s="22">
        <v>12</v>
      </c>
      <c r="K494" s="25">
        <f t="shared" si="20"/>
        <v>46255</v>
      </c>
      <c r="L494" s="28" t="str">
        <f t="shared" ca="1" si="19"/>
        <v>Em dia</v>
      </c>
      <c r="M494" s="33" t="s">
        <v>50</v>
      </c>
      <c r="N494" s="28" t="s">
        <v>21</v>
      </c>
      <c r="O494" s="22" t="s">
        <v>28</v>
      </c>
      <c r="P494" s="25">
        <f t="shared" si="21"/>
        <v>45982</v>
      </c>
      <c r="Q494" s="25"/>
      <c r="R494" s="25"/>
      <c r="S494" s="7" t="s">
        <v>27</v>
      </c>
      <c r="T494" s="28">
        <v>1</v>
      </c>
    </row>
    <row r="495" spans="1:20" ht="14.25" customHeight="1">
      <c r="A495" s="22">
        <v>554</v>
      </c>
      <c r="B495" s="33">
        <v>15068</v>
      </c>
      <c r="C495" s="22" t="str">
        <f>IFERROR(VLOOKUP(B495,Colaboradores!A:D,2,),"")</f>
        <v>TASSO CHAVES DE OLIVEIRA</v>
      </c>
      <c r="D495" s="22" t="str">
        <f>IFERROR(VLOOKUP(B495,Colaboradores!A:D,3,),"")</f>
        <v>GESTÃO INTEGRADA</v>
      </c>
      <c r="E495" s="22" t="str">
        <f>IFERROR(VLOOKUP(B495,Colaboradores!A:D,4,),"")</f>
        <v>ASSESSOR DE GESTÃO INTEGRADA</v>
      </c>
      <c r="F495" s="22" t="s">
        <v>49</v>
      </c>
      <c r="G495" s="24" t="str">
        <f>IFERROR(VLOOKUP(F495,Procedimentos!A:C,2,),"")</f>
        <v>DIRETRIZES PARA REALIZAÇÃO DE EXAMES OCUPACIONAIS</v>
      </c>
      <c r="H495" s="25"/>
      <c r="I495" s="25">
        <v>45890</v>
      </c>
      <c r="J495" s="22">
        <v>12</v>
      </c>
      <c r="K495" s="25">
        <f t="shared" si="20"/>
        <v>46255</v>
      </c>
      <c r="L495" s="28" t="str">
        <f t="shared" ca="1" si="19"/>
        <v>Em dia</v>
      </c>
      <c r="M495" s="33" t="s">
        <v>50</v>
      </c>
      <c r="N495" s="28" t="s">
        <v>21</v>
      </c>
      <c r="O495" s="22" t="s">
        <v>28</v>
      </c>
      <c r="P495" s="25">
        <f t="shared" si="21"/>
        <v>45982</v>
      </c>
      <c r="Q495" s="25"/>
      <c r="R495" s="25"/>
      <c r="S495" s="7" t="s">
        <v>27</v>
      </c>
      <c r="T495" s="28">
        <v>1</v>
      </c>
    </row>
    <row r="496" spans="1:20" ht="14.25" customHeight="1">
      <c r="A496" s="22">
        <v>555</v>
      </c>
      <c r="B496" s="33">
        <v>13787</v>
      </c>
      <c r="C496" s="22" t="str">
        <f>IFERROR(VLOOKUP(B496,Colaboradores!A:D,2,),"")</f>
        <v>KELLE SOCORRO MENDES GUIGNONI</v>
      </c>
      <c r="D496" s="22" t="str">
        <f>IFERROR(VLOOKUP(B496,Colaboradores!A:D,3,),"")</f>
        <v>GESTÃO INTEGRADA</v>
      </c>
      <c r="E496" s="22" t="str">
        <f>IFERROR(VLOOKUP(B496,Colaboradores!A:D,4,),"")</f>
        <v>ANALISTA DE GESTÃO INTEGRADA</v>
      </c>
      <c r="F496" s="22" t="s">
        <v>51</v>
      </c>
      <c r="G496" s="24" t="str">
        <f>IFERROR(VLOOKUP(F496,Procedimentos!A:C,2,),"")</f>
        <v>DIRETRIZES PARA ENTREGA DE ATESTADOS MÉDICOS E ODONTOLÓGICOS</v>
      </c>
      <c r="H496" s="25"/>
      <c r="I496" s="25">
        <v>45890</v>
      </c>
      <c r="J496" s="22">
        <v>12</v>
      </c>
      <c r="K496" s="25">
        <f t="shared" si="20"/>
        <v>46255</v>
      </c>
      <c r="L496" s="28" t="str">
        <f t="shared" ca="1" si="19"/>
        <v>Em dia</v>
      </c>
      <c r="M496" s="33" t="s">
        <v>50</v>
      </c>
      <c r="N496" s="28" t="s">
        <v>21</v>
      </c>
      <c r="O496" s="22" t="s">
        <v>28</v>
      </c>
      <c r="P496" s="25">
        <f t="shared" si="21"/>
        <v>45982</v>
      </c>
      <c r="Q496" s="25"/>
      <c r="R496" s="25"/>
      <c r="S496" s="7" t="s">
        <v>27</v>
      </c>
      <c r="T496" s="28">
        <v>1</v>
      </c>
    </row>
    <row r="497" spans="1:20" ht="14.25" customHeight="1">
      <c r="A497" s="22">
        <v>556</v>
      </c>
      <c r="B497" s="33">
        <v>15068</v>
      </c>
      <c r="C497" s="22" t="str">
        <f>IFERROR(VLOOKUP(B497,Colaboradores!A:D,2,),"")</f>
        <v>TASSO CHAVES DE OLIVEIRA</v>
      </c>
      <c r="D497" s="22" t="str">
        <f>IFERROR(VLOOKUP(B497,Colaboradores!A:D,3,),"")</f>
        <v>GESTÃO INTEGRADA</v>
      </c>
      <c r="E497" s="22" t="str">
        <f>IFERROR(VLOOKUP(B497,Colaboradores!A:D,4,),"")</f>
        <v>ASSESSOR DE GESTÃO INTEGRADA</v>
      </c>
      <c r="F497" s="22" t="s">
        <v>51</v>
      </c>
      <c r="G497" s="24" t="str">
        <f>IFERROR(VLOOKUP(F497,Procedimentos!A:C,2,),"")</f>
        <v>DIRETRIZES PARA ENTREGA DE ATESTADOS MÉDICOS E ODONTOLÓGICOS</v>
      </c>
      <c r="H497" s="25"/>
      <c r="I497" s="25">
        <v>45890</v>
      </c>
      <c r="J497" s="22">
        <v>12</v>
      </c>
      <c r="K497" s="25">
        <f t="shared" si="20"/>
        <v>46255</v>
      </c>
      <c r="L497" s="28" t="str">
        <f t="shared" ca="1" si="19"/>
        <v>Em dia</v>
      </c>
      <c r="M497" s="33" t="s">
        <v>50</v>
      </c>
      <c r="N497" s="28" t="s">
        <v>21</v>
      </c>
      <c r="O497" s="22" t="s">
        <v>28</v>
      </c>
      <c r="P497" s="25">
        <f t="shared" si="21"/>
        <v>45982</v>
      </c>
      <c r="Q497" s="25"/>
      <c r="R497" s="25"/>
      <c r="S497" s="7" t="s">
        <v>27</v>
      </c>
      <c r="T497" s="28">
        <v>1</v>
      </c>
    </row>
    <row r="498" spans="1:20" ht="14.25" customHeight="1">
      <c r="A498" s="22">
        <v>557</v>
      </c>
      <c r="B498" s="33">
        <v>13787</v>
      </c>
      <c r="C498" s="22" t="str">
        <f>IFERROR(VLOOKUP(B498,Colaboradores!A:D,2,),"")</f>
        <v>KELLE SOCORRO MENDES GUIGNONI</v>
      </c>
      <c r="D498" s="22" t="str">
        <f>IFERROR(VLOOKUP(B498,Colaboradores!A:D,3,),"")</f>
        <v>GESTÃO INTEGRADA</v>
      </c>
      <c r="E498" s="22" t="str">
        <f>IFERROR(VLOOKUP(B498,Colaboradores!A:D,4,),"")</f>
        <v>ANALISTA DE GESTÃO INTEGRADA</v>
      </c>
      <c r="F498" s="22" t="s">
        <v>52</v>
      </c>
      <c r="G498" s="24" t="str">
        <f>IFERROR(VLOOKUP(F498,Procedimentos!A:C,2,),"")</f>
        <v>DIRETRIZES E ACOMPANHAMENTO  DE ACIDENTE COM MATERIAL BIOLOGICO</v>
      </c>
      <c r="H498" s="25"/>
      <c r="I498" s="25">
        <v>45890</v>
      </c>
      <c r="J498" s="22">
        <v>12</v>
      </c>
      <c r="K498" s="25">
        <f t="shared" si="20"/>
        <v>46255</v>
      </c>
      <c r="L498" s="28" t="str">
        <f t="shared" ca="1" si="19"/>
        <v>Em dia</v>
      </c>
      <c r="M498" s="33" t="s">
        <v>50</v>
      </c>
      <c r="N498" s="28" t="s">
        <v>21</v>
      </c>
      <c r="O498" s="22" t="s">
        <v>28</v>
      </c>
      <c r="P498" s="25">
        <f t="shared" si="21"/>
        <v>45982</v>
      </c>
      <c r="Q498" s="25"/>
      <c r="R498" s="25"/>
      <c r="S498" s="7" t="s">
        <v>27</v>
      </c>
      <c r="T498" s="28">
        <v>1</v>
      </c>
    </row>
    <row r="499" spans="1:20" ht="14.25" customHeight="1">
      <c r="A499" s="22">
        <v>558</v>
      </c>
      <c r="B499" s="33">
        <v>15068</v>
      </c>
      <c r="C499" s="22" t="str">
        <f>IFERROR(VLOOKUP(B499,Colaboradores!A:D,2,),"")</f>
        <v>TASSO CHAVES DE OLIVEIRA</v>
      </c>
      <c r="D499" s="22" t="str">
        <f>IFERROR(VLOOKUP(B499,Colaboradores!A:D,3,),"")</f>
        <v>GESTÃO INTEGRADA</v>
      </c>
      <c r="E499" s="22" t="str">
        <f>IFERROR(VLOOKUP(B499,Colaboradores!A:D,4,),"")</f>
        <v>ASSESSOR DE GESTÃO INTEGRADA</v>
      </c>
      <c r="F499" s="22" t="s">
        <v>52</v>
      </c>
      <c r="G499" s="24" t="str">
        <f>IFERROR(VLOOKUP(F499,Procedimentos!A:C,2,),"")</f>
        <v>DIRETRIZES E ACOMPANHAMENTO  DE ACIDENTE COM MATERIAL BIOLOGICO</v>
      </c>
      <c r="H499" s="25"/>
      <c r="I499" s="25">
        <v>45890</v>
      </c>
      <c r="J499" s="22">
        <v>12</v>
      </c>
      <c r="K499" s="25">
        <f t="shared" si="20"/>
        <v>46255</v>
      </c>
      <c r="L499" s="28" t="str">
        <f t="shared" ca="1" si="19"/>
        <v>Em dia</v>
      </c>
      <c r="M499" s="33" t="s">
        <v>50</v>
      </c>
      <c r="N499" s="28" t="s">
        <v>21</v>
      </c>
      <c r="O499" s="22" t="s">
        <v>28</v>
      </c>
      <c r="P499" s="25">
        <f t="shared" si="21"/>
        <v>45982</v>
      </c>
      <c r="Q499" s="25"/>
      <c r="R499" s="25"/>
      <c r="S499" s="7" t="s">
        <v>27</v>
      </c>
      <c r="T499" s="28">
        <v>1</v>
      </c>
    </row>
    <row r="500" spans="1:20" ht="14.25" customHeight="1">
      <c r="A500" s="22">
        <v>559</v>
      </c>
      <c r="B500" s="33">
        <v>13787</v>
      </c>
      <c r="C500" s="22" t="str">
        <f>IFERROR(VLOOKUP(B500,Colaboradores!A:D,2,),"")</f>
        <v>KELLE SOCORRO MENDES GUIGNONI</v>
      </c>
      <c r="D500" s="22" t="str">
        <f>IFERROR(VLOOKUP(B500,Colaboradores!A:D,3,),"")</f>
        <v>GESTÃO INTEGRADA</v>
      </c>
      <c r="E500" s="22" t="str">
        <f>IFERROR(VLOOKUP(B500,Colaboradores!A:D,4,),"")</f>
        <v>ANALISTA DE GESTÃO INTEGRADA</v>
      </c>
      <c r="F500" s="22" t="s">
        <v>53</v>
      </c>
      <c r="G500" s="24" t="str">
        <f>IFERROR(VLOOKUP(F500,Procedimentos!A:C,2,),"")</f>
        <v>DIRETRIZES PARA MONITORAMENTO DE GESTANTE</v>
      </c>
      <c r="H500" s="25"/>
      <c r="I500" s="25">
        <v>45890</v>
      </c>
      <c r="J500" s="22">
        <v>12</v>
      </c>
      <c r="K500" s="25">
        <f t="shared" si="20"/>
        <v>46255</v>
      </c>
      <c r="L500" s="28" t="str">
        <f t="shared" ca="1" si="19"/>
        <v>Em dia</v>
      </c>
      <c r="M500" s="33" t="s">
        <v>50</v>
      </c>
      <c r="N500" s="28" t="s">
        <v>21</v>
      </c>
      <c r="O500" s="22" t="s">
        <v>28</v>
      </c>
      <c r="P500" s="25">
        <f t="shared" si="21"/>
        <v>45982</v>
      </c>
      <c r="Q500" s="25"/>
      <c r="R500" s="25"/>
      <c r="S500" s="7" t="s">
        <v>27</v>
      </c>
      <c r="T500" s="28">
        <v>1</v>
      </c>
    </row>
    <row r="501" spans="1:20" ht="14.25" customHeight="1">
      <c r="A501" s="22">
        <v>560</v>
      </c>
      <c r="B501" s="33">
        <v>15068</v>
      </c>
      <c r="C501" s="22" t="str">
        <f>IFERROR(VLOOKUP(B501,Colaboradores!A:D,2,),"")</f>
        <v>TASSO CHAVES DE OLIVEIRA</v>
      </c>
      <c r="D501" s="22" t="str">
        <f>IFERROR(VLOOKUP(B501,Colaboradores!A:D,3,),"")</f>
        <v>GESTÃO INTEGRADA</v>
      </c>
      <c r="E501" s="22" t="str">
        <f>IFERROR(VLOOKUP(B501,Colaboradores!A:D,4,),"")</f>
        <v>ASSESSOR DE GESTÃO INTEGRADA</v>
      </c>
      <c r="F501" s="22" t="s">
        <v>53</v>
      </c>
      <c r="G501" s="24" t="str">
        <f>IFERROR(VLOOKUP(F501,Procedimentos!A:C,2,),"")</f>
        <v>DIRETRIZES PARA MONITORAMENTO DE GESTANTE</v>
      </c>
      <c r="H501" s="25"/>
      <c r="I501" s="25">
        <v>45890</v>
      </c>
      <c r="J501" s="22">
        <v>12</v>
      </c>
      <c r="K501" s="25">
        <f t="shared" si="20"/>
        <v>46255</v>
      </c>
      <c r="L501" s="28" t="str">
        <f t="shared" ca="1" si="19"/>
        <v>Em dia</v>
      </c>
      <c r="M501" s="33" t="s">
        <v>50</v>
      </c>
      <c r="N501" s="28" t="s">
        <v>21</v>
      </c>
      <c r="O501" s="22" t="s">
        <v>28</v>
      </c>
      <c r="P501" s="25">
        <f t="shared" si="21"/>
        <v>45982</v>
      </c>
      <c r="Q501" s="25"/>
      <c r="R501" s="25"/>
      <c r="S501" s="7" t="s">
        <v>27</v>
      </c>
      <c r="T501" s="28">
        <v>1</v>
      </c>
    </row>
    <row r="502" spans="1:20" ht="14.25" customHeight="1">
      <c r="A502" s="22">
        <v>561</v>
      </c>
      <c r="B502" s="33">
        <v>13787</v>
      </c>
      <c r="C502" s="22" t="str">
        <f>IFERROR(VLOOKUP(B502,Colaboradores!A:D,2,),"")</f>
        <v>KELLE SOCORRO MENDES GUIGNONI</v>
      </c>
      <c r="D502" s="22" t="str">
        <f>IFERROR(VLOOKUP(B502,Colaboradores!A:D,3,),"")</f>
        <v>GESTÃO INTEGRADA</v>
      </c>
      <c r="E502" s="22" t="str">
        <f>IFERROR(VLOOKUP(B502,Colaboradores!A:D,4,),"")</f>
        <v>ANALISTA DE GESTÃO INTEGRADA</v>
      </c>
      <c r="F502" s="22" t="s">
        <v>54</v>
      </c>
      <c r="G502" s="24" t="str">
        <f>IFERROR(VLOOKUP(F502,Procedimentos!A:C,2,),"")</f>
        <v>DIRETRIZES DE IMUNIZAÇÃO OCUPACIONAL</v>
      </c>
      <c r="H502" s="25"/>
      <c r="I502" s="25">
        <v>45890</v>
      </c>
      <c r="J502" s="22">
        <v>12</v>
      </c>
      <c r="K502" s="25">
        <f t="shared" si="20"/>
        <v>46255</v>
      </c>
      <c r="L502" s="28" t="str">
        <f t="shared" ca="1" si="19"/>
        <v>Em dia</v>
      </c>
      <c r="M502" s="33" t="s">
        <v>50</v>
      </c>
      <c r="N502" s="28" t="s">
        <v>21</v>
      </c>
      <c r="O502" s="22" t="s">
        <v>28</v>
      </c>
      <c r="P502" s="25">
        <f t="shared" si="21"/>
        <v>45982</v>
      </c>
      <c r="Q502" s="25"/>
      <c r="R502" s="25"/>
      <c r="S502" s="7" t="s">
        <v>27</v>
      </c>
      <c r="T502" s="28">
        <v>1</v>
      </c>
    </row>
    <row r="503" spans="1:20" ht="14.25" customHeight="1">
      <c r="A503" s="22">
        <v>562</v>
      </c>
      <c r="B503" s="33">
        <v>15068</v>
      </c>
      <c r="C503" s="22" t="str">
        <f>IFERROR(VLOOKUP(B503,Colaboradores!A:D,2,),"")</f>
        <v>TASSO CHAVES DE OLIVEIRA</v>
      </c>
      <c r="D503" s="22" t="str">
        <f>IFERROR(VLOOKUP(B503,Colaboradores!A:D,3,),"")</f>
        <v>GESTÃO INTEGRADA</v>
      </c>
      <c r="E503" s="22" t="str">
        <f>IFERROR(VLOOKUP(B503,Colaboradores!A:D,4,),"")</f>
        <v>ASSESSOR DE GESTÃO INTEGRADA</v>
      </c>
      <c r="F503" s="22" t="s">
        <v>54</v>
      </c>
      <c r="G503" s="24" t="str">
        <f>IFERROR(VLOOKUP(F503,Procedimentos!A:C,2,),"")</f>
        <v>DIRETRIZES DE IMUNIZAÇÃO OCUPACIONAL</v>
      </c>
      <c r="H503" s="25"/>
      <c r="I503" s="25">
        <v>45890</v>
      </c>
      <c r="J503" s="22">
        <v>12</v>
      </c>
      <c r="K503" s="25">
        <f t="shared" si="20"/>
        <v>46255</v>
      </c>
      <c r="L503" s="28" t="str">
        <f t="shared" ca="1" si="19"/>
        <v>Em dia</v>
      </c>
      <c r="M503" s="33" t="s">
        <v>50</v>
      </c>
      <c r="N503" s="28" t="s">
        <v>21</v>
      </c>
      <c r="O503" s="22" t="s">
        <v>28</v>
      </c>
      <c r="P503" s="25">
        <f t="shared" si="21"/>
        <v>45982</v>
      </c>
      <c r="Q503" s="25"/>
      <c r="R503" s="25"/>
      <c r="S503" s="7" t="s">
        <v>27</v>
      </c>
      <c r="T503" s="28">
        <v>1</v>
      </c>
    </row>
    <row r="504" spans="1:20" ht="14.25" customHeight="1">
      <c r="A504" s="22">
        <v>563</v>
      </c>
      <c r="B504" s="33">
        <v>13787</v>
      </c>
      <c r="C504" s="22" t="str">
        <f>IFERROR(VLOOKUP(B504,Colaboradores!A:D,2,),"")</f>
        <v>KELLE SOCORRO MENDES GUIGNONI</v>
      </c>
      <c r="D504" s="22" t="str">
        <f>IFERROR(VLOOKUP(B504,Colaboradores!A:D,3,),"")</f>
        <v>GESTÃO INTEGRADA</v>
      </c>
      <c r="E504" s="22" t="str">
        <f>IFERROR(VLOOKUP(B504,Colaboradores!A:D,4,),"")</f>
        <v>ANALISTA DE GESTÃO INTEGRADA</v>
      </c>
      <c r="F504" s="22" t="s">
        <v>55</v>
      </c>
      <c r="G504" s="24" t="str">
        <f>IFERROR(VLOOKUP(F504,Procedimentos!A:C,2,),"")</f>
        <v>DIRETRIZES PARA ACOMPANHAMENTO DE AFASTADOS</v>
      </c>
      <c r="H504" s="25"/>
      <c r="I504" s="25">
        <v>45890</v>
      </c>
      <c r="J504" s="22">
        <v>12</v>
      </c>
      <c r="K504" s="25">
        <f t="shared" si="20"/>
        <v>46255</v>
      </c>
      <c r="L504" s="28" t="str">
        <f t="shared" ca="1" si="19"/>
        <v>Em dia</v>
      </c>
      <c r="M504" s="33" t="s">
        <v>50</v>
      </c>
      <c r="N504" s="28" t="s">
        <v>21</v>
      </c>
      <c r="O504" s="22" t="s">
        <v>28</v>
      </c>
      <c r="P504" s="25">
        <f t="shared" si="21"/>
        <v>45982</v>
      </c>
      <c r="Q504" s="25"/>
      <c r="R504" s="25"/>
      <c r="S504" s="7" t="s">
        <v>27</v>
      </c>
      <c r="T504" s="28">
        <v>1</v>
      </c>
    </row>
    <row r="505" spans="1:20" ht="14.25" customHeight="1">
      <c r="A505" s="22">
        <v>564</v>
      </c>
      <c r="B505" s="33">
        <v>15068</v>
      </c>
      <c r="C505" s="22" t="str">
        <f>IFERROR(VLOOKUP(B505,Colaboradores!A:D,2,),"")</f>
        <v>TASSO CHAVES DE OLIVEIRA</v>
      </c>
      <c r="D505" s="22" t="str">
        <f>IFERROR(VLOOKUP(B505,Colaboradores!A:D,3,),"")</f>
        <v>GESTÃO INTEGRADA</v>
      </c>
      <c r="E505" s="22" t="str">
        <f>IFERROR(VLOOKUP(B505,Colaboradores!A:D,4,),"")</f>
        <v>ASSESSOR DE GESTÃO INTEGRADA</v>
      </c>
      <c r="F505" s="22" t="s">
        <v>55</v>
      </c>
      <c r="G505" s="24" t="str">
        <f>IFERROR(VLOOKUP(F505,Procedimentos!A:C,2,),"")</f>
        <v>DIRETRIZES PARA ACOMPANHAMENTO DE AFASTADOS</v>
      </c>
      <c r="H505" s="25"/>
      <c r="I505" s="25">
        <v>45890</v>
      </c>
      <c r="J505" s="22">
        <v>12</v>
      </c>
      <c r="K505" s="25">
        <f t="shared" si="20"/>
        <v>46255</v>
      </c>
      <c r="L505" s="28" t="str">
        <f t="shared" ca="1" si="19"/>
        <v>Em dia</v>
      </c>
      <c r="M505" s="33" t="s">
        <v>50</v>
      </c>
      <c r="N505" s="28" t="s">
        <v>21</v>
      </c>
      <c r="O505" s="22" t="s">
        <v>28</v>
      </c>
      <c r="P505" s="25">
        <f t="shared" si="21"/>
        <v>45982</v>
      </c>
      <c r="Q505" s="25"/>
      <c r="R505" s="25"/>
      <c r="S505" s="7" t="s">
        <v>27</v>
      </c>
      <c r="T505" s="28">
        <v>1</v>
      </c>
    </row>
    <row r="506" spans="1:20" ht="14.25" customHeight="1">
      <c r="A506" s="22">
        <v>565</v>
      </c>
      <c r="B506" s="37">
        <v>15023</v>
      </c>
      <c r="C506" s="22" t="str">
        <f>IFERROR(VLOOKUP(B506,Colaboradores!A:D,2,),"")</f>
        <v>DANIEL ELISON GUSMÃO PEREIRA</v>
      </c>
      <c r="D506" s="22" t="str">
        <f>IFERROR(VLOOKUP(B506,Colaboradores!A:D,3,),"")</f>
        <v>GESTÃO INTEGRADA</v>
      </c>
      <c r="E506" s="22" t="str">
        <f>IFERROR(VLOOKUP(B506,Colaboradores!A:D,4,),"")</f>
        <v>ASSISTENTE ADMINISTRATIVO</v>
      </c>
      <c r="F506" s="22" t="s">
        <v>49</v>
      </c>
      <c r="G506" s="24" t="str">
        <f>IFERROR(VLOOKUP(F506,Procedimentos!A:C,2,),"")</f>
        <v>DIRETRIZES PARA REALIZAÇÃO DE EXAMES OCUPACIONAIS</v>
      </c>
      <c r="H506" s="25"/>
      <c r="I506" s="25">
        <v>45890</v>
      </c>
      <c r="J506" s="22">
        <v>12</v>
      </c>
      <c r="K506" s="25">
        <f t="shared" si="20"/>
        <v>46255</v>
      </c>
      <c r="L506" s="28" t="str">
        <f t="shared" ca="1" si="19"/>
        <v>Em dia</v>
      </c>
      <c r="M506" s="33" t="s">
        <v>50</v>
      </c>
      <c r="N506" s="28" t="s">
        <v>21</v>
      </c>
      <c r="O506" s="22" t="s">
        <v>28</v>
      </c>
      <c r="P506" s="25">
        <f t="shared" si="21"/>
        <v>45982</v>
      </c>
      <c r="Q506" s="25"/>
      <c r="R506" s="25"/>
      <c r="S506" s="7" t="s">
        <v>27</v>
      </c>
      <c r="T506" s="28">
        <v>1</v>
      </c>
    </row>
    <row r="507" spans="1:20" ht="14.25" customHeight="1">
      <c r="A507" s="22">
        <v>566</v>
      </c>
      <c r="B507" s="37">
        <v>14525</v>
      </c>
      <c r="C507" s="22" t="str">
        <f>IFERROR(VLOOKUP(B507,Colaboradores!A:D,2,),"")</f>
        <v>IANKA PRAZERES CUNHA</v>
      </c>
      <c r="D507" s="22" t="str">
        <f>IFERROR(VLOOKUP(B507,Colaboradores!A:D,3,),"")</f>
        <v>GESTÃO INTEGRADA</v>
      </c>
      <c r="E507" s="22" t="str">
        <f>IFERROR(VLOOKUP(B507,Colaboradores!A:D,4,),"")</f>
        <v>ANALISTA DE GESTÃO INTEGRADA</v>
      </c>
      <c r="F507" s="22" t="s">
        <v>49</v>
      </c>
      <c r="G507" s="24" t="str">
        <f>IFERROR(VLOOKUP(F507,Procedimentos!A:C,2,),"")</f>
        <v>DIRETRIZES PARA REALIZAÇÃO DE EXAMES OCUPACIONAIS</v>
      </c>
      <c r="H507" s="25"/>
      <c r="I507" s="25">
        <v>45890</v>
      </c>
      <c r="J507" s="22">
        <v>12</v>
      </c>
      <c r="K507" s="25">
        <f t="shared" si="20"/>
        <v>46255</v>
      </c>
      <c r="L507" s="28" t="str">
        <f t="shared" ca="1" si="19"/>
        <v>Em dia</v>
      </c>
      <c r="M507" s="33" t="s">
        <v>50</v>
      </c>
      <c r="N507" s="28" t="s">
        <v>21</v>
      </c>
      <c r="O507" s="22" t="s">
        <v>28</v>
      </c>
      <c r="P507" s="25">
        <f t="shared" si="21"/>
        <v>45982</v>
      </c>
      <c r="Q507" s="25"/>
      <c r="R507" s="25"/>
      <c r="S507" s="7" t="s">
        <v>27</v>
      </c>
      <c r="T507" s="28">
        <v>1</v>
      </c>
    </row>
    <row r="508" spans="1:20" ht="14.25" customHeight="1">
      <c r="A508" s="22">
        <v>567</v>
      </c>
      <c r="B508" s="37">
        <v>13750</v>
      </c>
      <c r="C508" s="22" t="str">
        <f>IFERROR(VLOOKUP(B508,Colaboradores!A:D,2,),"")</f>
        <v>JOSE ANTONIO ALVES MAGALHAES</v>
      </c>
      <c r="D508" s="22" t="str">
        <f>IFERROR(VLOOKUP(B508,Colaboradores!A:D,3,),"")</f>
        <v>GESTÃO INTEGRADA</v>
      </c>
      <c r="E508" s="22" t="str">
        <f>IFERROR(VLOOKUP(B508,Colaboradores!A:D,4,),"")</f>
        <v>GERENTE DE GESTÃO INTEGRADA</v>
      </c>
      <c r="F508" s="22" t="s">
        <v>49</v>
      </c>
      <c r="G508" s="24" t="str">
        <f>IFERROR(VLOOKUP(F508,Procedimentos!A:C,2,),"")</f>
        <v>DIRETRIZES PARA REALIZAÇÃO DE EXAMES OCUPACIONAIS</v>
      </c>
      <c r="H508" s="25"/>
      <c r="I508" s="25">
        <v>45890</v>
      </c>
      <c r="J508" s="22">
        <v>12</v>
      </c>
      <c r="K508" s="25">
        <f t="shared" si="20"/>
        <v>46255</v>
      </c>
      <c r="L508" s="28" t="str">
        <f t="shared" ca="1" si="19"/>
        <v>Em dia</v>
      </c>
      <c r="M508" s="33" t="s">
        <v>50</v>
      </c>
      <c r="N508" s="28" t="s">
        <v>21</v>
      </c>
      <c r="O508" s="22" t="s">
        <v>28</v>
      </c>
      <c r="P508" s="25">
        <f t="shared" si="21"/>
        <v>45982</v>
      </c>
      <c r="Q508" s="25"/>
      <c r="R508" s="25"/>
      <c r="S508" s="7" t="s">
        <v>27</v>
      </c>
      <c r="T508" s="28">
        <v>1</v>
      </c>
    </row>
    <row r="509" spans="1:20" ht="14.25" customHeight="1">
      <c r="A509" s="22">
        <v>568</v>
      </c>
      <c r="B509" s="33">
        <v>12712</v>
      </c>
      <c r="C509" s="22" t="str">
        <f>IFERROR(VLOOKUP(B509,Colaboradores!A:D,2,),"")</f>
        <v>JOYCE CLEIA MIRANDA BARROS</v>
      </c>
      <c r="D509" s="22" t="str">
        <f>IFERROR(VLOOKUP(B509,Colaboradores!A:D,3,),"")</f>
        <v>GESTÃO INTEGRADA</v>
      </c>
      <c r="E509" s="22" t="str">
        <f>IFERROR(VLOOKUP(B509,Colaboradores!A:D,4,),"")</f>
        <v>ANALISTA DE GESTÃO INTEGRADA</v>
      </c>
      <c r="F509" s="22" t="s">
        <v>49</v>
      </c>
      <c r="G509" s="24" t="str">
        <f>IFERROR(VLOOKUP(F509,Procedimentos!A:C,2,),"")</f>
        <v>DIRETRIZES PARA REALIZAÇÃO DE EXAMES OCUPACIONAIS</v>
      </c>
      <c r="H509" s="25"/>
      <c r="I509" s="25">
        <v>45890</v>
      </c>
      <c r="J509" s="22">
        <v>12</v>
      </c>
      <c r="K509" s="25">
        <f t="shared" si="20"/>
        <v>46255</v>
      </c>
      <c r="L509" s="28" t="str">
        <f t="shared" ca="1" si="19"/>
        <v>Em dia</v>
      </c>
      <c r="M509" s="33" t="s">
        <v>50</v>
      </c>
      <c r="N509" s="28" t="s">
        <v>21</v>
      </c>
      <c r="O509" s="22" t="s">
        <v>28</v>
      </c>
      <c r="P509" s="25">
        <f t="shared" si="21"/>
        <v>45982</v>
      </c>
      <c r="Q509" s="25"/>
      <c r="R509" s="25"/>
      <c r="S509" s="7" t="s">
        <v>27</v>
      </c>
      <c r="T509" s="28">
        <v>1</v>
      </c>
    </row>
    <row r="510" spans="1:20" ht="14.25" customHeight="1">
      <c r="A510" s="22">
        <v>569</v>
      </c>
      <c r="B510" s="33">
        <v>12685</v>
      </c>
      <c r="C510" s="22" t="str">
        <f>IFERROR(VLOOKUP(B510,Colaboradores!A:D,2,),"")</f>
        <v>LIDIANA CRISTINA MIRANDA FERREIRA</v>
      </c>
      <c r="D510" s="22" t="str">
        <f>IFERROR(VLOOKUP(B510,Colaboradores!A:D,3,),"")</f>
        <v>GESTÃO INTEGRADA</v>
      </c>
      <c r="E510" s="22" t="str">
        <f>IFERROR(VLOOKUP(B510,Colaboradores!A:D,4,),"")</f>
        <v>COORDENADOR DE GESTÃO INTEGRADA</v>
      </c>
      <c r="F510" s="22" t="s">
        <v>49</v>
      </c>
      <c r="G510" s="24" t="str">
        <f>IFERROR(VLOOKUP(F510,Procedimentos!A:C,2,),"")</f>
        <v>DIRETRIZES PARA REALIZAÇÃO DE EXAMES OCUPACIONAIS</v>
      </c>
      <c r="H510" s="25"/>
      <c r="I510" s="25">
        <v>45890</v>
      </c>
      <c r="J510" s="22">
        <v>12</v>
      </c>
      <c r="K510" s="25">
        <f t="shared" si="20"/>
        <v>46255</v>
      </c>
      <c r="L510" s="28" t="str">
        <f t="shared" ca="1" si="19"/>
        <v>Em dia</v>
      </c>
      <c r="M510" s="33" t="s">
        <v>50</v>
      </c>
      <c r="N510" s="28" t="s">
        <v>21</v>
      </c>
      <c r="O510" s="22" t="s">
        <v>28</v>
      </c>
      <c r="P510" s="25">
        <f t="shared" si="21"/>
        <v>45982</v>
      </c>
      <c r="Q510" s="25"/>
      <c r="R510" s="25"/>
      <c r="S510" s="7" t="s">
        <v>27</v>
      </c>
      <c r="T510" s="28">
        <v>1</v>
      </c>
    </row>
    <row r="511" spans="1:20" ht="14.25" customHeight="1">
      <c r="A511" s="22">
        <v>570</v>
      </c>
      <c r="B511" s="37">
        <v>15023</v>
      </c>
      <c r="C511" s="22" t="str">
        <f>IFERROR(VLOOKUP(B511,Colaboradores!A:D,2,),"")</f>
        <v>DANIEL ELISON GUSMÃO PEREIRA</v>
      </c>
      <c r="D511" s="22" t="str">
        <f>IFERROR(VLOOKUP(B511,Colaboradores!A:D,3,),"")</f>
        <v>GESTÃO INTEGRADA</v>
      </c>
      <c r="E511" s="22" t="str">
        <f>IFERROR(VLOOKUP(B511,Colaboradores!A:D,4,),"")</f>
        <v>ASSISTENTE ADMINISTRATIVO</v>
      </c>
      <c r="F511" s="22" t="s">
        <v>51</v>
      </c>
      <c r="G511" s="24" t="str">
        <f>IFERROR(VLOOKUP(F511,Procedimentos!A:C,2,),"")</f>
        <v>DIRETRIZES PARA ENTREGA DE ATESTADOS MÉDICOS E ODONTOLÓGICOS</v>
      </c>
      <c r="H511" s="25"/>
      <c r="I511" s="25">
        <v>45890</v>
      </c>
      <c r="J511" s="22">
        <v>12</v>
      </c>
      <c r="K511" s="25">
        <f t="shared" si="20"/>
        <v>46255</v>
      </c>
      <c r="L511" s="28" t="str">
        <f t="shared" ca="1" si="19"/>
        <v>Em dia</v>
      </c>
      <c r="M511" s="33" t="s">
        <v>50</v>
      </c>
      <c r="N511" s="28" t="s">
        <v>21</v>
      </c>
      <c r="O511" s="22" t="s">
        <v>28</v>
      </c>
      <c r="P511" s="25">
        <f t="shared" si="21"/>
        <v>45982</v>
      </c>
      <c r="Q511" s="25"/>
      <c r="R511" s="25"/>
      <c r="S511" s="7" t="s">
        <v>27</v>
      </c>
      <c r="T511" s="28">
        <v>1</v>
      </c>
    </row>
    <row r="512" spans="1:20" ht="14.25" customHeight="1">
      <c r="A512" s="22">
        <v>571</v>
      </c>
      <c r="B512" s="37">
        <v>14525</v>
      </c>
      <c r="C512" s="22" t="str">
        <f>IFERROR(VLOOKUP(B512,Colaboradores!A:D,2,),"")</f>
        <v>IANKA PRAZERES CUNHA</v>
      </c>
      <c r="D512" s="22" t="str">
        <f>IFERROR(VLOOKUP(B512,Colaboradores!A:D,3,),"")</f>
        <v>GESTÃO INTEGRADA</v>
      </c>
      <c r="E512" s="22" t="str">
        <f>IFERROR(VLOOKUP(B512,Colaboradores!A:D,4,),"")</f>
        <v>ANALISTA DE GESTÃO INTEGRADA</v>
      </c>
      <c r="F512" s="22" t="s">
        <v>51</v>
      </c>
      <c r="G512" s="24" t="str">
        <f>IFERROR(VLOOKUP(F512,Procedimentos!A:C,2,),"")</f>
        <v>DIRETRIZES PARA ENTREGA DE ATESTADOS MÉDICOS E ODONTOLÓGICOS</v>
      </c>
      <c r="H512" s="25"/>
      <c r="I512" s="25">
        <v>45890</v>
      </c>
      <c r="J512" s="22">
        <v>12</v>
      </c>
      <c r="K512" s="25">
        <f t="shared" si="20"/>
        <v>46255</v>
      </c>
      <c r="L512" s="28" t="str">
        <f t="shared" ca="1" si="19"/>
        <v>Em dia</v>
      </c>
      <c r="M512" s="33" t="s">
        <v>50</v>
      </c>
      <c r="N512" s="28" t="s">
        <v>21</v>
      </c>
      <c r="O512" s="22" t="s">
        <v>28</v>
      </c>
      <c r="P512" s="25">
        <f t="shared" si="21"/>
        <v>45982</v>
      </c>
      <c r="Q512" s="25"/>
      <c r="R512" s="25"/>
      <c r="S512" s="7" t="s">
        <v>27</v>
      </c>
      <c r="T512" s="28">
        <v>1</v>
      </c>
    </row>
    <row r="513" spans="1:20" ht="14.25" customHeight="1">
      <c r="A513" s="22">
        <v>572</v>
      </c>
      <c r="B513" s="37">
        <v>13750</v>
      </c>
      <c r="C513" s="22" t="str">
        <f>IFERROR(VLOOKUP(B513,Colaboradores!A:D,2,),"")</f>
        <v>JOSE ANTONIO ALVES MAGALHAES</v>
      </c>
      <c r="D513" s="22" t="str">
        <f>IFERROR(VLOOKUP(B513,Colaboradores!A:D,3,),"")</f>
        <v>GESTÃO INTEGRADA</v>
      </c>
      <c r="E513" s="22" t="str">
        <f>IFERROR(VLOOKUP(B513,Colaboradores!A:D,4,),"")</f>
        <v>GERENTE DE GESTÃO INTEGRADA</v>
      </c>
      <c r="F513" s="22" t="s">
        <v>51</v>
      </c>
      <c r="G513" s="24" t="str">
        <f>IFERROR(VLOOKUP(F513,Procedimentos!A:C,2,),"")</f>
        <v>DIRETRIZES PARA ENTREGA DE ATESTADOS MÉDICOS E ODONTOLÓGICOS</v>
      </c>
      <c r="H513" s="25"/>
      <c r="I513" s="25">
        <v>45890</v>
      </c>
      <c r="J513" s="22">
        <v>12</v>
      </c>
      <c r="K513" s="25">
        <f t="shared" si="20"/>
        <v>46255</v>
      </c>
      <c r="L513" s="28" t="str">
        <f t="shared" ref="L513:L576" ca="1" si="22">IF(K513="","",IF(K513&lt;TODAY(),"Vencido",IF(K513&lt;=TODAY()+30,"A vencer","Em dia")))</f>
        <v>Em dia</v>
      </c>
      <c r="M513" s="33" t="s">
        <v>50</v>
      </c>
      <c r="N513" s="28" t="s">
        <v>21</v>
      </c>
      <c r="O513" s="22" t="s">
        <v>28</v>
      </c>
      <c r="P513" s="25">
        <f t="shared" si="21"/>
        <v>45982</v>
      </c>
      <c r="Q513" s="25"/>
      <c r="R513" s="25"/>
      <c r="S513" s="7" t="s">
        <v>27</v>
      </c>
      <c r="T513" s="28">
        <v>1</v>
      </c>
    </row>
    <row r="514" spans="1:20" ht="14.25" customHeight="1">
      <c r="A514" s="22">
        <v>573</v>
      </c>
      <c r="B514" s="33">
        <v>12712</v>
      </c>
      <c r="C514" s="22" t="str">
        <f>IFERROR(VLOOKUP(B514,Colaboradores!A:D,2,),"")</f>
        <v>JOYCE CLEIA MIRANDA BARROS</v>
      </c>
      <c r="D514" s="22" t="str">
        <f>IFERROR(VLOOKUP(B514,Colaboradores!A:D,3,),"")</f>
        <v>GESTÃO INTEGRADA</v>
      </c>
      <c r="E514" s="22" t="str">
        <f>IFERROR(VLOOKUP(B514,Colaboradores!A:D,4,),"")</f>
        <v>ANALISTA DE GESTÃO INTEGRADA</v>
      </c>
      <c r="F514" s="22" t="s">
        <v>51</v>
      </c>
      <c r="G514" s="24" t="str">
        <f>IFERROR(VLOOKUP(F514,Procedimentos!A:C,2,),"")</f>
        <v>DIRETRIZES PARA ENTREGA DE ATESTADOS MÉDICOS E ODONTOLÓGICOS</v>
      </c>
      <c r="H514" s="25"/>
      <c r="I514" s="25">
        <v>45890</v>
      </c>
      <c r="J514" s="22">
        <v>12</v>
      </c>
      <c r="K514" s="25">
        <f t="shared" si="20"/>
        <v>46255</v>
      </c>
      <c r="L514" s="28" t="str">
        <f t="shared" ca="1" si="22"/>
        <v>Em dia</v>
      </c>
      <c r="M514" s="33" t="s">
        <v>50</v>
      </c>
      <c r="N514" s="28" t="s">
        <v>21</v>
      </c>
      <c r="O514" s="22" t="s">
        <v>28</v>
      </c>
      <c r="P514" s="25">
        <f t="shared" si="21"/>
        <v>45982</v>
      </c>
      <c r="Q514" s="25"/>
      <c r="R514" s="25"/>
      <c r="S514" s="7" t="s">
        <v>27</v>
      </c>
      <c r="T514" s="28">
        <v>1</v>
      </c>
    </row>
    <row r="515" spans="1:20" ht="14.25" customHeight="1">
      <c r="A515" s="22">
        <v>574</v>
      </c>
      <c r="B515" s="33">
        <v>12685</v>
      </c>
      <c r="C515" s="22" t="str">
        <f>IFERROR(VLOOKUP(B515,Colaboradores!A:D,2,),"")</f>
        <v>LIDIANA CRISTINA MIRANDA FERREIRA</v>
      </c>
      <c r="D515" s="22" t="str">
        <f>IFERROR(VLOOKUP(B515,Colaboradores!A:D,3,),"")</f>
        <v>GESTÃO INTEGRADA</v>
      </c>
      <c r="E515" s="22" t="str">
        <f>IFERROR(VLOOKUP(B515,Colaboradores!A:D,4,),"")</f>
        <v>COORDENADOR DE GESTÃO INTEGRADA</v>
      </c>
      <c r="F515" s="22" t="s">
        <v>51</v>
      </c>
      <c r="G515" s="24" t="str">
        <f>IFERROR(VLOOKUP(F515,Procedimentos!A:C,2,),"")</f>
        <v>DIRETRIZES PARA ENTREGA DE ATESTADOS MÉDICOS E ODONTOLÓGICOS</v>
      </c>
      <c r="H515" s="25"/>
      <c r="I515" s="25">
        <v>45890</v>
      </c>
      <c r="J515" s="22">
        <v>12</v>
      </c>
      <c r="K515" s="25">
        <f t="shared" ref="K515:K578" si="23">IF(AND(I515&lt;&gt;"",J515&lt;&gt;""),DATE(YEAR(I515),MONTH(I515)+J515,DAY(I515)),"")</f>
        <v>46255</v>
      </c>
      <c r="L515" s="28" t="str">
        <f t="shared" ca="1" si="22"/>
        <v>Em dia</v>
      </c>
      <c r="M515" s="33" t="s">
        <v>50</v>
      </c>
      <c r="N515" s="28" t="s">
        <v>21</v>
      </c>
      <c r="O515" s="22" t="s">
        <v>28</v>
      </c>
      <c r="P515" s="25">
        <f t="shared" si="21"/>
        <v>45982</v>
      </c>
      <c r="Q515" s="25"/>
      <c r="R515" s="25"/>
      <c r="S515" s="7" t="s">
        <v>27</v>
      </c>
      <c r="T515" s="28">
        <v>1</v>
      </c>
    </row>
    <row r="516" spans="1:20" ht="14.25" customHeight="1">
      <c r="A516" s="22">
        <v>575</v>
      </c>
      <c r="B516" s="37">
        <v>15023</v>
      </c>
      <c r="C516" s="22" t="str">
        <f>IFERROR(VLOOKUP(B516,Colaboradores!A:D,2,),"")</f>
        <v>DANIEL ELISON GUSMÃO PEREIRA</v>
      </c>
      <c r="D516" s="22" t="str">
        <f>IFERROR(VLOOKUP(B516,Colaboradores!A:D,3,),"")</f>
        <v>GESTÃO INTEGRADA</v>
      </c>
      <c r="E516" s="22" t="str">
        <f>IFERROR(VLOOKUP(B516,Colaboradores!A:D,4,),"")</f>
        <v>ASSISTENTE ADMINISTRATIVO</v>
      </c>
      <c r="F516" s="22" t="s">
        <v>52</v>
      </c>
      <c r="G516" s="24" t="str">
        <f>IFERROR(VLOOKUP(F516,Procedimentos!A:C,2,),"")</f>
        <v>DIRETRIZES E ACOMPANHAMENTO  DE ACIDENTE COM MATERIAL BIOLOGICO</v>
      </c>
      <c r="H516" s="25"/>
      <c r="I516" s="25">
        <v>45890</v>
      </c>
      <c r="J516" s="22">
        <v>12</v>
      </c>
      <c r="K516" s="25">
        <f t="shared" si="23"/>
        <v>46255</v>
      </c>
      <c r="L516" s="28" t="str">
        <f t="shared" ca="1" si="22"/>
        <v>Em dia</v>
      </c>
      <c r="M516" s="33" t="s">
        <v>50</v>
      </c>
      <c r="N516" s="28" t="s">
        <v>21</v>
      </c>
      <c r="O516" s="22" t="s">
        <v>28</v>
      </c>
      <c r="P516" s="25">
        <f t="shared" si="21"/>
        <v>45982</v>
      </c>
      <c r="Q516" s="25"/>
      <c r="R516" s="25"/>
      <c r="S516" s="7" t="s">
        <v>27</v>
      </c>
      <c r="T516" s="28">
        <v>1</v>
      </c>
    </row>
    <row r="517" spans="1:20" ht="14.25" customHeight="1">
      <c r="A517" s="22">
        <v>576</v>
      </c>
      <c r="B517" s="37">
        <v>14525</v>
      </c>
      <c r="C517" s="22" t="str">
        <f>IFERROR(VLOOKUP(B517,Colaboradores!A:D,2,),"")</f>
        <v>IANKA PRAZERES CUNHA</v>
      </c>
      <c r="D517" s="22" t="str">
        <f>IFERROR(VLOOKUP(B517,Colaboradores!A:D,3,),"")</f>
        <v>GESTÃO INTEGRADA</v>
      </c>
      <c r="E517" s="22" t="str">
        <f>IFERROR(VLOOKUP(B517,Colaboradores!A:D,4,),"")</f>
        <v>ANALISTA DE GESTÃO INTEGRADA</v>
      </c>
      <c r="F517" s="22" t="s">
        <v>52</v>
      </c>
      <c r="G517" s="24" t="str">
        <f>IFERROR(VLOOKUP(F517,Procedimentos!A:C,2,),"")</f>
        <v>DIRETRIZES E ACOMPANHAMENTO  DE ACIDENTE COM MATERIAL BIOLOGICO</v>
      </c>
      <c r="H517" s="25"/>
      <c r="I517" s="25">
        <v>45890</v>
      </c>
      <c r="J517" s="22">
        <v>12</v>
      </c>
      <c r="K517" s="25">
        <f t="shared" si="23"/>
        <v>46255</v>
      </c>
      <c r="L517" s="28" t="str">
        <f t="shared" ca="1" si="22"/>
        <v>Em dia</v>
      </c>
      <c r="M517" s="33" t="s">
        <v>50</v>
      </c>
      <c r="N517" s="28" t="s">
        <v>21</v>
      </c>
      <c r="O517" s="22" t="s">
        <v>28</v>
      </c>
      <c r="P517" s="25">
        <f t="shared" si="21"/>
        <v>45982</v>
      </c>
      <c r="Q517" s="25"/>
      <c r="R517" s="25"/>
      <c r="S517" s="7" t="s">
        <v>27</v>
      </c>
      <c r="T517" s="28">
        <v>1</v>
      </c>
    </row>
    <row r="518" spans="1:20" ht="14.25" customHeight="1">
      <c r="A518" s="22">
        <v>577</v>
      </c>
      <c r="B518" s="37">
        <v>13750</v>
      </c>
      <c r="C518" s="22" t="str">
        <f>IFERROR(VLOOKUP(B518,Colaboradores!A:D,2,),"")</f>
        <v>JOSE ANTONIO ALVES MAGALHAES</v>
      </c>
      <c r="D518" s="22" t="str">
        <f>IFERROR(VLOOKUP(B518,Colaboradores!A:D,3,),"")</f>
        <v>GESTÃO INTEGRADA</v>
      </c>
      <c r="E518" s="22" t="str">
        <f>IFERROR(VLOOKUP(B518,Colaboradores!A:D,4,),"")</f>
        <v>GERENTE DE GESTÃO INTEGRADA</v>
      </c>
      <c r="F518" s="22" t="s">
        <v>52</v>
      </c>
      <c r="G518" s="24" t="str">
        <f>IFERROR(VLOOKUP(F518,Procedimentos!A:C,2,),"")</f>
        <v>DIRETRIZES E ACOMPANHAMENTO  DE ACIDENTE COM MATERIAL BIOLOGICO</v>
      </c>
      <c r="H518" s="25"/>
      <c r="I518" s="25">
        <v>45890</v>
      </c>
      <c r="J518" s="22">
        <v>12</v>
      </c>
      <c r="K518" s="25">
        <f t="shared" si="23"/>
        <v>46255</v>
      </c>
      <c r="L518" s="28" t="str">
        <f t="shared" ca="1" si="22"/>
        <v>Em dia</v>
      </c>
      <c r="M518" s="33" t="s">
        <v>50</v>
      </c>
      <c r="N518" s="28" t="s">
        <v>21</v>
      </c>
      <c r="O518" s="22" t="s">
        <v>28</v>
      </c>
      <c r="P518" s="25">
        <f t="shared" si="21"/>
        <v>45982</v>
      </c>
      <c r="Q518" s="25"/>
      <c r="R518" s="25"/>
      <c r="S518" s="7" t="s">
        <v>27</v>
      </c>
      <c r="T518" s="28">
        <v>1</v>
      </c>
    </row>
    <row r="519" spans="1:20" ht="14.25" customHeight="1">
      <c r="A519" s="22">
        <v>578</v>
      </c>
      <c r="B519" s="33">
        <v>12712</v>
      </c>
      <c r="C519" s="22" t="str">
        <f>IFERROR(VLOOKUP(B519,Colaboradores!A:D,2,),"")</f>
        <v>JOYCE CLEIA MIRANDA BARROS</v>
      </c>
      <c r="D519" s="22" t="str">
        <f>IFERROR(VLOOKUP(B519,Colaboradores!A:D,3,),"")</f>
        <v>GESTÃO INTEGRADA</v>
      </c>
      <c r="E519" s="22" t="str">
        <f>IFERROR(VLOOKUP(B519,Colaboradores!A:D,4,),"")</f>
        <v>ANALISTA DE GESTÃO INTEGRADA</v>
      </c>
      <c r="F519" s="22" t="s">
        <v>52</v>
      </c>
      <c r="G519" s="24" t="str">
        <f>IFERROR(VLOOKUP(F519,Procedimentos!A:C,2,),"")</f>
        <v>DIRETRIZES E ACOMPANHAMENTO  DE ACIDENTE COM MATERIAL BIOLOGICO</v>
      </c>
      <c r="H519" s="25"/>
      <c r="I519" s="25">
        <v>45890</v>
      </c>
      <c r="J519" s="22">
        <v>12</v>
      </c>
      <c r="K519" s="25">
        <f t="shared" si="23"/>
        <v>46255</v>
      </c>
      <c r="L519" s="28" t="str">
        <f t="shared" ca="1" si="22"/>
        <v>Em dia</v>
      </c>
      <c r="M519" s="33" t="s">
        <v>50</v>
      </c>
      <c r="N519" s="28" t="s">
        <v>21</v>
      </c>
      <c r="O519" s="22" t="s">
        <v>28</v>
      </c>
      <c r="P519" s="25">
        <f t="shared" si="21"/>
        <v>45982</v>
      </c>
      <c r="Q519" s="25"/>
      <c r="R519" s="25"/>
      <c r="S519" s="7" t="s">
        <v>27</v>
      </c>
      <c r="T519" s="28">
        <v>1</v>
      </c>
    </row>
    <row r="520" spans="1:20" ht="14.25" customHeight="1">
      <c r="A520" s="22">
        <v>579</v>
      </c>
      <c r="B520" s="33">
        <v>12685</v>
      </c>
      <c r="C520" s="22" t="str">
        <f>IFERROR(VLOOKUP(B520,Colaboradores!A:D,2,),"")</f>
        <v>LIDIANA CRISTINA MIRANDA FERREIRA</v>
      </c>
      <c r="D520" s="22" t="str">
        <f>IFERROR(VLOOKUP(B520,Colaboradores!A:D,3,),"")</f>
        <v>GESTÃO INTEGRADA</v>
      </c>
      <c r="E520" s="22" t="str">
        <f>IFERROR(VLOOKUP(B520,Colaboradores!A:D,4,),"")</f>
        <v>COORDENADOR DE GESTÃO INTEGRADA</v>
      </c>
      <c r="F520" s="22" t="s">
        <v>52</v>
      </c>
      <c r="G520" s="24" t="str">
        <f>IFERROR(VLOOKUP(F520,Procedimentos!A:C,2,),"")</f>
        <v>DIRETRIZES E ACOMPANHAMENTO  DE ACIDENTE COM MATERIAL BIOLOGICO</v>
      </c>
      <c r="H520" s="25"/>
      <c r="I520" s="25">
        <v>45890</v>
      </c>
      <c r="J520" s="22">
        <v>12</v>
      </c>
      <c r="K520" s="25">
        <f t="shared" si="23"/>
        <v>46255</v>
      </c>
      <c r="L520" s="28" t="str">
        <f t="shared" ca="1" si="22"/>
        <v>Em dia</v>
      </c>
      <c r="M520" s="33" t="s">
        <v>50</v>
      </c>
      <c r="N520" s="28" t="s">
        <v>21</v>
      </c>
      <c r="O520" s="22" t="s">
        <v>28</v>
      </c>
      <c r="P520" s="25">
        <f t="shared" si="21"/>
        <v>45982</v>
      </c>
      <c r="Q520" s="25"/>
      <c r="R520" s="25"/>
      <c r="S520" s="7" t="s">
        <v>27</v>
      </c>
      <c r="T520" s="28">
        <v>1</v>
      </c>
    </row>
    <row r="521" spans="1:20" ht="14.25" customHeight="1">
      <c r="A521" s="22">
        <v>580</v>
      </c>
      <c r="B521" s="37">
        <v>15023</v>
      </c>
      <c r="C521" s="22" t="str">
        <f>IFERROR(VLOOKUP(B521,Colaboradores!A:D,2,),"")</f>
        <v>DANIEL ELISON GUSMÃO PEREIRA</v>
      </c>
      <c r="D521" s="22" t="str">
        <f>IFERROR(VLOOKUP(B521,Colaboradores!A:D,3,),"")</f>
        <v>GESTÃO INTEGRADA</v>
      </c>
      <c r="E521" s="22" t="str">
        <f>IFERROR(VLOOKUP(B521,Colaboradores!A:D,4,),"")</f>
        <v>ASSISTENTE ADMINISTRATIVO</v>
      </c>
      <c r="F521" s="22" t="s">
        <v>53</v>
      </c>
      <c r="G521" s="24" t="str">
        <f>IFERROR(VLOOKUP(F521,Procedimentos!A:C,2,),"")</f>
        <v>DIRETRIZES PARA MONITORAMENTO DE GESTANTE</v>
      </c>
      <c r="H521" s="25"/>
      <c r="I521" s="25">
        <v>45890</v>
      </c>
      <c r="J521" s="22">
        <v>12</v>
      </c>
      <c r="K521" s="25">
        <f t="shared" si="23"/>
        <v>46255</v>
      </c>
      <c r="L521" s="28" t="str">
        <f t="shared" ca="1" si="22"/>
        <v>Em dia</v>
      </c>
      <c r="M521" s="33" t="s">
        <v>50</v>
      </c>
      <c r="N521" s="28" t="s">
        <v>21</v>
      </c>
      <c r="O521" s="22" t="s">
        <v>28</v>
      </c>
      <c r="P521" s="25">
        <f t="shared" si="21"/>
        <v>45982</v>
      </c>
      <c r="Q521" s="25"/>
      <c r="R521" s="25"/>
      <c r="S521" s="7" t="s">
        <v>27</v>
      </c>
      <c r="T521" s="28">
        <v>1</v>
      </c>
    </row>
    <row r="522" spans="1:20" ht="14.25" customHeight="1">
      <c r="A522" s="22">
        <v>581</v>
      </c>
      <c r="B522" s="33">
        <v>14525</v>
      </c>
      <c r="C522" s="22" t="str">
        <f>IFERROR(VLOOKUP(B522,Colaboradores!A:D,2,),"")</f>
        <v>IANKA PRAZERES CUNHA</v>
      </c>
      <c r="D522" s="22" t="str">
        <f>IFERROR(VLOOKUP(B522,Colaboradores!A:D,3,),"")</f>
        <v>GESTÃO INTEGRADA</v>
      </c>
      <c r="E522" s="22" t="str">
        <f>IFERROR(VLOOKUP(B522,Colaboradores!A:D,4,),"")</f>
        <v>ANALISTA DE GESTÃO INTEGRADA</v>
      </c>
      <c r="F522" s="22" t="s">
        <v>53</v>
      </c>
      <c r="G522" s="24" t="str">
        <f>IFERROR(VLOOKUP(F522,Procedimentos!A:C,2,),"")</f>
        <v>DIRETRIZES PARA MONITORAMENTO DE GESTANTE</v>
      </c>
      <c r="H522" s="25"/>
      <c r="I522" s="25">
        <v>45890</v>
      </c>
      <c r="J522" s="22">
        <v>12</v>
      </c>
      <c r="K522" s="25">
        <f t="shared" si="23"/>
        <v>46255</v>
      </c>
      <c r="L522" s="28" t="str">
        <f t="shared" ca="1" si="22"/>
        <v>Em dia</v>
      </c>
      <c r="M522" s="33" t="s">
        <v>50</v>
      </c>
      <c r="N522" s="28" t="s">
        <v>21</v>
      </c>
      <c r="O522" s="22" t="s">
        <v>28</v>
      </c>
      <c r="P522" s="25">
        <f t="shared" si="21"/>
        <v>45982</v>
      </c>
      <c r="Q522" s="25"/>
      <c r="R522" s="25"/>
      <c r="S522" s="7" t="s">
        <v>27</v>
      </c>
      <c r="T522" s="28">
        <v>1</v>
      </c>
    </row>
    <row r="523" spans="1:20" ht="14.25" customHeight="1">
      <c r="A523" s="22">
        <v>582</v>
      </c>
      <c r="B523" s="33">
        <v>13750</v>
      </c>
      <c r="C523" s="22" t="str">
        <f>IFERROR(VLOOKUP(B523,Colaboradores!A:D,2,),"")</f>
        <v>JOSE ANTONIO ALVES MAGALHAES</v>
      </c>
      <c r="D523" s="22" t="str">
        <f>IFERROR(VLOOKUP(B523,Colaboradores!A:D,3,),"")</f>
        <v>GESTÃO INTEGRADA</v>
      </c>
      <c r="E523" s="22" t="str">
        <f>IFERROR(VLOOKUP(B523,Colaboradores!A:D,4,),"")</f>
        <v>GERENTE DE GESTÃO INTEGRADA</v>
      </c>
      <c r="F523" s="22" t="s">
        <v>53</v>
      </c>
      <c r="G523" s="24" t="str">
        <f>IFERROR(VLOOKUP(F523,Procedimentos!A:C,2,),"")</f>
        <v>DIRETRIZES PARA MONITORAMENTO DE GESTANTE</v>
      </c>
      <c r="H523" s="25"/>
      <c r="I523" s="25">
        <v>45890</v>
      </c>
      <c r="J523" s="22">
        <v>12</v>
      </c>
      <c r="K523" s="25">
        <f t="shared" si="23"/>
        <v>46255</v>
      </c>
      <c r="L523" s="28" t="str">
        <f t="shared" ca="1" si="22"/>
        <v>Em dia</v>
      </c>
      <c r="M523" s="33" t="s">
        <v>50</v>
      </c>
      <c r="N523" s="28" t="s">
        <v>21</v>
      </c>
      <c r="O523" s="22" t="s">
        <v>28</v>
      </c>
      <c r="P523" s="25">
        <f t="shared" si="21"/>
        <v>45982</v>
      </c>
      <c r="Q523" s="25"/>
      <c r="R523" s="25"/>
      <c r="S523" s="7" t="s">
        <v>27</v>
      </c>
      <c r="T523" s="28">
        <v>1</v>
      </c>
    </row>
    <row r="524" spans="1:20" ht="14.25" customHeight="1">
      <c r="A524" s="22">
        <v>583</v>
      </c>
      <c r="B524" s="33">
        <v>12712</v>
      </c>
      <c r="C524" s="22" t="str">
        <f>IFERROR(VLOOKUP(B524,Colaboradores!A:D,2,),"")</f>
        <v>JOYCE CLEIA MIRANDA BARROS</v>
      </c>
      <c r="D524" s="22" t="str">
        <f>IFERROR(VLOOKUP(B524,Colaboradores!A:D,3,),"")</f>
        <v>GESTÃO INTEGRADA</v>
      </c>
      <c r="E524" s="22" t="str">
        <f>IFERROR(VLOOKUP(B524,Colaboradores!A:D,4,),"")</f>
        <v>ANALISTA DE GESTÃO INTEGRADA</v>
      </c>
      <c r="F524" s="22" t="s">
        <v>53</v>
      </c>
      <c r="G524" s="24" t="str">
        <f>IFERROR(VLOOKUP(F524,Procedimentos!A:C,2,),"")</f>
        <v>DIRETRIZES PARA MONITORAMENTO DE GESTANTE</v>
      </c>
      <c r="H524" s="25"/>
      <c r="I524" s="25">
        <v>45890</v>
      </c>
      <c r="J524" s="22">
        <v>12</v>
      </c>
      <c r="K524" s="25">
        <f t="shared" si="23"/>
        <v>46255</v>
      </c>
      <c r="L524" s="28" t="str">
        <f t="shared" ca="1" si="22"/>
        <v>Em dia</v>
      </c>
      <c r="M524" s="33" t="s">
        <v>50</v>
      </c>
      <c r="N524" s="28" t="s">
        <v>21</v>
      </c>
      <c r="O524" s="22" t="s">
        <v>28</v>
      </c>
      <c r="P524" s="25">
        <f t="shared" si="21"/>
        <v>45982</v>
      </c>
      <c r="Q524" s="25"/>
      <c r="R524" s="25"/>
      <c r="S524" s="7" t="s">
        <v>27</v>
      </c>
      <c r="T524" s="28">
        <v>1</v>
      </c>
    </row>
    <row r="525" spans="1:20" ht="14.25" customHeight="1">
      <c r="A525" s="22">
        <v>584</v>
      </c>
      <c r="B525" s="33">
        <v>12685</v>
      </c>
      <c r="C525" s="22" t="str">
        <f>IFERROR(VLOOKUP(B525,Colaboradores!A:D,2,),"")</f>
        <v>LIDIANA CRISTINA MIRANDA FERREIRA</v>
      </c>
      <c r="D525" s="22" t="str">
        <f>IFERROR(VLOOKUP(B525,Colaboradores!A:D,3,),"")</f>
        <v>GESTÃO INTEGRADA</v>
      </c>
      <c r="E525" s="22" t="str">
        <f>IFERROR(VLOOKUP(B525,Colaboradores!A:D,4,),"")</f>
        <v>COORDENADOR DE GESTÃO INTEGRADA</v>
      </c>
      <c r="F525" s="22" t="s">
        <v>53</v>
      </c>
      <c r="G525" s="24" t="str">
        <f>IFERROR(VLOOKUP(F525,Procedimentos!A:C,2,),"")</f>
        <v>DIRETRIZES PARA MONITORAMENTO DE GESTANTE</v>
      </c>
      <c r="H525" s="25"/>
      <c r="I525" s="25">
        <v>45890</v>
      </c>
      <c r="J525" s="22">
        <v>12</v>
      </c>
      <c r="K525" s="25">
        <f t="shared" si="23"/>
        <v>46255</v>
      </c>
      <c r="L525" s="28" t="str">
        <f t="shared" ca="1" si="22"/>
        <v>Em dia</v>
      </c>
      <c r="M525" s="33" t="s">
        <v>50</v>
      </c>
      <c r="N525" s="28" t="s">
        <v>21</v>
      </c>
      <c r="O525" s="22" t="s">
        <v>28</v>
      </c>
      <c r="P525" s="25">
        <f t="shared" si="21"/>
        <v>45982</v>
      </c>
      <c r="Q525" s="25"/>
      <c r="R525" s="25"/>
      <c r="S525" s="7" t="s">
        <v>27</v>
      </c>
      <c r="T525" s="28">
        <v>1</v>
      </c>
    </row>
    <row r="526" spans="1:20" ht="14.25" customHeight="1">
      <c r="A526" s="22">
        <v>585</v>
      </c>
      <c r="B526" s="33">
        <v>15023</v>
      </c>
      <c r="C526" s="22" t="str">
        <f>IFERROR(VLOOKUP(B526,Colaboradores!A:D,2,),"")</f>
        <v>DANIEL ELISON GUSMÃO PEREIRA</v>
      </c>
      <c r="D526" s="22" t="str">
        <f>IFERROR(VLOOKUP(B526,Colaboradores!A:D,3,),"")</f>
        <v>GESTÃO INTEGRADA</v>
      </c>
      <c r="E526" s="22" t="str">
        <f>IFERROR(VLOOKUP(B526,Colaboradores!A:D,4,),"")</f>
        <v>ASSISTENTE ADMINISTRATIVO</v>
      </c>
      <c r="F526" s="22" t="s">
        <v>54</v>
      </c>
      <c r="G526" s="24" t="str">
        <f>IFERROR(VLOOKUP(F526,Procedimentos!A:C,2,),"")</f>
        <v>DIRETRIZES DE IMUNIZAÇÃO OCUPACIONAL</v>
      </c>
      <c r="H526" s="25"/>
      <c r="I526" s="25">
        <v>45890</v>
      </c>
      <c r="J526" s="22">
        <v>12</v>
      </c>
      <c r="K526" s="25">
        <f t="shared" si="23"/>
        <v>46255</v>
      </c>
      <c r="L526" s="28" t="str">
        <f t="shared" ca="1" si="22"/>
        <v>Em dia</v>
      </c>
      <c r="M526" s="33" t="s">
        <v>50</v>
      </c>
      <c r="N526" s="28" t="s">
        <v>21</v>
      </c>
      <c r="O526" s="22" t="s">
        <v>28</v>
      </c>
      <c r="P526" s="25">
        <f t="shared" si="21"/>
        <v>45982</v>
      </c>
      <c r="Q526" s="25"/>
      <c r="R526" s="25"/>
      <c r="S526" s="7" t="s">
        <v>27</v>
      </c>
      <c r="T526" s="28">
        <v>1</v>
      </c>
    </row>
    <row r="527" spans="1:20" ht="14.25" customHeight="1">
      <c r="A527" s="22">
        <v>586</v>
      </c>
      <c r="B527" s="33">
        <v>14525</v>
      </c>
      <c r="C527" s="22" t="str">
        <f>IFERROR(VLOOKUP(B527,Colaboradores!A:D,2,),"")</f>
        <v>IANKA PRAZERES CUNHA</v>
      </c>
      <c r="D527" s="22" t="str">
        <f>IFERROR(VLOOKUP(B527,Colaboradores!A:D,3,),"")</f>
        <v>GESTÃO INTEGRADA</v>
      </c>
      <c r="E527" s="22" t="str">
        <f>IFERROR(VLOOKUP(B527,Colaboradores!A:D,4,),"")</f>
        <v>ANALISTA DE GESTÃO INTEGRADA</v>
      </c>
      <c r="F527" s="22" t="s">
        <v>54</v>
      </c>
      <c r="G527" s="24" t="str">
        <f>IFERROR(VLOOKUP(F527,Procedimentos!A:C,2,),"")</f>
        <v>DIRETRIZES DE IMUNIZAÇÃO OCUPACIONAL</v>
      </c>
      <c r="H527" s="25"/>
      <c r="I527" s="25">
        <v>45890</v>
      </c>
      <c r="J527" s="22">
        <v>12</v>
      </c>
      <c r="K527" s="25">
        <f t="shared" si="23"/>
        <v>46255</v>
      </c>
      <c r="L527" s="28" t="str">
        <f t="shared" ca="1" si="22"/>
        <v>Em dia</v>
      </c>
      <c r="M527" s="33" t="s">
        <v>50</v>
      </c>
      <c r="N527" s="28" t="s">
        <v>21</v>
      </c>
      <c r="O527" s="22" t="s">
        <v>28</v>
      </c>
      <c r="P527" s="25">
        <f t="shared" si="21"/>
        <v>45982</v>
      </c>
      <c r="Q527" s="25"/>
      <c r="R527" s="25"/>
      <c r="S527" s="7" t="s">
        <v>27</v>
      </c>
      <c r="T527" s="28">
        <v>1</v>
      </c>
    </row>
    <row r="528" spans="1:20" ht="14.25" customHeight="1">
      <c r="A528" s="22">
        <v>587</v>
      </c>
      <c r="B528" s="33">
        <v>13750</v>
      </c>
      <c r="C528" s="22" t="str">
        <f>IFERROR(VLOOKUP(B528,Colaboradores!A:D,2,),"")</f>
        <v>JOSE ANTONIO ALVES MAGALHAES</v>
      </c>
      <c r="D528" s="22" t="str">
        <f>IFERROR(VLOOKUP(B528,Colaboradores!A:D,3,),"")</f>
        <v>GESTÃO INTEGRADA</v>
      </c>
      <c r="E528" s="22" t="str">
        <f>IFERROR(VLOOKUP(B528,Colaboradores!A:D,4,),"")</f>
        <v>GERENTE DE GESTÃO INTEGRADA</v>
      </c>
      <c r="F528" s="22" t="s">
        <v>54</v>
      </c>
      <c r="G528" s="24" t="str">
        <f>IFERROR(VLOOKUP(F528,Procedimentos!A:C,2,),"")</f>
        <v>DIRETRIZES DE IMUNIZAÇÃO OCUPACIONAL</v>
      </c>
      <c r="H528" s="25"/>
      <c r="I528" s="25">
        <v>45890</v>
      </c>
      <c r="J528" s="22">
        <v>12</v>
      </c>
      <c r="K528" s="25">
        <f t="shared" si="23"/>
        <v>46255</v>
      </c>
      <c r="L528" s="28" t="str">
        <f t="shared" ca="1" si="22"/>
        <v>Em dia</v>
      </c>
      <c r="M528" s="33" t="s">
        <v>50</v>
      </c>
      <c r="N528" s="28" t="s">
        <v>21</v>
      </c>
      <c r="O528" s="22" t="s">
        <v>28</v>
      </c>
      <c r="P528" s="25">
        <f t="shared" si="21"/>
        <v>45982</v>
      </c>
      <c r="Q528" s="25"/>
      <c r="R528" s="25"/>
      <c r="S528" s="7" t="s">
        <v>27</v>
      </c>
      <c r="T528" s="28">
        <v>1</v>
      </c>
    </row>
    <row r="529" spans="1:20" ht="14.25" customHeight="1">
      <c r="A529" s="22">
        <v>588</v>
      </c>
      <c r="B529" s="33">
        <v>12712</v>
      </c>
      <c r="C529" s="22" t="str">
        <f>IFERROR(VLOOKUP(B529,Colaboradores!A:D,2,),"")</f>
        <v>JOYCE CLEIA MIRANDA BARROS</v>
      </c>
      <c r="D529" s="22" t="str">
        <f>IFERROR(VLOOKUP(B529,Colaboradores!A:D,3,),"")</f>
        <v>GESTÃO INTEGRADA</v>
      </c>
      <c r="E529" s="22" t="str">
        <f>IFERROR(VLOOKUP(B529,Colaboradores!A:D,4,),"")</f>
        <v>ANALISTA DE GESTÃO INTEGRADA</v>
      </c>
      <c r="F529" s="22" t="s">
        <v>54</v>
      </c>
      <c r="G529" s="24" t="str">
        <f>IFERROR(VLOOKUP(F529,Procedimentos!A:C,2,),"")</f>
        <v>DIRETRIZES DE IMUNIZAÇÃO OCUPACIONAL</v>
      </c>
      <c r="H529" s="25"/>
      <c r="I529" s="25">
        <v>45890</v>
      </c>
      <c r="J529" s="22">
        <v>12</v>
      </c>
      <c r="K529" s="25">
        <f t="shared" si="23"/>
        <v>46255</v>
      </c>
      <c r="L529" s="28" t="str">
        <f t="shared" ca="1" si="22"/>
        <v>Em dia</v>
      </c>
      <c r="M529" s="33" t="s">
        <v>50</v>
      </c>
      <c r="N529" s="28" t="s">
        <v>21</v>
      </c>
      <c r="O529" s="22" t="s">
        <v>28</v>
      </c>
      <c r="P529" s="25">
        <f t="shared" si="21"/>
        <v>45982</v>
      </c>
      <c r="Q529" s="25"/>
      <c r="R529" s="25"/>
      <c r="S529" s="7" t="s">
        <v>27</v>
      </c>
      <c r="T529" s="28">
        <v>1</v>
      </c>
    </row>
    <row r="530" spans="1:20" ht="14.25" customHeight="1">
      <c r="A530" s="22">
        <v>589</v>
      </c>
      <c r="B530" s="33">
        <v>12685</v>
      </c>
      <c r="C530" s="22" t="str">
        <f>IFERROR(VLOOKUP(B530,Colaboradores!A:D,2,),"")</f>
        <v>LIDIANA CRISTINA MIRANDA FERREIRA</v>
      </c>
      <c r="D530" s="22" t="str">
        <f>IFERROR(VLOOKUP(B530,Colaboradores!A:D,3,),"")</f>
        <v>GESTÃO INTEGRADA</v>
      </c>
      <c r="E530" s="22" t="str">
        <f>IFERROR(VLOOKUP(B530,Colaboradores!A:D,4,),"")</f>
        <v>COORDENADOR DE GESTÃO INTEGRADA</v>
      </c>
      <c r="F530" s="22" t="s">
        <v>54</v>
      </c>
      <c r="G530" s="24" t="str">
        <f>IFERROR(VLOOKUP(F530,Procedimentos!A:C,2,),"")</f>
        <v>DIRETRIZES DE IMUNIZAÇÃO OCUPACIONAL</v>
      </c>
      <c r="H530" s="25"/>
      <c r="I530" s="25">
        <v>45890</v>
      </c>
      <c r="J530" s="22">
        <v>12</v>
      </c>
      <c r="K530" s="25">
        <f t="shared" si="23"/>
        <v>46255</v>
      </c>
      <c r="L530" s="28" t="str">
        <f t="shared" ca="1" si="22"/>
        <v>Em dia</v>
      </c>
      <c r="M530" s="33" t="s">
        <v>50</v>
      </c>
      <c r="N530" s="28" t="s">
        <v>21</v>
      </c>
      <c r="O530" s="22" t="s">
        <v>28</v>
      </c>
      <c r="P530" s="25">
        <f t="shared" si="21"/>
        <v>45982</v>
      </c>
      <c r="Q530" s="25"/>
      <c r="R530" s="25"/>
      <c r="S530" s="7" t="s">
        <v>27</v>
      </c>
      <c r="T530" s="28">
        <v>1</v>
      </c>
    </row>
    <row r="531" spans="1:20" ht="14.25" customHeight="1">
      <c r="A531" s="22">
        <v>590</v>
      </c>
      <c r="B531" s="33">
        <v>15023</v>
      </c>
      <c r="C531" s="22" t="str">
        <f>IFERROR(VLOOKUP(B531,Colaboradores!A:D,2,),"")</f>
        <v>DANIEL ELISON GUSMÃO PEREIRA</v>
      </c>
      <c r="D531" s="22" t="str">
        <f>IFERROR(VLOOKUP(B531,Colaboradores!A:D,3,),"")</f>
        <v>GESTÃO INTEGRADA</v>
      </c>
      <c r="E531" s="22" t="str">
        <f>IFERROR(VLOOKUP(B531,Colaboradores!A:D,4,),"")</f>
        <v>ASSISTENTE ADMINISTRATIVO</v>
      </c>
      <c r="F531" s="22" t="s">
        <v>55</v>
      </c>
      <c r="G531" s="24" t="str">
        <f>IFERROR(VLOOKUP(F531,Procedimentos!A:C,2,),"")</f>
        <v>DIRETRIZES PARA ACOMPANHAMENTO DE AFASTADOS</v>
      </c>
      <c r="H531" s="25"/>
      <c r="I531" s="25">
        <v>45890</v>
      </c>
      <c r="J531" s="22">
        <v>12</v>
      </c>
      <c r="K531" s="25">
        <f t="shared" si="23"/>
        <v>46255</v>
      </c>
      <c r="L531" s="28" t="str">
        <f t="shared" ca="1" si="22"/>
        <v>Em dia</v>
      </c>
      <c r="M531" s="33" t="s">
        <v>50</v>
      </c>
      <c r="N531" s="28" t="s">
        <v>21</v>
      </c>
      <c r="O531" s="22" t="s">
        <v>28</v>
      </c>
      <c r="P531" s="25">
        <f t="shared" si="21"/>
        <v>45982</v>
      </c>
      <c r="Q531" s="25"/>
      <c r="R531" s="25"/>
      <c r="S531" s="7" t="s">
        <v>27</v>
      </c>
      <c r="T531" s="28">
        <v>1</v>
      </c>
    </row>
    <row r="532" spans="1:20" ht="14.25" customHeight="1">
      <c r="A532" s="22">
        <v>591</v>
      </c>
      <c r="B532" s="33">
        <v>14525</v>
      </c>
      <c r="C532" s="22" t="str">
        <f>IFERROR(VLOOKUP(B532,Colaboradores!A:D,2,),"")</f>
        <v>IANKA PRAZERES CUNHA</v>
      </c>
      <c r="D532" s="22" t="str">
        <f>IFERROR(VLOOKUP(B532,Colaboradores!A:D,3,),"")</f>
        <v>GESTÃO INTEGRADA</v>
      </c>
      <c r="E532" s="22" t="str">
        <f>IFERROR(VLOOKUP(B532,Colaboradores!A:D,4,),"")</f>
        <v>ANALISTA DE GESTÃO INTEGRADA</v>
      </c>
      <c r="F532" s="22" t="s">
        <v>55</v>
      </c>
      <c r="G532" s="24" t="str">
        <f>IFERROR(VLOOKUP(F532,Procedimentos!A:C,2,),"")</f>
        <v>DIRETRIZES PARA ACOMPANHAMENTO DE AFASTADOS</v>
      </c>
      <c r="H532" s="25"/>
      <c r="I532" s="25">
        <v>45890</v>
      </c>
      <c r="J532" s="22">
        <v>12</v>
      </c>
      <c r="K532" s="25">
        <f t="shared" si="23"/>
        <v>46255</v>
      </c>
      <c r="L532" s="28" t="str">
        <f t="shared" ca="1" si="22"/>
        <v>Em dia</v>
      </c>
      <c r="M532" s="33" t="s">
        <v>50</v>
      </c>
      <c r="N532" s="28" t="s">
        <v>21</v>
      </c>
      <c r="O532" s="22" t="s">
        <v>28</v>
      </c>
      <c r="P532" s="25">
        <f t="shared" si="21"/>
        <v>45982</v>
      </c>
      <c r="Q532" s="25"/>
      <c r="R532" s="25"/>
      <c r="S532" s="7" t="s">
        <v>27</v>
      </c>
      <c r="T532" s="28">
        <v>1</v>
      </c>
    </row>
    <row r="533" spans="1:20" ht="14.25" customHeight="1">
      <c r="A533" s="22">
        <v>592</v>
      </c>
      <c r="B533" s="33">
        <v>13750</v>
      </c>
      <c r="C533" s="22" t="str">
        <f>IFERROR(VLOOKUP(B533,Colaboradores!A:D,2,),"")</f>
        <v>JOSE ANTONIO ALVES MAGALHAES</v>
      </c>
      <c r="D533" s="22" t="str">
        <f>IFERROR(VLOOKUP(B533,Colaboradores!A:D,3,),"")</f>
        <v>GESTÃO INTEGRADA</v>
      </c>
      <c r="E533" s="22" t="str">
        <f>IFERROR(VLOOKUP(B533,Colaboradores!A:D,4,),"")</f>
        <v>GERENTE DE GESTÃO INTEGRADA</v>
      </c>
      <c r="F533" s="22" t="s">
        <v>55</v>
      </c>
      <c r="G533" s="24" t="str">
        <f>IFERROR(VLOOKUP(F533,Procedimentos!A:C,2,),"")</f>
        <v>DIRETRIZES PARA ACOMPANHAMENTO DE AFASTADOS</v>
      </c>
      <c r="H533" s="25"/>
      <c r="I533" s="25">
        <v>45890</v>
      </c>
      <c r="J533" s="22">
        <v>12</v>
      </c>
      <c r="K533" s="25">
        <f t="shared" si="23"/>
        <v>46255</v>
      </c>
      <c r="L533" s="28" t="str">
        <f t="shared" ca="1" si="22"/>
        <v>Em dia</v>
      </c>
      <c r="M533" s="33" t="s">
        <v>50</v>
      </c>
      <c r="N533" s="28" t="s">
        <v>21</v>
      </c>
      <c r="O533" s="22" t="s">
        <v>28</v>
      </c>
      <c r="P533" s="25">
        <f t="shared" si="21"/>
        <v>45982</v>
      </c>
      <c r="Q533" s="25"/>
      <c r="R533" s="25"/>
      <c r="S533" s="7" t="s">
        <v>27</v>
      </c>
      <c r="T533" s="28">
        <v>1</v>
      </c>
    </row>
    <row r="534" spans="1:20" ht="14.25" customHeight="1">
      <c r="A534" s="22">
        <v>593</v>
      </c>
      <c r="B534" s="33">
        <v>12712</v>
      </c>
      <c r="C534" s="22" t="str">
        <f>IFERROR(VLOOKUP(B534,Colaboradores!A:D,2,),"")</f>
        <v>JOYCE CLEIA MIRANDA BARROS</v>
      </c>
      <c r="D534" s="22" t="str">
        <f>IFERROR(VLOOKUP(B534,Colaboradores!A:D,3,),"")</f>
        <v>GESTÃO INTEGRADA</v>
      </c>
      <c r="E534" s="22" t="str">
        <f>IFERROR(VLOOKUP(B534,Colaboradores!A:D,4,),"")</f>
        <v>ANALISTA DE GESTÃO INTEGRADA</v>
      </c>
      <c r="F534" s="22" t="s">
        <v>55</v>
      </c>
      <c r="G534" s="24" t="str">
        <f>IFERROR(VLOOKUP(F534,Procedimentos!A:C,2,),"")</f>
        <v>DIRETRIZES PARA ACOMPANHAMENTO DE AFASTADOS</v>
      </c>
      <c r="H534" s="25"/>
      <c r="I534" s="25">
        <v>45890</v>
      </c>
      <c r="J534" s="22">
        <v>12</v>
      </c>
      <c r="K534" s="25">
        <f t="shared" si="23"/>
        <v>46255</v>
      </c>
      <c r="L534" s="28" t="str">
        <f t="shared" ca="1" si="22"/>
        <v>Em dia</v>
      </c>
      <c r="M534" s="33" t="s">
        <v>50</v>
      </c>
      <c r="N534" s="28" t="s">
        <v>21</v>
      </c>
      <c r="O534" s="22" t="s">
        <v>28</v>
      </c>
      <c r="P534" s="25">
        <f t="shared" si="21"/>
        <v>45982</v>
      </c>
      <c r="Q534" s="25"/>
      <c r="R534" s="25"/>
      <c r="S534" s="7" t="s">
        <v>27</v>
      </c>
      <c r="T534" s="28">
        <v>1</v>
      </c>
    </row>
    <row r="535" spans="1:20" ht="14.25" customHeight="1">
      <c r="A535" s="22">
        <v>595</v>
      </c>
      <c r="B535" s="33">
        <v>12486</v>
      </c>
      <c r="C535" s="22" t="str">
        <f>IFERROR(VLOOKUP(B535,Colaboradores!A:D,2,),"")</f>
        <v>ENEAS GALVAO MAGALHAES BRITO</v>
      </c>
      <c r="D535" s="22" t="str">
        <f>IFERROR(VLOOKUP(B535,Colaboradores!A:D,3,),"")</f>
        <v>MEIO AMBIENTE</v>
      </c>
      <c r="E535" s="22" t="str">
        <f>IFERROR(VLOOKUP(B535,Colaboradores!A:D,4,),"")</f>
        <v>ENGENHEIRO DE MEIO AMBIENTE</v>
      </c>
      <c r="F535" s="22" t="s">
        <v>49</v>
      </c>
      <c r="G535" s="24" t="str">
        <f>IFERROR(VLOOKUP(F535,Procedimentos!A:C,2,),"")</f>
        <v>DIRETRIZES PARA REALIZAÇÃO DE EXAMES OCUPACIONAIS</v>
      </c>
      <c r="H535" s="25"/>
      <c r="I535" s="25">
        <v>45890</v>
      </c>
      <c r="J535" s="22">
        <v>12</v>
      </c>
      <c r="K535" s="25">
        <f t="shared" si="23"/>
        <v>46255</v>
      </c>
      <c r="L535" s="28" t="str">
        <f t="shared" ca="1" si="22"/>
        <v>Em dia</v>
      </c>
      <c r="M535" s="33" t="s">
        <v>50</v>
      </c>
      <c r="N535" s="28" t="s">
        <v>21</v>
      </c>
      <c r="O535" s="22" t="s">
        <v>28</v>
      </c>
      <c r="P535" s="25">
        <f t="shared" si="21"/>
        <v>45982</v>
      </c>
      <c r="Q535" s="25"/>
      <c r="R535" s="25"/>
      <c r="S535" s="7" t="s">
        <v>27</v>
      </c>
      <c r="T535" s="28">
        <v>1</v>
      </c>
    </row>
    <row r="536" spans="1:20" ht="14.25" customHeight="1">
      <c r="A536" s="22">
        <v>596</v>
      </c>
      <c r="B536" s="33">
        <v>14013</v>
      </c>
      <c r="C536" s="22" t="str">
        <f>IFERROR(VLOOKUP(B536,Colaboradores!A:D,2,),"")</f>
        <v>IGOR WARWICK SANTOS DE CASTRO</v>
      </c>
      <c r="D536" s="22" t="str">
        <f>IFERROR(VLOOKUP(B536,Colaboradores!A:D,3,),"")</f>
        <v>MEIO AMBIENTE</v>
      </c>
      <c r="E536" s="22" t="str">
        <f>IFERROR(VLOOKUP(B536,Colaboradores!A:D,4,),"")</f>
        <v>ASSISTENTE ADMINISTRATIVO</v>
      </c>
      <c r="F536" s="22" t="s">
        <v>49</v>
      </c>
      <c r="G536" s="24" t="str">
        <f>IFERROR(VLOOKUP(F536,Procedimentos!A:C,2,),"")</f>
        <v>DIRETRIZES PARA REALIZAÇÃO DE EXAMES OCUPACIONAIS</v>
      </c>
      <c r="H536" s="25"/>
      <c r="I536" s="25">
        <v>45890</v>
      </c>
      <c r="J536" s="22">
        <v>12</v>
      </c>
      <c r="K536" s="25">
        <f t="shared" si="23"/>
        <v>46255</v>
      </c>
      <c r="L536" s="28" t="str">
        <f t="shared" ca="1" si="22"/>
        <v>Em dia</v>
      </c>
      <c r="M536" s="33" t="s">
        <v>50</v>
      </c>
      <c r="N536" s="28" t="s">
        <v>21</v>
      </c>
      <c r="O536" s="22" t="s">
        <v>28</v>
      </c>
      <c r="P536" s="25">
        <f t="shared" si="21"/>
        <v>45982</v>
      </c>
      <c r="Q536" s="25"/>
      <c r="R536" s="25"/>
      <c r="S536" s="7" t="s">
        <v>27</v>
      </c>
      <c r="T536" s="28">
        <v>1</v>
      </c>
    </row>
    <row r="537" spans="1:20" ht="14.25" customHeight="1">
      <c r="A537" s="22">
        <v>597</v>
      </c>
      <c r="B537" s="33">
        <v>14246</v>
      </c>
      <c r="C537" s="22" t="str">
        <f>IFERROR(VLOOKUP(B537,Colaboradores!A:D,2,),"")</f>
        <v>THIALISSON SILVA MORAES</v>
      </c>
      <c r="D537" s="22" t="str">
        <f>IFERROR(VLOOKUP(B537,Colaboradores!A:D,3,),"")</f>
        <v>MEIO AMBIENTE</v>
      </c>
      <c r="E537" s="22" t="str">
        <f>IFERROR(VLOOKUP(B537,Colaboradores!A:D,4,),"")</f>
        <v>ANALISTA DE MEIO AMBIENTE</v>
      </c>
      <c r="F537" s="22" t="s">
        <v>49</v>
      </c>
      <c r="G537" s="24" t="str">
        <f>IFERROR(VLOOKUP(F537,Procedimentos!A:C,2,),"")</f>
        <v>DIRETRIZES PARA REALIZAÇÃO DE EXAMES OCUPACIONAIS</v>
      </c>
      <c r="H537" s="25"/>
      <c r="I537" s="25">
        <v>45890</v>
      </c>
      <c r="J537" s="22">
        <v>12</v>
      </c>
      <c r="K537" s="25">
        <f t="shared" si="23"/>
        <v>46255</v>
      </c>
      <c r="L537" s="28" t="str">
        <f t="shared" ca="1" si="22"/>
        <v>Em dia</v>
      </c>
      <c r="M537" s="33" t="s">
        <v>50</v>
      </c>
      <c r="N537" s="28" t="s">
        <v>21</v>
      </c>
      <c r="O537" s="22" t="s">
        <v>28</v>
      </c>
      <c r="P537" s="25">
        <f t="shared" si="21"/>
        <v>45982</v>
      </c>
      <c r="Q537" s="25"/>
      <c r="R537" s="25"/>
      <c r="S537" s="7" t="s">
        <v>27</v>
      </c>
      <c r="T537" s="28">
        <v>1</v>
      </c>
    </row>
    <row r="538" spans="1:20" ht="14.25" customHeight="1">
      <c r="A538" s="22">
        <v>599</v>
      </c>
      <c r="B538" s="33">
        <v>12486</v>
      </c>
      <c r="C538" s="22" t="str">
        <f>IFERROR(VLOOKUP(B538,Colaboradores!A:D,2,),"")</f>
        <v>ENEAS GALVAO MAGALHAES BRITO</v>
      </c>
      <c r="D538" s="22" t="str">
        <f>IFERROR(VLOOKUP(B538,Colaboradores!A:D,3,),"")</f>
        <v>MEIO AMBIENTE</v>
      </c>
      <c r="E538" s="22" t="str">
        <f>IFERROR(VLOOKUP(B538,Colaboradores!A:D,4,),"")</f>
        <v>ENGENHEIRO DE MEIO AMBIENTE</v>
      </c>
      <c r="F538" s="22" t="s">
        <v>51</v>
      </c>
      <c r="G538" s="24" t="str">
        <f>IFERROR(VLOOKUP(F538,Procedimentos!A:C,2,),"")</f>
        <v>DIRETRIZES PARA ENTREGA DE ATESTADOS MÉDICOS E ODONTOLÓGICOS</v>
      </c>
      <c r="H538" s="25"/>
      <c r="I538" s="25">
        <v>45890</v>
      </c>
      <c r="J538" s="22">
        <v>12</v>
      </c>
      <c r="K538" s="25">
        <f t="shared" si="23"/>
        <v>46255</v>
      </c>
      <c r="L538" s="28" t="str">
        <f t="shared" ca="1" si="22"/>
        <v>Em dia</v>
      </c>
      <c r="M538" s="33" t="s">
        <v>50</v>
      </c>
      <c r="N538" s="28" t="s">
        <v>21</v>
      </c>
      <c r="O538" s="22" t="s">
        <v>28</v>
      </c>
      <c r="P538" s="25">
        <f t="shared" si="21"/>
        <v>45982</v>
      </c>
      <c r="Q538" s="25"/>
      <c r="R538" s="25"/>
      <c r="S538" s="7" t="s">
        <v>27</v>
      </c>
      <c r="T538" s="28">
        <v>1</v>
      </c>
    </row>
    <row r="539" spans="1:20" ht="14.25" customHeight="1">
      <c r="A539" s="22">
        <v>600</v>
      </c>
      <c r="B539" s="33">
        <v>14013</v>
      </c>
      <c r="C539" s="22" t="str">
        <f>IFERROR(VLOOKUP(B539,Colaboradores!A:D,2,),"")</f>
        <v>IGOR WARWICK SANTOS DE CASTRO</v>
      </c>
      <c r="D539" s="22" t="str">
        <f>IFERROR(VLOOKUP(B539,Colaboradores!A:D,3,),"")</f>
        <v>MEIO AMBIENTE</v>
      </c>
      <c r="E539" s="22" t="str">
        <f>IFERROR(VLOOKUP(B539,Colaboradores!A:D,4,),"")</f>
        <v>ASSISTENTE ADMINISTRATIVO</v>
      </c>
      <c r="F539" s="22" t="s">
        <v>51</v>
      </c>
      <c r="G539" s="24" t="str">
        <f>IFERROR(VLOOKUP(F539,Procedimentos!A:C,2,),"")</f>
        <v>DIRETRIZES PARA ENTREGA DE ATESTADOS MÉDICOS E ODONTOLÓGICOS</v>
      </c>
      <c r="H539" s="25"/>
      <c r="I539" s="25">
        <v>45890</v>
      </c>
      <c r="J539" s="22">
        <v>12</v>
      </c>
      <c r="K539" s="25">
        <f t="shared" si="23"/>
        <v>46255</v>
      </c>
      <c r="L539" s="28" t="str">
        <f t="shared" ca="1" si="22"/>
        <v>Em dia</v>
      </c>
      <c r="M539" s="33" t="s">
        <v>50</v>
      </c>
      <c r="N539" s="28" t="s">
        <v>21</v>
      </c>
      <c r="O539" s="22" t="s">
        <v>28</v>
      </c>
      <c r="P539" s="25">
        <f t="shared" si="21"/>
        <v>45982</v>
      </c>
      <c r="Q539" s="25"/>
      <c r="R539" s="25"/>
      <c r="S539" s="7" t="s">
        <v>27</v>
      </c>
      <c r="T539" s="28">
        <v>1</v>
      </c>
    </row>
    <row r="540" spans="1:20" ht="14.25" customHeight="1">
      <c r="A540" s="22">
        <v>601</v>
      </c>
      <c r="B540" s="33">
        <v>14246</v>
      </c>
      <c r="C540" s="22" t="str">
        <f>IFERROR(VLOOKUP(B540,Colaboradores!A:D,2,),"")</f>
        <v>THIALISSON SILVA MORAES</v>
      </c>
      <c r="D540" s="22" t="str">
        <f>IFERROR(VLOOKUP(B540,Colaboradores!A:D,3,),"")</f>
        <v>MEIO AMBIENTE</v>
      </c>
      <c r="E540" s="22" t="str">
        <f>IFERROR(VLOOKUP(B540,Colaboradores!A:D,4,),"")</f>
        <v>ANALISTA DE MEIO AMBIENTE</v>
      </c>
      <c r="F540" s="22" t="s">
        <v>51</v>
      </c>
      <c r="G540" s="24" t="str">
        <f>IFERROR(VLOOKUP(F540,Procedimentos!A:C,2,),"")</f>
        <v>DIRETRIZES PARA ENTREGA DE ATESTADOS MÉDICOS E ODONTOLÓGICOS</v>
      </c>
      <c r="H540" s="25"/>
      <c r="I540" s="25">
        <v>45890</v>
      </c>
      <c r="J540" s="22">
        <v>12</v>
      </c>
      <c r="K540" s="25">
        <f t="shared" si="23"/>
        <v>46255</v>
      </c>
      <c r="L540" s="28" t="str">
        <f t="shared" ca="1" si="22"/>
        <v>Em dia</v>
      </c>
      <c r="M540" s="33" t="s">
        <v>50</v>
      </c>
      <c r="N540" s="28" t="s">
        <v>21</v>
      </c>
      <c r="O540" s="22" t="s">
        <v>28</v>
      </c>
      <c r="P540" s="25">
        <f t="shared" si="21"/>
        <v>45982</v>
      </c>
      <c r="Q540" s="25"/>
      <c r="R540" s="25"/>
      <c r="S540" s="7" t="s">
        <v>27</v>
      </c>
      <c r="T540" s="28">
        <v>1</v>
      </c>
    </row>
    <row r="541" spans="1:20" ht="14.25" customHeight="1">
      <c r="A541" s="22">
        <v>603</v>
      </c>
      <c r="B541" s="33">
        <v>12486</v>
      </c>
      <c r="C541" s="22" t="str">
        <f>IFERROR(VLOOKUP(B541,Colaboradores!A:D,2,),"")</f>
        <v>ENEAS GALVAO MAGALHAES BRITO</v>
      </c>
      <c r="D541" s="22" t="str">
        <f>IFERROR(VLOOKUP(B541,Colaboradores!A:D,3,),"")</f>
        <v>MEIO AMBIENTE</v>
      </c>
      <c r="E541" s="22" t="str">
        <f>IFERROR(VLOOKUP(B541,Colaboradores!A:D,4,),"")</f>
        <v>ENGENHEIRO DE MEIO AMBIENTE</v>
      </c>
      <c r="F541" s="22" t="s">
        <v>52</v>
      </c>
      <c r="G541" s="24" t="str">
        <f>IFERROR(VLOOKUP(F541,Procedimentos!A:C,2,),"")</f>
        <v>DIRETRIZES E ACOMPANHAMENTO  DE ACIDENTE COM MATERIAL BIOLOGICO</v>
      </c>
      <c r="H541" s="25"/>
      <c r="I541" s="25">
        <v>45890</v>
      </c>
      <c r="J541" s="22">
        <v>12</v>
      </c>
      <c r="K541" s="25">
        <f t="shared" si="23"/>
        <v>46255</v>
      </c>
      <c r="L541" s="28" t="str">
        <f t="shared" ca="1" si="22"/>
        <v>Em dia</v>
      </c>
      <c r="M541" s="33" t="s">
        <v>50</v>
      </c>
      <c r="N541" s="28" t="s">
        <v>21</v>
      </c>
      <c r="O541" s="22" t="s">
        <v>28</v>
      </c>
      <c r="P541" s="25">
        <f t="shared" si="21"/>
        <v>45982</v>
      </c>
      <c r="Q541" s="25"/>
      <c r="R541" s="25"/>
      <c r="S541" s="7" t="s">
        <v>27</v>
      </c>
      <c r="T541" s="28">
        <v>1</v>
      </c>
    </row>
    <row r="542" spans="1:20" ht="14.25" customHeight="1">
      <c r="A542" s="22">
        <v>604</v>
      </c>
      <c r="B542" s="33">
        <v>14013</v>
      </c>
      <c r="C542" s="22" t="str">
        <f>IFERROR(VLOOKUP(B542,Colaboradores!A:D,2,),"")</f>
        <v>IGOR WARWICK SANTOS DE CASTRO</v>
      </c>
      <c r="D542" s="22" t="str">
        <f>IFERROR(VLOOKUP(B542,Colaboradores!A:D,3,),"")</f>
        <v>MEIO AMBIENTE</v>
      </c>
      <c r="E542" s="22" t="str">
        <f>IFERROR(VLOOKUP(B542,Colaboradores!A:D,4,),"")</f>
        <v>ASSISTENTE ADMINISTRATIVO</v>
      </c>
      <c r="F542" s="22" t="s">
        <v>52</v>
      </c>
      <c r="G542" s="24" t="str">
        <f>IFERROR(VLOOKUP(F542,Procedimentos!A:C,2,),"")</f>
        <v>DIRETRIZES E ACOMPANHAMENTO  DE ACIDENTE COM MATERIAL BIOLOGICO</v>
      </c>
      <c r="H542" s="25"/>
      <c r="I542" s="25">
        <v>45890</v>
      </c>
      <c r="J542" s="22">
        <v>12</v>
      </c>
      <c r="K542" s="25">
        <f t="shared" si="23"/>
        <v>46255</v>
      </c>
      <c r="L542" s="28" t="str">
        <f t="shared" ca="1" si="22"/>
        <v>Em dia</v>
      </c>
      <c r="M542" s="33" t="s">
        <v>50</v>
      </c>
      <c r="N542" s="28" t="s">
        <v>21</v>
      </c>
      <c r="O542" s="22" t="s">
        <v>28</v>
      </c>
      <c r="P542" s="25">
        <f t="shared" si="21"/>
        <v>45982</v>
      </c>
      <c r="Q542" s="25"/>
      <c r="R542" s="25"/>
      <c r="S542" s="7" t="s">
        <v>27</v>
      </c>
      <c r="T542" s="28">
        <v>1</v>
      </c>
    </row>
    <row r="543" spans="1:20" ht="14.25" customHeight="1">
      <c r="A543" s="22">
        <v>605</v>
      </c>
      <c r="B543" s="33">
        <v>14246</v>
      </c>
      <c r="C543" s="22" t="str">
        <f>IFERROR(VLOOKUP(B543,Colaboradores!A:D,2,),"")</f>
        <v>THIALISSON SILVA MORAES</v>
      </c>
      <c r="D543" s="22" t="str">
        <f>IFERROR(VLOOKUP(B543,Colaboradores!A:D,3,),"")</f>
        <v>MEIO AMBIENTE</v>
      </c>
      <c r="E543" s="22" t="str">
        <f>IFERROR(VLOOKUP(B543,Colaboradores!A:D,4,),"")</f>
        <v>ANALISTA DE MEIO AMBIENTE</v>
      </c>
      <c r="F543" s="22" t="s">
        <v>52</v>
      </c>
      <c r="G543" s="24" t="str">
        <f>IFERROR(VLOOKUP(F543,Procedimentos!A:C,2,),"")</f>
        <v>DIRETRIZES E ACOMPANHAMENTO  DE ACIDENTE COM MATERIAL BIOLOGICO</v>
      </c>
      <c r="H543" s="25"/>
      <c r="I543" s="25">
        <v>45890</v>
      </c>
      <c r="J543" s="22">
        <v>12</v>
      </c>
      <c r="K543" s="25">
        <f t="shared" si="23"/>
        <v>46255</v>
      </c>
      <c r="L543" s="28" t="str">
        <f t="shared" ca="1" si="22"/>
        <v>Em dia</v>
      </c>
      <c r="M543" s="33" t="s">
        <v>50</v>
      </c>
      <c r="N543" s="28" t="s">
        <v>21</v>
      </c>
      <c r="O543" s="22" t="s">
        <v>28</v>
      </c>
      <c r="P543" s="25">
        <f t="shared" si="21"/>
        <v>45982</v>
      </c>
      <c r="Q543" s="25"/>
      <c r="R543" s="25"/>
      <c r="S543" s="7" t="s">
        <v>27</v>
      </c>
      <c r="T543" s="28">
        <v>1</v>
      </c>
    </row>
    <row r="544" spans="1:20" ht="14.25" customHeight="1">
      <c r="A544" s="22">
        <v>607</v>
      </c>
      <c r="B544" s="33">
        <v>12486</v>
      </c>
      <c r="C544" s="22" t="str">
        <f>IFERROR(VLOOKUP(B544,Colaboradores!A:D,2,),"")</f>
        <v>ENEAS GALVAO MAGALHAES BRITO</v>
      </c>
      <c r="D544" s="22" t="str">
        <f>IFERROR(VLOOKUP(B544,Colaboradores!A:D,3,),"")</f>
        <v>MEIO AMBIENTE</v>
      </c>
      <c r="E544" s="22" t="str">
        <f>IFERROR(VLOOKUP(B544,Colaboradores!A:D,4,),"")</f>
        <v>ENGENHEIRO DE MEIO AMBIENTE</v>
      </c>
      <c r="F544" s="22" t="s">
        <v>53</v>
      </c>
      <c r="G544" s="24" t="str">
        <f>IFERROR(VLOOKUP(F544,Procedimentos!A:C,2,),"")</f>
        <v>DIRETRIZES PARA MONITORAMENTO DE GESTANTE</v>
      </c>
      <c r="H544" s="25"/>
      <c r="I544" s="25">
        <v>45890</v>
      </c>
      <c r="J544" s="22">
        <v>12</v>
      </c>
      <c r="K544" s="25">
        <f t="shared" si="23"/>
        <v>46255</v>
      </c>
      <c r="L544" s="28" t="str">
        <f t="shared" ca="1" si="22"/>
        <v>Em dia</v>
      </c>
      <c r="M544" s="33" t="s">
        <v>50</v>
      </c>
      <c r="N544" s="28" t="s">
        <v>21</v>
      </c>
      <c r="O544" s="22" t="s">
        <v>28</v>
      </c>
      <c r="P544" s="25">
        <f t="shared" si="21"/>
        <v>45982</v>
      </c>
      <c r="Q544" s="25"/>
      <c r="R544" s="25"/>
      <c r="S544" s="7" t="s">
        <v>27</v>
      </c>
      <c r="T544" s="28">
        <v>1</v>
      </c>
    </row>
    <row r="545" spans="1:20" ht="14.25" customHeight="1">
      <c r="A545" s="22">
        <v>608</v>
      </c>
      <c r="B545" s="33">
        <v>14013</v>
      </c>
      <c r="C545" s="22" t="str">
        <f>IFERROR(VLOOKUP(B545,Colaboradores!A:D,2,),"")</f>
        <v>IGOR WARWICK SANTOS DE CASTRO</v>
      </c>
      <c r="D545" s="22" t="str">
        <f>IFERROR(VLOOKUP(B545,Colaboradores!A:D,3,),"")</f>
        <v>MEIO AMBIENTE</v>
      </c>
      <c r="E545" s="22" t="str">
        <f>IFERROR(VLOOKUP(B545,Colaboradores!A:D,4,),"")</f>
        <v>ASSISTENTE ADMINISTRATIVO</v>
      </c>
      <c r="F545" s="22" t="s">
        <v>53</v>
      </c>
      <c r="G545" s="24" t="str">
        <f>IFERROR(VLOOKUP(F545,Procedimentos!A:C,2,),"")</f>
        <v>DIRETRIZES PARA MONITORAMENTO DE GESTANTE</v>
      </c>
      <c r="H545" s="25"/>
      <c r="I545" s="25">
        <v>45890</v>
      </c>
      <c r="J545" s="22">
        <v>12</v>
      </c>
      <c r="K545" s="25">
        <f t="shared" si="23"/>
        <v>46255</v>
      </c>
      <c r="L545" s="28" t="str">
        <f t="shared" ca="1" si="22"/>
        <v>Em dia</v>
      </c>
      <c r="M545" s="33" t="s">
        <v>50</v>
      </c>
      <c r="N545" s="28" t="s">
        <v>21</v>
      </c>
      <c r="O545" s="22" t="s">
        <v>28</v>
      </c>
      <c r="P545" s="25">
        <f t="shared" si="21"/>
        <v>45982</v>
      </c>
      <c r="Q545" s="25"/>
      <c r="R545" s="25"/>
      <c r="S545" s="7" t="s">
        <v>27</v>
      </c>
      <c r="T545" s="28">
        <v>1</v>
      </c>
    </row>
    <row r="546" spans="1:20" ht="14.25" customHeight="1">
      <c r="A546" s="22">
        <v>609</v>
      </c>
      <c r="B546" s="33">
        <v>14246</v>
      </c>
      <c r="C546" s="22" t="str">
        <f>IFERROR(VLOOKUP(B546,Colaboradores!A:D,2,),"")</f>
        <v>THIALISSON SILVA MORAES</v>
      </c>
      <c r="D546" s="22" t="str">
        <f>IFERROR(VLOOKUP(B546,Colaboradores!A:D,3,),"")</f>
        <v>MEIO AMBIENTE</v>
      </c>
      <c r="E546" s="22" t="str">
        <f>IFERROR(VLOOKUP(B546,Colaboradores!A:D,4,),"")</f>
        <v>ANALISTA DE MEIO AMBIENTE</v>
      </c>
      <c r="F546" s="22" t="s">
        <v>53</v>
      </c>
      <c r="G546" s="24" t="str">
        <f>IFERROR(VLOOKUP(F546,Procedimentos!A:C,2,),"")</f>
        <v>DIRETRIZES PARA MONITORAMENTO DE GESTANTE</v>
      </c>
      <c r="H546" s="25"/>
      <c r="I546" s="25">
        <v>45890</v>
      </c>
      <c r="J546" s="22">
        <v>12</v>
      </c>
      <c r="K546" s="25">
        <f t="shared" si="23"/>
        <v>46255</v>
      </c>
      <c r="L546" s="28" t="str">
        <f t="shared" ca="1" si="22"/>
        <v>Em dia</v>
      </c>
      <c r="M546" s="33" t="s">
        <v>50</v>
      </c>
      <c r="N546" s="28" t="s">
        <v>21</v>
      </c>
      <c r="O546" s="22" t="s">
        <v>28</v>
      </c>
      <c r="P546" s="25">
        <f t="shared" si="21"/>
        <v>45982</v>
      </c>
      <c r="Q546" s="25"/>
      <c r="R546" s="25"/>
      <c r="S546" s="7" t="s">
        <v>27</v>
      </c>
      <c r="T546" s="28">
        <v>1</v>
      </c>
    </row>
    <row r="547" spans="1:20" ht="14.25" customHeight="1">
      <c r="A547" s="22">
        <v>611</v>
      </c>
      <c r="B547" s="33">
        <v>12486</v>
      </c>
      <c r="C547" s="22" t="str">
        <f>IFERROR(VLOOKUP(B547,Colaboradores!A:D,2,),"")</f>
        <v>ENEAS GALVAO MAGALHAES BRITO</v>
      </c>
      <c r="D547" s="22" t="str">
        <f>IFERROR(VLOOKUP(B547,Colaboradores!A:D,3,),"")</f>
        <v>MEIO AMBIENTE</v>
      </c>
      <c r="E547" s="22" t="str">
        <f>IFERROR(VLOOKUP(B547,Colaboradores!A:D,4,),"")</f>
        <v>ENGENHEIRO DE MEIO AMBIENTE</v>
      </c>
      <c r="F547" s="22" t="s">
        <v>54</v>
      </c>
      <c r="G547" s="24" t="str">
        <f>IFERROR(VLOOKUP(F547,Procedimentos!A:C,2,),"")</f>
        <v>DIRETRIZES DE IMUNIZAÇÃO OCUPACIONAL</v>
      </c>
      <c r="H547" s="25"/>
      <c r="I547" s="25">
        <v>45890</v>
      </c>
      <c r="J547" s="22">
        <v>12</v>
      </c>
      <c r="K547" s="25">
        <f t="shared" si="23"/>
        <v>46255</v>
      </c>
      <c r="L547" s="28" t="str">
        <f t="shared" ca="1" si="22"/>
        <v>Em dia</v>
      </c>
      <c r="M547" s="33" t="s">
        <v>50</v>
      </c>
      <c r="N547" s="28" t="s">
        <v>21</v>
      </c>
      <c r="O547" s="22" t="s">
        <v>28</v>
      </c>
      <c r="P547" s="25">
        <f t="shared" si="21"/>
        <v>45982</v>
      </c>
      <c r="Q547" s="25"/>
      <c r="R547" s="25"/>
      <c r="S547" s="7" t="s">
        <v>27</v>
      </c>
      <c r="T547" s="28">
        <v>1</v>
      </c>
    </row>
    <row r="548" spans="1:20" ht="14.25" customHeight="1">
      <c r="A548" s="22">
        <v>612</v>
      </c>
      <c r="B548" s="33">
        <v>14013</v>
      </c>
      <c r="C548" s="22" t="str">
        <f>IFERROR(VLOOKUP(B548,Colaboradores!A:D,2,),"")</f>
        <v>IGOR WARWICK SANTOS DE CASTRO</v>
      </c>
      <c r="D548" s="22" t="str">
        <f>IFERROR(VLOOKUP(B548,Colaboradores!A:D,3,),"")</f>
        <v>MEIO AMBIENTE</v>
      </c>
      <c r="E548" s="22" t="str">
        <f>IFERROR(VLOOKUP(B548,Colaboradores!A:D,4,),"")</f>
        <v>ASSISTENTE ADMINISTRATIVO</v>
      </c>
      <c r="F548" s="22" t="s">
        <v>54</v>
      </c>
      <c r="G548" s="24" t="str">
        <f>IFERROR(VLOOKUP(F548,Procedimentos!A:C,2,),"")</f>
        <v>DIRETRIZES DE IMUNIZAÇÃO OCUPACIONAL</v>
      </c>
      <c r="H548" s="25"/>
      <c r="I548" s="25">
        <v>45890</v>
      </c>
      <c r="J548" s="22">
        <v>12</v>
      </c>
      <c r="K548" s="25">
        <f t="shared" si="23"/>
        <v>46255</v>
      </c>
      <c r="L548" s="28" t="str">
        <f t="shared" ca="1" si="22"/>
        <v>Em dia</v>
      </c>
      <c r="M548" s="33" t="s">
        <v>50</v>
      </c>
      <c r="N548" s="28" t="s">
        <v>21</v>
      </c>
      <c r="O548" s="22" t="s">
        <v>28</v>
      </c>
      <c r="P548" s="25">
        <f t="shared" ref="P548:P611" si="24">EDATE(I548,3)</f>
        <v>45982</v>
      </c>
      <c r="Q548" s="25"/>
      <c r="R548" s="25"/>
      <c r="S548" s="7" t="s">
        <v>27</v>
      </c>
      <c r="T548" s="28">
        <v>1</v>
      </c>
    </row>
    <row r="549" spans="1:20" ht="14.25" customHeight="1">
      <c r="A549" s="22">
        <v>613</v>
      </c>
      <c r="B549" s="33">
        <v>14246</v>
      </c>
      <c r="C549" s="22" t="str">
        <f>IFERROR(VLOOKUP(B549,Colaboradores!A:D,2,),"")</f>
        <v>THIALISSON SILVA MORAES</v>
      </c>
      <c r="D549" s="22" t="str">
        <f>IFERROR(VLOOKUP(B549,Colaboradores!A:D,3,),"")</f>
        <v>MEIO AMBIENTE</v>
      </c>
      <c r="E549" s="22" t="str">
        <f>IFERROR(VLOOKUP(B549,Colaboradores!A:D,4,),"")</f>
        <v>ANALISTA DE MEIO AMBIENTE</v>
      </c>
      <c r="F549" s="22" t="s">
        <v>54</v>
      </c>
      <c r="G549" s="24" t="str">
        <f>IFERROR(VLOOKUP(F549,Procedimentos!A:C,2,),"")</f>
        <v>DIRETRIZES DE IMUNIZAÇÃO OCUPACIONAL</v>
      </c>
      <c r="H549" s="25"/>
      <c r="I549" s="25">
        <v>45890</v>
      </c>
      <c r="J549" s="22">
        <v>12</v>
      </c>
      <c r="K549" s="25">
        <f t="shared" si="23"/>
        <v>46255</v>
      </c>
      <c r="L549" s="28" t="str">
        <f t="shared" ca="1" si="22"/>
        <v>Em dia</v>
      </c>
      <c r="M549" s="33" t="s">
        <v>50</v>
      </c>
      <c r="N549" s="28" t="s">
        <v>21</v>
      </c>
      <c r="O549" s="22" t="s">
        <v>28</v>
      </c>
      <c r="P549" s="25">
        <f t="shared" si="24"/>
        <v>45982</v>
      </c>
      <c r="Q549" s="25"/>
      <c r="R549" s="25"/>
      <c r="S549" s="7" t="s">
        <v>27</v>
      </c>
      <c r="T549" s="28">
        <v>1</v>
      </c>
    </row>
    <row r="550" spans="1:20" ht="14.25" customHeight="1">
      <c r="A550" s="22">
        <v>615</v>
      </c>
      <c r="B550" s="33">
        <v>12486</v>
      </c>
      <c r="C550" s="22" t="str">
        <f>IFERROR(VLOOKUP(B550,Colaboradores!A:D,2,),"")</f>
        <v>ENEAS GALVAO MAGALHAES BRITO</v>
      </c>
      <c r="D550" s="22" t="str">
        <f>IFERROR(VLOOKUP(B550,Colaboradores!A:D,3,),"")</f>
        <v>MEIO AMBIENTE</v>
      </c>
      <c r="E550" s="22" t="str">
        <f>IFERROR(VLOOKUP(B550,Colaboradores!A:D,4,),"")</f>
        <v>ENGENHEIRO DE MEIO AMBIENTE</v>
      </c>
      <c r="F550" s="22" t="s">
        <v>55</v>
      </c>
      <c r="G550" s="24" t="str">
        <f>IFERROR(VLOOKUP(F550,Procedimentos!A:C,2,),"")</f>
        <v>DIRETRIZES PARA ACOMPANHAMENTO DE AFASTADOS</v>
      </c>
      <c r="H550" s="25"/>
      <c r="I550" s="25">
        <v>45890</v>
      </c>
      <c r="J550" s="22">
        <v>12</v>
      </c>
      <c r="K550" s="25">
        <f t="shared" si="23"/>
        <v>46255</v>
      </c>
      <c r="L550" s="28" t="str">
        <f t="shared" ca="1" si="22"/>
        <v>Em dia</v>
      </c>
      <c r="M550" s="33" t="s">
        <v>50</v>
      </c>
      <c r="N550" s="28" t="s">
        <v>21</v>
      </c>
      <c r="O550" s="22" t="s">
        <v>28</v>
      </c>
      <c r="P550" s="25">
        <f t="shared" si="24"/>
        <v>45982</v>
      </c>
      <c r="Q550" s="25"/>
      <c r="R550" s="25"/>
      <c r="S550" s="7" t="s">
        <v>27</v>
      </c>
      <c r="T550" s="28">
        <v>1</v>
      </c>
    </row>
    <row r="551" spans="1:20" ht="14.25" customHeight="1">
      <c r="A551" s="22">
        <v>616</v>
      </c>
      <c r="B551" s="33">
        <v>14013</v>
      </c>
      <c r="C551" s="22" t="str">
        <f>IFERROR(VLOOKUP(B551,Colaboradores!A:D,2,),"")</f>
        <v>IGOR WARWICK SANTOS DE CASTRO</v>
      </c>
      <c r="D551" s="22" t="str">
        <f>IFERROR(VLOOKUP(B551,Colaboradores!A:D,3,),"")</f>
        <v>MEIO AMBIENTE</v>
      </c>
      <c r="E551" s="22" t="str">
        <f>IFERROR(VLOOKUP(B551,Colaboradores!A:D,4,),"")</f>
        <v>ASSISTENTE ADMINISTRATIVO</v>
      </c>
      <c r="F551" s="22" t="s">
        <v>55</v>
      </c>
      <c r="G551" s="24" t="str">
        <f>IFERROR(VLOOKUP(F551,Procedimentos!A:C,2,),"")</f>
        <v>DIRETRIZES PARA ACOMPANHAMENTO DE AFASTADOS</v>
      </c>
      <c r="H551" s="25"/>
      <c r="I551" s="25">
        <v>45890</v>
      </c>
      <c r="J551" s="22">
        <v>12</v>
      </c>
      <c r="K551" s="25">
        <f t="shared" si="23"/>
        <v>46255</v>
      </c>
      <c r="L551" s="28" t="str">
        <f t="shared" ca="1" si="22"/>
        <v>Em dia</v>
      </c>
      <c r="M551" s="33" t="s">
        <v>50</v>
      </c>
      <c r="N551" s="28" t="s">
        <v>21</v>
      </c>
      <c r="O551" s="22" t="s">
        <v>28</v>
      </c>
      <c r="P551" s="25">
        <f t="shared" si="24"/>
        <v>45982</v>
      </c>
      <c r="Q551" s="25"/>
      <c r="R551" s="25"/>
      <c r="S551" s="7" t="s">
        <v>27</v>
      </c>
      <c r="T551" s="28">
        <v>1</v>
      </c>
    </row>
    <row r="552" spans="1:20" ht="14.25" customHeight="1">
      <c r="A552" s="22">
        <v>617</v>
      </c>
      <c r="B552" s="33">
        <v>14246</v>
      </c>
      <c r="C552" s="22" t="str">
        <f>IFERROR(VLOOKUP(B552,Colaboradores!A:D,2,),"")</f>
        <v>THIALISSON SILVA MORAES</v>
      </c>
      <c r="D552" s="22" t="str">
        <f>IFERROR(VLOOKUP(B552,Colaboradores!A:D,3,),"")</f>
        <v>MEIO AMBIENTE</v>
      </c>
      <c r="E552" s="22" t="str">
        <f>IFERROR(VLOOKUP(B552,Colaboradores!A:D,4,),"")</f>
        <v>ANALISTA DE MEIO AMBIENTE</v>
      </c>
      <c r="F552" s="22" t="s">
        <v>55</v>
      </c>
      <c r="G552" s="24" t="str">
        <f>IFERROR(VLOOKUP(F552,Procedimentos!A:C,2,),"")</f>
        <v>DIRETRIZES PARA ACOMPANHAMENTO DE AFASTADOS</v>
      </c>
      <c r="H552" s="25"/>
      <c r="I552" s="25">
        <v>45890</v>
      </c>
      <c r="J552" s="22">
        <v>12</v>
      </c>
      <c r="K552" s="25">
        <f t="shared" si="23"/>
        <v>46255</v>
      </c>
      <c r="L552" s="28" t="str">
        <f t="shared" ca="1" si="22"/>
        <v>Em dia</v>
      </c>
      <c r="M552" s="33" t="s">
        <v>50</v>
      </c>
      <c r="N552" s="28" t="s">
        <v>21</v>
      </c>
      <c r="O552" s="22" t="s">
        <v>28</v>
      </c>
      <c r="P552" s="25">
        <f t="shared" si="24"/>
        <v>45982</v>
      </c>
      <c r="Q552" s="25"/>
      <c r="R552" s="25"/>
      <c r="S552" s="7" t="s">
        <v>27</v>
      </c>
      <c r="T552" s="28">
        <v>1</v>
      </c>
    </row>
    <row r="553" spans="1:20" ht="14.25" customHeight="1">
      <c r="A553" s="22">
        <v>618</v>
      </c>
      <c r="B553" s="33">
        <v>15295</v>
      </c>
      <c r="C553" s="22" t="str">
        <f>IFERROR(VLOOKUP(B553,Colaboradores!A:D,2,),"")</f>
        <v>ANA CRISTINA GONÇALVES NUNES</v>
      </c>
      <c r="D553" s="22" t="str">
        <f>IFERROR(VLOOKUP(B553,Colaboradores!A:D,3,),"")</f>
        <v>SAÚDE OCUPACIONAL</v>
      </c>
      <c r="E553" s="22" t="str">
        <f>IFERROR(VLOOKUP(B553,Colaboradores!A:D,4,),"")</f>
        <v>ENFERMEIRA</v>
      </c>
      <c r="F553" s="22" t="s">
        <v>49</v>
      </c>
      <c r="G553" s="24" t="str">
        <f>IFERROR(VLOOKUP(F553,Procedimentos!A:C,2,),"")</f>
        <v>DIRETRIZES PARA REALIZAÇÃO DE EXAMES OCUPACIONAIS</v>
      </c>
      <c r="H553" s="25"/>
      <c r="I553" s="25">
        <v>45890</v>
      </c>
      <c r="J553" s="22">
        <v>12</v>
      </c>
      <c r="K553" s="25">
        <f t="shared" si="23"/>
        <v>46255</v>
      </c>
      <c r="L553" s="28" t="str">
        <f t="shared" ca="1" si="22"/>
        <v>Em dia</v>
      </c>
      <c r="M553" s="33" t="s">
        <v>50</v>
      </c>
      <c r="N553" s="28" t="s">
        <v>21</v>
      </c>
      <c r="O553" s="22" t="s">
        <v>28</v>
      </c>
      <c r="P553" s="25">
        <f t="shared" si="24"/>
        <v>45982</v>
      </c>
      <c r="Q553" s="25"/>
      <c r="R553" s="25"/>
      <c r="S553" s="7" t="s">
        <v>23</v>
      </c>
      <c r="T553" s="28">
        <v>1</v>
      </c>
    </row>
    <row r="554" spans="1:20" ht="14.25" customHeight="1">
      <c r="A554" s="22">
        <v>619</v>
      </c>
      <c r="B554" s="33">
        <v>7147</v>
      </c>
      <c r="C554" s="22" t="str">
        <f>IFERROR(VLOOKUP(B554,Colaboradores!A:D,2,),"")</f>
        <v>MAIARA MONTEIRO MARQUES CASTELO BRANCO</v>
      </c>
      <c r="D554" s="22" t="str">
        <f>IFERROR(VLOOKUP(B554,Colaboradores!A:D,3,),"")</f>
        <v>SAÚDE OCUPACIONAL</v>
      </c>
      <c r="E554" s="22" t="str">
        <f>IFERROR(VLOOKUP(B554,Colaboradores!A:D,4,),"")</f>
        <v>PSICÓLOGA</v>
      </c>
      <c r="F554" s="22" t="s">
        <v>49</v>
      </c>
      <c r="G554" s="24" t="str">
        <f>IFERROR(VLOOKUP(F554,Procedimentos!A:C,2,),"")</f>
        <v>DIRETRIZES PARA REALIZAÇÃO DE EXAMES OCUPACIONAIS</v>
      </c>
      <c r="H554" s="25"/>
      <c r="I554" s="25">
        <v>45890</v>
      </c>
      <c r="J554" s="22">
        <v>12</v>
      </c>
      <c r="K554" s="25">
        <f t="shared" si="23"/>
        <v>46255</v>
      </c>
      <c r="L554" s="28" t="str">
        <f t="shared" ca="1" si="22"/>
        <v>Em dia</v>
      </c>
      <c r="M554" s="33" t="s">
        <v>50</v>
      </c>
      <c r="N554" s="28" t="s">
        <v>21</v>
      </c>
      <c r="O554" s="22" t="s">
        <v>28</v>
      </c>
      <c r="P554" s="25">
        <f t="shared" si="24"/>
        <v>45982</v>
      </c>
      <c r="Q554" s="25"/>
      <c r="R554" s="25"/>
      <c r="S554" s="7" t="s">
        <v>23</v>
      </c>
      <c r="T554" s="28">
        <v>1</v>
      </c>
    </row>
    <row r="555" spans="1:20" ht="14.25" customHeight="1">
      <c r="A555" s="22">
        <v>620</v>
      </c>
      <c r="B555" s="33">
        <v>15295</v>
      </c>
      <c r="C555" s="22" t="str">
        <f>IFERROR(VLOOKUP(B555,Colaboradores!A:D,2,),"")</f>
        <v>ANA CRISTINA GONÇALVES NUNES</v>
      </c>
      <c r="D555" s="22" t="str">
        <f>IFERROR(VLOOKUP(B555,Colaboradores!A:D,3,),"")</f>
        <v>SAÚDE OCUPACIONAL</v>
      </c>
      <c r="E555" s="22" t="str">
        <f>IFERROR(VLOOKUP(B555,Colaboradores!A:D,4,),"")</f>
        <v>ENFERMEIRA</v>
      </c>
      <c r="F555" s="22" t="s">
        <v>51</v>
      </c>
      <c r="G555" s="24" t="str">
        <f>IFERROR(VLOOKUP(F555,Procedimentos!A:C,2,),"")</f>
        <v>DIRETRIZES PARA ENTREGA DE ATESTADOS MÉDICOS E ODONTOLÓGICOS</v>
      </c>
      <c r="H555" s="25"/>
      <c r="I555" s="25">
        <v>45890</v>
      </c>
      <c r="J555" s="22">
        <v>12</v>
      </c>
      <c r="K555" s="25">
        <f t="shared" si="23"/>
        <v>46255</v>
      </c>
      <c r="L555" s="28" t="str">
        <f t="shared" ca="1" si="22"/>
        <v>Em dia</v>
      </c>
      <c r="M555" s="33" t="s">
        <v>50</v>
      </c>
      <c r="N555" s="28" t="s">
        <v>21</v>
      </c>
      <c r="O555" s="22" t="s">
        <v>28</v>
      </c>
      <c r="P555" s="25">
        <f t="shared" si="24"/>
        <v>45982</v>
      </c>
      <c r="Q555" s="25"/>
      <c r="R555" s="25"/>
      <c r="S555" s="7" t="s">
        <v>23</v>
      </c>
      <c r="T555" s="28">
        <v>1</v>
      </c>
    </row>
    <row r="556" spans="1:20" ht="14.25" customHeight="1">
      <c r="A556" s="22">
        <v>621</v>
      </c>
      <c r="B556" s="33">
        <v>7147</v>
      </c>
      <c r="C556" s="22" t="str">
        <f>IFERROR(VLOOKUP(B556,Colaboradores!A:D,2,),"")</f>
        <v>MAIARA MONTEIRO MARQUES CASTELO BRANCO</v>
      </c>
      <c r="D556" s="22" t="str">
        <f>IFERROR(VLOOKUP(B556,Colaboradores!A:D,3,),"")</f>
        <v>SAÚDE OCUPACIONAL</v>
      </c>
      <c r="E556" s="22" t="str">
        <f>IFERROR(VLOOKUP(B556,Colaboradores!A:D,4,),"")</f>
        <v>PSICÓLOGA</v>
      </c>
      <c r="F556" s="22" t="s">
        <v>51</v>
      </c>
      <c r="G556" s="24" t="str">
        <f>IFERROR(VLOOKUP(F556,Procedimentos!A:C,2,),"")</f>
        <v>DIRETRIZES PARA ENTREGA DE ATESTADOS MÉDICOS E ODONTOLÓGICOS</v>
      </c>
      <c r="H556" s="25"/>
      <c r="I556" s="25">
        <v>45890</v>
      </c>
      <c r="J556" s="22">
        <v>12</v>
      </c>
      <c r="K556" s="25">
        <f t="shared" si="23"/>
        <v>46255</v>
      </c>
      <c r="L556" s="28" t="str">
        <f t="shared" ca="1" si="22"/>
        <v>Em dia</v>
      </c>
      <c r="M556" s="33" t="s">
        <v>50</v>
      </c>
      <c r="N556" s="28" t="s">
        <v>21</v>
      </c>
      <c r="O556" s="22" t="s">
        <v>28</v>
      </c>
      <c r="P556" s="25">
        <f t="shared" si="24"/>
        <v>45982</v>
      </c>
      <c r="Q556" s="25"/>
      <c r="R556" s="25"/>
      <c r="S556" s="7" t="s">
        <v>23</v>
      </c>
      <c r="T556" s="28">
        <v>1</v>
      </c>
    </row>
    <row r="557" spans="1:20" ht="14.25" customHeight="1">
      <c r="A557" s="22">
        <v>622</v>
      </c>
      <c r="B557" s="33">
        <v>15295</v>
      </c>
      <c r="C557" s="22" t="str">
        <f>IFERROR(VLOOKUP(B557,Colaboradores!A:D,2,),"")</f>
        <v>ANA CRISTINA GONÇALVES NUNES</v>
      </c>
      <c r="D557" s="22" t="str">
        <f>IFERROR(VLOOKUP(B557,Colaboradores!A:D,3,),"")</f>
        <v>SAÚDE OCUPACIONAL</v>
      </c>
      <c r="E557" s="22" t="str">
        <f>IFERROR(VLOOKUP(B557,Colaboradores!A:D,4,),"")</f>
        <v>ENFERMEIRA</v>
      </c>
      <c r="F557" s="22" t="s">
        <v>52</v>
      </c>
      <c r="G557" s="24" t="str">
        <f>IFERROR(VLOOKUP(F557,Procedimentos!A:C,2,),"")</f>
        <v>DIRETRIZES E ACOMPANHAMENTO  DE ACIDENTE COM MATERIAL BIOLOGICO</v>
      </c>
      <c r="H557" s="25"/>
      <c r="I557" s="25">
        <v>45890</v>
      </c>
      <c r="J557" s="22">
        <v>12</v>
      </c>
      <c r="K557" s="25">
        <f t="shared" si="23"/>
        <v>46255</v>
      </c>
      <c r="L557" s="28" t="str">
        <f t="shared" ca="1" si="22"/>
        <v>Em dia</v>
      </c>
      <c r="M557" s="33" t="s">
        <v>50</v>
      </c>
      <c r="N557" s="28" t="s">
        <v>21</v>
      </c>
      <c r="O557" s="22" t="s">
        <v>28</v>
      </c>
      <c r="P557" s="25">
        <f t="shared" si="24"/>
        <v>45982</v>
      </c>
      <c r="Q557" s="25"/>
      <c r="R557" s="25"/>
      <c r="S557" s="7" t="s">
        <v>23</v>
      </c>
      <c r="T557" s="28">
        <v>1</v>
      </c>
    </row>
    <row r="558" spans="1:20" ht="14.25" customHeight="1">
      <c r="A558" s="22">
        <v>623</v>
      </c>
      <c r="B558" s="33">
        <v>7147</v>
      </c>
      <c r="C558" s="22" t="str">
        <f>IFERROR(VLOOKUP(B558,Colaboradores!A:D,2,),"")</f>
        <v>MAIARA MONTEIRO MARQUES CASTELO BRANCO</v>
      </c>
      <c r="D558" s="22" t="str">
        <f>IFERROR(VLOOKUP(B558,Colaboradores!A:D,3,),"")</f>
        <v>SAÚDE OCUPACIONAL</v>
      </c>
      <c r="E558" s="22" t="str">
        <f>IFERROR(VLOOKUP(B558,Colaboradores!A:D,4,),"")</f>
        <v>PSICÓLOGA</v>
      </c>
      <c r="F558" s="22" t="s">
        <v>52</v>
      </c>
      <c r="G558" s="24" t="str">
        <f>IFERROR(VLOOKUP(F558,Procedimentos!A:C,2,),"")</f>
        <v>DIRETRIZES E ACOMPANHAMENTO  DE ACIDENTE COM MATERIAL BIOLOGICO</v>
      </c>
      <c r="H558" s="25"/>
      <c r="I558" s="25">
        <v>45890</v>
      </c>
      <c r="J558" s="22">
        <v>12</v>
      </c>
      <c r="K558" s="25">
        <f t="shared" si="23"/>
        <v>46255</v>
      </c>
      <c r="L558" s="28" t="str">
        <f t="shared" ca="1" si="22"/>
        <v>Em dia</v>
      </c>
      <c r="M558" s="33" t="s">
        <v>50</v>
      </c>
      <c r="N558" s="28" t="s">
        <v>21</v>
      </c>
      <c r="O558" s="22" t="s">
        <v>28</v>
      </c>
      <c r="P558" s="25">
        <f t="shared" si="24"/>
        <v>45982</v>
      </c>
      <c r="Q558" s="25"/>
      <c r="R558" s="25"/>
      <c r="S558" s="7" t="s">
        <v>23</v>
      </c>
      <c r="T558" s="28">
        <v>1</v>
      </c>
    </row>
    <row r="559" spans="1:20" ht="14.25" customHeight="1">
      <c r="A559" s="22">
        <v>624</v>
      </c>
      <c r="B559" s="33">
        <v>15295</v>
      </c>
      <c r="C559" s="22" t="str">
        <f>IFERROR(VLOOKUP(B559,Colaboradores!A:D,2,),"")</f>
        <v>ANA CRISTINA GONÇALVES NUNES</v>
      </c>
      <c r="D559" s="22" t="str">
        <f>IFERROR(VLOOKUP(B559,Colaboradores!A:D,3,),"")</f>
        <v>SAÚDE OCUPACIONAL</v>
      </c>
      <c r="E559" s="22" t="str">
        <f>IFERROR(VLOOKUP(B559,Colaboradores!A:D,4,),"")</f>
        <v>ENFERMEIRA</v>
      </c>
      <c r="F559" s="22" t="s">
        <v>53</v>
      </c>
      <c r="G559" s="24" t="str">
        <f>IFERROR(VLOOKUP(F559,Procedimentos!A:C,2,),"")</f>
        <v>DIRETRIZES PARA MONITORAMENTO DE GESTANTE</v>
      </c>
      <c r="H559" s="25"/>
      <c r="I559" s="25">
        <v>45890</v>
      </c>
      <c r="J559" s="22">
        <v>12</v>
      </c>
      <c r="K559" s="25">
        <f t="shared" si="23"/>
        <v>46255</v>
      </c>
      <c r="L559" s="28" t="str">
        <f t="shared" ca="1" si="22"/>
        <v>Em dia</v>
      </c>
      <c r="M559" s="33" t="s">
        <v>50</v>
      </c>
      <c r="N559" s="28" t="s">
        <v>21</v>
      </c>
      <c r="O559" s="22" t="s">
        <v>28</v>
      </c>
      <c r="P559" s="25">
        <f t="shared" si="24"/>
        <v>45982</v>
      </c>
      <c r="Q559" s="25"/>
      <c r="R559" s="25"/>
      <c r="S559" s="7" t="s">
        <v>23</v>
      </c>
      <c r="T559" s="28">
        <v>1</v>
      </c>
    </row>
    <row r="560" spans="1:20" ht="14.25" customHeight="1">
      <c r="A560" s="22">
        <v>625</v>
      </c>
      <c r="B560" s="33">
        <v>7147</v>
      </c>
      <c r="C560" s="22" t="str">
        <f>IFERROR(VLOOKUP(B560,Colaboradores!A:D,2,),"")</f>
        <v>MAIARA MONTEIRO MARQUES CASTELO BRANCO</v>
      </c>
      <c r="D560" s="22" t="str">
        <f>IFERROR(VLOOKUP(B560,Colaboradores!A:D,3,),"")</f>
        <v>SAÚDE OCUPACIONAL</v>
      </c>
      <c r="E560" s="22" t="str">
        <f>IFERROR(VLOOKUP(B560,Colaboradores!A:D,4,),"")</f>
        <v>PSICÓLOGA</v>
      </c>
      <c r="F560" s="22" t="s">
        <v>53</v>
      </c>
      <c r="G560" s="24" t="str">
        <f>IFERROR(VLOOKUP(F560,Procedimentos!A:C,2,),"")</f>
        <v>DIRETRIZES PARA MONITORAMENTO DE GESTANTE</v>
      </c>
      <c r="H560" s="25"/>
      <c r="I560" s="25">
        <v>45890</v>
      </c>
      <c r="J560" s="22">
        <v>12</v>
      </c>
      <c r="K560" s="25">
        <f t="shared" si="23"/>
        <v>46255</v>
      </c>
      <c r="L560" s="28" t="str">
        <f t="shared" ca="1" si="22"/>
        <v>Em dia</v>
      </c>
      <c r="M560" s="33" t="s">
        <v>50</v>
      </c>
      <c r="N560" s="28" t="s">
        <v>21</v>
      </c>
      <c r="O560" s="22" t="s">
        <v>28</v>
      </c>
      <c r="P560" s="25">
        <f t="shared" si="24"/>
        <v>45982</v>
      </c>
      <c r="Q560" s="25"/>
      <c r="R560" s="25"/>
      <c r="S560" s="7" t="s">
        <v>23</v>
      </c>
      <c r="T560" s="28">
        <v>1</v>
      </c>
    </row>
    <row r="561" spans="1:20" ht="14.25" customHeight="1">
      <c r="A561" s="22">
        <v>626</v>
      </c>
      <c r="B561" s="33">
        <v>15295</v>
      </c>
      <c r="C561" s="22" t="str">
        <f>IFERROR(VLOOKUP(B561,Colaboradores!A:D,2,),"")</f>
        <v>ANA CRISTINA GONÇALVES NUNES</v>
      </c>
      <c r="D561" s="22" t="str">
        <f>IFERROR(VLOOKUP(B561,Colaboradores!A:D,3,),"")</f>
        <v>SAÚDE OCUPACIONAL</v>
      </c>
      <c r="E561" s="22" t="str">
        <f>IFERROR(VLOOKUP(B561,Colaboradores!A:D,4,),"")</f>
        <v>ENFERMEIRA</v>
      </c>
      <c r="F561" s="22" t="s">
        <v>54</v>
      </c>
      <c r="G561" s="24" t="str">
        <f>IFERROR(VLOOKUP(F561,Procedimentos!A:C,2,),"")</f>
        <v>DIRETRIZES DE IMUNIZAÇÃO OCUPACIONAL</v>
      </c>
      <c r="H561" s="25"/>
      <c r="I561" s="25">
        <v>45890</v>
      </c>
      <c r="J561" s="22">
        <v>12</v>
      </c>
      <c r="K561" s="25">
        <f t="shared" si="23"/>
        <v>46255</v>
      </c>
      <c r="L561" s="28" t="str">
        <f t="shared" ca="1" si="22"/>
        <v>Em dia</v>
      </c>
      <c r="M561" s="33" t="s">
        <v>50</v>
      </c>
      <c r="N561" s="28" t="s">
        <v>21</v>
      </c>
      <c r="O561" s="22" t="s">
        <v>28</v>
      </c>
      <c r="P561" s="25">
        <f t="shared" si="24"/>
        <v>45982</v>
      </c>
      <c r="Q561" s="25"/>
      <c r="R561" s="25"/>
      <c r="S561" s="7" t="s">
        <v>23</v>
      </c>
      <c r="T561" s="28">
        <v>1</v>
      </c>
    </row>
    <row r="562" spans="1:20" ht="14.25" customHeight="1">
      <c r="A562" s="22">
        <v>627</v>
      </c>
      <c r="B562" s="33">
        <v>7147</v>
      </c>
      <c r="C562" s="22" t="str">
        <f>IFERROR(VLOOKUP(B562,Colaboradores!A:D,2,),"")</f>
        <v>MAIARA MONTEIRO MARQUES CASTELO BRANCO</v>
      </c>
      <c r="D562" s="22" t="str">
        <f>IFERROR(VLOOKUP(B562,Colaboradores!A:D,3,),"")</f>
        <v>SAÚDE OCUPACIONAL</v>
      </c>
      <c r="E562" s="22" t="str">
        <f>IFERROR(VLOOKUP(B562,Colaboradores!A:D,4,),"")</f>
        <v>PSICÓLOGA</v>
      </c>
      <c r="F562" s="22" t="s">
        <v>54</v>
      </c>
      <c r="G562" s="24" t="str">
        <f>IFERROR(VLOOKUP(F562,Procedimentos!A:C,2,),"")</f>
        <v>DIRETRIZES DE IMUNIZAÇÃO OCUPACIONAL</v>
      </c>
      <c r="H562" s="25"/>
      <c r="I562" s="25">
        <v>45890</v>
      </c>
      <c r="J562" s="22">
        <v>12</v>
      </c>
      <c r="K562" s="25">
        <f t="shared" si="23"/>
        <v>46255</v>
      </c>
      <c r="L562" s="28" t="str">
        <f t="shared" ca="1" si="22"/>
        <v>Em dia</v>
      </c>
      <c r="M562" s="33" t="s">
        <v>50</v>
      </c>
      <c r="N562" s="28" t="s">
        <v>21</v>
      </c>
      <c r="O562" s="22" t="s">
        <v>28</v>
      </c>
      <c r="P562" s="25">
        <f t="shared" si="24"/>
        <v>45982</v>
      </c>
      <c r="Q562" s="25"/>
      <c r="R562" s="25"/>
      <c r="S562" s="7" t="s">
        <v>23</v>
      </c>
      <c r="T562" s="28">
        <v>1</v>
      </c>
    </row>
    <row r="563" spans="1:20" ht="14.25" customHeight="1">
      <c r="A563" s="22">
        <v>628</v>
      </c>
      <c r="B563" s="33">
        <v>15295</v>
      </c>
      <c r="C563" s="22" t="str">
        <f>IFERROR(VLOOKUP(B563,Colaboradores!A:D,2,),"")</f>
        <v>ANA CRISTINA GONÇALVES NUNES</v>
      </c>
      <c r="D563" s="22" t="str">
        <f>IFERROR(VLOOKUP(B563,Colaboradores!A:D,3,),"")</f>
        <v>SAÚDE OCUPACIONAL</v>
      </c>
      <c r="E563" s="22" t="str">
        <f>IFERROR(VLOOKUP(B563,Colaboradores!A:D,4,),"")</f>
        <v>ENFERMEIRA</v>
      </c>
      <c r="F563" s="22" t="s">
        <v>55</v>
      </c>
      <c r="G563" s="24" t="str">
        <f>IFERROR(VLOOKUP(F563,Procedimentos!A:C,2,),"")</f>
        <v>DIRETRIZES PARA ACOMPANHAMENTO DE AFASTADOS</v>
      </c>
      <c r="H563" s="25"/>
      <c r="I563" s="25">
        <v>45890</v>
      </c>
      <c r="J563" s="22">
        <v>12</v>
      </c>
      <c r="K563" s="25">
        <f t="shared" si="23"/>
        <v>46255</v>
      </c>
      <c r="L563" s="28" t="str">
        <f t="shared" ca="1" si="22"/>
        <v>Em dia</v>
      </c>
      <c r="M563" s="33" t="s">
        <v>50</v>
      </c>
      <c r="N563" s="28" t="s">
        <v>21</v>
      </c>
      <c r="O563" s="22" t="s">
        <v>28</v>
      </c>
      <c r="P563" s="25">
        <f t="shared" si="24"/>
        <v>45982</v>
      </c>
      <c r="Q563" s="25"/>
      <c r="R563" s="25"/>
      <c r="S563" s="7" t="s">
        <v>23</v>
      </c>
      <c r="T563" s="28">
        <v>1</v>
      </c>
    </row>
    <row r="564" spans="1:20" ht="14.25" customHeight="1">
      <c r="A564" s="22">
        <v>629</v>
      </c>
      <c r="B564" s="33">
        <v>7147</v>
      </c>
      <c r="C564" s="22" t="str">
        <f>IFERROR(VLOOKUP(B564,Colaboradores!A:D,2,),"")</f>
        <v>MAIARA MONTEIRO MARQUES CASTELO BRANCO</v>
      </c>
      <c r="D564" s="22" t="str">
        <f>IFERROR(VLOOKUP(B564,Colaboradores!A:D,3,),"")</f>
        <v>SAÚDE OCUPACIONAL</v>
      </c>
      <c r="E564" s="22" t="str">
        <f>IFERROR(VLOOKUP(B564,Colaboradores!A:D,4,),"")</f>
        <v>PSICÓLOGA</v>
      </c>
      <c r="F564" s="22" t="s">
        <v>55</v>
      </c>
      <c r="G564" s="24" t="str">
        <f>IFERROR(VLOOKUP(F564,Procedimentos!A:C,2,),"")</f>
        <v>DIRETRIZES PARA ACOMPANHAMENTO DE AFASTADOS</v>
      </c>
      <c r="H564" s="25"/>
      <c r="I564" s="25">
        <v>45890</v>
      </c>
      <c r="J564" s="22">
        <v>12</v>
      </c>
      <c r="K564" s="25">
        <f t="shared" si="23"/>
        <v>46255</v>
      </c>
      <c r="L564" s="28" t="str">
        <f t="shared" ca="1" si="22"/>
        <v>Em dia</v>
      </c>
      <c r="M564" s="33" t="s">
        <v>50</v>
      </c>
      <c r="N564" s="28" t="s">
        <v>21</v>
      </c>
      <c r="O564" s="22" t="s">
        <v>28</v>
      </c>
      <c r="P564" s="25">
        <f t="shared" si="24"/>
        <v>45982</v>
      </c>
      <c r="Q564" s="25"/>
      <c r="R564" s="25"/>
      <c r="S564" s="7" t="s">
        <v>23</v>
      </c>
      <c r="T564" s="28">
        <v>1</v>
      </c>
    </row>
    <row r="565" spans="1:20" ht="14.25" customHeight="1">
      <c r="A565" s="22">
        <v>630</v>
      </c>
      <c r="B565" s="33">
        <v>14565</v>
      </c>
      <c r="C565" s="22" t="str">
        <f>IFERROR(VLOOKUP(B565,Colaboradores!A:D,2,),"")</f>
        <v>CAMILA RODRIGUES GOMES</v>
      </c>
      <c r="D565" s="22" t="str">
        <f>IFERROR(VLOOKUP(B565,Colaboradores!A:D,3,),"")</f>
        <v>SEGURANÇA DO TRABALHO</v>
      </c>
      <c r="E565" s="22" t="str">
        <f>IFERROR(VLOOKUP(B565,Colaboradores!A:D,4,),"")</f>
        <v>TÉCNICO DE SEGURANÇA DO TRABALHO</v>
      </c>
      <c r="F565" s="22" t="s">
        <v>49</v>
      </c>
      <c r="G565" s="24" t="str">
        <f>IFERROR(VLOOKUP(F565,Procedimentos!A:C,2,),"")</f>
        <v>DIRETRIZES PARA REALIZAÇÃO DE EXAMES OCUPACIONAIS</v>
      </c>
      <c r="H565" s="25"/>
      <c r="I565" s="25">
        <v>45890</v>
      </c>
      <c r="J565" s="22">
        <v>12</v>
      </c>
      <c r="K565" s="25">
        <f t="shared" si="23"/>
        <v>46255</v>
      </c>
      <c r="L565" s="28" t="str">
        <f t="shared" ca="1" si="22"/>
        <v>Em dia</v>
      </c>
      <c r="M565" s="33" t="s">
        <v>50</v>
      </c>
      <c r="N565" s="28" t="s">
        <v>21</v>
      </c>
      <c r="O565" s="22" t="s">
        <v>28</v>
      </c>
      <c r="P565" s="25">
        <f t="shared" si="24"/>
        <v>45982</v>
      </c>
      <c r="Q565" s="25"/>
      <c r="R565" s="25"/>
      <c r="S565" s="7" t="s">
        <v>27</v>
      </c>
      <c r="T565" s="28">
        <v>1</v>
      </c>
    </row>
    <row r="566" spans="1:20" ht="14.25" customHeight="1">
      <c r="A566" s="22">
        <v>633</v>
      </c>
      <c r="B566" s="33">
        <v>13524</v>
      </c>
      <c r="C566" s="22" t="str">
        <f>IFERROR(VLOOKUP(B566,Colaboradores!A:D,2,),"")</f>
        <v>JOAO WILKER RIBEIRO BARROS LIMA</v>
      </c>
      <c r="D566" s="22" t="str">
        <f>IFERROR(VLOOKUP(B566,Colaboradores!A:D,3,),"")</f>
        <v>SEGURANÇA DO TRABALHO</v>
      </c>
      <c r="E566" s="22" t="str">
        <f>IFERROR(VLOOKUP(B566,Colaboradores!A:D,4,),"")</f>
        <v>COORDENADOR DE SEGURANÇA DO TRABALHO</v>
      </c>
      <c r="F566" s="22" t="s">
        <v>49</v>
      </c>
      <c r="G566" s="24" t="str">
        <f>IFERROR(VLOOKUP(F566,Procedimentos!A:C,2,),"")</f>
        <v>DIRETRIZES PARA REALIZAÇÃO DE EXAMES OCUPACIONAIS</v>
      </c>
      <c r="H566" s="25"/>
      <c r="I566" s="25">
        <v>45890</v>
      </c>
      <c r="J566" s="22">
        <v>12</v>
      </c>
      <c r="K566" s="25">
        <f t="shared" si="23"/>
        <v>46255</v>
      </c>
      <c r="L566" s="28" t="str">
        <f t="shared" ca="1" si="22"/>
        <v>Em dia</v>
      </c>
      <c r="M566" s="33" t="s">
        <v>50</v>
      </c>
      <c r="N566" s="28" t="s">
        <v>21</v>
      </c>
      <c r="O566" s="22" t="s">
        <v>28</v>
      </c>
      <c r="P566" s="25">
        <f t="shared" si="24"/>
        <v>45982</v>
      </c>
      <c r="Q566" s="25"/>
      <c r="R566" s="25"/>
      <c r="S566" s="7" t="s">
        <v>27</v>
      </c>
      <c r="T566" s="28">
        <v>1</v>
      </c>
    </row>
    <row r="567" spans="1:20" ht="14.25" customHeight="1">
      <c r="A567" s="22">
        <v>634</v>
      </c>
      <c r="B567" s="31">
        <v>2740</v>
      </c>
      <c r="C567" s="22" t="str">
        <f>IFERROR(VLOOKUP(B567,Colaboradores!A:D,2,),"")</f>
        <v>LUCIANA BARBOSA SODRE</v>
      </c>
      <c r="D567" s="22" t="str">
        <f>IFERROR(VLOOKUP(B567,Colaboradores!A:D,3,),"")</f>
        <v>SEGURANÇA DO TRABALHO</v>
      </c>
      <c r="E567" s="22" t="str">
        <f>IFERROR(VLOOKUP(B567,Colaboradores!A:D,4,),"")</f>
        <v>TÉCNICO DE SEGURANÇA DO TRABALHO</v>
      </c>
      <c r="F567" s="22" t="s">
        <v>49</v>
      </c>
      <c r="G567" s="24" t="str">
        <f>IFERROR(VLOOKUP(F567,Procedimentos!A:C,2,),"")</f>
        <v>DIRETRIZES PARA REALIZAÇÃO DE EXAMES OCUPACIONAIS</v>
      </c>
      <c r="H567" s="25"/>
      <c r="I567" s="25">
        <v>45890</v>
      </c>
      <c r="J567" s="22">
        <v>12</v>
      </c>
      <c r="K567" s="25">
        <f t="shared" si="23"/>
        <v>46255</v>
      </c>
      <c r="L567" s="28" t="str">
        <f t="shared" ca="1" si="22"/>
        <v>Em dia</v>
      </c>
      <c r="M567" s="33" t="s">
        <v>50</v>
      </c>
      <c r="N567" s="28" t="s">
        <v>21</v>
      </c>
      <c r="O567" s="22" t="s">
        <v>28</v>
      </c>
      <c r="P567" s="25">
        <f t="shared" si="24"/>
        <v>45982</v>
      </c>
      <c r="Q567" s="25"/>
      <c r="R567" s="25"/>
      <c r="S567" s="7" t="s">
        <v>27</v>
      </c>
      <c r="T567" s="28">
        <v>1</v>
      </c>
    </row>
    <row r="568" spans="1:20" ht="14.25" customHeight="1">
      <c r="A568" s="22">
        <v>635</v>
      </c>
      <c r="B568" s="31">
        <v>7580</v>
      </c>
      <c r="C568" s="22" t="str">
        <f>IFERROR(VLOOKUP(B568,Colaboradores!A:D,2,),"")</f>
        <v>LUCIO JOSE DA COSTA LOPES</v>
      </c>
      <c r="D568" s="22" t="str">
        <f>IFERROR(VLOOKUP(B568,Colaboradores!A:D,3,),"")</f>
        <v>SEGURANÇA DO TRABALHO</v>
      </c>
      <c r="E568" s="22" t="str">
        <f>IFERROR(VLOOKUP(B568,Colaboradores!A:D,4,),"")</f>
        <v>TÉCNICO DE SEGURANÇA DO TRABALHO</v>
      </c>
      <c r="F568" s="22" t="s">
        <v>49</v>
      </c>
      <c r="G568" s="24" t="str">
        <f>IFERROR(VLOOKUP(F568,Procedimentos!A:C,2,),"")</f>
        <v>DIRETRIZES PARA REALIZAÇÃO DE EXAMES OCUPACIONAIS</v>
      </c>
      <c r="H568" s="25"/>
      <c r="I568" s="25">
        <v>45890</v>
      </c>
      <c r="J568" s="22">
        <v>12</v>
      </c>
      <c r="K568" s="25">
        <f t="shared" si="23"/>
        <v>46255</v>
      </c>
      <c r="L568" s="28" t="str">
        <f t="shared" ca="1" si="22"/>
        <v>Em dia</v>
      </c>
      <c r="M568" s="33" t="s">
        <v>50</v>
      </c>
      <c r="N568" s="28" t="s">
        <v>21</v>
      </c>
      <c r="O568" s="22" t="s">
        <v>28</v>
      </c>
      <c r="P568" s="25">
        <f t="shared" si="24"/>
        <v>45982</v>
      </c>
      <c r="Q568" s="25"/>
      <c r="R568" s="25"/>
      <c r="S568" s="7" t="s">
        <v>27</v>
      </c>
      <c r="T568" s="28">
        <v>1</v>
      </c>
    </row>
    <row r="569" spans="1:20" ht="14.25" customHeight="1">
      <c r="A569" s="22">
        <v>636</v>
      </c>
      <c r="B569" s="33">
        <v>14565</v>
      </c>
      <c r="C569" s="22" t="str">
        <f>IFERROR(VLOOKUP(B569,Colaboradores!A:D,2,),"")</f>
        <v>CAMILA RODRIGUES GOMES</v>
      </c>
      <c r="D569" s="22" t="str">
        <f>IFERROR(VLOOKUP(B569,Colaboradores!A:D,3,),"")</f>
        <v>SEGURANÇA DO TRABALHO</v>
      </c>
      <c r="E569" s="22" t="str">
        <f>IFERROR(VLOOKUP(B569,Colaboradores!A:D,4,),"")</f>
        <v>TÉCNICO DE SEGURANÇA DO TRABALHO</v>
      </c>
      <c r="F569" s="22" t="s">
        <v>51</v>
      </c>
      <c r="G569" s="24" t="str">
        <f>IFERROR(VLOOKUP(F569,Procedimentos!A:C,2,),"")</f>
        <v>DIRETRIZES PARA ENTREGA DE ATESTADOS MÉDICOS E ODONTOLÓGICOS</v>
      </c>
      <c r="H569" s="25"/>
      <c r="I569" s="25">
        <v>45890</v>
      </c>
      <c r="J569" s="22">
        <v>12</v>
      </c>
      <c r="K569" s="25">
        <f t="shared" si="23"/>
        <v>46255</v>
      </c>
      <c r="L569" s="28" t="str">
        <f t="shared" ca="1" si="22"/>
        <v>Em dia</v>
      </c>
      <c r="M569" s="33" t="s">
        <v>50</v>
      </c>
      <c r="N569" s="28" t="s">
        <v>21</v>
      </c>
      <c r="O569" s="22" t="s">
        <v>28</v>
      </c>
      <c r="P569" s="25">
        <f t="shared" si="24"/>
        <v>45982</v>
      </c>
      <c r="Q569" s="25"/>
      <c r="R569" s="25"/>
      <c r="S569" s="7" t="s">
        <v>27</v>
      </c>
      <c r="T569" s="28">
        <v>1</v>
      </c>
    </row>
    <row r="570" spans="1:20" ht="14.25" customHeight="1">
      <c r="A570" s="22">
        <v>639</v>
      </c>
      <c r="B570" s="33">
        <v>13524</v>
      </c>
      <c r="C570" s="22" t="str">
        <f>IFERROR(VLOOKUP(B570,Colaboradores!A:D,2,),"")</f>
        <v>JOAO WILKER RIBEIRO BARROS LIMA</v>
      </c>
      <c r="D570" s="22" t="str">
        <f>IFERROR(VLOOKUP(B570,Colaboradores!A:D,3,),"")</f>
        <v>SEGURANÇA DO TRABALHO</v>
      </c>
      <c r="E570" s="22" t="str">
        <f>IFERROR(VLOOKUP(B570,Colaboradores!A:D,4,),"")</f>
        <v>COORDENADOR DE SEGURANÇA DO TRABALHO</v>
      </c>
      <c r="F570" s="22" t="s">
        <v>51</v>
      </c>
      <c r="G570" s="24" t="str">
        <f>IFERROR(VLOOKUP(F570,Procedimentos!A:C,2,),"")</f>
        <v>DIRETRIZES PARA ENTREGA DE ATESTADOS MÉDICOS E ODONTOLÓGICOS</v>
      </c>
      <c r="H570" s="25"/>
      <c r="I570" s="25">
        <v>45890</v>
      </c>
      <c r="J570" s="22">
        <v>12</v>
      </c>
      <c r="K570" s="25">
        <f t="shared" si="23"/>
        <v>46255</v>
      </c>
      <c r="L570" s="28" t="str">
        <f t="shared" ca="1" si="22"/>
        <v>Em dia</v>
      </c>
      <c r="M570" s="33" t="s">
        <v>50</v>
      </c>
      <c r="N570" s="28" t="s">
        <v>21</v>
      </c>
      <c r="O570" s="22" t="s">
        <v>28</v>
      </c>
      <c r="P570" s="25">
        <f t="shared" si="24"/>
        <v>45982</v>
      </c>
      <c r="Q570" s="25"/>
      <c r="R570" s="25"/>
      <c r="S570" s="7" t="s">
        <v>27</v>
      </c>
      <c r="T570" s="28">
        <v>1</v>
      </c>
    </row>
    <row r="571" spans="1:20" ht="14.25" customHeight="1">
      <c r="A571" s="22">
        <v>640</v>
      </c>
      <c r="B571" s="31">
        <v>2740</v>
      </c>
      <c r="C571" s="22" t="str">
        <f>IFERROR(VLOOKUP(B571,Colaboradores!A:D,2,),"")</f>
        <v>LUCIANA BARBOSA SODRE</v>
      </c>
      <c r="D571" s="22" t="str">
        <f>IFERROR(VLOOKUP(B571,Colaboradores!A:D,3,),"")</f>
        <v>SEGURANÇA DO TRABALHO</v>
      </c>
      <c r="E571" s="22" t="str">
        <f>IFERROR(VLOOKUP(B571,Colaboradores!A:D,4,),"")</f>
        <v>TÉCNICO DE SEGURANÇA DO TRABALHO</v>
      </c>
      <c r="F571" s="22" t="s">
        <v>51</v>
      </c>
      <c r="G571" s="24" t="str">
        <f>IFERROR(VLOOKUP(F571,Procedimentos!A:C,2,),"")</f>
        <v>DIRETRIZES PARA ENTREGA DE ATESTADOS MÉDICOS E ODONTOLÓGICOS</v>
      </c>
      <c r="H571" s="25"/>
      <c r="I571" s="25">
        <v>45890</v>
      </c>
      <c r="J571" s="22">
        <v>12</v>
      </c>
      <c r="K571" s="25">
        <f t="shared" si="23"/>
        <v>46255</v>
      </c>
      <c r="L571" s="28" t="str">
        <f t="shared" ca="1" si="22"/>
        <v>Em dia</v>
      </c>
      <c r="M571" s="33" t="s">
        <v>50</v>
      </c>
      <c r="N571" s="28" t="s">
        <v>21</v>
      </c>
      <c r="O571" s="22" t="s">
        <v>28</v>
      </c>
      <c r="P571" s="25">
        <f t="shared" si="24"/>
        <v>45982</v>
      </c>
      <c r="Q571" s="25"/>
      <c r="R571" s="25"/>
      <c r="S571" s="7" t="s">
        <v>27</v>
      </c>
      <c r="T571" s="28">
        <v>1</v>
      </c>
    </row>
    <row r="572" spans="1:20" ht="14.25" customHeight="1">
      <c r="A572" s="22">
        <v>641</v>
      </c>
      <c r="B572" s="31">
        <v>7580</v>
      </c>
      <c r="C572" s="22" t="str">
        <f>IFERROR(VLOOKUP(B572,Colaboradores!A:D,2,),"")</f>
        <v>LUCIO JOSE DA COSTA LOPES</v>
      </c>
      <c r="D572" s="22" t="str">
        <f>IFERROR(VLOOKUP(B572,Colaboradores!A:D,3,),"")</f>
        <v>SEGURANÇA DO TRABALHO</v>
      </c>
      <c r="E572" s="22" t="str">
        <f>IFERROR(VLOOKUP(B572,Colaboradores!A:D,4,),"")</f>
        <v>TÉCNICO DE SEGURANÇA DO TRABALHO</v>
      </c>
      <c r="F572" s="22" t="s">
        <v>51</v>
      </c>
      <c r="G572" s="24" t="str">
        <f>IFERROR(VLOOKUP(F572,Procedimentos!A:C,2,),"")</f>
        <v>DIRETRIZES PARA ENTREGA DE ATESTADOS MÉDICOS E ODONTOLÓGICOS</v>
      </c>
      <c r="H572" s="25"/>
      <c r="I572" s="25">
        <v>45890</v>
      </c>
      <c r="J572" s="22">
        <v>12</v>
      </c>
      <c r="K572" s="25">
        <f t="shared" si="23"/>
        <v>46255</v>
      </c>
      <c r="L572" s="28" t="str">
        <f t="shared" ca="1" si="22"/>
        <v>Em dia</v>
      </c>
      <c r="M572" s="33" t="s">
        <v>50</v>
      </c>
      <c r="N572" s="28" t="s">
        <v>21</v>
      </c>
      <c r="O572" s="22" t="s">
        <v>28</v>
      </c>
      <c r="P572" s="25">
        <f t="shared" si="24"/>
        <v>45982</v>
      </c>
      <c r="Q572" s="25"/>
      <c r="R572" s="25"/>
      <c r="S572" s="7" t="s">
        <v>27</v>
      </c>
      <c r="T572" s="28">
        <v>1</v>
      </c>
    </row>
    <row r="573" spans="1:20" ht="14.25" customHeight="1">
      <c r="A573" s="22">
        <v>642</v>
      </c>
      <c r="B573" s="33">
        <v>14565</v>
      </c>
      <c r="C573" s="22" t="str">
        <f>IFERROR(VLOOKUP(B573,Colaboradores!A:D,2,),"")</f>
        <v>CAMILA RODRIGUES GOMES</v>
      </c>
      <c r="D573" s="22" t="str">
        <f>IFERROR(VLOOKUP(B573,Colaboradores!A:D,3,),"")</f>
        <v>SEGURANÇA DO TRABALHO</v>
      </c>
      <c r="E573" s="22" t="str">
        <f>IFERROR(VLOOKUP(B573,Colaboradores!A:D,4,),"")</f>
        <v>TÉCNICO DE SEGURANÇA DO TRABALHO</v>
      </c>
      <c r="F573" s="22" t="s">
        <v>52</v>
      </c>
      <c r="G573" s="24" t="str">
        <f>IFERROR(VLOOKUP(F573,Procedimentos!A:C,2,),"")</f>
        <v>DIRETRIZES E ACOMPANHAMENTO  DE ACIDENTE COM MATERIAL BIOLOGICO</v>
      </c>
      <c r="H573" s="25"/>
      <c r="I573" s="25">
        <v>45890</v>
      </c>
      <c r="J573" s="22">
        <v>12</v>
      </c>
      <c r="K573" s="25">
        <f t="shared" si="23"/>
        <v>46255</v>
      </c>
      <c r="L573" s="28" t="str">
        <f t="shared" ca="1" si="22"/>
        <v>Em dia</v>
      </c>
      <c r="M573" s="33" t="s">
        <v>50</v>
      </c>
      <c r="N573" s="28" t="s">
        <v>21</v>
      </c>
      <c r="O573" s="22" t="s">
        <v>28</v>
      </c>
      <c r="P573" s="25">
        <f t="shared" si="24"/>
        <v>45982</v>
      </c>
      <c r="Q573" s="25"/>
      <c r="R573" s="25"/>
      <c r="S573" s="7" t="s">
        <v>27</v>
      </c>
      <c r="T573" s="28">
        <v>1</v>
      </c>
    </row>
    <row r="574" spans="1:20" ht="14.25" customHeight="1">
      <c r="A574" s="22">
        <v>645</v>
      </c>
      <c r="B574" s="33">
        <v>13524</v>
      </c>
      <c r="C574" s="22" t="str">
        <f>IFERROR(VLOOKUP(B574,Colaboradores!A:D,2,),"")</f>
        <v>JOAO WILKER RIBEIRO BARROS LIMA</v>
      </c>
      <c r="D574" s="22" t="str">
        <f>IFERROR(VLOOKUP(B574,Colaboradores!A:D,3,),"")</f>
        <v>SEGURANÇA DO TRABALHO</v>
      </c>
      <c r="E574" s="22" t="str">
        <f>IFERROR(VLOOKUP(B574,Colaboradores!A:D,4,),"")</f>
        <v>COORDENADOR DE SEGURANÇA DO TRABALHO</v>
      </c>
      <c r="F574" s="22" t="s">
        <v>52</v>
      </c>
      <c r="G574" s="24" t="str">
        <f>IFERROR(VLOOKUP(F574,Procedimentos!A:C,2,),"")</f>
        <v>DIRETRIZES E ACOMPANHAMENTO  DE ACIDENTE COM MATERIAL BIOLOGICO</v>
      </c>
      <c r="H574" s="25"/>
      <c r="I574" s="25">
        <v>45890</v>
      </c>
      <c r="J574" s="22">
        <v>12</v>
      </c>
      <c r="K574" s="25">
        <f t="shared" si="23"/>
        <v>46255</v>
      </c>
      <c r="L574" s="28" t="str">
        <f t="shared" ca="1" si="22"/>
        <v>Em dia</v>
      </c>
      <c r="M574" s="33" t="s">
        <v>50</v>
      </c>
      <c r="N574" s="28" t="s">
        <v>21</v>
      </c>
      <c r="O574" s="22" t="s">
        <v>28</v>
      </c>
      <c r="P574" s="25">
        <f t="shared" si="24"/>
        <v>45982</v>
      </c>
      <c r="Q574" s="25"/>
      <c r="R574" s="25"/>
      <c r="S574" s="7" t="s">
        <v>27</v>
      </c>
      <c r="T574" s="28">
        <v>1</v>
      </c>
    </row>
    <row r="575" spans="1:20" ht="14.25" customHeight="1">
      <c r="A575" s="22">
        <v>646</v>
      </c>
      <c r="B575" s="31">
        <v>2740</v>
      </c>
      <c r="C575" s="22" t="str">
        <f>IFERROR(VLOOKUP(B575,Colaboradores!A:D,2,),"")</f>
        <v>LUCIANA BARBOSA SODRE</v>
      </c>
      <c r="D575" s="22" t="str">
        <f>IFERROR(VLOOKUP(B575,Colaboradores!A:D,3,),"")</f>
        <v>SEGURANÇA DO TRABALHO</v>
      </c>
      <c r="E575" s="22" t="str">
        <f>IFERROR(VLOOKUP(B575,Colaboradores!A:D,4,),"")</f>
        <v>TÉCNICO DE SEGURANÇA DO TRABALHO</v>
      </c>
      <c r="F575" s="22" t="s">
        <v>52</v>
      </c>
      <c r="G575" s="24" t="str">
        <f>IFERROR(VLOOKUP(F575,Procedimentos!A:C,2,),"")</f>
        <v>DIRETRIZES E ACOMPANHAMENTO  DE ACIDENTE COM MATERIAL BIOLOGICO</v>
      </c>
      <c r="H575" s="25"/>
      <c r="I575" s="25">
        <v>45890</v>
      </c>
      <c r="J575" s="22">
        <v>12</v>
      </c>
      <c r="K575" s="25">
        <f t="shared" si="23"/>
        <v>46255</v>
      </c>
      <c r="L575" s="28" t="str">
        <f t="shared" ca="1" si="22"/>
        <v>Em dia</v>
      </c>
      <c r="M575" s="33" t="s">
        <v>50</v>
      </c>
      <c r="N575" s="28" t="s">
        <v>21</v>
      </c>
      <c r="O575" s="22" t="s">
        <v>28</v>
      </c>
      <c r="P575" s="25">
        <f t="shared" si="24"/>
        <v>45982</v>
      </c>
      <c r="Q575" s="25"/>
      <c r="R575" s="25"/>
      <c r="S575" s="7" t="s">
        <v>27</v>
      </c>
      <c r="T575" s="28">
        <v>1</v>
      </c>
    </row>
    <row r="576" spans="1:20" ht="14.25" customHeight="1">
      <c r="A576" s="22">
        <v>647</v>
      </c>
      <c r="B576" s="31">
        <v>7580</v>
      </c>
      <c r="C576" s="22" t="str">
        <f>IFERROR(VLOOKUP(B576,Colaboradores!A:D,2,),"")</f>
        <v>LUCIO JOSE DA COSTA LOPES</v>
      </c>
      <c r="D576" s="22" t="str">
        <f>IFERROR(VLOOKUP(B576,Colaboradores!A:D,3,),"")</f>
        <v>SEGURANÇA DO TRABALHO</v>
      </c>
      <c r="E576" s="22" t="str">
        <f>IFERROR(VLOOKUP(B576,Colaboradores!A:D,4,),"")</f>
        <v>TÉCNICO DE SEGURANÇA DO TRABALHO</v>
      </c>
      <c r="F576" s="22" t="s">
        <v>52</v>
      </c>
      <c r="G576" s="24" t="str">
        <f>IFERROR(VLOOKUP(F576,Procedimentos!A:C,2,),"")</f>
        <v>DIRETRIZES E ACOMPANHAMENTO  DE ACIDENTE COM MATERIAL BIOLOGICO</v>
      </c>
      <c r="H576" s="25"/>
      <c r="I576" s="25">
        <v>45890</v>
      </c>
      <c r="J576" s="22">
        <v>12</v>
      </c>
      <c r="K576" s="25">
        <f t="shared" si="23"/>
        <v>46255</v>
      </c>
      <c r="L576" s="28" t="str">
        <f t="shared" ca="1" si="22"/>
        <v>Em dia</v>
      </c>
      <c r="M576" s="33" t="s">
        <v>50</v>
      </c>
      <c r="N576" s="28" t="s">
        <v>21</v>
      </c>
      <c r="O576" s="22" t="s">
        <v>28</v>
      </c>
      <c r="P576" s="25">
        <f t="shared" si="24"/>
        <v>45982</v>
      </c>
      <c r="Q576" s="25"/>
      <c r="R576" s="25"/>
      <c r="S576" s="7" t="s">
        <v>27</v>
      </c>
      <c r="T576" s="28">
        <v>1</v>
      </c>
    </row>
    <row r="577" spans="1:20" ht="14.25" customHeight="1">
      <c r="A577" s="22">
        <v>648</v>
      </c>
      <c r="B577" s="33">
        <v>14565</v>
      </c>
      <c r="C577" s="22" t="str">
        <f>IFERROR(VLOOKUP(B577,Colaboradores!A:D,2,),"")</f>
        <v>CAMILA RODRIGUES GOMES</v>
      </c>
      <c r="D577" s="22" t="str">
        <f>IFERROR(VLOOKUP(B577,Colaboradores!A:D,3,),"")</f>
        <v>SEGURANÇA DO TRABALHO</v>
      </c>
      <c r="E577" s="22" t="str">
        <f>IFERROR(VLOOKUP(B577,Colaboradores!A:D,4,),"")</f>
        <v>TÉCNICO DE SEGURANÇA DO TRABALHO</v>
      </c>
      <c r="F577" s="22" t="s">
        <v>53</v>
      </c>
      <c r="G577" s="24" t="str">
        <f>IFERROR(VLOOKUP(F625,Procedimentos!A:C,2,),"")</f>
        <v>DIRETRIZES PARA MONITORAMENTO DE GESTANTE</v>
      </c>
      <c r="H577" s="25"/>
      <c r="I577" s="25">
        <v>45890</v>
      </c>
      <c r="J577" s="22">
        <v>12</v>
      </c>
      <c r="K577" s="25">
        <f t="shared" si="23"/>
        <v>46255</v>
      </c>
      <c r="L577" s="28" t="str">
        <f t="shared" ref="L577:L640" ca="1" si="25">IF(K577="","",IF(K577&lt;TODAY(),"Vencido",IF(K577&lt;=TODAY()+30,"A vencer","Em dia")))</f>
        <v>Em dia</v>
      </c>
      <c r="M577" s="33" t="s">
        <v>50</v>
      </c>
      <c r="N577" s="28" t="s">
        <v>21</v>
      </c>
      <c r="O577" s="22" t="s">
        <v>28</v>
      </c>
      <c r="P577" s="25">
        <f t="shared" si="24"/>
        <v>45982</v>
      </c>
      <c r="Q577" s="25"/>
      <c r="R577" s="25"/>
      <c r="S577" s="7" t="s">
        <v>27</v>
      </c>
      <c r="T577" s="28">
        <v>1</v>
      </c>
    </row>
    <row r="578" spans="1:20" ht="14.25" customHeight="1">
      <c r="A578" s="22">
        <v>651</v>
      </c>
      <c r="B578" s="33">
        <v>13524</v>
      </c>
      <c r="C578" s="22" t="str">
        <f>IFERROR(VLOOKUP(B578,Colaboradores!A:D,2,),"")</f>
        <v>JOAO WILKER RIBEIRO BARROS LIMA</v>
      </c>
      <c r="D578" s="22" t="str">
        <f>IFERROR(VLOOKUP(B578,Colaboradores!A:D,3,),"")</f>
        <v>SEGURANÇA DO TRABALHO</v>
      </c>
      <c r="E578" s="22" t="str">
        <f>IFERROR(VLOOKUP(B578,Colaboradores!A:D,4,),"")</f>
        <v>COORDENADOR DE SEGURANÇA DO TRABALHO</v>
      </c>
      <c r="F578" s="22" t="s">
        <v>53</v>
      </c>
      <c r="G578" s="24" t="str">
        <f>IFERROR(VLOOKUP(F627,Procedimentos!A:C,2,),"")</f>
        <v>DIRETRIZES PARA MONITORAMENTO DE GESTANTE</v>
      </c>
      <c r="H578" s="25"/>
      <c r="I578" s="25">
        <v>45890</v>
      </c>
      <c r="J578" s="22">
        <v>12</v>
      </c>
      <c r="K578" s="25">
        <f t="shared" si="23"/>
        <v>46255</v>
      </c>
      <c r="L578" s="28" t="str">
        <f t="shared" ca="1" si="25"/>
        <v>Em dia</v>
      </c>
      <c r="M578" s="33" t="s">
        <v>50</v>
      </c>
      <c r="N578" s="28" t="s">
        <v>21</v>
      </c>
      <c r="O578" s="22" t="s">
        <v>28</v>
      </c>
      <c r="P578" s="25">
        <f t="shared" si="24"/>
        <v>45982</v>
      </c>
      <c r="Q578" s="25"/>
      <c r="R578" s="25"/>
      <c r="S578" s="7" t="s">
        <v>27</v>
      </c>
      <c r="T578" s="28">
        <v>1</v>
      </c>
    </row>
    <row r="579" spans="1:20" ht="14.25" customHeight="1">
      <c r="A579" s="22">
        <v>652</v>
      </c>
      <c r="B579" s="31">
        <v>2740</v>
      </c>
      <c r="C579" s="22" t="str">
        <f>IFERROR(VLOOKUP(B579,Colaboradores!A:D,2,),"")</f>
        <v>LUCIANA BARBOSA SODRE</v>
      </c>
      <c r="D579" s="22" t="str">
        <f>IFERROR(VLOOKUP(B579,Colaboradores!A:D,3,),"")</f>
        <v>SEGURANÇA DO TRABALHO</v>
      </c>
      <c r="E579" s="22" t="str">
        <f>IFERROR(VLOOKUP(B579,Colaboradores!A:D,4,),"")</f>
        <v>TÉCNICO DE SEGURANÇA DO TRABALHO</v>
      </c>
      <c r="F579" s="22" t="s">
        <v>53</v>
      </c>
      <c r="G579" s="24" t="str">
        <f>IFERROR(VLOOKUP(F579,Procedimentos!A:C,2,),"")</f>
        <v>DIRETRIZES PARA MONITORAMENTO DE GESTANTE</v>
      </c>
      <c r="H579" s="25"/>
      <c r="I579" s="25">
        <v>45890</v>
      </c>
      <c r="J579" s="22">
        <v>12</v>
      </c>
      <c r="K579" s="25">
        <f t="shared" ref="K579:K642" si="26">IF(AND(I579&lt;&gt;"",J579&lt;&gt;""),DATE(YEAR(I579),MONTH(I579)+J579,DAY(I579)),"")</f>
        <v>46255</v>
      </c>
      <c r="L579" s="28" t="str">
        <f t="shared" ca="1" si="25"/>
        <v>Em dia</v>
      </c>
      <c r="M579" s="33" t="s">
        <v>50</v>
      </c>
      <c r="N579" s="28" t="s">
        <v>21</v>
      </c>
      <c r="O579" s="22" t="s">
        <v>28</v>
      </c>
      <c r="P579" s="25">
        <f t="shared" si="24"/>
        <v>45982</v>
      </c>
      <c r="Q579" s="25"/>
      <c r="R579" s="25"/>
      <c r="S579" s="7" t="s">
        <v>27</v>
      </c>
      <c r="T579" s="28">
        <v>1</v>
      </c>
    </row>
    <row r="580" spans="1:20" ht="14.25" customHeight="1">
      <c r="A580" s="22">
        <v>653</v>
      </c>
      <c r="B580" s="31">
        <v>7580</v>
      </c>
      <c r="C580" s="22" t="str">
        <f>IFERROR(VLOOKUP(B580,Colaboradores!A:D,2,),"")</f>
        <v>LUCIO JOSE DA COSTA LOPES</v>
      </c>
      <c r="D580" s="22" t="str">
        <f>IFERROR(VLOOKUP(B580,Colaboradores!A:D,3,),"")</f>
        <v>SEGURANÇA DO TRABALHO</v>
      </c>
      <c r="E580" s="22" t="str">
        <f>IFERROR(VLOOKUP(B580,Colaboradores!A:D,4,),"")</f>
        <v>TÉCNICO DE SEGURANÇA DO TRABALHO</v>
      </c>
      <c r="F580" s="22" t="s">
        <v>53</v>
      </c>
      <c r="G580" s="24" t="str">
        <f>IFERROR(VLOOKUP(F580,Procedimentos!A:C,2,),"")</f>
        <v>DIRETRIZES PARA MONITORAMENTO DE GESTANTE</v>
      </c>
      <c r="H580" s="25"/>
      <c r="I580" s="25">
        <v>45890</v>
      </c>
      <c r="J580" s="22">
        <v>12</v>
      </c>
      <c r="K580" s="25">
        <f t="shared" si="26"/>
        <v>46255</v>
      </c>
      <c r="L580" s="28" t="str">
        <f t="shared" ca="1" si="25"/>
        <v>Em dia</v>
      </c>
      <c r="M580" s="33" t="s">
        <v>50</v>
      </c>
      <c r="N580" s="28" t="s">
        <v>21</v>
      </c>
      <c r="O580" s="22" t="s">
        <v>28</v>
      </c>
      <c r="P580" s="25">
        <f t="shared" si="24"/>
        <v>45982</v>
      </c>
      <c r="Q580" s="25"/>
      <c r="R580" s="25"/>
      <c r="S580" s="7" t="s">
        <v>27</v>
      </c>
      <c r="T580" s="28">
        <v>1</v>
      </c>
    </row>
    <row r="581" spans="1:20" ht="14.25" customHeight="1">
      <c r="A581" s="22">
        <v>654</v>
      </c>
      <c r="B581" s="33">
        <v>14565</v>
      </c>
      <c r="C581" s="22" t="str">
        <f>IFERROR(VLOOKUP(B581,Colaboradores!A:D,2,),"")</f>
        <v>CAMILA RODRIGUES GOMES</v>
      </c>
      <c r="D581" s="22" t="str">
        <f>IFERROR(VLOOKUP(B581,Colaboradores!A:D,3,),"")</f>
        <v>SEGURANÇA DO TRABALHO</v>
      </c>
      <c r="E581" s="22" t="str">
        <f>IFERROR(VLOOKUP(B581,Colaboradores!A:D,4,),"")</f>
        <v>TÉCNICO DE SEGURANÇA DO TRABALHO</v>
      </c>
      <c r="F581" s="22" t="s">
        <v>54</v>
      </c>
      <c r="G581" s="24" t="str">
        <f>IFERROR(VLOOKUP(F581,Procedimentos!A:C,2,),"")</f>
        <v>DIRETRIZES DE IMUNIZAÇÃO OCUPACIONAL</v>
      </c>
      <c r="H581" s="25"/>
      <c r="I581" s="25">
        <v>45890</v>
      </c>
      <c r="J581" s="22">
        <v>12</v>
      </c>
      <c r="K581" s="25">
        <f t="shared" si="26"/>
        <v>46255</v>
      </c>
      <c r="L581" s="28" t="str">
        <f t="shared" ca="1" si="25"/>
        <v>Em dia</v>
      </c>
      <c r="M581" s="33" t="s">
        <v>50</v>
      </c>
      <c r="N581" s="28" t="s">
        <v>21</v>
      </c>
      <c r="O581" s="22" t="s">
        <v>28</v>
      </c>
      <c r="P581" s="25">
        <f t="shared" si="24"/>
        <v>45982</v>
      </c>
      <c r="Q581" s="25"/>
      <c r="R581" s="25"/>
      <c r="S581" s="7" t="s">
        <v>27</v>
      </c>
      <c r="T581" s="28">
        <v>1</v>
      </c>
    </row>
    <row r="582" spans="1:20" ht="14.25" customHeight="1">
      <c r="A582" s="22">
        <v>657</v>
      </c>
      <c r="B582" s="33">
        <v>13524</v>
      </c>
      <c r="C582" s="22" t="str">
        <f>IFERROR(VLOOKUP(B582,Colaboradores!A:D,2,),"")</f>
        <v>JOAO WILKER RIBEIRO BARROS LIMA</v>
      </c>
      <c r="D582" s="22" t="str">
        <f>IFERROR(VLOOKUP(B582,Colaboradores!A:D,3,),"")</f>
        <v>SEGURANÇA DO TRABALHO</v>
      </c>
      <c r="E582" s="22" t="str">
        <f>IFERROR(VLOOKUP(B582,Colaboradores!A:D,4,),"")</f>
        <v>COORDENADOR DE SEGURANÇA DO TRABALHO</v>
      </c>
      <c r="F582" s="22" t="s">
        <v>54</v>
      </c>
      <c r="G582" s="24" t="str">
        <f>IFERROR(VLOOKUP(F582,Procedimentos!A:C,2,),"")</f>
        <v>DIRETRIZES DE IMUNIZAÇÃO OCUPACIONAL</v>
      </c>
      <c r="H582" s="25"/>
      <c r="I582" s="25">
        <v>45890</v>
      </c>
      <c r="J582" s="22">
        <v>12</v>
      </c>
      <c r="K582" s="25">
        <f t="shared" si="26"/>
        <v>46255</v>
      </c>
      <c r="L582" s="28" t="str">
        <f t="shared" ca="1" si="25"/>
        <v>Em dia</v>
      </c>
      <c r="M582" s="33" t="s">
        <v>50</v>
      </c>
      <c r="N582" s="28" t="s">
        <v>21</v>
      </c>
      <c r="O582" s="22" t="s">
        <v>28</v>
      </c>
      <c r="P582" s="25">
        <f t="shared" si="24"/>
        <v>45982</v>
      </c>
      <c r="Q582" s="25"/>
      <c r="R582" s="25"/>
      <c r="S582" s="7" t="s">
        <v>27</v>
      </c>
      <c r="T582" s="28">
        <v>1</v>
      </c>
    </row>
    <row r="583" spans="1:20" ht="14.25" customHeight="1">
      <c r="A583" s="22">
        <v>658</v>
      </c>
      <c r="B583" s="31">
        <v>2740</v>
      </c>
      <c r="C583" s="22" t="str">
        <f>IFERROR(VLOOKUP(B583,Colaboradores!A:D,2,),"")</f>
        <v>LUCIANA BARBOSA SODRE</v>
      </c>
      <c r="D583" s="22" t="str">
        <f>IFERROR(VLOOKUP(B583,Colaboradores!A:D,3,),"")</f>
        <v>SEGURANÇA DO TRABALHO</v>
      </c>
      <c r="E583" s="22" t="str">
        <f>IFERROR(VLOOKUP(B583,Colaboradores!A:D,4,),"")</f>
        <v>TÉCNICO DE SEGURANÇA DO TRABALHO</v>
      </c>
      <c r="F583" s="22" t="s">
        <v>54</v>
      </c>
      <c r="G583" s="24" t="str">
        <f>IFERROR(VLOOKUP(F583,Procedimentos!A:C,2,),"")</f>
        <v>DIRETRIZES DE IMUNIZAÇÃO OCUPACIONAL</v>
      </c>
      <c r="H583" s="25"/>
      <c r="I583" s="25">
        <v>45890</v>
      </c>
      <c r="J583" s="22">
        <v>12</v>
      </c>
      <c r="K583" s="25">
        <f t="shared" si="26"/>
        <v>46255</v>
      </c>
      <c r="L583" s="28" t="str">
        <f t="shared" ca="1" si="25"/>
        <v>Em dia</v>
      </c>
      <c r="M583" s="33" t="s">
        <v>50</v>
      </c>
      <c r="N583" s="28" t="s">
        <v>21</v>
      </c>
      <c r="O583" s="22" t="s">
        <v>28</v>
      </c>
      <c r="P583" s="25">
        <f t="shared" si="24"/>
        <v>45982</v>
      </c>
      <c r="Q583" s="25"/>
      <c r="R583" s="25"/>
      <c r="S583" s="7" t="s">
        <v>27</v>
      </c>
      <c r="T583" s="28">
        <v>1</v>
      </c>
    </row>
    <row r="584" spans="1:20" ht="14.25" customHeight="1">
      <c r="A584" s="22">
        <v>659</v>
      </c>
      <c r="B584" s="31">
        <v>7580</v>
      </c>
      <c r="C584" s="22" t="str">
        <f>IFERROR(VLOOKUP(B584,Colaboradores!A:D,2,),"")</f>
        <v>LUCIO JOSE DA COSTA LOPES</v>
      </c>
      <c r="D584" s="22" t="str">
        <f>IFERROR(VLOOKUP(B584,Colaboradores!A:D,3,),"")</f>
        <v>SEGURANÇA DO TRABALHO</v>
      </c>
      <c r="E584" s="22" t="str">
        <f>IFERROR(VLOOKUP(B584,Colaboradores!A:D,4,),"")</f>
        <v>TÉCNICO DE SEGURANÇA DO TRABALHO</v>
      </c>
      <c r="F584" s="22" t="s">
        <v>54</v>
      </c>
      <c r="G584" s="24" t="str">
        <f>IFERROR(VLOOKUP(F584,Procedimentos!A:C,2,),"")</f>
        <v>DIRETRIZES DE IMUNIZAÇÃO OCUPACIONAL</v>
      </c>
      <c r="H584" s="25"/>
      <c r="I584" s="25">
        <v>45890</v>
      </c>
      <c r="J584" s="22">
        <v>12</v>
      </c>
      <c r="K584" s="25">
        <f t="shared" si="26"/>
        <v>46255</v>
      </c>
      <c r="L584" s="28" t="str">
        <f t="shared" ca="1" si="25"/>
        <v>Em dia</v>
      </c>
      <c r="M584" s="33" t="s">
        <v>50</v>
      </c>
      <c r="N584" s="28" t="s">
        <v>21</v>
      </c>
      <c r="O584" s="22" t="s">
        <v>28</v>
      </c>
      <c r="P584" s="25">
        <f t="shared" si="24"/>
        <v>45982</v>
      </c>
      <c r="Q584" s="25"/>
      <c r="R584" s="25"/>
      <c r="S584" s="7" t="s">
        <v>27</v>
      </c>
      <c r="T584" s="28">
        <v>1</v>
      </c>
    </row>
    <row r="585" spans="1:20" ht="14.25" customHeight="1">
      <c r="A585" s="22">
        <v>660</v>
      </c>
      <c r="B585" s="33">
        <v>14565</v>
      </c>
      <c r="C585" s="22" t="str">
        <f>IFERROR(VLOOKUP(B585,Colaboradores!A:D,2,),"")</f>
        <v>CAMILA RODRIGUES GOMES</v>
      </c>
      <c r="D585" s="22" t="str">
        <f>IFERROR(VLOOKUP(B585,Colaboradores!A:D,3,),"")</f>
        <v>SEGURANÇA DO TRABALHO</v>
      </c>
      <c r="E585" s="22" t="str">
        <f>IFERROR(VLOOKUP(B585,Colaboradores!A:D,4,),"")</f>
        <v>TÉCNICO DE SEGURANÇA DO TRABALHO</v>
      </c>
      <c r="F585" s="22" t="s">
        <v>55</v>
      </c>
      <c r="G585" s="24" t="str">
        <f>IFERROR(VLOOKUP(F585,Procedimentos!A:C,2,),"")</f>
        <v>DIRETRIZES PARA ACOMPANHAMENTO DE AFASTADOS</v>
      </c>
      <c r="H585" s="25"/>
      <c r="I585" s="25">
        <v>45890</v>
      </c>
      <c r="J585" s="22">
        <v>12</v>
      </c>
      <c r="K585" s="25">
        <f t="shared" si="26"/>
        <v>46255</v>
      </c>
      <c r="L585" s="28" t="str">
        <f t="shared" ca="1" si="25"/>
        <v>Em dia</v>
      </c>
      <c r="M585" s="33" t="s">
        <v>50</v>
      </c>
      <c r="N585" s="28" t="s">
        <v>21</v>
      </c>
      <c r="O585" s="22" t="s">
        <v>28</v>
      </c>
      <c r="P585" s="25">
        <f t="shared" si="24"/>
        <v>45982</v>
      </c>
      <c r="Q585" s="25"/>
      <c r="R585" s="25"/>
      <c r="S585" s="7" t="s">
        <v>27</v>
      </c>
      <c r="T585" s="28">
        <v>1</v>
      </c>
    </row>
    <row r="586" spans="1:20" ht="14.25" customHeight="1">
      <c r="A586" s="22">
        <v>663</v>
      </c>
      <c r="B586" s="33">
        <v>13524</v>
      </c>
      <c r="C586" s="22" t="str">
        <f>IFERROR(VLOOKUP(B586,Colaboradores!A:D,2,),"")</f>
        <v>JOAO WILKER RIBEIRO BARROS LIMA</v>
      </c>
      <c r="D586" s="22" t="str">
        <f>IFERROR(VLOOKUP(B586,Colaboradores!A:D,3,),"")</f>
        <v>SEGURANÇA DO TRABALHO</v>
      </c>
      <c r="E586" s="22" t="str">
        <f>IFERROR(VLOOKUP(B586,Colaboradores!A:D,4,),"")</f>
        <v>COORDENADOR DE SEGURANÇA DO TRABALHO</v>
      </c>
      <c r="F586" s="22" t="s">
        <v>55</v>
      </c>
      <c r="G586" s="24" t="str">
        <f>IFERROR(VLOOKUP(F586,Procedimentos!A:C,2,),"")</f>
        <v>DIRETRIZES PARA ACOMPANHAMENTO DE AFASTADOS</v>
      </c>
      <c r="H586" s="25"/>
      <c r="I586" s="25">
        <v>45890</v>
      </c>
      <c r="J586" s="22">
        <v>12</v>
      </c>
      <c r="K586" s="25">
        <f t="shared" si="26"/>
        <v>46255</v>
      </c>
      <c r="L586" s="28" t="str">
        <f t="shared" ca="1" si="25"/>
        <v>Em dia</v>
      </c>
      <c r="M586" s="33" t="s">
        <v>50</v>
      </c>
      <c r="N586" s="28" t="s">
        <v>21</v>
      </c>
      <c r="O586" s="22" t="s">
        <v>28</v>
      </c>
      <c r="P586" s="25">
        <f t="shared" si="24"/>
        <v>45982</v>
      </c>
      <c r="Q586" s="25"/>
      <c r="R586" s="25"/>
      <c r="S586" s="7" t="s">
        <v>27</v>
      </c>
      <c r="T586" s="28">
        <v>1</v>
      </c>
    </row>
    <row r="587" spans="1:20" ht="14.25" customHeight="1">
      <c r="A587" s="22">
        <v>664</v>
      </c>
      <c r="B587" s="31">
        <v>2740</v>
      </c>
      <c r="C587" s="22" t="str">
        <f>IFERROR(VLOOKUP(B587,Colaboradores!A:D,2,),"")</f>
        <v>LUCIANA BARBOSA SODRE</v>
      </c>
      <c r="D587" s="22" t="str">
        <f>IFERROR(VLOOKUP(B587,Colaboradores!A:D,3,),"")</f>
        <v>SEGURANÇA DO TRABALHO</v>
      </c>
      <c r="E587" s="22" t="str">
        <f>IFERROR(VLOOKUP(B587,Colaboradores!A:D,4,),"")</f>
        <v>TÉCNICO DE SEGURANÇA DO TRABALHO</v>
      </c>
      <c r="F587" s="22" t="s">
        <v>55</v>
      </c>
      <c r="G587" s="24" t="str">
        <f>IFERROR(VLOOKUP(F587,Procedimentos!A:C,2,),"")</f>
        <v>DIRETRIZES PARA ACOMPANHAMENTO DE AFASTADOS</v>
      </c>
      <c r="H587" s="25"/>
      <c r="I587" s="25">
        <v>45890</v>
      </c>
      <c r="J587" s="22">
        <v>12</v>
      </c>
      <c r="K587" s="25">
        <f t="shared" si="26"/>
        <v>46255</v>
      </c>
      <c r="L587" s="28" t="str">
        <f t="shared" ca="1" si="25"/>
        <v>Em dia</v>
      </c>
      <c r="M587" s="33" t="s">
        <v>50</v>
      </c>
      <c r="N587" s="28" t="s">
        <v>21</v>
      </c>
      <c r="O587" s="22" t="s">
        <v>28</v>
      </c>
      <c r="P587" s="25">
        <f t="shared" si="24"/>
        <v>45982</v>
      </c>
      <c r="Q587" s="25"/>
      <c r="R587" s="25"/>
      <c r="S587" s="7" t="s">
        <v>27</v>
      </c>
      <c r="T587" s="28">
        <v>1</v>
      </c>
    </row>
    <row r="588" spans="1:20" ht="14.25" customHeight="1">
      <c r="A588" s="22">
        <v>665</v>
      </c>
      <c r="B588" s="31">
        <v>7580</v>
      </c>
      <c r="C588" s="22" t="str">
        <f>IFERROR(VLOOKUP(B588,Colaboradores!A:D,2,),"")</f>
        <v>LUCIO JOSE DA COSTA LOPES</v>
      </c>
      <c r="D588" s="22" t="str">
        <f>IFERROR(VLOOKUP(B588,Colaboradores!A:D,3,),"")</f>
        <v>SEGURANÇA DO TRABALHO</v>
      </c>
      <c r="E588" s="22" t="str">
        <f>IFERROR(VLOOKUP(B588,Colaboradores!A:D,4,),"")</f>
        <v>TÉCNICO DE SEGURANÇA DO TRABALHO</v>
      </c>
      <c r="F588" s="22" t="s">
        <v>55</v>
      </c>
      <c r="G588" s="24" t="str">
        <f>IFERROR(VLOOKUP(F588,Procedimentos!A:C,2,),"")</f>
        <v>DIRETRIZES PARA ACOMPANHAMENTO DE AFASTADOS</v>
      </c>
      <c r="H588" s="25"/>
      <c r="I588" s="25">
        <v>45890</v>
      </c>
      <c r="J588" s="22">
        <v>12</v>
      </c>
      <c r="K588" s="25">
        <f t="shared" si="26"/>
        <v>46255</v>
      </c>
      <c r="L588" s="28" t="str">
        <f t="shared" ca="1" si="25"/>
        <v>Em dia</v>
      </c>
      <c r="M588" s="33" t="s">
        <v>50</v>
      </c>
      <c r="N588" s="28" t="s">
        <v>21</v>
      </c>
      <c r="O588" s="22" t="s">
        <v>28</v>
      </c>
      <c r="P588" s="25">
        <f t="shared" si="24"/>
        <v>45982</v>
      </c>
      <c r="Q588" s="25"/>
      <c r="R588" s="25"/>
      <c r="S588" s="7" t="s">
        <v>27</v>
      </c>
      <c r="T588" s="28">
        <v>1</v>
      </c>
    </row>
    <row r="589" spans="1:20" ht="14.25" customHeight="1">
      <c r="A589" s="22">
        <v>666</v>
      </c>
      <c r="B589" s="35">
        <v>13964</v>
      </c>
      <c r="C589" s="22" t="str">
        <f>IFERROR(VLOOKUP(B589,Colaboradores!A:D,2,),"")</f>
        <v>ESTER MOREIRA AMBROSIO DE CARVALHO</v>
      </c>
      <c r="D589" s="22" t="str">
        <f>IFERROR(VLOOKUP(B589,Colaboradores!A:D,3,),"")</f>
        <v>REGIONAL SUL</v>
      </c>
      <c r="E589" s="22" t="str">
        <f>IFERROR(VLOOKUP(B589,Colaboradores!A:D,4,),"")</f>
        <v>ENFERMEIRO DO TRABALHO</v>
      </c>
      <c r="F589" s="22" t="s">
        <v>49</v>
      </c>
      <c r="G589" s="24" t="str">
        <f>IFERROR(VLOOKUP(F589,Procedimentos!A:C,2,),"")</f>
        <v>DIRETRIZES PARA REALIZAÇÃO DE EXAMES OCUPACIONAIS</v>
      </c>
      <c r="H589" s="25"/>
      <c r="I589" s="25">
        <v>45890</v>
      </c>
      <c r="J589" s="22">
        <v>12</v>
      </c>
      <c r="K589" s="25">
        <f t="shared" si="26"/>
        <v>46255</v>
      </c>
      <c r="L589" s="28" t="str">
        <f t="shared" ca="1" si="25"/>
        <v>Em dia</v>
      </c>
      <c r="M589" s="33" t="s">
        <v>50</v>
      </c>
      <c r="N589" s="28" t="s">
        <v>21</v>
      </c>
      <c r="O589" s="22" t="s">
        <v>28</v>
      </c>
      <c r="P589" s="25">
        <f t="shared" si="24"/>
        <v>45982</v>
      </c>
      <c r="Q589" s="25"/>
      <c r="R589" s="25"/>
      <c r="S589" s="7" t="s">
        <v>23</v>
      </c>
      <c r="T589" s="28">
        <v>1</v>
      </c>
    </row>
    <row r="590" spans="1:20" ht="14.25" customHeight="1">
      <c r="A590" s="22">
        <v>667</v>
      </c>
      <c r="B590" s="35">
        <v>13964</v>
      </c>
      <c r="C590" s="22" t="str">
        <f>IFERROR(VLOOKUP(B590,Colaboradores!A:D,2,),"")</f>
        <v>ESTER MOREIRA AMBROSIO DE CARVALHO</v>
      </c>
      <c r="D590" s="22" t="str">
        <f>IFERROR(VLOOKUP(B590,Colaboradores!A:D,3,),"")</f>
        <v>REGIONAL SUL</v>
      </c>
      <c r="E590" s="22" t="str">
        <f>IFERROR(VLOOKUP(B590,Colaboradores!A:D,4,),"")</f>
        <v>ENFERMEIRO DO TRABALHO</v>
      </c>
      <c r="F590" s="22" t="s">
        <v>51</v>
      </c>
      <c r="G590" s="24" t="str">
        <f>IFERROR(VLOOKUP(F590,Procedimentos!A:C,2,),"")</f>
        <v>DIRETRIZES PARA ENTREGA DE ATESTADOS MÉDICOS E ODONTOLÓGICOS</v>
      </c>
      <c r="H590" s="25"/>
      <c r="I590" s="25">
        <v>45890</v>
      </c>
      <c r="J590" s="22">
        <v>12</v>
      </c>
      <c r="K590" s="25">
        <f t="shared" si="26"/>
        <v>46255</v>
      </c>
      <c r="L590" s="28" t="str">
        <f t="shared" ca="1" si="25"/>
        <v>Em dia</v>
      </c>
      <c r="M590" s="33" t="s">
        <v>50</v>
      </c>
      <c r="N590" s="28" t="s">
        <v>21</v>
      </c>
      <c r="O590" s="22" t="s">
        <v>28</v>
      </c>
      <c r="P590" s="25">
        <f t="shared" si="24"/>
        <v>45982</v>
      </c>
      <c r="Q590" s="25"/>
      <c r="R590" s="25"/>
      <c r="S590" s="7" t="s">
        <v>23</v>
      </c>
      <c r="T590" s="28">
        <v>1</v>
      </c>
    </row>
    <row r="591" spans="1:20" ht="14.25" customHeight="1">
      <c r="A591" s="22">
        <v>668</v>
      </c>
      <c r="B591" s="35">
        <v>13964</v>
      </c>
      <c r="C591" s="22" t="str">
        <f>IFERROR(VLOOKUP(B591,Colaboradores!A:D,2,),"")</f>
        <v>ESTER MOREIRA AMBROSIO DE CARVALHO</v>
      </c>
      <c r="D591" s="22" t="str">
        <f>IFERROR(VLOOKUP(B591,Colaboradores!A:D,3,),"")</f>
        <v>REGIONAL SUL</v>
      </c>
      <c r="E591" s="22" t="str">
        <f>IFERROR(VLOOKUP(B591,Colaboradores!A:D,4,),"")</f>
        <v>ENFERMEIRO DO TRABALHO</v>
      </c>
      <c r="F591" s="22" t="s">
        <v>52</v>
      </c>
      <c r="G591" s="24" t="str">
        <f>IFERROR(VLOOKUP(F591,Procedimentos!A:C,2,),"")</f>
        <v>DIRETRIZES E ACOMPANHAMENTO  DE ACIDENTE COM MATERIAL BIOLOGICO</v>
      </c>
      <c r="H591" s="25"/>
      <c r="I591" s="25">
        <v>45890</v>
      </c>
      <c r="J591" s="22">
        <v>12</v>
      </c>
      <c r="K591" s="25">
        <f t="shared" si="26"/>
        <v>46255</v>
      </c>
      <c r="L591" s="28" t="str">
        <f t="shared" ca="1" si="25"/>
        <v>Em dia</v>
      </c>
      <c r="M591" s="33" t="s">
        <v>50</v>
      </c>
      <c r="N591" s="28" t="s">
        <v>21</v>
      </c>
      <c r="O591" s="22" t="s">
        <v>28</v>
      </c>
      <c r="P591" s="25">
        <f t="shared" si="24"/>
        <v>45982</v>
      </c>
      <c r="Q591" s="25"/>
      <c r="R591" s="25"/>
      <c r="S591" s="7" t="s">
        <v>23</v>
      </c>
      <c r="T591" s="28">
        <v>1</v>
      </c>
    </row>
    <row r="592" spans="1:20" ht="14.25" customHeight="1">
      <c r="A592" s="22">
        <v>669</v>
      </c>
      <c r="B592" s="35">
        <v>13964</v>
      </c>
      <c r="C592" s="22" t="str">
        <f>IFERROR(VLOOKUP(B592,Colaboradores!A:D,2,),"")</f>
        <v>ESTER MOREIRA AMBROSIO DE CARVALHO</v>
      </c>
      <c r="D592" s="22" t="str">
        <f>IFERROR(VLOOKUP(B592,Colaboradores!A:D,3,),"")</f>
        <v>REGIONAL SUL</v>
      </c>
      <c r="E592" s="22" t="str">
        <f>IFERROR(VLOOKUP(B592,Colaboradores!A:D,4,),"")</f>
        <v>ENFERMEIRO DO TRABALHO</v>
      </c>
      <c r="F592" s="22" t="s">
        <v>53</v>
      </c>
      <c r="G592" s="24" t="str">
        <f>IFERROR(VLOOKUP(F592,Procedimentos!A:C,2,),"")</f>
        <v>DIRETRIZES PARA MONITORAMENTO DE GESTANTE</v>
      </c>
      <c r="H592" s="25"/>
      <c r="I592" s="25">
        <v>45890</v>
      </c>
      <c r="J592" s="22">
        <v>12</v>
      </c>
      <c r="K592" s="25">
        <f t="shared" si="26"/>
        <v>46255</v>
      </c>
      <c r="L592" s="28" t="str">
        <f t="shared" ca="1" si="25"/>
        <v>Em dia</v>
      </c>
      <c r="M592" s="33" t="s">
        <v>50</v>
      </c>
      <c r="N592" s="28" t="s">
        <v>21</v>
      </c>
      <c r="O592" s="22" t="s">
        <v>28</v>
      </c>
      <c r="P592" s="25">
        <f t="shared" si="24"/>
        <v>45982</v>
      </c>
      <c r="Q592" s="25"/>
      <c r="R592" s="25"/>
      <c r="S592" s="7" t="s">
        <v>23</v>
      </c>
      <c r="T592" s="28">
        <v>1</v>
      </c>
    </row>
    <row r="593" spans="1:20" ht="14.25" customHeight="1">
      <c r="A593" s="22">
        <v>670</v>
      </c>
      <c r="B593" s="35">
        <v>13964</v>
      </c>
      <c r="C593" s="22" t="str">
        <f>IFERROR(VLOOKUP(B593,Colaboradores!A:D,2,),"")</f>
        <v>ESTER MOREIRA AMBROSIO DE CARVALHO</v>
      </c>
      <c r="D593" s="22" t="str">
        <f>IFERROR(VLOOKUP(B593,Colaboradores!A:D,3,),"")</f>
        <v>REGIONAL SUL</v>
      </c>
      <c r="E593" s="22" t="str">
        <f>IFERROR(VLOOKUP(B593,Colaboradores!A:D,4,),"")</f>
        <v>ENFERMEIRO DO TRABALHO</v>
      </c>
      <c r="F593" s="22" t="s">
        <v>54</v>
      </c>
      <c r="G593" s="24" t="str">
        <f>IFERROR(VLOOKUP(F593,Procedimentos!A:C,2,),"")</f>
        <v>DIRETRIZES DE IMUNIZAÇÃO OCUPACIONAL</v>
      </c>
      <c r="H593" s="25"/>
      <c r="I593" s="25">
        <v>45890</v>
      </c>
      <c r="J593" s="22">
        <v>12</v>
      </c>
      <c r="K593" s="25">
        <f t="shared" si="26"/>
        <v>46255</v>
      </c>
      <c r="L593" s="28" t="str">
        <f t="shared" ca="1" si="25"/>
        <v>Em dia</v>
      </c>
      <c r="M593" s="33" t="s">
        <v>50</v>
      </c>
      <c r="N593" s="28" t="s">
        <v>21</v>
      </c>
      <c r="O593" s="22" t="s">
        <v>28</v>
      </c>
      <c r="P593" s="25">
        <f t="shared" si="24"/>
        <v>45982</v>
      </c>
      <c r="Q593" s="25"/>
      <c r="R593" s="25"/>
      <c r="S593" s="7" t="s">
        <v>23</v>
      </c>
      <c r="T593" s="28">
        <v>1</v>
      </c>
    </row>
    <row r="594" spans="1:20" ht="14.25" customHeight="1">
      <c r="A594" s="22">
        <v>671</v>
      </c>
      <c r="B594" s="35">
        <v>13964</v>
      </c>
      <c r="C594" s="22" t="str">
        <f>IFERROR(VLOOKUP(B594,Colaboradores!A:D,2,),"")</f>
        <v>ESTER MOREIRA AMBROSIO DE CARVALHO</v>
      </c>
      <c r="D594" s="22" t="str">
        <f>IFERROR(VLOOKUP(B594,Colaboradores!A:D,3,),"")</f>
        <v>REGIONAL SUL</v>
      </c>
      <c r="E594" s="22" t="str">
        <f>IFERROR(VLOOKUP(B594,Colaboradores!A:D,4,),"")</f>
        <v>ENFERMEIRO DO TRABALHO</v>
      </c>
      <c r="F594" s="22" t="s">
        <v>55</v>
      </c>
      <c r="G594" s="24" t="str">
        <f>IFERROR(VLOOKUP(F594,Procedimentos!A:C,2,),"")</f>
        <v>DIRETRIZES PARA ACOMPANHAMENTO DE AFASTADOS</v>
      </c>
      <c r="H594" s="25"/>
      <c r="I594" s="25">
        <v>45890</v>
      </c>
      <c r="J594" s="22">
        <v>12</v>
      </c>
      <c r="K594" s="25">
        <f t="shared" si="26"/>
        <v>46255</v>
      </c>
      <c r="L594" s="28" t="str">
        <f t="shared" ca="1" si="25"/>
        <v>Em dia</v>
      </c>
      <c r="M594" s="33" t="s">
        <v>50</v>
      </c>
      <c r="N594" s="28" t="s">
        <v>21</v>
      </c>
      <c r="O594" s="22" t="s">
        <v>28</v>
      </c>
      <c r="P594" s="25">
        <f t="shared" si="24"/>
        <v>45982</v>
      </c>
      <c r="Q594" s="25"/>
      <c r="R594" s="25"/>
      <c r="S594" s="7" t="s">
        <v>23</v>
      </c>
      <c r="T594" s="28">
        <v>1</v>
      </c>
    </row>
    <row r="595" spans="1:20" ht="14.25" customHeight="1">
      <c r="A595" s="22">
        <v>672</v>
      </c>
      <c r="B595" s="35">
        <v>12330</v>
      </c>
      <c r="C595" s="22" t="str">
        <f>IFERROR(VLOOKUP(B595,Colaboradores!A:D,2,),"")</f>
        <v>BIANCA GUEDES SILVA ALMEIDA</v>
      </c>
      <c r="D595" s="22" t="str">
        <f>IFERROR(VLOOKUP(B595,Colaboradores!A:D,3,),"")</f>
        <v>SAÚDE OCUPACIONAL</v>
      </c>
      <c r="E595" s="22" t="str">
        <f>IFERROR(VLOOKUP(B595,Colaboradores!A:D,4,),"")</f>
        <v>NUTRICIONISTA</v>
      </c>
      <c r="F595" s="22" t="s">
        <v>49</v>
      </c>
      <c r="G595" s="24" t="str">
        <f>IFERROR(VLOOKUP(F595,Procedimentos!A:C,2,),"")</f>
        <v>DIRETRIZES PARA REALIZAÇÃO DE EXAMES OCUPACIONAIS</v>
      </c>
      <c r="H595" s="25"/>
      <c r="I595" s="25">
        <v>45890</v>
      </c>
      <c r="J595" s="22">
        <v>12</v>
      </c>
      <c r="K595" s="25">
        <f t="shared" si="26"/>
        <v>46255</v>
      </c>
      <c r="L595" s="28" t="str">
        <f t="shared" ca="1" si="25"/>
        <v>Em dia</v>
      </c>
      <c r="M595" s="33" t="s">
        <v>50</v>
      </c>
      <c r="N595" s="28" t="s">
        <v>21</v>
      </c>
      <c r="O595" s="22" t="s">
        <v>28</v>
      </c>
      <c r="P595" s="25">
        <f t="shared" si="24"/>
        <v>45982</v>
      </c>
      <c r="Q595" s="25"/>
      <c r="R595" s="25"/>
      <c r="S595" s="7" t="s">
        <v>23</v>
      </c>
      <c r="T595" s="28">
        <v>1</v>
      </c>
    </row>
    <row r="596" spans="1:20" ht="14.25" customHeight="1">
      <c r="A596" s="22">
        <v>673</v>
      </c>
      <c r="B596" s="35">
        <v>15059</v>
      </c>
      <c r="C596" s="22" t="str">
        <f>IFERROR(VLOOKUP(B596,Colaboradores!A:D,2,),"")</f>
        <v>GUILHERME LEÃO DOS SANTOS</v>
      </c>
      <c r="D596" s="22" t="str">
        <f>IFERROR(VLOOKUP(B596,Colaboradores!A:D,3,),"")</f>
        <v>SAÚDE OCUPACIONAL</v>
      </c>
      <c r="E596" s="22" t="str">
        <f>IFERROR(VLOOKUP(B596,Colaboradores!A:D,4,),"")</f>
        <v>ASSISTENTE ADMINISTRATIVO</v>
      </c>
      <c r="F596" s="22" t="s">
        <v>49</v>
      </c>
      <c r="G596" s="24" t="str">
        <f>IFERROR(VLOOKUP(F596,Procedimentos!A:C,2,),"")</f>
        <v>DIRETRIZES PARA REALIZAÇÃO DE EXAMES OCUPACIONAIS</v>
      </c>
      <c r="H596" s="25"/>
      <c r="I596" s="25">
        <v>45890</v>
      </c>
      <c r="J596" s="22">
        <v>12</v>
      </c>
      <c r="K596" s="25">
        <f t="shared" si="26"/>
        <v>46255</v>
      </c>
      <c r="L596" s="28" t="str">
        <f t="shared" ca="1" si="25"/>
        <v>Em dia</v>
      </c>
      <c r="M596" s="33" t="s">
        <v>50</v>
      </c>
      <c r="N596" s="28" t="s">
        <v>21</v>
      </c>
      <c r="O596" s="22" t="s">
        <v>28</v>
      </c>
      <c r="P596" s="25">
        <f t="shared" si="24"/>
        <v>45982</v>
      </c>
      <c r="Q596" s="25"/>
      <c r="R596" s="25"/>
      <c r="S596" s="7" t="s">
        <v>23</v>
      </c>
      <c r="T596" s="28">
        <v>1</v>
      </c>
    </row>
    <row r="597" spans="1:20" ht="14.25" customHeight="1">
      <c r="A597" s="22">
        <v>674</v>
      </c>
      <c r="B597" s="35">
        <v>14499</v>
      </c>
      <c r="C597" s="22" t="str">
        <f>IFERROR(VLOOKUP(B597,Colaboradores!A:D,2,),"")</f>
        <v>SAMIRIS COSTA DA SILVA</v>
      </c>
      <c r="D597" s="22" t="str">
        <f>IFERROR(VLOOKUP(B597,Colaboradores!A:D,3,),"")</f>
        <v>SAÚDE OCUPACIONAL</v>
      </c>
      <c r="E597" s="22" t="str">
        <f>IFERROR(VLOOKUP(B597,Colaboradores!A:D,4,),"")</f>
        <v>PSICÓLOGA</v>
      </c>
      <c r="F597" s="22" t="s">
        <v>49</v>
      </c>
      <c r="G597" s="24" t="str">
        <f>IFERROR(VLOOKUP(F597,Procedimentos!A:C,2,),"")</f>
        <v>DIRETRIZES PARA REALIZAÇÃO DE EXAMES OCUPACIONAIS</v>
      </c>
      <c r="H597" s="25"/>
      <c r="I597" s="25">
        <v>45890</v>
      </c>
      <c r="J597" s="22">
        <v>12</v>
      </c>
      <c r="K597" s="25">
        <f t="shared" si="26"/>
        <v>46255</v>
      </c>
      <c r="L597" s="28" t="str">
        <f t="shared" ca="1" si="25"/>
        <v>Em dia</v>
      </c>
      <c r="M597" s="33" t="s">
        <v>50</v>
      </c>
      <c r="N597" s="28" t="s">
        <v>21</v>
      </c>
      <c r="O597" s="22" t="s">
        <v>28</v>
      </c>
      <c r="P597" s="25">
        <f t="shared" si="24"/>
        <v>45982</v>
      </c>
      <c r="Q597" s="25"/>
      <c r="R597" s="25"/>
      <c r="S597" s="7" t="s">
        <v>23</v>
      </c>
      <c r="T597" s="28">
        <v>1</v>
      </c>
    </row>
    <row r="598" spans="1:20" ht="14.25" customHeight="1">
      <c r="A598" s="22">
        <v>675</v>
      </c>
      <c r="B598" s="35">
        <v>14083</v>
      </c>
      <c r="C598" s="22" t="str">
        <f>IFERROR(VLOOKUP(B598,Colaboradores!A:D,2,),"")</f>
        <v>TAHYNAN FREITAS SILVA COSTA</v>
      </c>
      <c r="D598" s="22" t="str">
        <f>IFERROR(VLOOKUP(B598,Colaboradores!A:D,3,),"")</f>
        <v>SAÚDE OCUPACIONAL</v>
      </c>
      <c r="E598" s="22" t="str">
        <f>IFERROR(VLOOKUP(B598,Colaboradores!A:D,4,),"")</f>
        <v>TÉCNICO DE ENFERMAGEM DO TRABALHO</v>
      </c>
      <c r="F598" s="22" t="s">
        <v>49</v>
      </c>
      <c r="G598" s="24" t="str">
        <f>IFERROR(VLOOKUP(F598,Procedimentos!A:C,2,),"")</f>
        <v>DIRETRIZES PARA REALIZAÇÃO DE EXAMES OCUPACIONAIS</v>
      </c>
      <c r="H598" s="25"/>
      <c r="I598" s="25">
        <v>45890</v>
      </c>
      <c r="J598" s="22">
        <v>12</v>
      </c>
      <c r="K598" s="25">
        <f t="shared" si="26"/>
        <v>46255</v>
      </c>
      <c r="L598" s="28" t="str">
        <f t="shared" ca="1" si="25"/>
        <v>Em dia</v>
      </c>
      <c r="M598" s="33" t="s">
        <v>50</v>
      </c>
      <c r="N598" s="28" t="s">
        <v>21</v>
      </c>
      <c r="O598" s="22" t="s">
        <v>28</v>
      </c>
      <c r="P598" s="25">
        <f t="shared" si="24"/>
        <v>45982</v>
      </c>
      <c r="Q598" s="25"/>
      <c r="R598" s="25"/>
      <c r="S598" s="7" t="s">
        <v>23</v>
      </c>
      <c r="T598" s="28">
        <v>1</v>
      </c>
    </row>
    <row r="599" spans="1:20" ht="14.25" customHeight="1">
      <c r="A599" s="22">
        <v>676</v>
      </c>
      <c r="B599" s="35">
        <v>12330</v>
      </c>
      <c r="C599" s="22" t="str">
        <f>IFERROR(VLOOKUP(B599,Colaboradores!A:D,2,),"")</f>
        <v>BIANCA GUEDES SILVA ALMEIDA</v>
      </c>
      <c r="D599" s="22" t="str">
        <f>IFERROR(VLOOKUP(B599,Colaboradores!A:D,3,),"")</f>
        <v>SAÚDE OCUPACIONAL</v>
      </c>
      <c r="E599" s="22" t="str">
        <f>IFERROR(VLOOKUP(B599,Colaboradores!A:D,4,),"")</f>
        <v>NUTRICIONISTA</v>
      </c>
      <c r="F599" s="22" t="s">
        <v>51</v>
      </c>
      <c r="G599" s="24" t="str">
        <f>IFERROR(VLOOKUP(F599,Procedimentos!A:C,2,),"")</f>
        <v>DIRETRIZES PARA ENTREGA DE ATESTADOS MÉDICOS E ODONTOLÓGICOS</v>
      </c>
      <c r="H599" s="25"/>
      <c r="I599" s="25">
        <v>45875</v>
      </c>
      <c r="J599" s="22">
        <v>12</v>
      </c>
      <c r="K599" s="25">
        <f t="shared" si="26"/>
        <v>46240</v>
      </c>
      <c r="L599" s="28" t="str">
        <f t="shared" ca="1" si="25"/>
        <v>Em dia</v>
      </c>
      <c r="M599" s="33" t="s">
        <v>50</v>
      </c>
      <c r="N599" s="28" t="s">
        <v>21</v>
      </c>
      <c r="O599" s="22" t="s">
        <v>28</v>
      </c>
      <c r="P599" s="25">
        <f t="shared" si="24"/>
        <v>45967</v>
      </c>
      <c r="Q599" s="25"/>
      <c r="R599" s="25"/>
      <c r="S599" s="7" t="s">
        <v>27</v>
      </c>
      <c r="T599" s="28">
        <v>1</v>
      </c>
    </row>
    <row r="600" spans="1:20" ht="14.25" customHeight="1">
      <c r="A600" s="22">
        <v>677</v>
      </c>
      <c r="B600" s="35">
        <v>15059</v>
      </c>
      <c r="C600" s="22" t="str">
        <f>IFERROR(VLOOKUP(B600,Colaboradores!A:D,2,),"")</f>
        <v>GUILHERME LEÃO DOS SANTOS</v>
      </c>
      <c r="D600" s="22" t="str">
        <f>IFERROR(VLOOKUP(B600,Colaboradores!A:D,3,),"")</f>
        <v>SAÚDE OCUPACIONAL</v>
      </c>
      <c r="E600" s="22" t="str">
        <f>IFERROR(VLOOKUP(B600,Colaboradores!A:D,4,),"")</f>
        <v>ASSISTENTE ADMINISTRATIVO</v>
      </c>
      <c r="F600" s="22" t="s">
        <v>51</v>
      </c>
      <c r="G600" s="24" t="str">
        <f>IFERROR(VLOOKUP(F600,Procedimentos!A:C,2,),"")</f>
        <v>DIRETRIZES PARA ENTREGA DE ATESTADOS MÉDICOS E ODONTOLÓGICOS</v>
      </c>
      <c r="H600" s="25"/>
      <c r="I600" s="25">
        <v>45875</v>
      </c>
      <c r="J600" s="22">
        <v>12</v>
      </c>
      <c r="K600" s="25">
        <f t="shared" si="26"/>
        <v>46240</v>
      </c>
      <c r="L600" s="28" t="str">
        <f t="shared" ca="1" si="25"/>
        <v>Em dia</v>
      </c>
      <c r="M600" s="33" t="s">
        <v>50</v>
      </c>
      <c r="N600" s="28" t="s">
        <v>21</v>
      </c>
      <c r="O600" s="22" t="s">
        <v>28</v>
      </c>
      <c r="P600" s="25">
        <f t="shared" si="24"/>
        <v>45967</v>
      </c>
      <c r="Q600" s="25"/>
      <c r="R600" s="25"/>
      <c r="S600" s="7" t="s">
        <v>27</v>
      </c>
      <c r="T600" s="28">
        <v>1</v>
      </c>
    </row>
    <row r="601" spans="1:20" ht="14.25" customHeight="1">
      <c r="A601" s="22">
        <v>678</v>
      </c>
      <c r="B601" s="35">
        <v>7601</v>
      </c>
      <c r="C601" s="22" t="str">
        <f>IFERROR(VLOOKUP(B601,Colaboradores!A:D,2,),"")</f>
        <v>RAYANE BEZERRA DE JESUS</v>
      </c>
      <c r="D601" s="22" t="str">
        <f>IFERROR(VLOOKUP(B601,Colaboradores!A:D,3,),"")</f>
        <v>SAÚDE OCUPACIONAL</v>
      </c>
      <c r="E601" s="22" t="str">
        <f>IFERROR(VLOOKUP(B601,Colaboradores!A:D,4,),"")</f>
        <v>TÉCNICO DE ENFERMAGEM DO TRABALHO</v>
      </c>
      <c r="F601" s="22" t="s">
        <v>51</v>
      </c>
      <c r="G601" s="24" t="str">
        <f>IFERROR(VLOOKUP(F601,Procedimentos!A:C,2,),"")</f>
        <v>DIRETRIZES PARA ENTREGA DE ATESTADOS MÉDICOS E ODONTOLÓGICOS</v>
      </c>
      <c r="H601" s="25"/>
      <c r="I601" s="25">
        <v>45875</v>
      </c>
      <c r="J601" s="22">
        <v>12</v>
      </c>
      <c r="K601" s="25">
        <f t="shared" si="26"/>
        <v>46240</v>
      </c>
      <c r="L601" s="28" t="str">
        <f t="shared" ca="1" si="25"/>
        <v>Em dia</v>
      </c>
      <c r="M601" s="33" t="s">
        <v>50</v>
      </c>
      <c r="N601" s="28" t="s">
        <v>21</v>
      </c>
      <c r="O601" s="22" t="s">
        <v>28</v>
      </c>
      <c r="P601" s="25">
        <f t="shared" si="24"/>
        <v>45967</v>
      </c>
      <c r="Q601" s="25"/>
      <c r="R601" s="25"/>
      <c r="S601" s="7" t="s">
        <v>27</v>
      </c>
      <c r="T601" s="28">
        <v>1</v>
      </c>
    </row>
    <row r="602" spans="1:20" ht="14.25" customHeight="1">
      <c r="A602" s="22">
        <v>679</v>
      </c>
      <c r="B602" s="35">
        <v>14499</v>
      </c>
      <c r="C602" s="22" t="str">
        <f>IFERROR(VLOOKUP(B602,Colaboradores!A:D,2,),"")</f>
        <v>SAMIRIS COSTA DA SILVA</v>
      </c>
      <c r="D602" s="22" t="str">
        <f>IFERROR(VLOOKUP(B602,Colaboradores!A:D,3,),"")</f>
        <v>SAÚDE OCUPACIONAL</v>
      </c>
      <c r="E602" s="22" t="str">
        <f>IFERROR(VLOOKUP(B602,Colaboradores!A:D,4,),"")</f>
        <v>PSICÓLOGA</v>
      </c>
      <c r="F602" s="22" t="s">
        <v>51</v>
      </c>
      <c r="G602" s="24" t="str">
        <f>IFERROR(VLOOKUP(F602,Procedimentos!A:C,2,),"")</f>
        <v>DIRETRIZES PARA ENTREGA DE ATESTADOS MÉDICOS E ODONTOLÓGICOS</v>
      </c>
      <c r="H602" s="25"/>
      <c r="I602" s="25">
        <v>45875</v>
      </c>
      <c r="J602" s="22">
        <v>12</v>
      </c>
      <c r="K602" s="25">
        <f t="shared" si="26"/>
        <v>46240</v>
      </c>
      <c r="L602" s="28" t="str">
        <f t="shared" ca="1" si="25"/>
        <v>Em dia</v>
      </c>
      <c r="M602" s="33" t="s">
        <v>50</v>
      </c>
      <c r="N602" s="28" t="s">
        <v>21</v>
      </c>
      <c r="O602" s="22" t="s">
        <v>28</v>
      </c>
      <c r="P602" s="25">
        <f t="shared" si="24"/>
        <v>45967</v>
      </c>
      <c r="Q602" s="25"/>
      <c r="R602" s="25"/>
      <c r="S602" s="7" t="s">
        <v>27</v>
      </c>
      <c r="T602" s="28">
        <v>1</v>
      </c>
    </row>
    <row r="603" spans="1:20" ht="14.25" customHeight="1">
      <c r="A603" s="22">
        <v>681</v>
      </c>
      <c r="B603" s="35">
        <v>12330</v>
      </c>
      <c r="C603" s="22" t="str">
        <f>IFERROR(VLOOKUP(B603,Colaboradores!A:D,2,),"")</f>
        <v>BIANCA GUEDES SILVA ALMEIDA</v>
      </c>
      <c r="D603" s="22" t="str">
        <f>IFERROR(VLOOKUP(B603,Colaboradores!A:D,3,),"")</f>
        <v>SAÚDE OCUPACIONAL</v>
      </c>
      <c r="E603" s="22" t="str">
        <f>IFERROR(VLOOKUP(B603,Colaboradores!A:D,4,),"")</f>
        <v>NUTRICIONISTA</v>
      </c>
      <c r="F603" s="22" t="s">
        <v>52</v>
      </c>
      <c r="G603" s="24" t="str">
        <f>IFERROR(VLOOKUP(F603,Procedimentos!A:C,2,),"")</f>
        <v>DIRETRIZES E ACOMPANHAMENTO  DE ACIDENTE COM MATERIAL BIOLOGICO</v>
      </c>
      <c r="H603" s="25"/>
      <c r="I603" s="25">
        <v>45875</v>
      </c>
      <c r="J603" s="22">
        <v>12</v>
      </c>
      <c r="K603" s="25">
        <f t="shared" si="26"/>
        <v>46240</v>
      </c>
      <c r="L603" s="28" t="str">
        <f t="shared" ca="1" si="25"/>
        <v>Em dia</v>
      </c>
      <c r="M603" s="33" t="s">
        <v>50</v>
      </c>
      <c r="N603" s="28" t="s">
        <v>21</v>
      </c>
      <c r="O603" s="22" t="s">
        <v>28</v>
      </c>
      <c r="P603" s="25">
        <f t="shared" si="24"/>
        <v>45967</v>
      </c>
      <c r="Q603" s="25"/>
      <c r="R603" s="25"/>
      <c r="S603" s="7" t="s">
        <v>27</v>
      </c>
      <c r="T603" s="28">
        <v>1</v>
      </c>
    </row>
    <row r="604" spans="1:20" ht="14.25" customHeight="1">
      <c r="A604" s="22">
        <v>682</v>
      </c>
      <c r="B604" s="35">
        <v>15059</v>
      </c>
      <c r="C604" s="22" t="str">
        <f>IFERROR(VLOOKUP(B604,Colaboradores!A:D,2,),"")</f>
        <v>GUILHERME LEÃO DOS SANTOS</v>
      </c>
      <c r="D604" s="22" t="str">
        <f>IFERROR(VLOOKUP(B604,Colaboradores!A:D,3,),"")</f>
        <v>SAÚDE OCUPACIONAL</v>
      </c>
      <c r="E604" s="22" t="str">
        <f>IFERROR(VLOOKUP(B604,Colaboradores!A:D,4,),"")</f>
        <v>ASSISTENTE ADMINISTRATIVO</v>
      </c>
      <c r="F604" s="22" t="s">
        <v>52</v>
      </c>
      <c r="G604" s="24" t="str">
        <f>IFERROR(VLOOKUP(F604,Procedimentos!A:C,2,),"")</f>
        <v>DIRETRIZES E ACOMPANHAMENTO  DE ACIDENTE COM MATERIAL BIOLOGICO</v>
      </c>
      <c r="H604" s="25"/>
      <c r="I604" s="25">
        <v>45875</v>
      </c>
      <c r="J604" s="22">
        <v>12</v>
      </c>
      <c r="K604" s="25">
        <f t="shared" si="26"/>
        <v>46240</v>
      </c>
      <c r="L604" s="28" t="str">
        <f t="shared" ca="1" si="25"/>
        <v>Em dia</v>
      </c>
      <c r="M604" s="33" t="s">
        <v>50</v>
      </c>
      <c r="N604" s="28" t="s">
        <v>21</v>
      </c>
      <c r="O604" s="22" t="s">
        <v>28</v>
      </c>
      <c r="P604" s="25">
        <f t="shared" si="24"/>
        <v>45967</v>
      </c>
      <c r="Q604" s="25"/>
      <c r="R604" s="25"/>
      <c r="S604" s="7" t="s">
        <v>27</v>
      </c>
      <c r="T604" s="28">
        <v>1</v>
      </c>
    </row>
    <row r="605" spans="1:20" ht="14.25" customHeight="1">
      <c r="A605" s="22">
        <v>683</v>
      </c>
      <c r="B605" s="35">
        <v>14499</v>
      </c>
      <c r="C605" s="22" t="str">
        <f>IFERROR(VLOOKUP(B605,Colaboradores!A:D,2,),"")</f>
        <v>SAMIRIS COSTA DA SILVA</v>
      </c>
      <c r="D605" s="22" t="str">
        <f>IFERROR(VLOOKUP(B605,Colaboradores!A:D,3,),"")</f>
        <v>SAÚDE OCUPACIONAL</v>
      </c>
      <c r="E605" s="22" t="str">
        <f>IFERROR(VLOOKUP(B605,Colaboradores!A:D,4,),"")</f>
        <v>PSICÓLOGA</v>
      </c>
      <c r="F605" s="22" t="s">
        <v>52</v>
      </c>
      <c r="G605" s="24" t="str">
        <f>IFERROR(VLOOKUP(F605,Procedimentos!A:C,2,),"")</f>
        <v>DIRETRIZES E ACOMPANHAMENTO  DE ACIDENTE COM MATERIAL BIOLOGICO</v>
      </c>
      <c r="H605" s="25"/>
      <c r="I605" s="25">
        <v>45875</v>
      </c>
      <c r="J605" s="22">
        <v>12</v>
      </c>
      <c r="K605" s="25">
        <f t="shared" si="26"/>
        <v>46240</v>
      </c>
      <c r="L605" s="28" t="str">
        <f t="shared" ca="1" si="25"/>
        <v>Em dia</v>
      </c>
      <c r="M605" s="33" t="s">
        <v>50</v>
      </c>
      <c r="N605" s="28" t="s">
        <v>21</v>
      </c>
      <c r="O605" s="22" t="s">
        <v>28</v>
      </c>
      <c r="P605" s="25">
        <f t="shared" si="24"/>
        <v>45967</v>
      </c>
      <c r="Q605" s="25"/>
      <c r="R605" s="25"/>
      <c r="S605" s="7" t="s">
        <v>27</v>
      </c>
      <c r="T605" s="28">
        <v>1</v>
      </c>
    </row>
    <row r="606" spans="1:20" ht="14.25" customHeight="1">
      <c r="A606" s="22">
        <v>684</v>
      </c>
      <c r="B606" s="35">
        <v>12330</v>
      </c>
      <c r="C606" s="22" t="str">
        <f>IFERROR(VLOOKUP(B606,Colaboradores!A:D,2,),"")</f>
        <v>BIANCA GUEDES SILVA ALMEIDA</v>
      </c>
      <c r="D606" s="22" t="str">
        <f>IFERROR(VLOOKUP(B606,Colaboradores!A:D,3,),"")</f>
        <v>SAÚDE OCUPACIONAL</v>
      </c>
      <c r="E606" s="22" t="str">
        <f>IFERROR(VLOOKUP(B606,Colaboradores!A:D,4,),"")</f>
        <v>NUTRICIONISTA</v>
      </c>
      <c r="F606" s="22" t="s">
        <v>53</v>
      </c>
      <c r="G606" s="24" t="str">
        <f>IFERROR(VLOOKUP(F606,Procedimentos!A:C,2,),"")</f>
        <v>DIRETRIZES PARA MONITORAMENTO DE GESTANTE</v>
      </c>
      <c r="H606" s="25"/>
      <c r="I606" s="25">
        <v>45875</v>
      </c>
      <c r="J606" s="22">
        <v>12</v>
      </c>
      <c r="K606" s="25">
        <f t="shared" si="26"/>
        <v>46240</v>
      </c>
      <c r="L606" s="28" t="str">
        <f t="shared" ca="1" si="25"/>
        <v>Em dia</v>
      </c>
      <c r="M606" s="33" t="s">
        <v>50</v>
      </c>
      <c r="N606" s="28" t="s">
        <v>21</v>
      </c>
      <c r="O606" s="22" t="s">
        <v>28</v>
      </c>
      <c r="P606" s="25">
        <f t="shared" si="24"/>
        <v>45967</v>
      </c>
      <c r="Q606" s="25"/>
      <c r="R606" s="25"/>
      <c r="S606" s="7" t="s">
        <v>27</v>
      </c>
      <c r="T606" s="28">
        <v>1</v>
      </c>
    </row>
    <row r="607" spans="1:20" ht="14.25" customHeight="1">
      <c r="A607" s="22">
        <v>685</v>
      </c>
      <c r="B607" s="35">
        <v>15059</v>
      </c>
      <c r="C607" s="22" t="str">
        <f>IFERROR(VLOOKUP(B607,Colaboradores!A:D,2,),"")</f>
        <v>GUILHERME LEÃO DOS SANTOS</v>
      </c>
      <c r="D607" s="22" t="str">
        <f>IFERROR(VLOOKUP(B607,Colaboradores!A:D,3,),"")</f>
        <v>SAÚDE OCUPACIONAL</v>
      </c>
      <c r="E607" s="22" t="str">
        <f>IFERROR(VLOOKUP(B607,Colaboradores!A:D,4,),"")</f>
        <v>ASSISTENTE ADMINISTRATIVO</v>
      </c>
      <c r="F607" s="22" t="s">
        <v>53</v>
      </c>
      <c r="G607" s="24" t="str">
        <f>IFERROR(VLOOKUP(F607,Procedimentos!A:C,2,),"")</f>
        <v>DIRETRIZES PARA MONITORAMENTO DE GESTANTE</v>
      </c>
      <c r="H607" s="25"/>
      <c r="I607" s="25">
        <v>45875</v>
      </c>
      <c r="J607" s="22">
        <v>12</v>
      </c>
      <c r="K607" s="25">
        <f t="shared" si="26"/>
        <v>46240</v>
      </c>
      <c r="L607" s="28" t="str">
        <f t="shared" ca="1" si="25"/>
        <v>Em dia</v>
      </c>
      <c r="M607" s="33" t="s">
        <v>50</v>
      </c>
      <c r="N607" s="28" t="s">
        <v>21</v>
      </c>
      <c r="O607" s="22" t="s">
        <v>28</v>
      </c>
      <c r="P607" s="25">
        <f t="shared" si="24"/>
        <v>45967</v>
      </c>
      <c r="Q607" s="25"/>
      <c r="R607" s="25"/>
      <c r="S607" s="7" t="s">
        <v>27</v>
      </c>
      <c r="T607" s="28">
        <v>1</v>
      </c>
    </row>
    <row r="608" spans="1:20" ht="14.25" customHeight="1">
      <c r="A608" s="22">
        <v>686</v>
      </c>
      <c r="B608" s="35">
        <v>14499</v>
      </c>
      <c r="C608" s="22" t="str">
        <f>IFERROR(VLOOKUP(B608,Colaboradores!A:D,2,),"")</f>
        <v>SAMIRIS COSTA DA SILVA</v>
      </c>
      <c r="D608" s="22" t="str">
        <f>IFERROR(VLOOKUP(B608,Colaboradores!A:D,3,),"")</f>
        <v>SAÚDE OCUPACIONAL</v>
      </c>
      <c r="E608" s="22" t="str">
        <f>IFERROR(VLOOKUP(B608,Colaboradores!A:D,4,),"")</f>
        <v>PSICÓLOGA</v>
      </c>
      <c r="F608" s="22" t="s">
        <v>53</v>
      </c>
      <c r="G608" s="24" t="str">
        <f>IFERROR(VLOOKUP(F608,Procedimentos!A:C,2,),"")</f>
        <v>DIRETRIZES PARA MONITORAMENTO DE GESTANTE</v>
      </c>
      <c r="H608" s="25"/>
      <c r="I608" s="25">
        <v>45875</v>
      </c>
      <c r="J608" s="22">
        <v>12</v>
      </c>
      <c r="K608" s="25">
        <f t="shared" si="26"/>
        <v>46240</v>
      </c>
      <c r="L608" s="28" t="str">
        <f t="shared" ca="1" si="25"/>
        <v>Em dia</v>
      </c>
      <c r="M608" s="33" t="s">
        <v>50</v>
      </c>
      <c r="N608" s="28" t="s">
        <v>21</v>
      </c>
      <c r="O608" s="22" t="s">
        <v>28</v>
      </c>
      <c r="P608" s="25">
        <f t="shared" si="24"/>
        <v>45967</v>
      </c>
      <c r="Q608" s="25"/>
      <c r="R608" s="25"/>
      <c r="S608" s="7" t="s">
        <v>27</v>
      </c>
      <c r="T608" s="28">
        <v>1</v>
      </c>
    </row>
    <row r="609" spans="1:20" ht="14.25" customHeight="1">
      <c r="A609" s="22">
        <v>687</v>
      </c>
      <c r="B609" s="35">
        <v>14083</v>
      </c>
      <c r="C609" s="22" t="str">
        <f>IFERROR(VLOOKUP(B609,Colaboradores!A:D,2,),"")</f>
        <v>TAHYNAN FREITAS SILVA COSTA</v>
      </c>
      <c r="D609" s="22" t="str">
        <f>IFERROR(VLOOKUP(B609,Colaboradores!A:D,3,),"")</f>
        <v>SAÚDE OCUPACIONAL</v>
      </c>
      <c r="E609" s="22" t="str">
        <f>IFERROR(VLOOKUP(B609,Colaboradores!A:D,4,),"")</f>
        <v>TÉCNICO DE ENFERMAGEM DO TRABALHO</v>
      </c>
      <c r="F609" s="22" t="s">
        <v>53</v>
      </c>
      <c r="G609" s="24" t="str">
        <f>IFERROR(VLOOKUP(F609,Procedimentos!A:C,2,),"")</f>
        <v>DIRETRIZES PARA MONITORAMENTO DE GESTANTE</v>
      </c>
      <c r="H609" s="25"/>
      <c r="I609" s="25">
        <v>45875</v>
      </c>
      <c r="J609" s="22">
        <v>12</v>
      </c>
      <c r="K609" s="25">
        <f t="shared" si="26"/>
        <v>46240</v>
      </c>
      <c r="L609" s="28" t="str">
        <f t="shared" ca="1" si="25"/>
        <v>Em dia</v>
      </c>
      <c r="M609" s="33" t="s">
        <v>50</v>
      </c>
      <c r="N609" s="28" t="s">
        <v>21</v>
      </c>
      <c r="O609" s="22" t="s">
        <v>28</v>
      </c>
      <c r="P609" s="25">
        <f t="shared" si="24"/>
        <v>45967</v>
      </c>
      <c r="Q609" s="25"/>
      <c r="R609" s="25"/>
      <c r="S609" s="7" t="s">
        <v>27</v>
      </c>
      <c r="T609" s="28">
        <v>1</v>
      </c>
    </row>
    <row r="610" spans="1:20" ht="14.25" customHeight="1">
      <c r="A610" s="22">
        <v>689</v>
      </c>
      <c r="B610" s="35">
        <v>12330</v>
      </c>
      <c r="C610" s="22" t="str">
        <f>IFERROR(VLOOKUP(B610,Colaboradores!A:D,2,),"")</f>
        <v>BIANCA GUEDES SILVA ALMEIDA</v>
      </c>
      <c r="D610" s="22" t="str">
        <f>IFERROR(VLOOKUP(B610,Colaboradores!A:D,3,),"")</f>
        <v>SAÚDE OCUPACIONAL</v>
      </c>
      <c r="E610" s="22" t="str">
        <f>IFERROR(VLOOKUP(B610,Colaboradores!A:D,4,),"")</f>
        <v>NUTRICIONISTA</v>
      </c>
      <c r="F610" s="22" t="s">
        <v>54</v>
      </c>
      <c r="G610" s="24" t="str">
        <f>IFERROR(VLOOKUP(F610,Procedimentos!A:C,2,),"")</f>
        <v>DIRETRIZES DE IMUNIZAÇÃO OCUPACIONAL</v>
      </c>
      <c r="H610" s="25"/>
      <c r="I610" s="25">
        <v>45875</v>
      </c>
      <c r="J610" s="22">
        <v>12</v>
      </c>
      <c r="K610" s="25">
        <f t="shared" si="26"/>
        <v>46240</v>
      </c>
      <c r="L610" s="28" t="str">
        <f t="shared" ca="1" si="25"/>
        <v>Em dia</v>
      </c>
      <c r="M610" s="33" t="s">
        <v>50</v>
      </c>
      <c r="N610" s="28" t="s">
        <v>21</v>
      </c>
      <c r="O610" s="22" t="s">
        <v>28</v>
      </c>
      <c r="P610" s="25">
        <f t="shared" si="24"/>
        <v>45967</v>
      </c>
      <c r="Q610" s="25"/>
      <c r="R610" s="25"/>
      <c r="S610" s="7" t="s">
        <v>27</v>
      </c>
      <c r="T610" s="28">
        <v>1</v>
      </c>
    </row>
    <row r="611" spans="1:20" ht="14.25" customHeight="1">
      <c r="A611" s="22">
        <v>690</v>
      </c>
      <c r="B611" s="35">
        <v>15059</v>
      </c>
      <c r="C611" s="22" t="str">
        <f>IFERROR(VLOOKUP(B611,Colaboradores!A:D,2,),"")</f>
        <v>GUILHERME LEÃO DOS SANTOS</v>
      </c>
      <c r="D611" s="22" t="str">
        <f>IFERROR(VLOOKUP(B611,Colaboradores!A:D,3,),"")</f>
        <v>SAÚDE OCUPACIONAL</v>
      </c>
      <c r="E611" s="22" t="str">
        <f>IFERROR(VLOOKUP(B611,Colaboradores!A:D,4,),"")</f>
        <v>ASSISTENTE ADMINISTRATIVO</v>
      </c>
      <c r="F611" s="22" t="s">
        <v>54</v>
      </c>
      <c r="G611" s="24" t="str">
        <f>IFERROR(VLOOKUP(F611,Procedimentos!A:C,2,),"")</f>
        <v>DIRETRIZES DE IMUNIZAÇÃO OCUPACIONAL</v>
      </c>
      <c r="H611" s="25"/>
      <c r="I611" s="25">
        <v>45875</v>
      </c>
      <c r="J611" s="22">
        <v>12</v>
      </c>
      <c r="K611" s="25">
        <f t="shared" si="26"/>
        <v>46240</v>
      </c>
      <c r="L611" s="28" t="str">
        <f t="shared" ca="1" si="25"/>
        <v>Em dia</v>
      </c>
      <c r="M611" s="33" t="s">
        <v>50</v>
      </c>
      <c r="N611" s="28" t="s">
        <v>21</v>
      </c>
      <c r="O611" s="22" t="s">
        <v>28</v>
      </c>
      <c r="P611" s="25">
        <f t="shared" si="24"/>
        <v>45967</v>
      </c>
      <c r="Q611" s="25"/>
      <c r="R611" s="25"/>
      <c r="S611" s="7" t="s">
        <v>27</v>
      </c>
      <c r="T611" s="28">
        <v>1</v>
      </c>
    </row>
    <row r="612" spans="1:20" ht="14.25" customHeight="1">
      <c r="A612" s="22">
        <v>691</v>
      </c>
      <c r="B612" s="35">
        <v>14499</v>
      </c>
      <c r="C612" s="22" t="str">
        <f>IFERROR(VLOOKUP(B612,Colaboradores!A:D,2,),"")</f>
        <v>SAMIRIS COSTA DA SILVA</v>
      </c>
      <c r="D612" s="22" t="str">
        <f>IFERROR(VLOOKUP(B612,Colaboradores!A:D,3,),"")</f>
        <v>SAÚDE OCUPACIONAL</v>
      </c>
      <c r="E612" s="22" t="str">
        <f>IFERROR(VLOOKUP(B612,Colaboradores!A:D,4,),"")</f>
        <v>PSICÓLOGA</v>
      </c>
      <c r="F612" s="22" t="s">
        <v>54</v>
      </c>
      <c r="G612" s="24" t="str">
        <f>IFERROR(VLOOKUP(F612,Procedimentos!A:C,2,),"")</f>
        <v>DIRETRIZES DE IMUNIZAÇÃO OCUPACIONAL</v>
      </c>
      <c r="H612" s="25"/>
      <c r="I612" s="25">
        <v>45875</v>
      </c>
      <c r="J612" s="22">
        <v>12</v>
      </c>
      <c r="K612" s="25">
        <f t="shared" si="26"/>
        <v>46240</v>
      </c>
      <c r="L612" s="28" t="str">
        <f t="shared" ca="1" si="25"/>
        <v>Em dia</v>
      </c>
      <c r="M612" s="33" t="s">
        <v>50</v>
      </c>
      <c r="N612" s="28" t="s">
        <v>21</v>
      </c>
      <c r="O612" s="22" t="s">
        <v>28</v>
      </c>
      <c r="P612" s="25">
        <f t="shared" ref="P612:P675" si="27">EDATE(I612,3)</f>
        <v>45967</v>
      </c>
      <c r="Q612" s="25"/>
      <c r="R612" s="25"/>
      <c r="S612" s="7" t="s">
        <v>27</v>
      </c>
      <c r="T612" s="28">
        <v>1</v>
      </c>
    </row>
    <row r="613" spans="1:20" ht="14.25" customHeight="1">
      <c r="A613" s="22">
        <v>692</v>
      </c>
      <c r="B613" s="35">
        <v>14083</v>
      </c>
      <c r="C613" s="22" t="str">
        <f>IFERROR(VLOOKUP(B613,Colaboradores!A:D,2,),"")</f>
        <v>TAHYNAN FREITAS SILVA COSTA</v>
      </c>
      <c r="D613" s="22" t="str">
        <f>IFERROR(VLOOKUP(B613,Colaboradores!A:D,3,),"")</f>
        <v>SAÚDE OCUPACIONAL</v>
      </c>
      <c r="E613" s="22" t="str">
        <f>IFERROR(VLOOKUP(B613,Colaboradores!A:D,4,),"")</f>
        <v>TÉCNICO DE ENFERMAGEM DO TRABALHO</v>
      </c>
      <c r="F613" s="22" t="s">
        <v>54</v>
      </c>
      <c r="G613" s="24" t="str">
        <f>IFERROR(VLOOKUP(F613,Procedimentos!A:C,2,),"")</f>
        <v>DIRETRIZES DE IMUNIZAÇÃO OCUPACIONAL</v>
      </c>
      <c r="H613" s="25"/>
      <c r="I613" s="25">
        <v>45875</v>
      </c>
      <c r="J613" s="22">
        <v>12</v>
      </c>
      <c r="K613" s="25">
        <f t="shared" si="26"/>
        <v>46240</v>
      </c>
      <c r="L613" s="28" t="str">
        <f t="shared" ca="1" si="25"/>
        <v>Em dia</v>
      </c>
      <c r="M613" s="33" t="s">
        <v>50</v>
      </c>
      <c r="N613" s="28" t="s">
        <v>21</v>
      </c>
      <c r="O613" s="22" t="s">
        <v>28</v>
      </c>
      <c r="P613" s="25">
        <f t="shared" si="27"/>
        <v>45967</v>
      </c>
      <c r="Q613" s="25"/>
      <c r="R613" s="25"/>
      <c r="S613" s="7" t="s">
        <v>27</v>
      </c>
      <c r="T613" s="28">
        <v>1</v>
      </c>
    </row>
    <row r="614" spans="1:20" ht="14.25" customHeight="1">
      <c r="A614" s="22">
        <v>694</v>
      </c>
      <c r="B614" s="35">
        <v>12330</v>
      </c>
      <c r="C614" s="22" t="str">
        <f>IFERROR(VLOOKUP(B614,Colaboradores!A:D,2,),"")</f>
        <v>BIANCA GUEDES SILVA ALMEIDA</v>
      </c>
      <c r="D614" s="22" t="str">
        <f>IFERROR(VLOOKUP(B614,Colaboradores!A:D,3,),"")</f>
        <v>SAÚDE OCUPACIONAL</v>
      </c>
      <c r="E614" s="22" t="str">
        <f>IFERROR(VLOOKUP(B614,Colaboradores!A:D,4,),"")</f>
        <v>NUTRICIONISTA</v>
      </c>
      <c r="F614" s="22" t="s">
        <v>55</v>
      </c>
      <c r="G614" s="24" t="str">
        <f>IFERROR(VLOOKUP(F614,Procedimentos!A:C,2,),"")</f>
        <v>DIRETRIZES PARA ACOMPANHAMENTO DE AFASTADOS</v>
      </c>
      <c r="H614" s="25"/>
      <c r="I614" s="25">
        <v>45875</v>
      </c>
      <c r="J614" s="22">
        <v>12</v>
      </c>
      <c r="K614" s="25">
        <f t="shared" si="26"/>
        <v>46240</v>
      </c>
      <c r="L614" s="28" t="str">
        <f t="shared" ca="1" si="25"/>
        <v>Em dia</v>
      </c>
      <c r="M614" s="33" t="s">
        <v>50</v>
      </c>
      <c r="N614" s="28" t="s">
        <v>21</v>
      </c>
      <c r="O614" s="22" t="s">
        <v>28</v>
      </c>
      <c r="P614" s="25">
        <f t="shared" si="27"/>
        <v>45967</v>
      </c>
      <c r="Q614" s="25"/>
      <c r="R614" s="25"/>
      <c r="S614" s="7" t="s">
        <v>27</v>
      </c>
      <c r="T614" s="28">
        <v>1</v>
      </c>
    </row>
    <row r="615" spans="1:20" ht="14.25" customHeight="1">
      <c r="A615" s="22">
        <v>695</v>
      </c>
      <c r="B615" s="35">
        <v>15059</v>
      </c>
      <c r="C615" s="22" t="str">
        <f>IFERROR(VLOOKUP(B615,Colaboradores!A:D,2,),"")</f>
        <v>GUILHERME LEÃO DOS SANTOS</v>
      </c>
      <c r="D615" s="22" t="str">
        <f>IFERROR(VLOOKUP(B615,Colaboradores!A:D,3,),"")</f>
        <v>SAÚDE OCUPACIONAL</v>
      </c>
      <c r="E615" s="22" t="str">
        <f>IFERROR(VLOOKUP(B615,Colaboradores!A:D,4,),"")</f>
        <v>ASSISTENTE ADMINISTRATIVO</v>
      </c>
      <c r="F615" s="22" t="s">
        <v>55</v>
      </c>
      <c r="G615" s="24" t="str">
        <f>IFERROR(VLOOKUP(F615,Procedimentos!A:C,2,),"")</f>
        <v>DIRETRIZES PARA ACOMPANHAMENTO DE AFASTADOS</v>
      </c>
      <c r="H615" s="25"/>
      <c r="I615" s="25">
        <v>45875</v>
      </c>
      <c r="J615" s="22">
        <v>12</v>
      </c>
      <c r="K615" s="25">
        <f t="shared" si="26"/>
        <v>46240</v>
      </c>
      <c r="L615" s="28" t="str">
        <f t="shared" ca="1" si="25"/>
        <v>Em dia</v>
      </c>
      <c r="M615" s="33" t="s">
        <v>50</v>
      </c>
      <c r="N615" s="28" t="s">
        <v>21</v>
      </c>
      <c r="O615" s="22" t="s">
        <v>28</v>
      </c>
      <c r="P615" s="25">
        <f t="shared" si="27"/>
        <v>45967</v>
      </c>
      <c r="Q615" s="25"/>
      <c r="R615" s="25"/>
      <c r="S615" s="7" t="s">
        <v>27</v>
      </c>
      <c r="T615" s="28">
        <v>1</v>
      </c>
    </row>
    <row r="616" spans="1:20" ht="14.25" customHeight="1">
      <c r="A616" s="22">
        <v>696</v>
      </c>
      <c r="B616" s="35">
        <v>14083</v>
      </c>
      <c r="C616" s="22" t="str">
        <f>IFERROR(VLOOKUP(B616,Colaboradores!A:D,2,),"")</f>
        <v>TAHYNAN FREITAS SILVA COSTA</v>
      </c>
      <c r="D616" s="22" t="str">
        <f>IFERROR(VLOOKUP(B616,Colaboradores!A:D,3,),"")</f>
        <v>SAÚDE OCUPACIONAL</v>
      </c>
      <c r="E616" s="22" t="str">
        <f>IFERROR(VLOOKUP(B616,Colaboradores!A:D,4,),"")</f>
        <v>TÉCNICO DE ENFERMAGEM DO TRABALHO</v>
      </c>
      <c r="F616" s="22" t="s">
        <v>55</v>
      </c>
      <c r="G616" s="24" t="str">
        <f>IFERROR(VLOOKUP(F616,Procedimentos!A:C,2,),"")</f>
        <v>DIRETRIZES PARA ACOMPANHAMENTO DE AFASTADOS</v>
      </c>
      <c r="H616" s="25"/>
      <c r="I616" s="25">
        <v>45875</v>
      </c>
      <c r="J616" s="22">
        <v>12</v>
      </c>
      <c r="K616" s="25">
        <f t="shared" si="26"/>
        <v>46240</v>
      </c>
      <c r="L616" s="28" t="str">
        <f t="shared" ca="1" si="25"/>
        <v>Em dia</v>
      </c>
      <c r="M616" s="33" t="s">
        <v>50</v>
      </c>
      <c r="N616" s="28" t="s">
        <v>21</v>
      </c>
      <c r="O616" s="22" t="s">
        <v>28</v>
      </c>
      <c r="P616" s="25">
        <f t="shared" si="27"/>
        <v>45967</v>
      </c>
      <c r="Q616" s="25"/>
      <c r="R616" s="25"/>
      <c r="S616" s="7" t="s">
        <v>27</v>
      </c>
      <c r="T616" s="28">
        <v>1</v>
      </c>
    </row>
    <row r="617" spans="1:20" ht="14.25" customHeight="1">
      <c r="A617" s="22">
        <v>698</v>
      </c>
      <c r="B617" s="35">
        <v>15134</v>
      </c>
      <c r="C617" s="22" t="str">
        <f>IFERROR(VLOOKUP(B617,Colaboradores!A:D,2,),"")</f>
        <v>ADRIANE MENDES ROSA</v>
      </c>
      <c r="D617" s="22" t="str">
        <f>IFERROR(VLOOKUP(B617,Colaboradores!A:D,3,),"")</f>
        <v>REGIONAL CENTRAL</v>
      </c>
      <c r="E617" s="22" t="str">
        <f>IFERROR(VLOOKUP(B617,Colaboradores!A:D,4,),"")</f>
        <v>ENFERMEIRA DO TRABALHO</v>
      </c>
      <c r="F617" s="22" t="s">
        <v>49</v>
      </c>
      <c r="G617" s="24" t="str">
        <f>IFERROR(VLOOKUP(F617,Procedimentos!A:C,2,),"")</f>
        <v>DIRETRIZES PARA REALIZAÇÃO DE EXAMES OCUPACIONAIS</v>
      </c>
      <c r="H617" s="25"/>
      <c r="I617" s="25">
        <v>45875</v>
      </c>
      <c r="J617" s="22">
        <v>12</v>
      </c>
      <c r="K617" s="25">
        <f t="shared" si="26"/>
        <v>46240</v>
      </c>
      <c r="L617" s="28" t="str">
        <f t="shared" ca="1" si="25"/>
        <v>Em dia</v>
      </c>
      <c r="M617" s="33" t="s">
        <v>50</v>
      </c>
      <c r="N617" s="28" t="s">
        <v>21</v>
      </c>
      <c r="O617" s="22" t="s">
        <v>28</v>
      </c>
      <c r="P617" s="25">
        <f t="shared" si="27"/>
        <v>45967</v>
      </c>
      <c r="Q617" s="25"/>
      <c r="R617" s="25"/>
      <c r="S617" s="7" t="s">
        <v>23</v>
      </c>
      <c r="T617" s="28">
        <v>1</v>
      </c>
    </row>
    <row r="618" spans="1:20" ht="14.25" customHeight="1">
      <c r="A618" s="22">
        <v>699</v>
      </c>
      <c r="B618" s="34">
        <v>13822</v>
      </c>
      <c r="C618" s="22" t="s">
        <v>56</v>
      </c>
      <c r="D618" s="22" t="str">
        <f>IFERROR(VLOOKUP(B618,Colaboradores!A:D,3,),"")</f>
        <v>REGIONAL CENTRAL</v>
      </c>
      <c r="E618" s="22" t="str">
        <f>IFERROR(VLOOKUP(B618,Colaboradores!A:D,4,),"")</f>
        <v>COORDENADOR DE SSMA</v>
      </c>
      <c r="F618" s="22" t="s">
        <v>49</v>
      </c>
      <c r="G618" s="24" t="str">
        <f>IFERROR(VLOOKUP(F618,Procedimentos!A:C,2,),"")</f>
        <v>DIRETRIZES PARA REALIZAÇÃO DE EXAMES OCUPACIONAIS</v>
      </c>
      <c r="H618" s="25"/>
      <c r="I618" s="25">
        <v>45875</v>
      </c>
      <c r="J618" s="22">
        <v>12</v>
      </c>
      <c r="K618" s="25">
        <f t="shared" si="26"/>
        <v>46240</v>
      </c>
      <c r="L618" s="28" t="str">
        <f t="shared" ca="1" si="25"/>
        <v>Em dia</v>
      </c>
      <c r="M618" s="33" t="s">
        <v>50</v>
      </c>
      <c r="N618" s="28" t="s">
        <v>21</v>
      </c>
      <c r="O618" s="22" t="s">
        <v>28</v>
      </c>
      <c r="P618" s="25">
        <f t="shared" si="27"/>
        <v>45967</v>
      </c>
      <c r="Q618" s="25"/>
      <c r="R618" s="25"/>
      <c r="S618" s="7" t="s">
        <v>23</v>
      </c>
      <c r="T618" s="28">
        <v>1</v>
      </c>
    </row>
    <row r="619" spans="1:20" ht="14.25" customHeight="1">
      <c r="A619" s="22">
        <v>701</v>
      </c>
      <c r="B619" s="35">
        <v>14785</v>
      </c>
      <c r="C619" s="22" t="str">
        <f>IFERROR(VLOOKUP(B619,Colaboradores!A:D,2,),"")</f>
        <v>ROSEANE CUSTODIO LIMA</v>
      </c>
      <c r="D619" s="22" t="str">
        <f>IFERROR(VLOOKUP(B619,Colaboradores!A:D,3,),"")</f>
        <v>REGIONAL CENTRAL</v>
      </c>
      <c r="E619" s="22" t="str">
        <f>IFERROR(VLOOKUP(B619,Colaboradores!A:D,4,),"")</f>
        <v>ASSISTENTE DE MEIO AMBIENTE</v>
      </c>
      <c r="F619" s="22" t="s">
        <v>49</v>
      </c>
      <c r="G619" s="24" t="str">
        <f>IFERROR(VLOOKUP(F619,Procedimentos!A:C,2,),"")</f>
        <v>DIRETRIZES PARA REALIZAÇÃO DE EXAMES OCUPACIONAIS</v>
      </c>
      <c r="H619" s="25"/>
      <c r="I619" s="25">
        <v>45875</v>
      </c>
      <c r="J619" s="22">
        <v>12</v>
      </c>
      <c r="K619" s="25">
        <f t="shared" si="26"/>
        <v>46240</v>
      </c>
      <c r="L619" s="28" t="str">
        <f t="shared" ca="1" si="25"/>
        <v>Em dia</v>
      </c>
      <c r="M619" s="33" t="s">
        <v>50</v>
      </c>
      <c r="N619" s="28" t="s">
        <v>21</v>
      </c>
      <c r="O619" s="22" t="s">
        <v>28</v>
      </c>
      <c r="P619" s="25">
        <f t="shared" si="27"/>
        <v>45967</v>
      </c>
      <c r="Q619" s="25"/>
      <c r="R619" s="25"/>
      <c r="S619" s="7" t="s">
        <v>23</v>
      </c>
      <c r="T619" s="28">
        <v>1</v>
      </c>
    </row>
    <row r="620" spans="1:20" ht="14.25" customHeight="1">
      <c r="A620" s="22">
        <v>702</v>
      </c>
      <c r="B620" s="35">
        <v>15134</v>
      </c>
      <c r="C620" s="22" t="str">
        <f>IFERROR(VLOOKUP(B620,Colaboradores!A:D,2,),"")</f>
        <v>ADRIANE MENDES ROSA</v>
      </c>
      <c r="D620" s="22" t="str">
        <f>IFERROR(VLOOKUP(B620,Colaboradores!A:D,3,),"")</f>
        <v>REGIONAL CENTRAL</v>
      </c>
      <c r="E620" s="22" t="str">
        <f>IFERROR(VLOOKUP(B620,Colaboradores!A:D,4,),"")</f>
        <v>ENFERMEIRA DO TRABALHO</v>
      </c>
      <c r="F620" s="22" t="s">
        <v>51</v>
      </c>
      <c r="G620" s="24" t="str">
        <f>IFERROR(VLOOKUP(F620,Procedimentos!A:C,2,),"")</f>
        <v>DIRETRIZES PARA ENTREGA DE ATESTADOS MÉDICOS E ODONTOLÓGICOS</v>
      </c>
      <c r="H620" s="25"/>
      <c r="I620" s="25">
        <v>45875</v>
      </c>
      <c r="J620" s="22">
        <v>12</v>
      </c>
      <c r="K620" s="25">
        <f t="shared" si="26"/>
        <v>46240</v>
      </c>
      <c r="L620" s="28" t="str">
        <f t="shared" ca="1" si="25"/>
        <v>Em dia</v>
      </c>
      <c r="M620" s="33" t="s">
        <v>50</v>
      </c>
      <c r="N620" s="28" t="s">
        <v>21</v>
      </c>
      <c r="O620" s="22" t="s">
        <v>28</v>
      </c>
      <c r="P620" s="25">
        <f t="shared" si="27"/>
        <v>45967</v>
      </c>
      <c r="Q620" s="25"/>
      <c r="R620" s="25"/>
      <c r="S620" s="7" t="s">
        <v>23</v>
      </c>
      <c r="T620" s="28">
        <v>1</v>
      </c>
    </row>
    <row r="621" spans="1:20" ht="14.25" customHeight="1">
      <c r="A621" s="22">
        <v>705</v>
      </c>
      <c r="B621" s="35">
        <v>14785</v>
      </c>
      <c r="C621" s="22" t="str">
        <f>IFERROR(VLOOKUP(B621,Colaboradores!A:D,2,),"")</f>
        <v>ROSEANE CUSTODIO LIMA</v>
      </c>
      <c r="D621" s="22" t="str">
        <f>IFERROR(VLOOKUP(B621,Colaboradores!A:D,3,),"")</f>
        <v>REGIONAL CENTRAL</v>
      </c>
      <c r="E621" s="22" t="str">
        <f>IFERROR(VLOOKUP(B621,Colaboradores!A:D,4,),"")</f>
        <v>ASSISTENTE DE MEIO AMBIENTE</v>
      </c>
      <c r="F621" s="22" t="s">
        <v>51</v>
      </c>
      <c r="G621" s="24" t="str">
        <f>IFERROR(VLOOKUP(F621,Procedimentos!A:C,2,),"")</f>
        <v>DIRETRIZES PARA ENTREGA DE ATESTADOS MÉDICOS E ODONTOLÓGICOS</v>
      </c>
      <c r="H621" s="25"/>
      <c r="I621" s="25">
        <v>45875</v>
      </c>
      <c r="J621" s="22">
        <v>12</v>
      </c>
      <c r="K621" s="25">
        <f t="shared" si="26"/>
        <v>46240</v>
      </c>
      <c r="L621" s="28" t="str">
        <f t="shared" ca="1" si="25"/>
        <v>Em dia</v>
      </c>
      <c r="M621" s="33" t="s">
        <v>50</v>
      </c>
      <c r="N621" s="28" t="s">
        <v>21</v>
      </c>
      <c r="O621" s="22" t="s">
        <v>28</v>
      </c>
      <c r="P621" s="25">
        <f t="shared" si="27"/>
        <v>45967</v>
      </c>
      <c r="Q621" s="25"/>
      <c r="R621" s="25"/>
      <c r="S621" s="7" t="s">
        <v>23</v>
      </c>
      <c r="T621" s="28">
        <v>1</v>
      </c>
    </row>
    <row r="622" spans="1:20" ht="14.25" customHeight="1">
      <c r="A622" s="22">
        <v>706</v>
      </c>
      <c r="B622" s="35">
        <v>15134</v>
      </c>
      <c r="C622" s="22" t="str">
        <f>IFERROR(VLOOKUP(B622,Colaboradores!A:D,2,),"")</f>
        <v>ADRIANE MENDES ROSA</v>
      </c>
      <c r="D622" s="22" t="str">
        <f>IFERROR(VLOOKUP(B622,Colaboradores!A:D,3,),"")</f>
        <v>REGIONAL CENTRAL</v>
      </c>
      <c r="E622" s="22" t="str">
        <f>IFERROR(VLOOKUP(B622,Colaboradores!A:D,4,),"")</f>
        <v>ENFERMEIRA DO TRABALHO</v>
      </c>
      <c r="F622" s="22" t="s">
        <v>52</v>
      </c>
      <c r="G622" s="24" t="str">
        <f>IFERROR(VLOOKUP(F622,Procedimentos!A:C,2,),"")</f>
        <v>DIRETRIZES E ACOMPANHAMENTO  DE ACIDENTE COM MATERIAL BIOLOGICO</v>
      </c>
      <c r="H622" s="25"/>
      <c r="I622" s="25">
        <v>45875</v>
      </c>
      <c r="J622" s="22">
        <v>12</v>
      </c>
      <c r="K622" s="25">
        <f t="shared" si="26"/>
        <v>46240</v>
      </c>
      <c r="L622" s="28" t="str">
        <f t="shared" ca="1" si="25"/>
        <v>Em dia</v>
      </c>
      <c r="M622" s="33" t="s">
        <v>50</v>
      </c>
      <c r="N622" s="28" t="s">
        <v>21</v>
      </c>
      <c r="O622" s="22" t="s">
        <v>28</v>
      </c>
      <c r="P622" s="25">
        <f t="shared" si="27"/>
        <v>45967</v>
      </c>
      <c r="Q622" s="25"/>
      <c r="R622" s="25"/>
      <c r="S622" s="7" t="s">
        <v>23</v>
      </c>
      <c r="T622" s="28">
        <v>1</v>
      </c>
    </row>
    <row r="623" spans="1:20" ht="14.25" customHeight="1">
      <c r="A623" s="22">
        <v>707</v>
      </c>
      <c r="B623" s="35">
        <v>13822</v>
      </c>
      <c r="C623" s="22" t="str">
        <f>IFERROR(VLOOKUP(B623,Colaboradores!A:D,2,),"")</f>
        <v>JULIANA DE CASTRO ALMEIDA</v>
      </c>
      <c r="D623" s="22" t="str">
        <f>IFERROR(VLOOKUP(B623,Colaboradores!A:D,3,),"")</f>
        <v>REGIONAL CENTRAL</v>
      </c>
      <c r="E623" s="22" t="str">
        <f>IFERROR(VLOOKUP(B623,Colaboradores!A:D,4,),"")</f>
        <v>COORDENADOR DE SSMA</v>
      </c>
      <c r="F623" s="22" t="s">
        <v>52</v>
      </c>
      <c r="G623" s="24" t="str">
        <f>IFERROR(VLOOKUP(F623,Procedimentos!A:C,2,),"")</f>
        <v>DIRETRIZES E ACOMPANHAMENTO  DE ACIDENTE COM MATERIAL BIOLOGICO</v>
      </c>
      <c r="H623" s="25"/>
      <c r="I623" s="25">
        <v>45875</v>
      </c>
      <c r="J623" s="22">
        <v>12</v>
      </c>
      <c r="K623" s="25">
        <f t="shared" si="26"/>
        <v>46240</v>
      </c>
      <c r="L623" s="28" t="str">
        <f t="shared" ca="1" si="25"/>
        <v>Em dia</v>
      </c>
      <c r="M623" s="33" t="s">
        <v>50</v>
      </c>
      <c r="N623" s="28" t="s">
        <v>21</v>
      </c>
      <c r="O623" s="22" t="s">
        <v>28</v>
      </c>
      <c r="P623" s="25">
        <f t="shared" si="27"/>
        <v>45967</v>
      </c>
      <c r="Q623" s="25"/>
      <c r="R623" s="25"/>
      <c r="S623" s="7" t="s">
        <v>23</v>
      </c>
      <c r="T623" s="28">
        <v>1</v>
      </c>
    </row>
    <row r="624" spans="1:20" ht="14.25" customHeight="1">
      <c r="A624" s="22">
        <v>709</v>
      </c>
      <c r="B624" s="35">
        <v>14785</v>
      </c>
      <c r="C624" s="22" t="str">
        <f>IFERROR(VLOOKUP(B624,Colaboradores!A:D,2,),"")</f>
        <v>ROSEANE CUSTODIO LIMA</v>
      </c>
      <c r="D624" s="22" t="str">
        <f>IFERROR(VLOOKUP(B624,Colaboradores!A:D,3,),"")</f>
        <v>REGIONAL CENTRAL</v>
      </c>
      <c r="E624" s="22" t="str">
        <f>IFERROR(VLOOKUP(B624,Colaboradores!A:D,4,),"")</f>
        <v>ASSISTENTE DE MEIO AMBIENTE</v>
      </c>
      <c r="F624" s="22" t="s">
        <v>52</v>
      </c>
      <c r="G624" s="24" t="str">
        <f>IFERROR(VLOOKUP(F624,Procedimentos!A:C,2,),"")</f>
        <v>DIRETRIZES E ACOMPANHAMENTO  DE ACIDENTE COM MATERIAL BIOLOGICO</v>
      </c>
      <c r="H624" s="25"/>
      <c r="I624" s="25">
        <v>45875</v>
      </c>
      <c r="J624" s="22">
        <v>12</v>
      </c>
      <c r="K624" s="25">
        <f t="shared" si="26"/>
        <v>46240</v>
      </c>
      <c r="L624" s="28" t="str">
        <f t="shared" ca="1" si="25"/>
        <v>Em dia</v>
      </c>
      <c r="M624" s="33" t="s">
        <v>50</v>
      </c>
      <c r="N624" s="28" t="s">
        <v>21</v>
      </c>
      <c r="O624" s="22" t="s">
        <v>28</v>
      </c>
      <c r="P624" s="25">
        <f t="shared" si="27"/>
        <v>45967</v>
      </c>
      <c r="Q624" s="25"/>
      <c r="R624" s="25"/>
      <c r="S624" s="7" t="s">
        <v>23</v>
      </c>
      <c r="T624" s="28">
        <v>1</v>
      </c>
    </row>
    <row r="625" spans="1:20" ht="14.25" customHeight="1">
      <c r="A625" s="22">
        <v>710</v>
      </c>
      <c r="B625" s="35">
        <v>15134</v>
      </c>
      <c r="C625" s="22" t="str">
        <f>IFERROR(VLOOKUP(B625,Colaboradores!A:D,2,),"")</f>
        <v>ADRIANE MENDES ROSA</v>
      </c>
      <c r="D625" s="22" t="str">
        <f>IFERROR(VLOOKUP(B625,Colaboradores!A:D,3,),"")</f>
        <v>REGIONAL CENTRAL</v>
      </c>
      <c r="E625" s="22" t="str">
        <f>IFERROR(VLOOKUP(B625,Colaboradores!A:D,4,),"")</f>
        <v>ENFERMEIRA DO TRABALHO</v>
      </c>
      <c r="F625" s="22" t="s">
        <v>53</v>
      </c>
      <c r="G625" s="24" t="str">
        <f>IFERROR(VLOOKUP(F625,Procedimentos!A:C,2,),"")</f>
        <v>DIRETRIZES PARA MONITORAMENTO DE GESTANTE</v>
      </c>
      <c r="H625" s="25"/>
      <c r="I625" s="25">
        <v>45875</v>
      </c>
      <c r="J625" s="22">
        <v>12</v>
      </c>
      <c r="K625" s="25">
        <f t="shared" si="26"/>
        <v>46240</v>
      </c>
      <c r="L625" s="28" t="str">
        <f t="shared" ca="1" si="25"/>
        <v>Em dia</v>
      </c>
      <c r="M625" s="33" t="s">
        <v>50</v>
      </c>
      <c r="N625" s="28" t="s">
        <v>21</v>
      </c>
      <c r="O625" s="22" t="s">
        <v>28</v>
      </c>
      <c r="P625" s="25">
        <f t="shared" si="27"/>
        <v>45967</v>
      </c>
      <c r="Q625" s="25"/>
      <c r="R625" s="25"/>
      <c r="S625" s="7" t="s">
        <v>23</v>
      </c>
      <c r="T625" s="28">
        <v>1</v>
      </c>
    </row>
    <row r="626" spans="1:20" ht="14.25" customHeight="1">
      <c r="A626" s="22">
        <v>711</v>
      </c>
      <c r="B626" s="35">
        <v>13822</v>
      </c>
      <c r="C626" s="22" t="str">
        <f>IFERROR(VLOOKUP(B626,Colaboradores!A:D,2,),"")</f>
        <v>JULIANA DE CASTRO ALMEIDA</v>
      </c>
      <c r="D626" s="22" t="str">
        <f>IFERROR(VLOOKUP(B626,Colaboradores!A:D,3,),"")</f>
        <v>REGIONAL CENTRAL</v>
      </c>
      <c r="E626" s="22" t="str">
        <f>IFERROR(VLOOKUP(B626,Colaboradores!A:D,4,),"")</f>
        <v>COORDENADOR DE SSMA</v>
      </c>
      <c r="F626" s="22" t="s">
        <v>53</v>
      </c>
      <c r="G626" s="24" t="str">
        <f>IFERROR(VLOOKUP(F626,Procedimentos!A:C,2,),"")</f>
        <v>DIRETRIZES PARA MONITORAMENTO DE GESTANTE</v>
      </c>
      <c r="H626" s="25"/>
      <c r="I626" s="25">
        <v>45875</v>
      </c>
      <c r="J626" s="22">
        <v>12</v>
      </c>
      <c r="K626" s="25">
        <f t="shared" si="26"/>
        <v>46240</v>
      </c>
      <c r="L626" s="28" t="str">
        <f t="shared" ca="1" si="25"/>
        <v>Em dia</v>
      </c>
      <c r="M626" s="33" t="s">
        <v>50</v>
      </c>
      <c r="N626" s="28" t="s">
        <v>21</v>
      </c>
      <c r="O626" s="22" t="s">
        <v>28</v>
      </c>
      <c r="P626" s="25">
        <f t="shared" si="27"/>
        <v>45967</v>
      </c>
      <c r="Q626" s="25"/>
      <c r="R626" s="25"/>
      <c r="S626" s="7" t="s">
        <v>23</v>
      </c>
      <c r="T626" s="28">
        <v>1</v>
      </c>
    </row>
    <row r="627" spans="1:20" ht="14.25" customHeight="1">
      <c r="A627" s="22">
        <v>713</v>
      </c>
      <c r="B627" s="35">
        <v>14785</v>
      </c>
      <c r="C627" s="22" t="str">
        <f>IFERROR(VLOOKUP(B627,Colaboradores!A:D,2,),"")</f>
        <v>ROSEANE CUSTODIO LIMA</v>
      </c>
      <c r="D627" s="22" t="str">
        <f>IFERROR(VLOOKUP(B627,Colaboradores!A:D,3,),"")</f>
        <v>REGIONAL CENTRAL</v>
      </c>
      <c r="E627" s="22" t="str">
        <f>IFERROR(VLOOKUP(B627,Colaboradores!A:D,4,),"")</f>
        <v>ASSISTENTE DE MEIO AMBIENTE</v>
      </c>
      <c r="F627" s="22" t="s">
        <v>53</v>
      </c>
      <c r="G627" s="24" t="str">
        <f>IFERROR(VLOOKUP(F627,Procedimentos!A:C,2,),"")</f>
        <v>DIRETRIZES PARA MONITORAMENTO DE GESTANTE</v>
      </c>
      <c r="H627" s="25"/>
      <c r="I627" s="25">
        <v>45875</v>
      </c>
      <c r="J627" s="22">
        <v>12</v>
      </c>
      <c r="K627" s="25">
        <f t="shared" si="26"/>
        <v>46240</v>
      </c>
      <c r="L627" s="28" t="str">
        <f t="shared" ca="1" si="25"/>
        <v>Em dia</v>
      </c>
      <c r="M627" s="33" t="s">
        <v>50</v>
      </c>
      <c r="N627" s="28" t="s">
        <v>21</v>
      </c>
      <c r="O627" s="22" t="s">
        <v>28</v>
      </c>
      <c r="P627" s="25">
        <f t="shared" si="27"/>
        <v>45967</v>
      </c>
      <c r="Q627" s="25"/>
      <c r="R627" s="25"/>
      <c r="S627" s="7" t="s">
        <v>23</v>
      </c>
      <c r="T627" s="28">
        <v>1</v>
      </c>
    </row>
    <row r="628" spans="1:20" ht="14.25" customHeight="1">
      <c r="A628" s="22">
        <v>714</v>
      </c>
      <c r="B628" s="35">
        <v>15134</v>
      </c>
      <c r="C628" s="22" t="str">
        <f>IFERROR(VLOOKUP(B628,Colaboradores!A:D,2,),"")</f>
        <v>ADRIANE MENDES ROSA</v>
      </c>
      <c r="D628" s="22" t="str">
        <f>IFERROR(VLOOKUP(B628,Colaboradores!A:D,3,),"")</f>
        <v>REGIONAL CENTRAL</v>
      </c>
      <c r="E628" s="22" t="str">
        <f>IFERROR(VLOOKUP(B628,Colaboradores!A:D,4,),"")</f>
        <v>ENFERMEIRA DO TRABALHO</v>
      </c>
      <c r="F628" s="22" t="s">
        <v>54</v>
      </c>
      <c r="G628" s="24" t="str">
        <f>IFERROR(VLOOKUP(F628,Procedimentos!A:C,2,),"")</f>
        <v>DIRETRIZES DE IMUNIZAÇÃO OCUPACIONAL</v>
      </c>
      <c r="H628" s="25"/>
      <c r="I628" s="25">
        <v>45875</v>
      </c>
      <c r="J628" s="22">
        <v>12</v>
      </c>
      <c r="K628" s="25">
        <f t="shared" si="26"/>
        <v>46240</v>
      </c>
      <c r="L628" s="28" t="str">
        <f t="shared" ca="1" si="25"/>
        <v>Em dia</v>
      </c>
      <c r="M628" s="33" t="s">
        <v>50</v>
      </c>
      <c r="N628" s="28" t="s">
        <v>21</v>
      </c>
      <c r="O628" s="22" t="s">
        <v>28</v>
      </c>
      <c r="P628" s="25">
        <f t="shared" si="27"/>
        <v>45967</v>
      </c>
      <c r="Q628" s="25"/>
      <c r="R628" s="25"/>
      <c r="S628" s="7" t="s">
        <v>23</v>
      </c>
      <c r="T628" s="28">
        <v>1</v>
      </c>
    </row>
    <row r="629" spans="1:20" ht="14.25" customHeight="1">
      <c r="A629" s="22">
        <v>715</v>
      </c>
      <c r="B629" s="35">
        <v>13822</v>
      </c>
      <c r="C629" s="22" t="s">
        <v>56</v>
      </c>
      <c r="D629" s="22" t="str">
        <f>IFERROR(VLOOKUP(B629,Colaboradores!A:D,3,),"")</f>
        <v>REGIONAL CENTRAL</v>
      </c>
      <c r="E629" s="22" t="str">
        <f>IFERROR(VLOOKUP(B629,Colaboradores!A:D,4,),"")</f>
        <v>COORDENADOR DE SSMA</v>
      </c>
      <c r="F629" s="22" t="s">
        <v>54</v>
      </c>
      <c r="G629" s="24" t="str">
        <f>IFERROR(VLOOKUP(F629,Procedimentos!A:C,2,),"")</f>
        <v>DIRETRIZES DE IMUNIZAÇÃO OCUPACIONAL</v>
      </c>
      <c r="H629" s="25"/>
      <c r="I629" s="25">
        <v>45875</v>
      </c>
      <c r="J629" s="22">
        <v>12</v>
      </c>
      <c r="K629" s="25">
        <f t="shared" si="26"/>
        <v>46240</v>
      </c>
      <c r="L629" s="28" t="str">
        <f t="shared" ca="1" si="25"/>
        <v>Em dia</v>
      </c>
      <c r="M629" s="33" t="s">
        <v>50</v>
      </c>
      <c r="N629" s="28" t="s">
        <v>21</v>
      </c>
      <c r="O629" s="22" t="s">
        <v>28</v>
      </c>
      <c r="P629" s="25">
        <f t="shared" si="27"/>
        <v>45967</v>
      </c>
      <c r="Q629" s="25"/>
      <c r="R629" s="25"/>
      <c r="S629" s="7" t="s">
        <v>23</v>
      </c>
      <c r="T629" s="28">
        <v>1</v>
      </c>
    </row>
    <row r="630" spans="1:20" ht="14.25" customHeight="1">
      <c r="A630" s="22">
        <v>717</v>
      </c>
      <c r="B630" s="35">
        <v>14785</v>
      </c>
      <c r="C630" s="22" t="str">
        <f>IFERROR(VLOOKUP(B630,Colaboradores!A:D,2,),"")</f>
        <v>ROSEANE CUSTODIO LIMA</v>
      </c>
      <c r="D630" s="22" t="str">
        <f>IFERROR(VLOOKUP(B630,Colaboradores!A:D,3,),"")</f>
        <v>REGIONAL CENTRAL</v>
      </c>
      <c r="E630" s="22" t="str">
        <f>IFERROR(VLOOKUP(B630,Colaboradores!A:D,4,),"")</f>
        <v>ASSISTENTE DE MEIO AMBIENTE</v>
      </c>
      <c r="F630" s="22" t="s">
        <v>54</v>
      </c>
      <c r="G630" s="24" t="str">
        <f>IFERROR(VLOOKUP(F630,Procedimentos!A:C,2,),"")</f>
        <v>DIRETRIZES DE IMUNIZAÇÃO OCUPACIONAL</v>
      </c>
      <c r="H630" s="25"/>
      <c r="I630" s="25">
        <v>45875</v>
      </c>
      <c r="J630" s="22">
        <v>12</v>
      </c>
      <c r="K630" s="25">
        <f t="shared" si="26"/>
        <v>46240</v>
      </c>
      <c r="L630" s="28" t="str">
        <f t="shared" ca="1" si="25"/>
        <v>Em dia</v>
      </c>
      <c r="M630" s="33" t="s">
        <v>50</v>
      </c>
      <c r="N630" s="28" t="s">
        <v>21</v>
      </c>
      <c r="O630" s="22" t="s">
        <v>28</v>
      </c>
      <c r="P630" s="25">
        <f t="shared" si="27"/>
        <v>45967</v>
      </c>
      <c r="Q630" s="25"/>
      <c r="R630" s="25"/>
      <c r="S630" s="7" t="s">
        <v>23</v>
      </c>
      <c r="T630" s="28">
        <v>1</v>
      </c>
    </row>
    <row r="631" spans="1:20" ht="14.25" customHeight="1">
      <c r="A631" s="22">
        <v>718</v>
      </c>
      <c r="B631" s="35">
        <v>15134</v>
      </c>
      <c r="C631" s="22" t="str">
        <f>IFERROR(VLOOKUP(B631,Colaboradores!A:D,2,),"")</f>
        <v>ADRIANE MENDES ROSA</v>
      </c>
      <c r="D631" s="22" t="str">
        <f>IFERROR(VLOOKUP(B631,Colaboradores!A:D,3,),"")</f>
        <v>REGIONAL CENTRAL</v>
      </c>
      <c r="E631" s="22" t="str">
        <f>IFERROR(VLOOKUP(B631,Colaboradores!A:D,4,),"")</f>
        <v>ENFERMEIRA DO TRABALHO</v>
      </c>
      <c r="F631" s="22" t="s">
        <v>55</v>
      </c>
      <c r="G631" s="24" t="str">
        <f>IFERROR(VLOOKUP(F631,Procedimentos!A:C,2,),"")</f>
        <v>DIRETRIZES PARA ACOMPANHAMENTO DE AFASTADOS</v>
      </c>
      <c r="H631" s="25"/>
      <c r="I631" s="25">
        <v>45875</v>
      </c>
      <c r="J631" s="22">
        <v>12</v>
      </c>
      <c r="K631" s="25">
        <f t="shared" si="26"/>
        <v>46240</v>
      </c>
      <c r="L631" s="28" t="str">
        <f t="shared" ca="1" si="25"/>
        <v>Em dia</v>
      </c>
      <c r="M631" s="33" t="s">
        <v>50</v>
      </c>
      <c r="N631" s="28" t="s">
        <v>21</v>
      </c>
      <c r="O631" s="22" t="s">
        <v>28</v>
      </c>
      <c r="P631" s="25">
        <f t="shared" si="27"/>
        <v>45967</v>
      </c>
      <c r="Q631" s="25"/>
      <c r="R631" s="25"/>
      <c r="S631" s="7" t="s">
        <v>23</v>
      </c>
      <c r="T631" s="28">
        <v>1</v>
      </c>
    </row>
    <row r="632" spans="1:20" ht="14.25" customHeight="1">
      <c r="A632" s="22">
        <v>719</v>
      </c>
      <c r="B632" s="35">
        <v>13822</v>
      </c>
      <c r="C632" s="22" t="s">
        <v>56</v>
      </c>
      <c r="D632" s="22" t="str">
        <f>IFERROR(VLOOKUP(B632,Colaboradores!A:D,3,),"")</f>
        <v>REGIONAL CENTRAL</v>
      </c>
      <c r="E632" s="22" t="str">
        <f>IFERROR(VLOOKUP(B632,Colaboradores!A:D,4,),"")</f>
        <v>COORDENADOR DE SSMA</v>
      </c>
      <c r="F632" s="22" t="s">
        <v>55</v>
      </c>
      <c r="G632" s="24" t="str">
        <f>IFERROR(VLOOKUP(F632,Procedimentos!A:C,2,),"")</f>
        <v>DIRETRIZES PARA ACOMPANHAMENTO DE AFASTADOS</v>
      </c>
      <c r="H632" s="25"/>
      <c r="I632" s="25">
        <v>45875</v>
      </c>
      <c r="J632" s="22">
        <v>12</v>
      </c>
      <c r="K632" s="25">
        <f t="shared" si="26"/>
        <v>46240</v>
      </c>
      <c r="L632" s="28" t="str">
        <f t="shared" ca="1" si="25"/>
        <v>Em dia</v>
      </c>
      <c r="M632" s="33" t="s">
        <v>50</v>
      </c>
      <c r="N632" s="28" t="s">
        <v>21</v>
      </c>
      <c r="O632" s="22" t="s">
        <v>28</v>
      </c>
      <c r="P632" s="25">
        <f t="shared" si="27"/>
        <v>45967</v>
      </c>
      <c r="Q632" s="25"/>
      <c r="R632" s="25"/>
      <c r="S632" s="7" t="s">
        <v>23</v>
      </c>
      <c r="T632" s="28">
        <v>1</v>
      </c>
    </row>
    <row r="633" spans="1:20" ht="14.25" customHeight="1">
      <c r="A633" s="22">
        <v>721</v>
      </c>
      <c r="B633" s="35">
        <v>14785</v>
      </c>
      <c r="C633" s="22" t="str">
        <f>IFERROR(VLOOKUP(B633,Colaboradores!A:D,2,),"")</f>
        <v>ROSEANE CUSTODIO LIMA</v>
      </c>
      <c r="D633" s="22" t="str">
        <f>IFERROR(VLOOKUP(B633,Colaboradores!A:D,3,),"")</f>
        <v>REGIONAL CENTRAL</v>
      </c>
      <c r="E633" s="22" t="str">
        <f>IFERROR(VLOOKUP(B633,Colaboradores!A:D,4,),"")</f>
        <v>ASSISTENTE DE MEIO AMBIENTE</v>
      </c>
      <c r="F633" s="22" t="s">
        <v>55</v>
      </c>
      <c r="G633" s="24" t="str">
        <f>IFERROR(VLOOKUP(F633,Procedimentos!A:C,2,),"")</f>
        <v>DIRETRIZES PARA ACOMPANHAMENTO DE AFASTADOS</v>
      </c>
      <c r="H633" s="25"/>
      <c r="I633" s="25">
        <v>45875</v>
      </c>
      <c r="J633" s="22">
        <v>12</v>
      </c>
      <c r="K633" s="25">
        <f t="shared" si="26"/>
        <v>46240</v>
      </c>
      <c r="L633" s="28" t="str">
        <f t="shared" ca="1" si="25"/>
        <v>Em dia</v>
      </c>
      <c r="M633" s="33" t="s">
        <v>50</v>
      </c>
      <c r="N633" s="28" t="s">
        <v>21</v>
      </c>
      <c r="O633" s="22" t="s">
        <v>28</v>
      </c>
      <c r="P633" s="25">
        <f t="shared" si="27"/>
        <v>45967</v>
      </c>
      <c r="Q633" s="25"/>
      <c r="R633" s="25"/>
      <c r="S633" s="7" t="s">
        <v>23</v>
      </c>
      <c r="T633" s="28">
        <v>1</v>
      </c>
    </row>
    <row r="634" spans="1:20" ht="14.25" customHeight="1">
      <c r="A634" s="22">
        <v>722</v>
      </c>
      <c r="B634" s="35">
        <v>14356</v>
      </c>
      <c r="C634" s="22" t="str">
        <f>IFERROR(VLOOKUP(B634,Colaboradores!A:D,2,),"")</f>
        <v>JACILENE BELO LIMA</v>
      </c>
      <c r="D634" s="22" t="str">
        <f>IFERROR(VLOOKUP(B634,Colaboradores!A:D,3,),"")</f>
        <v>REGIONAL LESTE</v>
      </c>
      <c r="E634" s="22" t="str">
        <f>IFERROR(VLOOKUP(B634,Colaboradores!A:D,4,),"")</f>
        <v>ASSISTENTE ADMINISTRATIVO</v>
      </c>
      <c r="F634" s="22" t="s">
        <v>49</v>
      </c>
      <c r="G634" s="24" t="str">
        <f>IFERROR(VLOOKUP(F634,Procedimentos!A:C,2,),"")</f>
        <v>DIRETRIZES PARA REALIZAÇÃO DE EXAMES OCUPACIONAIS</v>
      </c>
      <c r="H634" s="25"/>
      <c r="I634" s="25">
        <v>45875</v>
      </c>
      <c r="J634" s="22">
        <v>12</v>
      </c>
      <c r="K634" s="25">
        <f t="shared" si="26"/>
        <v>46240</v>
      </c>
      <c r="L634" s="28" t="str">
        <f t="shared" ca="1" si="25"/>
        <v>Em dia</v>
      </c>
      <c r="M634" s="33" t="s">
        <v>50</v>
      </c>
      <c r="N634" s="28" t="s">
        <v>21</v>
      </c>
      <c r="O634" s="22" t="s">
        <v>28</v>
      </c>
      <c r="P634" s="25">
        <f t="shared" si="27"/>
        <v>45967</v>
      </c>
      <c r="Q634" s="25"/>
      <c r="R634" s="25"/>
      <c r="S634" s="7" t="s">
        <v>23</v>
      </c>
      <c r="T634" s="28">
        <v>1</v>
      </c>
    </row>
    <row r="635" spans="1:20" ht="14.25" customHeight="1">
      <c r="A635" s="22">
        <v>723</v>
      </c>
      <c r="B635" s="35">
        <v>14356</v>
      </c>
      <c r="C635" s="22" t="str">
        <f>IFERROR(VLOOKUP(B635,Colaboradores!A:D,2,),"")</f>
        <v>JACILENE BELO LIMA</v>
      </c>
      <c r="D635" s="22" t="str">
        <f>IFERROR(VLOOKUP(B635,Colaboradores!A:D,3,),"")</f>
        <v>REGIONAL LESTE</v>
      </c>
      <c r="E635" s="22" t="str">
        <f>IFERROR(VLOOKUP(B635,Colaboradores!A:D,4,),"")</f>
        <v>ASSISTENTE ADMINISTRATIVO</v>
      </c>
      <c r="F635" s="22" t="s">
        <v>51</v>
      </c>
      <c r="G635" s="24" t="str">
        <f>IFERROR(VLOOKUP(F635,Procedimentos!A:C,2,),"")</f>
        <v>DIRETRIZES PARA ENTREGA DE ATESTADOS MÉDICOS E ODONTOLÓGICOS</v>
      </c>
      <c r="H635" s="25"/>
      <c r="I635" s="25">
        <v>45875</v>
      </c>
      <c r="J635" s="22">
        <v>12</v>
      </c>
      <c r="K635" s="25">
        <f t="shared" si="26"/>
        <v>46240</v>
      </c>
      <c r="L635" s="28" t="str">
        <f t="shared" ca="1" si="25"/>
        <v>Em dia</v>
      </c>
      <c r="M635" s="33" t="s">
        <v>50</v>
      </c>
      <c r="N635" s="28" t="s">
        <v>21</v>
      </c>
      <c r="O635" s="22" t="s">
        <v>28</v>
      </c>
      <c r="P635" s="25">
        <f t="shared" si="27"/>
        <v>45967</v>
      </c>
      <c r="Q635" s="25"/>
      <c r="R635" s="25"/>
      <c r="S635" s="7" t="s">
        <v>23</v>
      </c>
      <c r="T635" s="28">
        <v>1</v>
      </c>
    </row>
    <row r="636" spans="1:20" ht="14.25" customHeight="1">
      <c r="A636" s="22">
        <v>724</v>
      </c>
      <c r="B636" s="35">
        <v>14356</v>
      </c>
      <c r="C636" s="22" t="str">
        <f>IFERROR(VLOOKUP(B636,Colaboradores!A:D,2,),"")</f>
        <v>JACILENE BELO LIMA</v>
      </c>
      <c r="D636" s="22" t="str">
        <f>IFERROR(VLOOKUP(B636,Colaboradores!A:D,3,),"")</f>
        <v>REGIONAL LESTE</v>
      </c>
      <c r="E636" s="22" t="str">
        <f>IFERROR(VLOOKUP(B636,Colaboradores!A:D,4,),"")</f>
        <v>ASSISTENTE ADMINISTRATIVO</v>
      </c>
      <c r="F636" s="22" t="s">
        <v>52</v>
      </c>
      <c r="G636" s="24" t="str">
        <f>IFERROR(VLOOKUP(F636,Procedimentos!A:C,2,),"")</f>
        <v>DIRETRIZES E ACOMPANHAMENTO  DE ACIDENTE COM MATERIAL BIOLOGICO</v>
      </c>
      <c r="H636" s="25"/>
      <c r="I636" s="25">
        <v>45875</v>
      </c>
      <c r="J636" s="22">
        <v>12</v>
      </c>
      <c r="K636" s="25">
        <f t="shared" si="26"/>
        <v>46240</v>
      </c>
      <c r="L636" s="28" t="str">
        <f t="shared" ca="1" si="25"/>
        <v>Em dia</v>
      </c>
      <c r="M636" s="33" t="s">
        <v>50</v>
      </c>
      <c r="N636" s="28" t="s">
        <v>21</v>
      </c>
      <c r="O636" s="22" t="s">
        <v>28</v>
      </c>
      <c r="P636" s="25">
        <f t="shared" si="27"/>
        <v>45967</v>
      </c>
      <c r="Q636" s="25"/>
      <c r="R636" s="25"/>
      <c r="S636" s="7" t="s">
        <v>23</v>
      </c>
      <c r="T636" s="28">
        <v>1</v>
      </c>
    </row>
    <row r="637" spans="1:20" ht="14.25" customHeight="1">
      <c r="A637" s="22">
        <v>725</v>
      </c>
      <c r="B637" s="35">
        <v>14356</v>
      </c>
      <c r="C637" s="22" t="str">
        <f>IFERROR(VLOOKUP(B637,Colaboradores!A:D,2,),"")</f>
        <v>JACILENE BELO LIMA</v>
      </c>
      <c r="D637" s="22" t="str">
        <f>IFERROR(VLOOKUP(B637,Colaboradores!A:D,3,),"")</f>
        <v>REGIONAL LESTE</v>
      </c>
      <c r="E637" s="22" t="str">
        <f>IFERROR(VLOOKUP(B637,Colaboradores!A:D,4,),"")</f>
        <v>ASSISTENTE ADMINISTRATIVO</v>
      </c>
      <c r="F637" s="22" t="s">
        <v>53</v>
      </c>
      <c r="G637" s="24" t="str">
        <f>IFERROR(VLOOKUP(F637,Procedimentos!A:C,2,),"")</f>
        <v>DIRETRIZES PARA MONITORAMENTO DE GESTANTE</v>
      </c>
      <c r="H637" s="25"/>
      <c r="I637" s="25">
        <v>45875</v>
      </c>
      <c r="J637" s="22">
        <v>12</v>
      </c>
      <c r="K637" s="25">
        <f t="shared" si="26"/>
        <v>46240</v>
      </c>
      <c r="L637" s="28" t="str">
        <f t="shared" ca="1" si="25"/>
        <v>Em dia</v>
      </c>
      <c r="M637" s="33" t="s">
        <v>50</v>
      </c>
      <c r="N637" s="28" t="s">
        <v>21</v>
      </c>
      <c r="O637" s="22" t="s">
        <v>28</v>
      </c>
      <c r="P637" s="25">
        <f t="shared" si="27"/>
        <v>45967</v>
      </c>
      <c r="Q637" s="25"/>
      <c r="R637" s="25"/>
      <c r="S637" s="7" t="s">
        <v>23</v>
      </c>
      <c r="T637" s="28">
        <v>1</v>
      </c>
    </row>
    <row r="638" spans="1:20" ht="14.25" customHeight="1">
      <c r="A638" s="22">
        <v>726</v>
      </c>
      <c r="B638" s="35">
        <v>14356</v>
      </c>
      <c r="C638" s="22" t="str">
        <f>IFERROR(VLOOKUP(B638,Colaboradores!A:D,2,),"")</f>
        <v>JACILENE BELO LIMA</v>
      </c>
      <c r="D638" s="22" t="str">
        <f>IFERROR(VLOOKUP(B638,Colaboradores!A:D,3,),"")</f>
        <v>REGIONAL LESTE</v>
      </c>
      <c r="E638" s="22" t="str">
        <f>IFERROR(VLOOKUP(B638,Colaboradores!A:D,4,),"")</f>
        <v>ASSISTENTE ADMINISTRATIVO</v>
      </c>
      <c r="F638" s="22" t="s">
        <v>54</v>
      </c>
      <c r="G638" s="24" t="str">
        <f>IFERROR(VLOOKUP(F638,Procedimentos!A:C,2,),"")</f>
        <v>DIRETRIZES DE IMUNIZAÇÃO OCUPACIONAL</v>
      </c>
      <c r="H638" s="25"/>
      <c r="I638" s="25">
        <v>45875</v>
      </c>
      <c r="J638" s="22">
        <v>12</v>
      </c>
      <c r="K638" s="25">
        <f t="shared" si="26"/>
        <v>46240</v>
      </c>
      <c r="L638" s="28" t="str">
        <f t="shared" ca="1" si="25"/>
        <v>Em dia</v>
      </c>
      <c r="M638" s="33" t="s">
        <v>50</v>
      </c>
      <c r="N638" s="28" t="s">
        <v>21</v>
      </c>
      <c r="O638" s="22" t="s">
        <v>28</v>
      </c>
      <c r="P638" s="25">
        <f t="shared" si="27"/>
        <v>45967</v>
      </c>
      <c r="Q638" s="25"/>
      <c r="R638" s="25"/>
      <c r="S638" s="7" t="s">
        <v>23</v>
      </c>
      <c r="T638" s="28">
        <v>1</v>
      </c>
    </row>
    <row r="639" spans="1:20" ht="14.25" customHeight="1">
      <c r="A639" s="22">
        <v>727</v>
      </c>
      <c r="B639" s="35">
        <v>14356</v>
      </c>
      <c r="C639" s="22" t="str">
        <f>IFERROR(VLOOKUP(B639,Colaboradores!A:D,2,),"")</f>
        <v>JACILENE BELO LIMA</v>
      </c>
      <c r="D639" s="22" t="str">
        <f>IFERROR(VLOOKUP(B639,Colaboradores!A:D,3,),"")</f>
        <v>REGIONAL LESTE</v>
      </c>
      <c r="E639" s="22" t="str">
        <f>IFERROR(VLOOKUP(B639,Colaboradores!A:D,4,),"")</f>
        <v>ASSISTENTE ADMINISTRATIVO</v>
      </c>
      <c r="F639" s="22" t="s">
        <v>55</v>
      </c>
      <c r="G639" s="24" t="str">
        <f>IFERROR(VLOOKUP(F639,Procedimentos!A:C,2,),"")</f>
        <v>DIRETRIZES PARA ACOMPANHAMENTO DE AFASTADOS</v>
      </c>
      <c r="H639" s="25"/>
      <c r="I639" s="25">
        <v>45875</v>
      </c>
      <c r="J639" s="22">
        <v>12</v>
      </c>
      <c r="K639" s="25">
        <f t="shared" si="26"/>
        <v>46240</v>
      </c>
      <c r="L639" s="28" t="str">
        <f t="shared" ca="1" si="25"/>
        <v>Em dia</v>
      </c>
      <c r="M639" s="33" t="s">
        <v>50</v>
      </c>
      <c r="N639" s="28" t="s">
        <v>21</v>
      </c>
      <c r="O639" s="22" t="s">
        <v>28</v>
      </c>
      <c r="P639" s="25">
        <f t="shared" si="27"/>
        <v>45967</v>
      </c>
      <c r="Q639" s="25"/>
      <c r="R639" s="25"/>
      <c r="S639" s="7" t="s">
        <v>23</v>
      </c>
      <c r="T639" s="28">
        <v>1</v>
      </c>
    </row>
    <row r="640" spans="1:20" ht="14.25" customHeight="1">
      <c r="A640" s="22">
        <v>728</v>
      </c>
      <c r="B640" s="35">
        <v>14767</v>
      </c>
      <c r="C640" s="22" t="str">
        <f>IFERROR(VLOOKUP(B640,Colaboradores!A:D,2,),"")</f>
        <v>CAIO VINICIUS PEREIRA DO NASCIMENTO</v>
      </c>
      <c r="D640" s="22" t="str">
        <f>IFERROR(VLOOKUP(B640,Colaboradores!A:D,3,),"")</f>
        <v>REGIONAL SUL</v>
      </c>
      <c r="E640" s="22" t="str">
        <f>IFERROR(VLOOKUP(B640,Colaboradores!A:D,4,),"")</f>
        <v>TÉCNICO DE MEIO AMBIENTE</v>
      </c>
      <c r="F640" s="22" t="s">
        <v>49</v>
      </c>
      <c r="G640" s="24" t="str">
        <f>IFERROR(VLOOKUP(F640,Procedimentos!A:C,2,),"")</f>
        <v>DIRETRIZES PARA REALIZAÇÃO DE EXAMES OCUPACIONAIS</v>
      </c>
      <c r="H640" s="25"/>
      <c r="I640" s="25">
        <v>45875</v>
      </c>
      <c r="J640" s="22">
        <v>12</v>
      </c>
      <c r="K640" s="25">
        <f t="shared" si="26"/>
        <v>46240</v>
      </c>
      <c r="L640" s="28" t="str">
        <f t="shared" ca="1" si="25"/>
        <v>Em dia</v>
      </c>
      <c r="M640" s="33" t="s">
        <v>50</v>
      </c>
      <c r="N640" s="28" t="s">
        <v>21</v>
      </c>
      <c r="O640" s="22" t="s">
        <v>28</v>
      </c>
      <c r="P640" s="25">
        <f t="shared" si="27"/>
        <v>45967</v>
      </c>
      <c r="Q640" s="25"/>
      <c r="R640" s="25"/>
      <c r="S640" s="7" t="s">
        <v>23</v>
      </c>
      <c r="T640" s="28">
        <v>1</v>
      </c>
    </row>
    <row r="641" spans="1:20" ht="14.25" customHeight="1">
      <c r="A641" s="22">
        <v>729</v>
      </c>
      <c r="B641" s="35">
        <v>15100</v>
      </c>
      <c r="C641" s="22" t="str">
        <f>IFERROR(VLOOKUP(B641,Colaboradores!A:D,2,),"")</f>
        <v>JONATHAN SILVA ALVES</v>
      </c>
      <c r="D641" s="22" t="str">
        <f>IFERROR(VLOOKUP(B641,Colaboradores!A:D,3,),"")</f>
        <v>REGIONAL SUL</v>
      </c>
      <c r="E641" s="22" t="str">
        <f>IFERROR(VLOOKUP(B641,Colaboradores!A:D,4,),"")</f>
        <v>COORDENADOR DE SSMA</v>
      </c>
      <c r="F641" s="22" t="s">
        <v>49</v>
      </c>
      <c r="G641" s="24" t="str">
        <f>IFERROR(VLOOKUP(F641,Procedimentos!A:C,2,),"")</f>
        <v>DIRETRIZES PARA REALIZAÇÃO DE EXAMES OCUPACIONAIS</v>
      </c>
      <c r="H641" s="25"/>
      <c r="I641" s="25">
        <v>45875</v>
      </c>
      <c r="J641" s="22">
        <v>12</v>
      </c>
      <c r="K641" s="25">
        <f t="shared" si="26"/>
        <v>46240</v>
      </c>
      <c r="L641" s="28" t="str">
        <f t="shared" ref="L641:L704" ca="1" si="28">IF(K641="","",IF(K641&lt;TODAY(),"Vencido",IF(K641&lt;=TODAY()+30,"A vencer","Em dia")))</f>
        <v>Em dia</v>
      </c>
      <c r="M641" s="33" t="s">
        <v>50</v>
      </c>
      <c r="N641" s="28" t="s">
        <v>21</v>
      </c>
      <c r="O641" s="22" t="s">
        <v>28</v>
      </c>
      <c r="P641" s="25">
        <f t="shared" si="27"/>
        <v>45967</v>
      </c>
      <c r="Q641" s="25"/>
      <c r="R641" s="25"/>
      <c r="S641" s="7" t="s">
        <v>23</v>
      </c>
      <c r="T641" s="28">
        <v>1</v>
      </c>
    </row>
    <row r="642" spans="1:20" ht="14.25" customHeight="1">
      <c r="A642" s="22">
        <v>730</v>
      </c>
      <c r="B642" s="35">
        <v>14767</v>
      </c>
      <c r="C642" s="22" t="str">
        <f>IFERROR(VLOOKUP(B642,Colaboradores!A:D,2,),"")</f>
        <v>CAIO VINICIUS PEREIRA DO NASCIMENTO</v>
      </c>
      <c r="D642" s="22" t="str">
        <f>IFERROR(VLOOKUP(B642,Colaboradores!A:D,3,),"")</f>
        <v>REGIONAL SUL</v>
      </c>
      <c r="E642" s="22" t="str">
        <f>IFERROR(VLOOKUP(B642,Colaboradores!A:D,4,),"")</f>
        <v>TÉCNICO DE MEIO AMBIENTE</v>
      </c>
      <c r="F642" s="22" t="s">
        <v>51</v>
      </c>
      <c r="G642" s="24" t="str">
        <f>IFERROR(VLOOKUP(F642,Procedimentos!A:C,2,),"")</f>
        <v>DIRETRIZES PARA ENTREGA DE ATESTADOS MÉDICOS E ODONTOLÓGICOS</v>
      </c>
      <c r="H642" s="25"/>
      <c r="I642" s="25">
        <v>45875</v>
      </c>
      <c r="J642" s="22">
        <v>12</v>
      </c>
      <c r="K642" s="25">
        <f t="shared" si="26"/>
        <v>46240</v>
      </c>
      <c r="L642" s="28" t="str">
        <f t="shared" ca="1" si="28"/>
        <v>Em dia</v>
      </c>
      <c r="M642" s="33" t="s">
        <v>50</v>
      </c>
      <c r="N642" s="28" t="s">
        <v>21</v>
      </c>
      <c r="O642" s="22" t="s">
        <v>28</v>
      </c>
      <c r="P642" s="25">
        <f t="shared" si="27"/>
        <v>45967</v>
      </c>
      <c r="Q642" s="25"/>
      <c r="R642" s="25"/>
      <c r="S642" s="7" t="s">
        <v>23</v>
      </c>
      <c r="T642" s="28">
        <v>1</v>
      </c>
    </row>
    <row r="643" spans="1:20" ht="14.25" customHeight="1">
      <c r="A643" s="22">
        <v>731</v>
      </c>
      <c r="B643" s="35">
        <v>15100</v>
      </c>
      <c r="C643" s="22" t="str">
        <f>IFERROR(VLOOKUP(B643,Colaboradores!A:D,2,),"")</f>
        <v>JONATHAN SILVA ALVES</v>
      </c>
      <c r="D643" s="22" t="str">
        <f>IFERROR(VLOOKUP(B643,Colaboradores!A:D,3,),"")</f>
        <v>REGIONAL SUL</v>
      </c>
      <c r="E643" s="22" t="str">
        <f>IFERROR(VLOOKUP(B643,Colaboradores!A:D,4,),"")</f>
        <v>COORDENADOR DE SSMA</v>
      </c>
      <c r="F643" s="22" t="s">
        <v>51</v>
      </c>
      <c r="G643" s="24" t="str">
        <f>IFERROR(VLOOKUP(F643,Procedimentos!A:C,2,),"")</f>
        <v>DIRETRIZES PARA ENTREGA DE ATESTADOS MÉDICOS E ODONTOLÓGICOS</v>
      </c>
      <c r="H643" s="25"/>
      <c r="I643" s="25">
        <v>45875</v>
      </c>
      <c r="J643" s="22">
        <v>12</v>
      </c>
      <c r="K643" s="25">
        <f t="shared" ref="K643:K706" si="29">IF(AND(I643&lt;&gt;"",J643&lt;&gt;""),DATE(YEAR(I643),MONTH(I643)+J643,DAY(I643)),"")</f>
        <v>46240</v>
      </c>
      <c r="L643" s="28" t="str">
        <f t="shared" ca="1" si="28"/>
        <v>Em dia</v>
      </c>
      <c r="M643" s="33" t="s">
        <v>50</v>
      </c>
      <c r="N643" s="28" t="s">
        <v>21</v>
      </c>
      <c r="O643" s="22" t="s">
        <v>28</v>
      </c>
      <c r="P643" s="25">
        <f t="shared" si="27"/>
        <v>45967</v>
      </c>
      <c r="Q643" s="25"/>
      <c r="R643" s="25"/>
      <c r="S643" s="7" t="s">
        <v>23</v>
      </c>
      <c r="T643" s="28">
        <v>1</v>
      </c>
    </row>
    <row r="644" spans="1:20" ht="14.25" customHeight="1">
      <c r="A644" s="22">
        <v>732</v>
      </c>
      <c r="B644" s="35">
        <v>14767</v>
      </c>
      <c r="C644" s="22" t="str">
        <f>IFERROR(VLOOKUP(B644,Colaboradores!A:D,2,),"")</f>
        <v>CAIO VINICIUS PEREIRA DO NASCIMENTO</v>
      </c>
      <c r="D644" s="22" t="str">
        <f>IFERROR(VLOOKUP(B644,Colaboradores!A:D,3,),"")</f>
        <v>REGIONAL SUL</v>
      </c>
      <c r="E644" s="22" t="str">
        <f>IFERROR(VLOOKUP(B644,Colaboradores!A:D,4,),"")</f>
        <v>TÉCNICO DE MEIO AMBIENTE</v>
      </c>
      <c r="F644" s="22" t="s">
        <v>52</v>
      </c>
      <c r="G644" s="24" t="str">
        <f>IFERROR(VLOOKUP(F644,Procedimentos!A:C,2,),"")</f>
        <v>DIRETRIZES E ACOMPANHAMENTO  DE ACIDENTE COM MATERIAL BIOLOGICO</v>
      </c>
      <c r="H644" s="25"/>
      <c r="I644" s="25">
        <v>45875</v>
      </c>
      <c r="J644" s="22">
        <v>12</v>
      </c>
      <c r="K644" s="25">
        <f t="shared" si="29"/>
        <v>46240</v>
      </c>
      <c r="L644" s="28" t="str">
        <f t="shared" ca="1" si="28"/>
        <v>Em dia</v>
      </c>
      <c r="M644" s="33" t="s">
        <v>50</v>
      </c>
      <c r="N644" s="28" t="s">
        <v>21</v>
      </c>
      <c r="O644" s="22" t="s">
        <v>28</v>
      </c>
      <c r="P644" s="25">
        <f t="shared" si="27"/>
        <v>45967</v>
      </c>
      <c r="Q644" s="25"/>
      <c r="R644" s="25"/>
      <c r="S644" s="7" t="s">
        <v>23</v>
      </c>
      <c r="T644" s="28">
        <v>1</v>
      </c>
    </row>
    <row r="645" spans="1:20" ht="14.25" customHeight="1">
      <c r="A645" s="22">
        <v>733</v>
      </c>
      <c r="B645" s="35">
        <v>15100</v>
      </c>
      <c r="C645" s="22" t="str">
        <f>IFERROR(VLOOKUP(B645,Colaboradores!A:D,2,),"")</f>
        <v>JONATHAN SILVA ALVES</v>
      </c>
      <c r="D645" s="22" t="str">
        <f>IFERROR(VLOOKUP(B645,Colaboradores!A:D,3,),"")</f>
        <v>REGIONAL SUL</v>
      </c>
      <c r="E645" s="22" t="str">
        <f>IFERROR(VLOOKUP(B645,Colaboradores!A:D,4,),"")</f>
        <v>COORDENADOR DE SSMA</v>
      </c>
      <c r="F645" s="22" t="s">
        <v>52</v>
      </c>
      <c r="G645" s="24" t="str">
        <f>IFERROR(VLOOKUP(F645,Procedimentos!A:C,2,),"")</f>
        <v>DIRETRIZES E ACOMPANHAMENTO  DE ACIDENTE COM MATERIAL BIOLOGICO</v>
      </c>
      <c r="H645" s="25"/>
      <c r="I645" s="25">
        <v>45875</v>
      </c>
      <c r="J645" s="22">
        <v>12</v>
      </c>
      <c r="K645" s="25">
        <f t="shared" si="29"/>
        <v>46240</v>
      </c>
      <c r="L645" s="28" t="str">
        <f t="shared" ca="1" si="28"/>
        <v>Em dia</v>
      </c>
      <c r="M645" s="33" t="s">
        <v>50</v>
      </c>
      <c r="N645" s="28" t="s">
        <v>21</v>
      </c>
      <c r="O645" s="22" t="s">
        <v>28</v>
      </c>
      <c r="P645" s="25">
        <f t="shared" si="27"/>
        <v>45967</v>
      </c>
      <c r="Q645" s="25"/>
      <c r="R645" s="25"/>
      <c r="S645" s="7" t="s">
        <v>23</v>
      </c>
      <c r="T645" s="28">
        <v>1</v>
      </c>
    </row>
    <row r="646" spans="1:20" ht="14.25" customHeight="1">
      <c r="A646" s="22">
        <v>734</v>
      </c>
      <c r="B646" s="35">
        <v>14767</v>
      </c>
      <c r="C646" s="22" t="str">
        <f>IFERROR(VLOOKUP(B646,Colaboradores!A:D,2,),"")</f>
        <v>CAIO VINICIUS PEREIRA DO NASCIMENTO</v>
      </c>
      <c r="D646" s="22" t="str">
        <f>IFERROR(VLOOKUP(B646,Colaboradores!A:D,3,),"")</f>
        <v>REGIONAL SUL</v>
      </c>
      <c r="E646" s="22" t="str">
        <f>IFERROR(VLOOKUP(B646,Colaboradores!A:D,4,),"")</f>
        <v>TÉCNICO DE MEIO AMBIENTE</v>
      </c>
      <c r="F646" s="22" t="s">
        <v>53</v>
      </c>
      <c r="G646" s="24" t="str">
        <f>IFERROR(VLOOKUP(F646,Procedimentos!A:C,2,),"")</f>
        <v>DIRETRIZES PARA MONITORAMENTO DE GESTANTE</v>
      </c>
      <c r="H646" s="25"/>
      <c r="I646" s="25">
        <v>45875</v>
      </c>
      <c r="J646" s="22">
        <v>12</v>
      </c>
      <c r="K646" s="25">
        <f t="shared" si="29"/>
        <v>46240</v>
      </c>
      <c r="L646" s="28" t="str">
        <f t="shared" ca="1" si="28"/>
        <v>Em dia</v>
      </c>
      <c r="M646" s="33" t="s">
        <v>50</v>
      </c>
      <c r="N646" s="28" t="s">
        <v>21</v>
      </c>
      <c r="O646" s="22" t="s">
        <v>28</v>
      </c>
      <c r="P646" s="25">
        <f t="shared" si="27"/>
        <v>45967</v>
      </c>
      <c r="Q646" s="25"/>
      <c r="R646" s="25"/>
      <c r="S646" s="7" t="s">
        <v>23</v>
      </c>
      <c r="T646" s="28">
        <v>1</v>
      </c>
    </row>
    <row r="647" spans="1:20" ht="14.25" customHeight="1">
      <c r="A647" s="22">
        <v>735</v>
      </c>
      <c r="B647" s="35">
        <v>15100</v>
      </c>
      <c r="C647" s="22" t="str">
        <f>IFERROR(VLOOKUP(B647,Colaboradores!A:D,2,),"")</f>
        <v>JONATHAN SILVA ALVES</v>
      </c>
      <c r="D647" s="22" t="str">
        <f>IFERROR(VLOOKUP(B647,Colaboradores!A:D,3,),"")</f>
        <v>REGIONAL SUL</v>
      </c>
      <c r="E647" s="22" t="str">
        <f>IFERROR(VLOOKUP(B647,Colaboradores!A:D,4,),"")</f>
        <v>COORDENADOR DE SSMA</v>
      </c>
      <c r="F647" s="22" t="s">
        <v>53</v>
      </c>
      <c r="G647" s="24" t="str">
        <f>IFERROR(VLOOKUP(F647,Procedimentos!A:C,2,),"")</f>
        <v>DIRETRIZES PARA MONITORAMENTO DE GESTANTE</v>
      </c>
      <c r="H647" s="25"/>
      <c r="I647" s="25">
        <v>45875</v>
      </c>
      <c r="J647" s="22">
        <v>12</v>
      </c>
      <c r="K647" s="25">
        <f t="shared" si="29"/>
        <v>46240</v>
      </c>
      <c r="L647" s="28" t="str">
        <f t="shared" ca="1" si="28"/>
        <v>Em dia</v>
      </c>
      <c r="M647" s="33" t="s">
        <v>50</v>
      </c>
      <c r="N647" s="28" t="s">
        <v>21</v>
      </c>
      <c r="O647" s="22" t="s">
        <v>28</v>
      </c>
      <c r="P647" s="25">
        <f t="shared" si="27"/>
        <v>45967</v>
      </c>
      <c r="Q647" s="25"/>
      <c r="R647" s="25"/>
      <c r="S647" s="7" t="s">
        <v>23</v>
      </c>
      <c r="T647" s="28">
        <v>1</v>
      </c>
    </row>
    <row r="648" spans="1:20" ht="14.25" customHeight="1">
      <c r="A648" s="22">
        <v>736</v>
      </c>
      <c r="B648" s="35">
        <v>14767</v>
      </c>
      <c r="C648" s="22" t="str">
        <f>IFERROR(VLOOKUP(B648,Colaboradores!A:D,2,),"")</f>
        <v>CAIO VINICIUS PEREIRA DO NASCIMENTO</v>
      </c>
      <c r="D648" s="22" t="str">
        <f>IFERROR(VLOOKUP(B648,Colaboradores!A:D,3,),"")</f>
        <v>REGIONAL SUL</v>
      </c>
      <c r="E648" s="22" t="str">
        <f>IFERROR(VLOOKUP(B648,Colaboradores!A:D,4,),"")</f>
        <v>TÉCNICO DE MEIO AMBIENTE</v>
      </c>
      <c r="F648" s="22" t="s">
        <v>54</v>
      </c>
      <c r="G648" s="24" t="str">
        <f>IFERROR(VLOOKUP(F648,Procedimentos!A:C,2,),"")</f>
        <v>DIRETRIZES DE IMUNIZAÇÃO OCUPACIONAL</v>
      </c>
      <c r="H648" s="25"/>
      <c r="I648" s="25">
        <v>45875</v>
      </c>
      <c r="J648" s="22">
        <v>12</v>
      </c>
      <c r="K648" s="25">
        <f t="shared" si="29"/>
        <v>46240</v>
      </c>
      <c r="L648" s="28" t="str">
        <f t="shared" ca="1" si="28"/>
        <v>Em dia</v>
      </c>
      <c r="M648" s="33" t="s">
        <v>50</v>
      </c>
      <c r="N648" s="28" t="s">
        <v>21</v>
      </c>
      <c r="O648" s="22" t="s">
        <v>28</v>
      </c>
      <c r="P648" s="25">
        <f t="shared" si="27"/>
        <v>45967</v>
      </c>
      <c r="Q648" s="25"/>
      <c r="R648" s="25"/>
      <c r="S648" s="7" t="s">
        <v>23</v>
      </c>
      <c r="T648" s="28">
        <v>1</v>
      </c>
    </row>
    <row r="649" spans="1:20" ht="14.25" customHeight="1">
      <c r="A649" s="22">
        <v>737</v>
      </c>
      <c r="B649" s="35">
        <v>15100</v>
      </c>
      <c r="C649" s="22" t="str">
        <f>IFERROR(VLOOKUP(B649,Colaboradores!A:D,2,),"")</f>
        <v>JONATHAN SILVA ALVES</v>
      </c>
      <c r="D649" s="22" t="str">
        <f>IFERROR(VLOOKUP(B649,Colaboradores!A:D,3,),"")</f>
        <v>REGIONAL SUL</v>
      </c>
      <c r="E649" s="22" t="str">
        <f>IFERROR(VLOOKUP(B649,Colaboradores!A:D,4,),"")</f>
        <v>COORDENADOR DE SSMA</v>
      </c>
      <c r="F649" s="22" t="s">
        <v>54</v>
      </c>
      <c r="G649" s="24" t="str">
        <f>IFERROR(VLOOKUP(F649,Procedimentos!A:C,2,),"")</f>
        <v>DIRETRIZES DE IMUNIZAÇÃO OCUPACIONAL</v>
      </c>
      <c r="H649" s="25"/>
      <c r="I649" s="25">
        <v>45875</v>
      </c>
      <c r="J649" s="22">
        <v>12</v>
      </c>
      <c r="K649" s="25">
        <f t="shared" si="29"/>
        <v>46240</v>
      </c>
      <c r="L649" s="28" t="str">
        <f t="shared" ca="1" si="28"/>
        <v>Em dia</v>
      </c>
      <c r="M649" s="33" t="s">
        <v>50</v>
      </c>
      <c r="N649" s="28" t="s">
        <v>21</v>
      </c>
      <c r="O649" s="22" t="s">
        <v>28</v>
      </c>
      <c r="P649" s="25">
        <f t="shared" si="27"/>
        <v>45967</v>
      </c>
      <c r="Q649" s="25"/>
      <c r="R649" s="25"/>
      <c r="S649" s="7" t="s">
        <v>23</v>
      </c>
      <c r="T649" s="28">
        <v>1</v>
      </c>
    </row>
    <row r="650" spans="1:20" ht="14.25" customHeight="1">
      <c r="A650" s="22">
        <v>738</v>
      </c>
      <c r="B650" s="35">
        <v>14767</v>
      </c>
      <c r="C650" s="22" t="str">
        <f>IFERROR(VLOOKUP(B650,Colaboradores!A:D,2,),"")</f>
        <v>CAIO VINICIUS PEREIRA DO NASCIMENTO</v>
      </c>
      <c r="D650" s="22" t="str">
        <f>IFERROR(VLOOKUP(B650,Colaboradores!A:D,3,),"")</f>
        <v>REGIONAL SUL</v>
      </c>
      <c r="E650" s="22" t="str">
        <f>IFERROR(VLOOKUP(B650,Colaboradores!A:D,4,),"")</f>
        <v>TÉCNICO DE MEIO AMBIENTE</v>
      </c>
      <c r="F650" s="22" t="s">
        <v>55</v>
      </c>
      <c r="G650" s="24" t="str">
        <f>IFERROR(VLOOKUP(F650,Procedimentos!A:C,2,),"")</f>
        <v>DIRETRIZES PARA ACOMPANHAMENTO DE AFASTADOS</v>
      </c>
      <c r="H650" s="25"/>
      <c r="I650" s="25">
        <v>45875</v>
      </c>
      <c r="J650" s="22">
        <v>12</v>
      </c>
      <c r="K650" s="25">
        <f t="shared" si="29"/>
        <v>46240</v>
      </c>
      <c r="L650" s="28" t="str">
        <f t="shared" ca="1" si="28"/>
        <v>Em dia</v>
      </c>
      <c r="M650" s="33" t="s">
        <v>50</v>
      </c>
      <c r="N650" s="28" t="s">
        <v>21</v>
      </c>
      <c r="O650" s="22" t="s">
        <v>28</v>
      </c>
      <c r="P650" s="25">
        <f t="shared" si="27"/>
        <v>45967</v>
      </c>
      <c r="Q650" s="25"/>
      <c r="R650" s="25"/>
      <c r="S650" s="7" t="s">
        <v>23</v>
      </c>
      <c r="T650" s="28">
        <v>1</v>
      </c>
    </row>
    <row r="651" spans="1:20" ht="14.25" customHeight="1">
      <c r="A651" s="22">
        <v>739</v>
      </c>
      <c r="B651" s="35">
        <v>15100</v>
      </c>
      <c r="C651" s="22" t="str">
        <f>IFERROR(VLOOKUP(B651,Colaboradores!A:D,2,),"")</f>
        <v>JONATHAN SILVA ALVES</v>
      </c>
      <c r="D651" s="22" t="str">
        <f>IFERROR(VLOOKUP(B651,Colaboradores!A:D,3,),"")</f>
        <v>REGIONAL SUL</v>
      </c>
      <c r="E651" s="22" t="str">
        <f>IFERROR(VLOOKUP(B651,Colaboradores!A:D,4,),"")</f>
        <v>COORDENADOR DE SSMA</v>
      </c>
      <c r="F651" s="22" t="s">
        <v>55</v>
      </c>
      <c r="G651" s="24" t="str">
        <f>IFERROR(VLOOKUP(F651,Procedimentos!A:C,2,),"")</f>
        <v>DIRETRIZES PARA ACOMPANHAMENTO DE AFASTADOS</v>
      </c>
      <c r="H651" s="25"/>
      <c r="I651" s="25">
        <v>45875</v>
      </c>
      <c r="J651" s="22">
        <v>12</v>
      </c>
      <c r="K651" s="25">
        <f t="shared" si="29"/>
        <v>46240</v>
      </c>
      <c r="L651" s="28" t="str">
        <f t="shared" ca="1" si="28"/>
        <v>Em dia</v>
      </c>
      <c r="M651" s="33" t="s">
        <v>50</v>
      </c>
      <c r="N651" s="28" t="s">
        <v>21</v>
      </c>
      <c r="O651" s="22" t="s">
        <v>28</v>
      </c>
      <c r="P651" s="25">
        <f t="shared" si="27"/>
        <v>45967</v>
      </c>
      <c r="Q651" s="25"/>
      <c r="R651" s="25"/>
      <c r="S651" s="7" t="s">
        <v>23</v>
      </c>
      <c r="T651" s="28">
        <v>1</v>
      </c>
    </row>
    <row r="652" spans="1:20" ht="14.25" customHeight="1">
      <c r="A652" s="22">
        <v>740</v>
      </c>
      <c r="B652" s="33">
        <v>12555</v>
      </c>
      <c r="C652" s="22" t="str">
        <f>IFERROR(VLOOKUP(B652,Colaboradores!A:D,2,),"")</f>
        <v>HWGO AUGUSTO ALMEIDA</v>
      </c>
      <c r="D652" s="22" t="str">
        <f>IFERROR(VLOOKUP(B652,Colaboradores!A:D,3,),"")</f>
        <v>COORDENAÇÃO ADMINISTRATIVA</v>
      </c>
      <c r="E652" s="22" t="str">
        <f>IFERROR(VLOOKUP(B652,Colaboradores!A:D,4,),"")</f>
        <v>ANALISTA ADMINISTRATIVO</v>
      </c>
      <c r="F652" s="22" t="s">
        <v>19</v>
      </c>
      <c r="G652" s="24" t="str">
        <f>IFERROR(VLOOKUP(F652,Procedimentos!A:C,2,),"")</f>
        <v>DIRETRIZES PARA DOCUMENTOS NORMATIVOS</v>
      </c>
      <c r="H652" s="25"/>
      <c r="I652" s="25">
        <v>45891</v>
      </c>
      <c r="J652" s="22">
        <v>12</v>
      </c>
      <c r="K652" s="25">
        <f t="shared" si="29"/>
        <v>46256</v>
      </c>
      <c r="L652" s="28" t="str">
        <f t="shared" ca="1" si="28"/>
        <v>Em dia</v>
      </c>
      <c r="M652" s="33" t="s">
        <v>57</v>
      </c>
      <c r="N652" s="28" t="s">
        <v>21</v>
      </c>
      <c r="O652" s="22" t="s">
        <v>28</v>
      </c>
      <c r="P652" s="25">
        <f t="shared" si="27"/>
        <v>45983</v>
      </c>
      <c r="Q652" s="25"/>
      <c r="R652" s="25"/>
      <c r="S652" s="7" t="s">
        <v>27</v>
      </c>
      <c r="T652" s="28">
        <v>1</v>
      </c>
    </row>
    <row r="653" spans="1:20" ht="14.25" customHeight="1">
      <c r="A653" s="22">
        <v>741</v>
      </c>
      <c r="B653" s="33">
        <v>12555</v>
      </c>
      <c r="C653" s="22" t="str">
        <f>IFERROR(VLOOKUP(B653,Colaboradores!A:D,2,),"")</f>
        <v>HWGO AUGUSTO ALMEIDA</v>
      </c>
      <c r="D653" s="22" t="str">
        <f>IFERROR(VLOOKUP(B653,Colaboradores!A:D,3,),"")</f>
        <v>COORDENAÇÃO ADMINISTRATIVA</v>
      </c>
      <c r="E653" s="22" t="str">
        <f>IFERROR(VLOOKUP(B653,Colaboradores!A:D,4,),"")</f>
        <v>ANALISTA ADMINISTRATIVO</v>
      </c>
      <c r="F653" s="22" t="s">
        <v>24</v>
      </c>
      <c r="G653" s="24" t="str">
        <f>IFERROR(VLOOKUP(F653,Procedimentos!A:C,2,),"")</f>
        <v>DIRETRIZES  PARA PROGRAMA 5S</v>
      </c>
      <c r="H653" s="25"/>
      <c r="I653" s="25">
        <v>45891</v>
      </c>
      <c r="J653" s="22">
        <v>12</v>
      </c>
      <c r="K653" s="25">
        <f t="shared" si="29"/>
        <v>46256</v>
      </c>
      <c r="L653" s="28" t="str">
        <f t="shared" ca="1" si="28"/>
        <v>Em dia</v>
      </c>
      <c r="M653" s="33" t="s">
        <v>57</v>
      </c>
      <c r="N653" s="28" t="s">
        <v>21</v>
      </c>
      <c r="O653" s="22" t="s">
        <v>28</v>
      </c>
      <c r="P653" s="25">
        <f t="shared" si="27"/>
        <v>45983</v>
      </c>
      <c r="Q653" s="25"/>
      <c r="R653" s="25"/>
      <c r="S653" s="7" t="s">
        <v>27</v>
      </c>
      <c r="T653" s="28">
        <v>1</v>
      </c>
    </row>
    <row r="654" spans="1:20" ht="14.25" customHeight="1">
      <c r="A654" s="22">
        <v>742</v>
      </c>
      <c r="B654" s="33">
        <v>12555</v>
      </c>
      <c r="C654" s="22" t="str">
        <f>IFERROR(VLOOKUP(B654,Colaboradores!A:D,2,),"")</f>
        <v>HWGO AUGUSTO ALMEIDA</v>
      </c>
      <c r="D654" s="22" t="str">
        <f>IFERROR(VLOOKUP(B654,Colaboradores!A:D,3,),"")</f>
        <v>COORDENAÇÃO ADMINISTRATIVA</v>
      </c>
      <c r="E654" s="22" t="str">
        <f>IFERROR(VLOOKUP(B654,Colaboradores!A:D,4,),"")</f>
        <v>ANALISTA ADMINISTRATIVO</v>
      </c>
      <c r="F654" s="22" t="s">
        <v>25</v>
      </c>
      <c r="G654" s="24" t="str">
        <f>IFERROR(VLOOKUP(F654,Procedimentos!A:C,2,),"")</f>
        <v>GARANTIA DA QUALIDADE</v>
      </c>
      <c r="H654" s="25"/>
      <c r="I654" s="25">
        <v>45891</v>
      </c>
      <c r="J654" s="22">
        <v>12</v>
      </c>
      <c r="K654" s="25">
        <f t="shared" si="29"/>
        <v>46256</v>
      </c>
      <c r="L654" s="28" t="str">
        <f t="shared" ca="1" si="28"/>
        <v>Em dia</v>
      </c>
      <c r="M654" s="33" t="s">
        <v>57</v>
      </c>
      <c r="N654" s="28" t="s">
        <v>21</v>
      </c>
      <c r="O654" s="22" t="s">
        <v>28</v>
      </c>
      <c r="P654" s="25">
        <f t="shared" si="27"/>
        <v>45983</v>
      </c>
      <c r="Q654" s="25"/>
      <c r="R654" s="25"/>
      <c r="S654" s="7" t="s">
        <v>27</v>
      </c>
      <c r="T654" s="28">
        <v>1</v>
      </c>
    </row>
    <row r="655" spans="1:20" ht="14.25" customHeight="1">
      <c r="A655" s="22">
        <v>743</v>
      </c>
      <c r="B655" s="33">
        <v>12555</v>
      </c>
      <c r="C655" s="22" t="str">
        <f>IFERROR(VLOOKUP(B655,Colaboradores!A:D,2,),"")</f>
        <v>HWGO AUGUSTO ALMEIDA</v>
      </c>
      <c r="D655" s="22" t="str">
        <f>IFERROR(VLOOKUP(B655,Colaboradores!A:D,3,),"")</f>
        <v>COORDENAÇÃO ADMINISTRATIVA</v>
      </c>
      <c r="E655" s="22" t="str">
        <f>IFERROR(VLOOKUP(B655,Colaboradores!A:D,4,),"")</f>
        <v>ANALISTA ADMINISTRATIVO</v>
      </c>
      <c r="F655" s="22" t="s">
        <v>26</v>
      </c>
      <c r="G655" s="24" t="str">
        <f>IFERROR(VLOOKUP(F655,Procedimentos!A:C,2,),"")</f>
        <v>RESPONSABILIDADES E AUTORIDADES DO SGQ</v>
      </c>
      <c r="H655" s="25"/>
      <c r="I655" s="25">
        <v>45891</v>
      </c>
      <c r="J655" s="22">
        <v>12</v>
      </c>
      <c r="K655" s="25">
        <f t="shared" si="29"/>
        <v>46256</v>
      </c>
      <c r="L655" s="28" t="str">
        <f t="shared" ca="1" si="28"/>
        <v>Em dia</v>
      </c>
      <c r="M655" s="33" t="s">
        <v>57</v>
      </c>
      <c r="N655" s="28" t="s">
        <v>21</v>
      </c>
      <c r="O655" s="22" t="s">
        <v>28</v>
      </c>
      <c r="P655" s="25">
        <f t="shared" si="27"/>
        <v>45983</v>
      </c>
      <c r="Q655" s="25"/>
      <c r="R655" s="25"/>
      <c r="S655" s="7" t="s">
        <v>27</v>
      </c>
      <c r="T655" s="28">
        <v>1</v>
      </c>
    </row>
    <row r="656" spans="1:20" ht="14.25" customHeight="1">
      <c r="A656" s="22">
        <v>744</v>
      </c>
      <c r="B656" s="38">
        <v>15295</v>
      </c>
      <c r="C656" s="22" t="str">
        <f>IFERROR(VLOOKUP(B656,Colaboradores!A:D,2,),"")</f>
        <v>ANA CRISTINA GONÇALVES NUNES</v>
      </c>
      <c r="D656" s="22" t="str">
        <f>IFERROR(VLOOKUP(B656,Colaboradores!A:D,3,),"")</f>
        <v>SAÚDE OCUPACIONAL</v>
      </c>
      <c r="E656" s="22" t="str">
        <f>IFERROR(VLOOKUP(B656,Colaboradores!A:D,4,),"")</f>
        <v>ENFERMEIRA</v>
      </c>
      <c r="F656" s="22" t="s">
        <v>19</v>
      </c>
      <c r="G656" s="24" t="str">
        <f>IFERROR(VLOOKUP(F656,Procedimentos!A:C,2,),"")</f>
        <v>DIRETRIZES PARA DOCUMENTOS NORMATIVOS</v>
      </c>
      <c r="H656" s="25"/>
      <c r="I656" s="25">
        <v>45891</v>
      </c>
      <c r="J656" s="22">
        <v>12</v>
      </c>
      <c r="K656" s="25">
        <f t="shared" si="29"/>
        <v>46256</v>
      </c>
      <c r="L656" s="28" t="str">
        <f t="shared" ca="1" si="28"/>
        <v>Em dia</v>
      </c>
      <c r="M656" s="33" t="s">
        <v>57</v>
      </c>
      <c r="N656" s="28" t="s">
        <v>21</v>
      </c>
      <c r="O656" s="22" t="s">
        <v>28</v>
      </c>
      <c r="P656" s="25">
        <f t="shared" si="27"/>
        <v>45983</v>
      </c>
      <c r="Q656" s="25"/>
      <c r="R656" s="25"/>
      <c r="S656" s="7" t="s">
        <v>23</v>
      </c>
      <c r="T656" s="28">
        <v>1</v>
      </c>
    </row>
    <row r="657" spans="1:20" ht="14.25" customHeight="1">
      <c r="A657" s="22">
        <v>745</v>
      </c>
      <c r="B657" s="38">
        <v>7590</v>
      </c>
      <c r="C657" s="22" t="str">
        <f>IFERROR(VLOOKUP(B657,Colaboradores!A:D,2,),"")</f>
        <v>FABIOLA SOUSA MOURA BORGES</v>
      </c>
      <c r="D657" s="22" t="str">
        <f>IFERROR(VLOOKUP(B657,Colaboradores!A:D,3,),"")</f>
        <v>SAÚDE OCUPACIONAL</v>
      </c>
      <c r="E657" s="22" t="str">
        <f>IFERROR(VLOOKUP(B657,Colaboradores!A:D,4,),"")</f>
        <v>GERENTE DE SAÚDE OCUPACIONAL</v>
      </c>
      <c r="F657" s="22" t="s">
        <v>19</v>
      </c>
      <c r="G657" s="24" t="str">
        <f>IFERROR(VLOOKUP(F657,Procedimentos!A:C,2,),"")</f>
        <v>DIRETRIZES PARA DOCUMENTOS NORMATIVOS</v>
      </c>
      <c r="H657" s="25"/>
      <c r="I657" s="25">
        <v>45891</v>
      </c>
      <c r="J657" s="22">
        <v>12</v>
      </c>
      <c r="K657" s="25">
        <f t="shared" si="29"/>
        <v>46256</v>
      </c>
      <c r="L657" s="28" t="str">
        <f t="shared" ca="1" si="28"/>
        <v>Em dia</v>
      </c>
      <c r="M657" s="33" t="s">
        <v>57</v>
      </c>
      <c r="N657" s="28" t="s">
        <v>21</v>
      </c>
      <c r="O657" s="22" t="s">
        <v>28</v>
      </c>
      <c r="P657" s="25">
        <f t="shared" si="27"/>
        <v>45983</v>
      </c>
      <c r="Q657" s="25"/>
      <c r="R657" s="25"/>
      <c r="S657" s="7" t="s">
        <v>23</v>
      </c>
      <c r="T657" s="28">
        <v>1</v>
      </c>
    </row>
    <row r="658" spans="1:20" ht="14.25" customHeight="1">
      <c r="A658" s="22">
        <v>746</v>
      </c>
      <c r="B658" s="38">
        <v>14508</v>
      </c>
      <c r="C658" s="22" t="str">
        <f>IFERROR(VLOOKUP(B658,Colaboradores!A:D,2,),"")</f>
        <v>FYAMA SANTOS SILVA</v>
      </c>
      <c r="D658" s="22" t="str">
        <f>IFERROR(VLOOKUP(B658,Colaboradores!A:D,3,),"")</f>
        <v>SAÚDE OCUPACIONAL</v>
      </c>
      <c r="E658" s="22" t="str">
        <f>IFERROR(VLOOKUP(B658,Colaboradores!A:D,4,),"")</f>
        <v>ASSISTENTE ADMINISTRATIVO</v>
      </c>
      <c r="F658" s="22" t="s">
        <v>19</v>
      </c>
      <c r="G658" s="24" t="str">
        <f>IFERROR(VLOOKUP(F658,Procedimentos!A:C,2,),"")</f>
        <v>DIRETRIZES PARA DOCUMENTOS NORMATIVOS</v>
      </c>
      <c r="H658" s="25"/>
      <c r="I658" s="25">
        <v>45891</v>
      </c>
      <c r="J658" s="22">
        <v>12</v>
      </c>
      <c r="K658" s="25">
        <f t="shared" si="29"/>
        <v>46256</v>
      </c>
      <c r="L658" s="28" t="str">
        <f t="shared" ca="1" si="28"/>
        <v>Em dia</v>
      </c>
      <c r="M658" s="33" t="s">
        <v>57</v>
      </c>
      <c r="N658" s="28" t="s">
        <v>21</v>
      </c>
      <c r="O658" s="22" t="s">
        <v>28</v>
      </c>
      <c r="P658" s="25">
        <f t="shared" si="27"/>
        <v>45983</v>
      </c>
      <c r="Q658" s="25"/>
      <c r="R658" s="25"/>
      <c r="S658" s="7" t="s">
        <v>23</v>
      </c>
      <c r="T658" s="28">
        <v>1</v>
      </c>
    </row>
    <row r="659" spans="1:20" ht="14.25" customHeight="1">
      <c r="A659" s="22">
        <v>747</v>
      </c>
      <c r="B659" s="38">
        <v>13778</v>
      </c>
      <c r="C659" s="22" t="str">
        <f>IFERROR(VLOOKUP(B659,Colaboradores!A:D,2,),"")</f>
        <v>LAIS FERREIRA CAMPOS MINEIRO</v>
      </c>
      <c r="D659" s="22" t="str">
        <f>IFERROR(VLOOKUP(B659,Colaboradores!A:D,3,),"")</f>
        <v>SAÚDE OCUPACIONAL</v>
      </c>
      <c r="E659" s="22" t="str">
        <f>IFERROR(VLOOKUP(B659,Colaboradores!A:D,4,),"")</f>
        <v>FISIOTERAPEUTA</v>
      </c>
      <c r="F659" s="22" t="s">
        <v>19</v>
      </c>
      <c r="G659" s="24" t="str">
        <f>IFERROR(VLOOKUP(F659,Procedimentos!A:C,2,),"")</f>
        <v>DIRETRIZES PARA DOCUMENTOS NORMATIVOS</v>
      </c>
      <c r="H659" s="25"/>
      <c r="I659" s="25">
        <v>45891</v>
      </c>
      <c r="J659" s="22">
        <v>12</v>
      </c>
      <c r="K659" s="25">
        <f t="shared" si="29"/>
        <v>46256</v>
      </c>
      <c r="L659" s="28" t="str">
        <f t="shared" ca="1" si="28"/>
        <v>Em dia</v>
      </c>
      <c r="M659" s="33" t="s">
        <v>57</v>
      </c>
      <c r="N659" s="28" t="s">
        <v>21</v>
      </c>
      <c r="O659" s="22" t="s">
        <v>28</v>
      </c>
      <c r="P659" s="25">
        <f t="shared" si="27"/>
        <v>45983</v>
      </c>
      <c r="Q659" s="25"/>
      <c r="R659" s="25"/>
      <c r="S659" s="7" t="s">
        <v>23</v>
      </c>
      <c r="T659" s="28">
        <v>1</v>
      </c>
    </row>
    <row r="660" spans="1:20" ht="14.25" customHeight="1">
      <c r="A660" s="22">
        <v>748</v>
      </c>
      <c r="B660" s="38">
        <v>15295</v>
      </c>
      <c r="C660" s="22" t="str">
        <f>IFERROR(VLOOKUP(B660,Colaboradores!A:D,2,),"")</f>
        <v>ANA CRISTINA GONÇALVES NUNES</v>
      </c>
      <c r="D660" s="22" t="str">
        <f>IFERROR(VLOOKUP(B660,Colaboradores!A:D,3,),"")</f>
        <v>SAÚDE OCUPACIONAL</v>
      </c>
      <c r="E660" s="22" t="str">
        <f>IFERROR(VLOOKUP(B660,Colaboradores!A:D,4,),"")</f>
        <v>ENFERMEIRA</v>
      </c>
      <c r="F660" s="22" t="s">
        <v>24</v>
      </c>
      <c r="G660" s="24" t="str">
        <f>IFERROR(VLOOKUP(F660,Procedimentos!A:C,2,),"")</f>
        <v>DIRETRIZES  PARA PROGRAMA 5S</v>
      </c>
      <c r="H660" s="25"/>
      <c r="I660" s="25">
        <v>45891</v>
      </c>
      <c r="J660" s="22">
        <v>12</v>
      </c>
      <c r="K660" s="25">
        <f t="shared" si="29"/>
        <v>46256</v>
      </c>
      <c r="L660" s="28" t="str">
        <f t="shared" ca="1" si="28"/>
        <v>Em dia</v>
      </c>
      <c r="M660" s="33" t="s">
        <v>57</v>
      </c>
      <c r="N660" s="28" t="s">
        <v>21</v>
      </c>
      <c r="O660" s="22" t="s">
        <v>28</v>
      </c>
      <c r="P660" s="25">
        <f t="shared" si="27"/>
        <v>45983</v>
      </c>
      <c r="Q660" s="25"/>
      <c r="R660" s="25"/>
      <c r="S660" s="7" t="s">
        <v>23</v>
      </c>
      <c r="T660" s="28">
        <v>1</v>
      </c>
    </row>
    <row r="661" spans="1:20" ht="14.25" customHeight="1">
      <c r="A661" s="22">
        <v>749</v>
      </c>
      <c r="B661" s="38">
        <v>7590</v>
      </c>
      <c r="C661" s="22" t="str">
        <f>IFERROR(VLOOKUP(B661,Colaboradores!A:D,2,),"")</f>
        <v>FABIOLA SOUSA MOURA BORGES</v>
      </c>
      <c r="D661" s="22" t="str">
        <f>IFERROR(VLOOKUP(B661,Colaboradores!A:D,3,),"")</f>
        <v>SAÚDE OCUPACIONAL</v>
      </c>
      <c r="E661" s="22" t="str">
        <f>IFERROR(VLOOKUP(B661,Colaboradores!A:D,4,),"")</f>
        <v>GERENTE DE SAÚDE OCUPACIONAL</v>
      </c>
      <c r="F661" s="22" t="s">
        <v>24</v>
      </c>
      <c r="G661" s="24" t="str">
        <f>IFERROR(VLOOKUP(F661,Procedimentos!A:C,2,),"")</f>
        <v>DIRETRIZES  PARA PROGRAMA 5S</v>
      </c>
      <c r="H661" s="25"/>
      <c r="I661" s="25">
        <v>45891</v>
      </c>
      <c r="J661" s="22">
        <v>12</v>
      </c>
      <c r="K661" s="25">
        <f t="shared" si="29"/>
        <v>46256</v>
      </c>
      <c r="L661" s="28" t="str">
        <f t="shared" ca="1" si="28"/>
        <v>Em dia</v>
      </c>
      <c r="M661" s="33" t="s">
        <v>57</v>
      </c>
      <c r="N661" s="28" t="s">
        <v>21</v>
      </c>
      <c r="O661" s="22" t="s">
        <v>28</v>
      </c>
      <c r="P661" s="25">
        <f t="shared" si="27"/>
        <v>45983</v>
      </c>
      <c r="Q661" s="25"/>
      <c r="R661" s="25"/>
      <c r="S661" s="7" t="s">
        <v>23</v>
      </c>
      <c r="T661" s="28">
        <v>1</v>
      </c>
    </row>
    <row r="662" spans="1:20" ht="14.25" customHeight="1">
      <c r="A662" s="22">
        <v>750</v>
      </c>
      <c r="B662" s="38">
        <v>14508</v>
      </c>
      <c r="C662" s="22" t="str">
        <f>IFERROR(VLOOKUP(B662,Colaboradores!A:D,2,),"")</f>
        <v>FYAMA SANTOS SILVA</v>
      </c>
      <c r="D662" s="22" t="str">
        <f>IFERROR(VLOOKUP(B662,Colaboradores!A:D,3,),"")</f>
        <v>SAÚDE OCUPACIONAL</v>
      </c>
      <c r="E662" s="22" t="str">
        <f>IFERROR(VLOOKUP(B662,Colaboradores!A:D,4,),"")</f>
        <v>ASSISTENTE ADMINISTRATIVO</v>
      </c>
      <c r="F662" s="22" t="s">
        <v>24</v>
      </c>
      <c r="G662" s="24" t="str">
        <f>IFERROR(VLOOKUP(F662,Procedimentos!A:C,2,),"")</f>
        <v>DIRETRIZES  PARA PROGRAMA 5S</v>
      </c>
      <c r="H662" s="25"/>
      <c r="I662" s="25">
        <v>45891</v>
      </c>
      <c r="J662" s="22">
        <v>12</v>
      </c>
      <c r="K662" s="25">
        <f t="shared" si="29"/>
        <v>46256</v>
      </c>
      <c r="L662" s="28" t="str">
        <f t="shared" ca="1" si="28"/>
        <v>Em dia</v>
      </c>
      <c r="M662" s="33" t="s">
        <v>57</v>
      </c>
      <c r="N662" s="28" t="s">
        <v>21</v>
      </c>
      <c r="O662" s="22" t="s">
        <v>28</v>
      </c>
      <c r="P662" s="25">
        <f t="shared" si="27"/>
        <v>45983</v>
      </c>
      <c r="Q662" s="25"/>
      <c r="R662" s="25"/>
      <c r="S662" s="7" t="s">
        <v>23</v>
      </c>
      <c r="T662" s="28">
        <v>1</v>
      </c>
    </row>
    <row r="663" spans="1:20" ht="14.25" customHeight="1">
      <c r="A663" s="22">
        <v>751</v>
      </c>
      <c r="B663" s="38">
        <v>13778</v>
      </c>
      <c r="C663" s="22" t="str">
        <f>IFERROR(VLOOKUP(B663,Colaboradores!A:D,2,),"")</f>
        <v>LAIS FERREIRA CAMPOS MINEIRO</v>
      </c>
      <c r="D663" s="22" t="str">
        <f>IFERROR(VLOOKUP(B663,Colaboradores!A:D,3,),"")</f>
        <v>SAÚDE OCUPACIONAL</v>
      </c>
      <c r="E663" s="22" t="str">
        <f>IFERROR(VLOOKUP(B663,Colaboradores!A:D,4,),"")</f>
        <v>FISIOTERAPEUTA</v>
      </c>
      <c r="F663" s="22" t="s">
        <v>24</v>
      </c>
      <c r="G663" s="24" t="str">
        <f>IFERROR(VLOOKUP(F663,Procedimentos!A:C,2,),"")</f>
        <v>DIRETRIZES  PARA PROGRAMA 5S</v>
      </c>
      <c r="H663" s="25"/>
      <c r="I663" s="25">
        <v>45891</v>
      </c>
      <c r="J663" s="22">
        <v>12</v>
      </c>
      <c r="K663" s="25">
        <f t="shared" si="29"/>
        <v>46256</v>
      </c>
      <c r="L663" s="28" t="str">
        <f t="shared" ca="1" si="28"/>
        <v>Em dia</v>
      </c>
      <c r="M663" s="33" t="s">
        <v>57</v>
      </c>
      <c r="N663" s="28" t="s">
        <v>21</v>
      </c>
      <c r="O663" s="22" t="s">
        <v>28</v>
      </c>
      <c r="P663" s="25">
        <f t="shared" si="27"/>
        <v>45983</v>
      </c>
      <c r="Q663" s="25"/>
      <c r="R663" s="25"/>
      <c r="S663" s="7" t="s">
        <v>23</v>
      </c>
      <c r="T663" s="28">
        <v>1</v>
      </c>
    </row>
    <row r="664" spans="1:20" ht="14.25" customHeight="1">
      <c r="A664" s="22">
        <v>752</v>
      </c>
      <c r="B664" s="38">
        <v>15295</v>
      </c>
      <c r="C664" s="22" t="str">
        <f>IFERROR(VLOOKUP(B664,Colaboradores!A:D,2,),"")</f>
        <v>ANA CRISTINA GONÇALVES NUNES</v>
      </c>
      <c r="D664" s="22" t="str">
        <f>IFERROR(VLOOKUP(B664,Colaboradores!A:D,3,),"")</f>
        <v>SAÚDE OCUPACIONAL</v>
      </c>
      <c r="E664" s="22" t="str">
        <f>IFERROR(VLOOKUP(B664,Colaboradores!A:D,4,),"")</f>
        <v>ENFERMEIRA</v>
      </c>
      <c r="F664" s="22" t="s">
        <v>25</v>
      </c>
      <c r="G664" s="24" t="str">
        <f>IFERROR(VLOOKUP(F664,Procedimentos!A:C,2,),"")</f>
        <v>GARANTIA DA QUALIDADE</v>
      </c>
      <c r="H664" s="25"/>
      <c r="I664" s="25">
        <v>45891</v>
      </c>
      <c r="J664" s="22">
        <v>12</v>
      </c>
      <c r="K664" s="25">
        <f t="shared" si="29"/>
        <v>46256</v>
      </c>
      <c r="L664" s="28" t="str">
        <f t="shared" ca="1" si="28"/>
        <v>Em dia</v>
      </c>
      <c r="M664" s="33" t="s">
        <v>57</v>
      </c>
      <c r="N664" s="28" t="s">
        <v>21</v>
      </c>
      <c r="O664" s="22" t="s">
        <v>28</v>
      </c>
      <c r="P664" s="25">
        <f t="shared" si="27"/>
        <v>45983</v>
      </c>
      <c r="Q664" s="25"/>
      <c r="R664" s="25"/>
      <c r="S664" s="7" t="s">
        <v>23</v>
      </c>
      <c r="T664" s="28">
        <v>1</v>
      </c>
    </row>
    <row r="665" spans="1:20" ht="14.25" customHeight="1">
      <c r="A665" s="22">
        <v>753</v>
      </c>
      <c r="B665" s="38">
        <v>7590</v>
      </c>
      <c r="C665" s="22" t="str">
        <f>IFERROR(VLOOKUP(B665,Colaboradores!A:D,2,),"")</f>
        <v>FABIOLA SOUSA MOURA BORGES</v>
      </c>
      <c r="D665" s="22" t="str">
        <f>IFERROR(VLOOKUP(B665,Colaboradores!A:D,3,),"")</f>
        <v>SAÚDE OCUPACIONAL</v>
      </c>
      <c r="E665" s="22" t="str">
        <f>IFERROR(VLOOKUP(B665,Colaboradores!A:D,4,),"")</f>
        <v>GERENTE DE SAÚDE OCUPACIONAL</v>
      </c>
      <c r="F665" s="22" t="s">
        <v>25</v>
      </c>
      <c r="G665" s="24" t="str">
        <f>IFERROR(VLOOKUP(F665,Procedimentos!A:C,2,),"")</f>
        <v>GARANTIA DA QUALIDADE</v>
      </c>
      <c r="H665" s="25"/>
      <c r="I665" s="25">
        <v>45891</v>
      </c>
      <c r="J665" s="22">
        <v>12</v>
      </c>
      <c r="K665" s="25">
        <f t="shared" si="29"/>
        <v>46256</v>
      </c>
      <c r="L665" s="28" t="str">
        <f t="shared" ca="1" si="28"/>
        <v>Em dia</v>
      </c>
      <c r="M665" s="33" t="s">
        <v>57</v>
      </c>
      <c r="N665" s="28" t="s">
        <v>21</v>
      </c>
      <c r="O665" s="22" t="s">
        <v>28</v>
      </c>
      <c r="P665" s="25">
        <f t="shared" si="27"/>
        <v>45983</v>
      </c>
      <c r="Q665" s="25"/>
      <c r="R665" s="25"/>
      <c r="S665" s="7" t="s">
        <v>23</v>
      </c>
      <c r="T665" s="28">
        <v>1</v>
      </c>
    </row>
    <row r="666" spans="1:20" ht="14.25" customHeight="1">
      <c r="A666" s="22">
        <v>754</v>
      </c>
      <c r="B666" s="38">
        <v>14508</v>
      </c>
      <c r="C666" s="22" t="str">
        <f>IFERROR(VLOOKUP(B666,Colaboradores!A:D,2,),"")</f>
        <v>FYAMA SANTOS SILVA</v>
      </c>
      <c r="D666" s="22" t="str">
        <f>IFERROR(VLOOKUP(B666,Colaboradores!A:D,3,),"")</f>
        <v>SAÚDE OCUPACIONAL</v>
      </c>
      <c r="E666" s="22" t="str">
        <f>IFERROR(VLOOKUP(B666,Colaboradores!A:D,4,),"")</f>
        <v>ASSISTENTE ADMINISTRATIVO</v>
      </c>
      <c r="F666" s="22" t="s">
        <v>25</v>
      </c>
      <c r="G666" s="24" t="str">
        <f>IFERROR(VLOOKUP(F666,Procedimentos!A:C,2,),"")</f>
        <v>GARANTIA DA QUALIDADE</v>
      </c>
      <c r="H666" s="25"/>
      <c r="I666" s="25">
        <v>45891</v>
      </c>
      <c r="J666" s="22">
        <v>12</v>
      </c>
      <c r="K666" s="25">
        <f t="shared" si="29"/>
        <v>46256</v>
      </c>
      <c r="L666" s="28" t="str">
        <f t="shared" ca="1" si="28"/>
        <v>Em dia</v>
      </c>
      <c r="M666" s="33" t="s">
        <v>57</v>
      </c>
      <c r="N666" s="28" t="s">
        <v>21</v>
      </c>
      <c r="O666" s="22" t="s">
        <v>28</v>
      </c>
      <c r="P666" s="25">
        <f t="shared" si="27"/>
        <v>45983</v>
      </c>
      <c r="Q666" s="25"/>
      <c r="R666" s="25"/>
      <c r="S666" s="7" t="s">
        <v>23</v>
      </c>
      <c r="T666" s="28">
        <v>1</v>
      </c>
    </row>
    <row r="667" spans="1:20" ht="14.25" customHeight="1">
      <c r="A667" s="22">
        <v>755</v>
      </c>
      <c r="B667" s="38">
        <v>13778</v>
      </c>
      <c r="C667" s="22" t="str">
        <f>IFERROR(VLOOKUP(B667,Colaboradores!A:D,2,),"")</f>
        <v>LAIS FERREIRA CAMPOS MINEIRO</v>
      </c>
      <c r="D667" s="22" t="str">
        <f>IFERROR(VLOOKUP(B667,Colaboradores!A:D,3,),"")</f>
        <v>SAÚDE OCUPACIONAL</v>
      </c>
      <c r="E667" s="22" t="str">
        <f>IFERROR(VLOOKUP(B667,Colaboradores!A:D,4,),"")</f>
        <v>FISIOTERAPEUTA</v>
      </c>
      <c r="F667" s="22" t="s">
        <v>25</v>
      </c>
      <c r="G667" s="24" t="str">
        <f>IFERROR(VLOOKUP(F667,Procedimentos!A:C,2,),"")</f>
        <v>GARANTIA DA QUALIDADE</v>
      </c>
      <c r="H667" s="25"/>
      <c r="I667" s="25">
        <v>45891</v>
      </c>
      <c r="J667" s="22">
        <v>12</v>
      </c>
      <c r="K667" s="25">
        <f t="shared" si="29"/>
        <v>46256</v>
      </c>
      <c r="L667" s="28" t="str">
        <f t="shared" ca="1" si="28"/>
        <v>Em dia</v>
      </c>
      <c r="M667" s="33" t="s">
        <v>57</v>
      </c>
      <c r="N667" s="28" t="s">
        <v>21</v>
      </c>
      <c r="O667" s="22" t="s">
        <v>28</v>
      </c>
      <c r="P667" s="25">
        <f t="shared" si="27"/>
        <v>45983</v>
      </c>
      <c r="Q667" s="25"/>
      <c r="R667" s="25"/>
      <c r="S667" s="7" t="s">
        <v>23</v>
      </c>
      <c r="T667" s="28">
        <v>1</v>
      </c>
    </row>
    <row r="668" spans="1:20" ht="14.25" customHeight="1">
      <c r="A668" s="22">
        <v>756</v>
      </c>
      <c r="B668" s="38">
        <v>15295</v>
      </c>
      <c r="C668" s="22" t="str">
        <f>IFERROR(VLOOKUP(B668,Colaboradores!A:D,2,),"")</f>
        <v>ANA CRISTINA GONÇALVES NUNES</v>
      </c>
      <c r="D668" s="22" t="str">
        <f>IFERROR(VLOOKUP(B668,Colaboradores!A:D,3,),"")</f>
        <v>SAÚDE OCUPACIONAL</v>
      </c>
      <c r="E668" s="22" t="str">
        <f>IFERROR(VLOOKUP(B668,Colaboradores!A:D,4,),"")</f>
        <v>ENFERMEIRA</v>
      </c>
      <c r="F668" s="22" t="s">
        <v>26</v>
      </c>
      <c r="G668" s="24" t="str">
        <f>IFERROR(VLOOKUP(F668,Procedimentos!A:C,2,),"")</f>
        <v>RESPONSABILIDADES E AUTORIDADES DO SGQ</v>
      </c>
      <c r="H668" s="25"/>
      <c r="I668" s="25">
        <v>45891</v>
      </c>
      <c r="J668" s="22">
        <v>12</v>
      </c>
      <c r="K668" s="25">
        <f t="shared" si="29"/>
        <v>46256</v>
      </c>
      <c r="L668" s="28" t="str">
        <f t="shared" ca="1" si="28"/>
        <v>Em dia</v>
      </c>
      <c r="M668" s="33" t="s">
        <v>57</v>
      </c>
      <c r="N668" s="28" t="s">
        <v>21</v>
      </c>
      <c r="O668" s="22" t="s">
        <v>28</v>
      </c>
      <c r="P668" s="25">
        <f t="shared" si="27"/>
        <v>45983</v>
      </c>
      <c r="Q668" s="25"/>
      <c r="R668" s="25"/>
      <c r="S668" s="7" t="s">
        <v>23</v>
      </c>
      <c r="T668" s="28">
        <v>1</v>
      </c>
    </row>
    <row r="669" spans="1:20" ht="14.25" customHeight="1">
      <c r="A669" s="22">
        <v>757</v>
      </c>
      <c r="B669" s="38">
        <v>7590</v>
      </c>
      <c r="C669" s="22" t="str">
        <f>IFERROR(VLOOKUP(B669,Colaboradores!A:D,2,),"")</f>
        <v>FABIOLA SOUSA MOURA BORGES</v>
      </c>
      <c r="D669" s="22" t="str">
        <f>IFERROR(VLOOKUP(B669,Colaboradores!A:D,3,),"")</f>
        <v>SAÚDE OCUPACIONAL</v>
      </c>
      <c r="E669" s="22" t="str">
        <f>IFERROR(VLOOKUP(B669,Colaboradores!A:D,4,),"")</f>
        <v>GERENTE DE SAÚDE OCUPACIONAL</v>
      </c>
      <c r="F669" s="22" t="s">
        <v>26</v>
      </c>
      <c r="G669" s="24" t="str">
        <f>IFERROR(VLOOKUP(F669,Procedimentos!A:C,2,),"")</f>
        <v>RESPONSABILIDADES E AUTORIDADES DO SGQ</v>
      </c>
      <c r="H669" s="25"/>
      <c r="I669" s="25">
        <v>45891</v>
      </c>
      <c r="J669" s="22">
        <v>12</v>
      </c>
      <c r="K669" s="25">
        <f t="shared" si="29"/>
        <v>46256</v>
      </c>
      <c r="L669" s="28" t="str">
        <f t="shared" ca="1" si="28"/>
        <v>Em dia</v>
      </c>
      <c r="M669" s="33" t="s">
        <v>57</v>
      </c>
      <c r="N669" s="28" t="s">
        <v>21</v>
      </c>
      <c r="O669" s="22" t="s">
        <v>28</v>
      </c>
      <c r="P669" s="25">
        <f t="shared" si="27"/>
        <v>45983</v>
      </c>
      <c r="Q669" s="25"/>
      <c r="R669" s="25"/>
      <c r="S669" s="7" t="s">
        <v>23</v>
      </c>
      <c r="T669" s="28">
        <v>1</v>
      </c>
    </row>
    <row r="670" spans="1:20" ht="14.25" customHeight="1">
      <c r="A670" s="22">
        <v>758</v>
      </c>
      <c r="B670" s="38">
        <v>14508</v>
      </c>
      <c r="C670" s="22" t="str">
        <f>IFERROR(VLOOKUP(B670,Colaboradores!A:D,2,),"")</f>
        <v>FYAMA SANTOS SILVA</v>
      </c>
      <c r="D670" s="22" t="str">
        <f>IFERROR(VLOOKUP(B670,Colaboradores!A:D,3,),"")</f>
        <v>SAÚDE OCUPACIONAL</v>
      </c>
      <c r="E670" s="22" t="str">
        <f>IFERROR(VLOOKUP(B670,Colaboradores!A:D,4,),"")</f>
        <v>ASSISTENTE ADMINISTRATIVO</v>
      </c>
      <c r="F670" s="22" t="s">
        <v>26</v>
      </c>
      <c r="G670" s="24" t="str">
        <f>IFERROR(VLOOKUP(F670,Procedimentos!A:C,2,),"")</f>
        <v>RESPONSABILIDADES E AUTORIDADES DO SGQ</v>
      </c>
      <c r="H670" s="25"/>
      <c r="I670" s="25">
        <v>45891</v>
      </c>
      <c r="J670" s="22">
        <v>12</v>
      </c>
      <c r="K670" s="25">
        <f t="shared" si="29"/>
        <v>46256</v>
      </c>
      <c r="L670" s="28" t="str">
        <f t="shared" ca="1" si="28"/>
        <v>Em dia</v>
      </c>
      <c r="M670" s="33" t="s">
        <v>57</v>
      </c>
      <c r="N670" s="28" t="s">
        <v>21</v>
      </c>
      <c r="O670" s="22" t="s">
        <v>28</v>
      </c>
      <c r="P670" s="25">
        <f t="shared" si="27"/>
        <v>45983</v>
      </c>
      <c r="Q670" s="25"/>
      <c r="R670" s="25"/>
      <c r="S670" s="7" t="s">
        <v>23</v>
      </c>
      <c r="T670" s="28">
        <v>1</v>
      </c>
    </row>
    <row r="671" spans="1:20" ht="14.25" customHeight="1">
      <c r="A671" s="22">
        <v>759</v>
      </c>
      <c r="B671" s="38">
        <v>13778</v>
      </c>
      <c r="C671" s="22" t="str">
        <f>IFERROR(VLOOKUP(B671,Colaboradores!A:D,2,),"")</f>
        <v>LAIS FERREIRA CAMPOS MINEIRO</v>
      </c>
      <c r="D671" s="22" t="str">
        <f>IFERROR(VLOOKUP(B671,Colaboradores!A:D,3,),"")</f>
        <v>SAÚDE OCUPACIONAL</v>
      </c>
      <c r="E671" s="22" t="str">
        <f>IFERROR(VLOOKUP(B671,Colaboradores!A:D,4,),"")</f>
        <v>FISIOTERAPEUTA</v>
      </c>
      <c r="F671" s="22" t="s">
        <v>26</v>
      </c>
      <c r="G671" s="24" t="str">
        <f>IFERROR(VLOOKUP(F671,Procedimentos!A:C,2,),"")</f>
        <v>RESPONSABILIDADES E AUTORIDADES DO SGQ</v>
      </c>
      <c r="H671" s="25"/>
      <c r="I671" s="25">
        <v>45891</v>
      </c>
      <c r="J671" s="22">
        <v>12</v>
      </c>
      <c r="K671" s="25">
        <f t="shared" si="29"/>
        <v>46256</v>
      </c>
      <c r="L671" s="28" t="str">
        <f t="shared" ca="1" si="28"/>
        <v>Em dia</v>
      </c>
      <c r="M671" s="33" t="s">
        <v>57</v>
      </c>
      <c r="N671" s="28" t="s">
        <v>21</v>
      </c>
      <c r="O671" s="22" t="s">
        <v>28</v>
      </c>
      <c r="P671" s="25">
        <f t="shared" si="27"/>
        <v>45983</v>
      </c>
      <c r="Q671" s="25"/>
      <c r="R671" s="25"/>
      <c r="S671" s="7" t="s">
        <v>23</v>
      </c>
      <c r="T671" s="28">
        <v>1</v>
      </c>
    </row>
    <row r="672" spans="1:20" ht="14.25" customHeight="1">
      <c r="A672" s="22">
        <v>761</v>
      </c>
      <c r="B672" s="38">
        <v>13524</v>
      </c>
      <c r="C672" s="22" t="str">
        <f>IFERROR(VLOOKUP(B672,Colaboradores!A:D,2,),"")</f>
        <v>JOAO WILKER RIBEIRO BARROS LIMA</v>
      </c>
      <c r="D672" s="22" t="str">
        <f>IFERROR(VLOOKUP(B672,Colaboradores!A:D,3,),"")</f>
        <v>SEGURANÇA DO TRABALHO</v>
      </c>
      <c r="E672" s="22" t="str">
        <f>IFERROR(VLOOKUP(B672,Colaboradores!A:D,4,),"")</f>
        <v>COORDENADOR DE SEGURANÇA DO TRABALHO</v>
      </c>
      <c r="F672" s="22" t="s">
        <v>19</v>
      </c>
      <c r="G672" s="24" t="str">
        <f>IFERROR(VLOOKUP(F672,Procedimentos!A:C,2,),"")</f>
        <v>DIRETRIZES PARA DOCUMENTOS NORMATIVOS</v>
      </c>
      <c r="H672" s="25"/>
      <c r="I672" s="25">
        <v>45891</v>
      </c>
      <c r="J672" s="22">
        <v>12</v>
      </c>
      <c r="K672" s="25">
        <f t="shared" si="29"/>
        <v>46256</v>
      </c>
      <c r="L672" s="28" t="str">
        <f t="shared" ca="1" si="28"/>
        <v>Em dia</v>
      </c>
      <c r="M672" s="33" t="s">
        <v>57</v>
      </c>
      <c r="N672" s="28" t="s">
        <v>21</v>
      </c>
      <c r="O672" s="22" t="s">
        <v>28</v>
      </c>
      <c r="P672" s="25">
        <f t="shared" si="27"/>
        <v>45983</v>
      </c>
      <c r="Q672" s="25"/>
      <c r="R672" s="25"/>
      <c r="S672" s="7" t="s">
        <v>23</v>
      </c>
      <c r="T672" s="28">
        <v>1</v>
      </c>
    </row>
    <row r="673" spans="1:20" ht="14.25" customHeight="1">
      <c r="A673" s="22">
        <v>762</v>
      </c>
      <c r="B673" s="38">
        <v>2740</v>
      </c>
      <c r="C673" s="22" t="str">
        <f>IFERROR(VLOOKUP(B673,Colaboradores!A:D,2,),"")</f>
        <v>LUCIANA BARBOSA SODRE</v>
      </c>
      <c r="D673" s="22" t="str">
        <f>IFERROR(VLOOKUP(B673,Colaboradores!A:D,3,),"")</f>
        <v>SEGURANÇA DO TRABALHO</v>
      </c>
      <c r="E673" s="22" t="str">
        <f>IFERROR(VLOOKUP(B673,Colaboradores!A:D,4,),"")</f>
        <v>TÉCNICO DE SEGURANÇA DO TRABALHO</v>
      </c>
      <c r="F673" s="22" t="s">
        <v>19</v>
      </c>
      <c r="G673" s="24" t="str">
        <f>IFERROR(VLOOKUP(F673,Procedimentos!A:C,2,),"")</f>
        <v>DIRETRIZES PARA DOCUMENTOS NORMATIVOS</v>
      </c>
      <c r="H673" s="25"/>
      <c r="I673" s="25">
        <v>45891</v>
      </c>
      <c r="J673" s="22">
        <v>12</v>
      </c>
      <c r="K673" s="25">
        <f t="shared" si="29"/>
        <v>46256</v>
      </c>
      <c r="L673" s="28" t="str">
        <f t="shared" ca="1" si="28"/>
        <v>Em dia</v>
      </c>
      <c r="M673" s="33" t="s">
        <v>57</v>
      </c>
      <c r="N673" s="28" t="s">
        <v>21</v>
      </c>
      <c r="O673" s="22" t="s">
        <v>28</v>
      </c>
      <c r="P673" s="25">
        <f t="shared" si="27"/>
        <v>45983</v>
      </c>
      <c r="Q673" s="25"/>
      <c r="R673" s="25"/>
      <c r="S673" s="7" t="s">
        <v>23</v>
      </c>
      <c r="T673" s="28">
        <v>1</v>
      </c>
    </row>
    <row r="674" spans="1:20" ht="14.25" customHeight="1">
      <c r="A674" s="22">
        <v>763</v>
      </c>
      <c r="B674" s="38">
        <v>7580</v>
      </c>
      <c r="C674" s="22" t="str">
        <f>IFERROR(VLOOKUP(B674,Colaboradores!A:D,2,),"")</f>
        <v>LUCIO JOSE DA COSTA LOPES</v>
      </c>
      <c r="D674" s="22" t="str">
        <f>IFERROR(VLOOKUP(B674,Colaboradores!A:D,3,),"")</f>
        <v>SEGURANÇA DO TRABALHO</v>
      </c>
      <c r="E674" s="22" t="str">
        <f>IFERROR(VLOOKUP(B674,Colaboradores!A:D,4,),"")</f>
        <v>TÉCNICO DE SEGURANÇA DO TRABALHO</v>
      </c>
      <c r="F674" s="22" t="s">
        <v>19</v>
      </c>
      <c r="G674" s="24" t="str">
        <f>IFERROR(VLOOKUP(F674,Procedimentos!A:C,2,),"")</f>
        <v>DIRETRIZES PARA DOCUMENTOS NORMATIVOS</v>
      </c>
      <c r="H674" s="25"/>
      <c r="I674" s="25">
        <v>45891</v>
      </c>
      <c r="J674" s="22">
        <v>12</v>
      </c>
      <c r="K674" s="25">
        <f t="shared" si="29"/>
        <v>46256</v>
      </c>
      <c r="L674" s="28" t="str">
        <f t="shared" ca="1" si="28"/>
        <v>Em dia</v>
      </c>
      <c r="M674" s="33" t="s">
        <v>57</v>
      </c>
      <c r="N674" s="28" t="s">
        <v>21</v>
      </c>
      <c r="O674" s="22" t="s">
        <v>28</v>
      </c>
      <c r="P674" s="25">
        <f t="shared" si="27"/>
        <v>45983</v>
      </c>
      <c r="Q674" s="25"/>
      <c r="R674" s="25"/>
      <c r="S674" s="7" t="s">
        <v>23</v>
      </c>
      <c r="T674" s="28">
        <v>1</v>
      </c>
    </row>
    <row r="675" spans="1:20" ht="14.25" customHeight="1">
      <c r="A675" s="22">
        <v>765</v>
      </c>
      <c r="B675" s="38">
        <v>13524</v>
      </c>
      <c r="C675" s="22" t="str">
        <f>IFERROR(VLOOKUP(B675,Colaboradores!A:D,2,),"")</f>
        <v>JOAO WILKER RIBEIRO BARROS LIMA</v>
      </c>
      <c r="D675" s="22" t="str">
        <f>IFERROR(VLOOKUP(B675,Colaboradores!A:D,3,),"")</f>
        <v>SEGURANÇA DO TRABALHO</v>
      </c>
      <c r="E675" s="22" t="str">
        <f>IFERROR(VLOOKUP(B675,Colaboradores!A:D,4,),"")</f>
        <v>COORDENADOR DE SEGURANÇA DO TRABALHO</v>
      </c>
      <c r="F675" s="22" t="s">
        <v>24</v>
      </c>
      <c r="G675" s="24" t="str">
        <f>IFERROR(VLOOKUP(F675,Procedimentos!A:C,2,),"")</f>
        <v>DIRETRIZES  PARA PROGRAMA 5S</v>
      </c>
      <c r="H675" s="25"/>
      <c r="I675" s="25">
        <v>45891</v>
      </c>
      <c r="J675" s="22">
        <v>12</v>
      </c>
      <c r="K675" s="25">
        <f t="shared" si="29"/>
        <v>46256</v>
      </c>
      <c r="L675" s="28" t="str">
        <f t="shared" ca="1" si="28"/>
        <v>Em dia</v>
      </c>
      <c r="M675" s="33" t="s">
        <v>57</v>
      </c>
      <c r="N675" s="28" t="s">
        <v>21</v>
      </c>
      <c r="O675" s="22" t="s">
        <v>28</v>
      </c>
      <c r="P675" s="25">
        <f t="shared" si="27"/>
        <v>45983</v>
      </c>
      <c r="Q675" s="25"/>
      <c r="R675" s="25"/>
      <c r="S675" s="7" t="s">
        <v>23</v>
      </c>
      <c r="T675" s="28">
        <v>1</v>
      </c>
    </row>
    <row r="676" spans="1:20" ht="14.25" customHeight="1">
      <c r="A676" s="22">
        <v>766</v>
      </c>
      <c r="B676" s="38">
        <v>2740</v>
      </c>
      <c r="C676" s="22" t="str">
        <f>IFERROR(VLOOKUP(B676,Colaboradores!A:D,2,),"")</f>
        <v>LUCIANA BARBOSA SODRE</v>
      </c>
      <c r="D676" s="22" t="str">
        <f>IFERROR(VLOOKUP(B676,Colaboradores!A:D,3,),"")</f>
        <v>SEGURANÇA DO TRABALHO</v>
      </c>
      <c r="E676" s="22" t="str">
        <f>IFERROR(VLOOKUP(B676,Colaboradores!A:D,4,),"")</f>
        <v>TÉCNICO DE SEGURANÇA DO TRABALHO</v>
      </c>
      <c r="F676" s="22" t="s">
        <v>24</v>
      </c>
      <c r="G676" s="24" t="str">
        <f>IFERROR(VLOOKUP(F676,Procedimentos!A:C,2,),"")</f>
        <v>DIRETRIZES  PARA PROGRAMA 5S</v>
      </c>
      <c r="H676" s="25"/>
      <c r="I676" s="25">
        <v>45891</v>
      </c>
      <c r="J676" s="22">
        <v>12</v>
      </c>
      <c r="K676" s="25">
        <f t="shared" si="29"/>
        <v>46256</v>
      </c>
      <c r="L676" s="28" t="str">
        <f t="shared" ca="1" si="28"/>
        <v>Em dia</v>
      </c>
      <c r="M676" s="33" t="s">
        <v>57</v>
      </c>
      <c r="N676" s="28" t="s">
        <v>21</v>
      </c>
      <c r="O676" s="22" t="s">
        <v>28</v>
      </c>
      <c r="P676" s="25">
        <f t="shared" ref="P676:P739" si="30">EDATE(I676,3)</f>
        <v>45983</v>
      </c>
      <c r="Q676" s="25"/>
      <c r="R676" s="25"/>
      <c r="S676" s="7" t="s">
        <v>23</v>
      </c>
      <c r="T676" s="28">
        <v>1</v>
      </c>
    </row>
    <row r="677" spans="1:20" ht="14.25" customHeight="1">
      <c r="A677" s="22">
        <v>767</v>
      </c>
      <c r="B677" s="38">
        <v>7580</v>
      </c>
      <c r="C677" s="22" t="str">
        <f>IFERROR(VLOOKUP(B677,Colaboradores!A:D,2,),"")</f>
        <v>LUCIO JOSE DA COSTA LOPES</v>
      </c>
      <c r="D677" s="22" t="str">
        <f>IFERROR(VLOOKUP(B677,Colaboradores!A:D,3,),"")</f>
        <v>SEGURANÇA DO TRABALHO</v>
      </c>
      <c r="E677" s="22" t="str">
        <f>IFERROR(VLOOKUP(B677,Colaboradores!A:D,4,),"")</f>
        <v>TÉCNICO DE SEGURANÇA DO TRABALHO</v>
      </c>
      <c r="F677" s="22" t="s">
        <v>24</v>
      </c>
      <c r="G677" s="24" t="str">
        <f>IFERROR(VLOOKUP(F677,Procedimentos!A:C,2,),"")</f>
        <v>DIRETRIZES  PARA PROGRAMA 5S</v>
      </c>
      <c r="H677" s="25"/>
      <c r="I677" s="25">
        <v>45891</v>
      </c>
      <c r="J677" s="22">
        <v>12</v>
      </c>
      <c r="K677" s="25">
        <f t="shared" si="29"/>
        <v>46256</v>
      </c>
      <c r="L677" s="28" t="str">
        <f t="shared" ca="1" si="28"/>
        <v>Em dia</v>
      </c>
      <c r="M677" s="33" t="s">
        <v>57</v>
      </c>
      <c r="N677" s="28" t="s">
        <v>21</v>
      </c>
      <c r="O677" s="22" t="s">
        <v>28</v>
      </c>
      <c r="P677" s="25">
        <f t="shared" si="30"/>
        <v>45983</v>
      </c>
      <c r="Q677" s="25"/>
      <c r="R677" s="25"/>
      <c r="S677" s="7" t="s">
        <v>23</v>
      </c>
      <c r="T677" s="28">
        <v>1</v>
      </c>
    </row>
    <row r="678" spans="1:20" ht="14.25" customHeight="1">
      <c r="A678" s="22">
        <v>769</v>
      </c>
      <c r="B678" s="38">
        <v>13524</v>
      </c>
      <c r="C678" s="22" t="str">
        <f>IFERROR(VLOOKUP(B678,Colaboradores!A:D,2,),"")</f>
        <v>JOAO WILKER RIBEIRO BARROS LIMA</v>
      </c>
      <c r="D678" s="22" t="str">
        <f>IFERROR(VLOOKUP(B678,Colaboradores!A:D,3,),"")</f>
        <v>SEGURANÇA DO TRABALHO</v>
      </c>
      <c r="E678" s="22" t="str">
        <f>IFERROR(VLOOKUP(B678,Colaboradores!A:D,4,),"")</f>
        <v>COORDENADOR DE SEGURANÇA DO TRABALHO</v>
      </c>
      <c r="F678" s="22" t="s">
        <v>25</v>
      </c>
      <c r="G678" s="24" t="str">
        <f>IFERROR(VLOOKUP(F678,Procedimentos!A:C,2,),"")</f>
        <v>GARANTIA DA QUALIDADE</v>
      </c>
      <c r="H678" s="25"/>
      <c r="I678" s="25">
        <v>45891</v>
      </c>
      <c r="J678" s="22">
        <v>12</v>
      </c>
      <c r="K678" s="25">
        <f t="shared" si="29"/>
        <v>46256</v>
      </c>
      <c r="L678" s="28" t="str">
        <f t="shared" ca="1" si="28"/>
        <v>Em dia</v>
      </c>
      <c r="M678" s="33" t="s">
        <v>57</v>
      </c>
      <c r="N678" s="28" t="s">
        <v>21</v>
      </c>
      <c r="O678" s="22" t="s">
        <v>28</v>
      </c>
      <c r="P678" s="25">
        <f t="shared" si="30"/>
        <v>45983</v>
      </c>
      <c r="Q678" s="25"/>
      <c r="R678" s="25"/>
      <c r="S678" s="7" t="s">
        <v>23</v>
      </c>
      <c r="T678" s="28">
        <v>1</v>
      </c>
    </row>
    <row r="679" spans="1:20" ht="14.25" customHeight="1">
      <c r="A679" s="22">
        <v>770</v>
      </c>
      <c r="B679" s="38">
        <v>2740</v>
      </c>
      <c r="C679" s="22" t="str">
        <f>IFERROR(VLOOKUP(B679,Colaboradores!A:D,2,),"")</f>
        <v>LUCIANA BARBOSA SODRE</v>
      </c>
      <c r="D679" s="22" t="str">
        <f>IFERROR(VLOOKUP(B679,Colaboradores!A:D,3,),"")</f>
        <v>SEGURANÇA DO TRABALHO</v>
      </c>
      <c r="E679" s="22" t="str">
        <f>IFERROR(VLOOKUP(B679,Colaboradores!A:D,4,),"")</f>
        <v>TÉCNICO DE SEGURANÇA DO TRABALHO</v>
      </c>
      <c r="F679" s="22" t="s">
        <v>25</v>
      </c>
      <c r="G679" s="24" t="str">
        <f>IFERROR(VLOOKUP(F679,Procedimentos!A:C,2,),"")</f>
        <v>GARANTIA DA QUALIDADE</v>
      </c>
      <c r="H679" s="25"/>
      <c r="I679" s="25">
        <v>45891</v>
      </c>
      <c r="J679" s="22">
        <v>12</v>
      </c>
      <c r="K679" s="25">
        <f t="shared" si="29"/>
        <v>46256</v>
      </c>
      <c r="L679" s="28" t="str">
        <f t="shared" ca="1" si="28"/>
        <v>Em dia</v>
      </c>
      <c r="M679" s="33" t="s">
        <v>57</v>
      </c>
      <c r="N679" s="28" t="s">
        <v>21</v>
      </c>
      <c r="O679" s="22" t="s">
        <v>28</v>
      </c>
      <c r="P679" s="25">
        <f t="shared" si="30"/>
        <v>45983</v>
      </c>
      <c r="Q679" s="25"/>
      <c r="R679" s="25"/>
      <c r="S679" s="7" t="s">
        <v>23</v>
      </c>
      <c r="T679" s="28">
        <v>1</v>
      </c>
    </row>
    <row r="680" spans="1:20" ht="14.25" customHeight="1">
      <c r="A680" s="22">
        <v>771</v>
      </c>
      <c r="B680" s="38">
        <v>7580</v>
      </c>
      <c r="C680" s="22" t="str">
        <f>IFERROR(VLOOKUP(B680,Colaboradores!A:D,2,),"")</f>
        <v>LUCIO JOSE DA COSTA LOPES</v>
      </c>
      <c r="D680" s="22" t="str">
        <f>IFERROR(VLOOKUP(B680,Colaboradores!A:D,3,),"")</f>
        <v>SEGURANÇA DO TRABALHO</v>
      </c>
      <c r="E680" s="22" t="str">
        <f>IFERROR(VLOOKUP(B680,Colaboradores!A:D,4,),"")</f>
        <v>TÉCNICO DE SEGURANÇA DO TRABALHO</v>
      </c>
      <c r="F680" s="22" t="s">
        <v>25</v>
      </c>
      <c r="G680" s="24" t="str">
        <f>IFERROR(VLOOKUP(F680,Procedimentos!A:C,2,),"")</f>
        <v>GARANTIA DA QUALIDADE</v>
      </c>
      <c r="H680" s="25"/>
      <c r="I680" s="25">
        <v>45891</v>
      </c>
      <c r="J680" s="22">
        <v>12</v>
      </c>
      <c r="K680" s="25">
        <f t="shared" si="29"/>
        <v>46256</v>
      </c>
      <c r="L680" s="28" t="str">
        <f t="shared" ca="1" si="28"/>
        <v>Em dia</v>
      </c>
      <c r="M680" s="33" t="s">
        <v>57</v>
      </c>
      <c r="N680" s="28" t="s">
        <v>21</v>
      </c>
      <c r="O680" s="22" t="s">
        <v>28</v>
      </c>
      <c r="P680" s="25">
        <f t="shared" si="30"/>
        <v>45983</v>
      </c>
      <c r="Q680" s="25"/>
      <c r="R680" s="25"/>
      <c r="S680" s="7" t="s">
        <v>23</v>
      </c>
      <c r="T680" s="28">
        <v>1</v>
      </c>
    </row>
    <row r="681" spans="1:20" ht="14.25" customHeight="1">
      <c r="A681" s="22">
        <v>773</v>
      </c>
      <c r="B681" s="38">
        <v>13524</v>
      </c>
      <c r="C681" s="22" t="str">
        <f>IFERROR(VLOOKUP(B681,Colaboradores!A:D,2,),"")</f>
        <v>JOAO WILKER RIBEIRO BARROS LIMA</v>
      </c>
      <c r="D681" s="22" t="str">
        <f>IFERROR(VLOOKUP(B681,Colaboradores!A:D,3,),"")</f>
        <v>SEGURANÇA DO TRABALHO</v>
      </c>
      <c r="E681" s="22" t="str">
        <f>IFERROR(VLOOKUP(B681,Colaboradores!A:D,4,),"")</f>
        <v>COORDENADOR DE SEGURANÇA DO TRABALHO</v>
      </c>
      <c r="F681" s="22" t="s">
        <v>26</v>
      </c>
      <c r="G681" s="24" t="str">
        <f>IFERROR(VLOOKUP(F681,Procedimentos!A:C,2,),"")</f>
        <v>RESPONSABILIDADES E AUTORIDADES DO SGQ</v>
      </c>
      <c r="H681" s="25"/>
      <c r="I681" s="25">
        <v>45891</v>
      </c>
      <c r="J681" s="22">
        <v>12</v>
      </c>
      <c r="K681" s="25">
        <f t="shared" si="29"/>
        <v>46256</v>
      </c>
      <c r="L681" s="28" t="str">
        <f t="shared" ca="1" si="28"/>
        <v>Em dia</v>
      </c>
      <c r="M681" s="33" t="s">
        <v>57</v>
      </c>
      <c r="N681" s="28" t="s">
        <v>21</v>
      </c>
      <c r="O681" s="22" t="s">
        <v>28</v>
      </c>
      <c r="P681" s="25">
        <f t="shared" si="30"/>
        <v>45983</v>
      </c>
      <c r="Q681" s="25"/>
      <c r="R681" s="25"/>
      <c r="S681" s="7" t="s">
        <v>23</v>
      </c>
      <c r="T681" s="28">
        <v>1</v>
      </c>
    </row>
    <row r="682" spans="1:20" ht="14.25" customHeight="1">
      <c r="A682" s="22">
        <v>774</v>
      </c>
      <c r="B682" s="38">
        <v>2740</v>
      </c>
      <c r="C682" s="22" t="str">
        <f>IFERROR(VLOOKUP(B682,Colaboradores!A:D,2,),"")</f>
        <v>LUCIANA BARBOSA SODRE</v>
      </c>
      <c r="D682" s="22" t="str">
        <f>IFERROR(VLOOKUP(B682,Colaboradores!A:D,3,),"")</f>
        <v>SEGURANÇA DO TRABALHO</v>
      </c>
      <c r="E682" s="22" t="str">
        <f>IFERROR(VLOOKUP(B682,Colaboradores!A:D,4,),"")</f>
        <v>TÉCNICO DE SEGURANÇA DO TRABALHO</v>
      </c>
      <c r="F682" s="22" t="s">
        <v>26</v>
      </c>
      <c r="G682" s="24" t="str">
        <f>IFERROR(VLOOKUP(F682,Procedimentos!A:C,2,),"")</f>
        <v>RESPONSABILIDADES E AUTORIDADES DO SGQ</v>
      </c>
      <c r="H682" s="25"/>
      <c r="I682" s="25">
        <v>45891</v>
      </c>
      <c r="J682" s="22">
        <v>12</v>
      </c>
      <c r="K682" s="25">
        <f t="shared" si="29"/>
        <v>46256</v>
      </c>
      <c r="L682" s="28" t="str">
        <f t="shared" ca="1" si="28"/>
        <v>Em dia</v>
      </c>
      <c r="M682" s="33" t="s">
        <v>57</v>
      </c>
      <c r="N682" s="28" t="s">
        <v>21</v>
      </c>
      <c r="O682" s="22" t="s">
        <v>28</v>
      </c>
      <c r="P682" s="25">
        <f t="shared" si="30"/>
        <v>45983</v>
      </c>
      <c r="Q682" s="25"/>
      <c r="R682" s="25"/>
      <c r="S682" s="7" t="s">
        <v>23</v>
      </c>
      <c r="T682" s="28">
        <v>1</v>
      </c>
    </row>
    <row r="683" spans="1:20" ht="14.25" customHeight="1">
      <c r="A683" s="22">
        <v>775</v>
      </c>
      <c r="B683" s="38">
        <v>7580</v>
      </c>
      <c r="C683" s="22" t="str">
        <f>IFERROR(VLOOKUP(B683,Colaboradores!A:D,2,),"")</f>
        <v>LUCIO JOSE DA COSTA LOPES</v>
      </c>
      <c r="D683" s="22" t="str">
        <f>IFERROR(VLOOKUP(B683,Colaboradores!A:D,3,),"")</f>
        <v>SEGURANÇA DO TRABALHO</v>
      </c>
      <c r="E683" s="22" t="str">
        <f>IFERROR(VLOOKUP(B683,Colaboradores!A:D,4,),"")</f>
        <v>TÉCNICO DE SEGURANÇA DO TRABALHO</v>
      </c>
      <c r="F683" s="22" t="s">
        <v>26</v>
      </c>
      <c r="G683" s="24" t="str">
        <f>IFERROR(VLOOKUP(F683,Procedimentos!A:C,2,),"")</f>
        <v>RESPONSABILIDADES E AUTORIDADES DO SGQ</v>
      </c>
      <c r="H683" s="25"/>
      <c r="I683" s="25">
        <v>45891</v>
      </c>
      <c r="J683" s="22">
        <v>12</v>
      </c>
      <c r="K683" s="25">
        <f t="shared" si="29"/>
        <v>46256</v>
      </c>
      <c r="L683" s="28" t="str">
        <f t="shared" ca="1" si="28"/>
        <v>Em dia</v>
      </c>
      <c r="M683" s="33" t="s">
        <v>57</v>
      </c>
      <c r="N683" s="28" t="s">
        <v>21</v>
      </c>
      <c r="O683" s="22" t="s">
        <v>28</v>
      </c>
      <c r="P683" s="25">
        <f t="shared" si="30"/>
        <v>45983</v>
      </c>
      <c r="Q683" s="25"/>
      <c r="R683" s="25"/>
      <c r="S683" s="7" t="s">
        <v>23</v>
      </c>
      <c r="T683" s="28">
        <v>1</v>
      </c>
    </row>
    <row r="684" spans="1:20" ht="14.25" customHeight="1">
      <c r="A684" s="22">
        <v>776</v>
      </c>
      <c r="B684" s="35">
        <v>14815</v>
      </c>
      <c r="C684" s="22" t="str">
        <f>IFERROR(VLOOKUP(B684,Colaboradores!A:D,2,),"")</f>
        <v>NATHALIA CRISTINA DOS SANTOS RODRIGUES</v>
      </c>
      <c r="D684" s="22" t="str">
        <f>IFERROR(VLOOKUP(B684,Colaboradores!A:D,3,),"")</f>
        <v>REGIONAL LESTE</v>
      </c>
      <c r="E684" s="22" t="str">
        <f>IFERROR(VLOOKUP(B684,Colaboradores!A:D,4,),"")</f>
        <v>ASSISTENTE DE MEIO AMBIENTE</v>
      </c>
      <c r="F684" s="22" t="s">
        <v>19</v>
      </c>
      <c r="G684" s="24" t="str">
        <f>IFERROR(VLOOKUP(F684,Procedimentos!A:C,2,),"")</f>
        <v>DIRETRIZES PARA DOCUMENTOS NORMATIVOS</v>
      </c>
      <c r="H684" s="25"/>
      <c r="I684" s="25">
        <v>45891</v>
      </c>
      <c r="J684" s="22">
        <v>12</v>
      </c>
      <c r="K684" s="25">
        <f t="shared" si="29"/>
        <v>46256</v>
      </c>
      <c r="L684" s="28" t="str">
        <f t="shared" ca="1" si="28"/>
        <v>Em dia</v>
      </c>
      <c r="M684" s="33" t="s">
        <v>57</v>
      </c>
      <c r="N684" s="28" t="s">
        <v>21</v>
      </c>
      <c r="O684" s="22" t="s">
        <v>28</v>
      </c>
      <c r="P684" s="25">
        <f t="shared" si="30"/>
        <v>45983</v>
      </c>
      <c r="Q684" s="25"/>
      <c r="R684" s="25"/>
      <c r="S684" s="7" t="s">
        <v>23</v>
      </c>
      <c r="T684" s="28">
        <v>1</v>
      </c>
    </row>
    <row r="685" spans="1:20" ht="14.25" customHeight="1">
      <c r="A685" s="22">
        <v>777</v>
      </c>
      <c r="B685" s="35">
        <v>14815</v>
      </c>
      <c r="C685" s="22" t="str">
        <f>IFERROR(VLOOKUP(B685,Colaboradores!A:D,2,),"")</f>
        <v>NATHALIA CRISTINA DOS SANTOS RODRIGUES</v>
      </c>
      <c r="D685" s="22" t="str">
        <f>IFERROR(VLOOKUP(B685,Colaboradores!A:D,3,),"")</f>
        <v>REGIONAL LESTE</v>
      </c>
      <c r="E685" s="22" t="str">
        <f>IFERROR(VLOOKUP(B685,Colaboradores!A:D,4,),"")</f>
        <v>ASSISTENTE DE MEIO AMBIENTE</v>
      </c>
      <c r="F685" s="22" t="s">
        <v>24</v>
      </c>
      <c r="G685" s="24" t="str">
        <f>IFERROR(VLOOKUP(F685,Procedimentos!A:C,2,),"")</f>
        <v>DIRETRIZES  PARA PROGRAMA 5S</v>
      </c>
      <c r="H685" s="25"/>
      <c r="I685" s="25">
        <v>45891</v>
      </c>
      <c r="J685" s="22">
        <v>12</v>
      </c>
      <c r="K685" s="25">
        <f t="shared" si="29"/>
        <v>46256</v>
      </c>
      <c r="L685" s="28" t="str">
        <f t="shared" ca="1" si="28"/>
        <v>Em dia</v>
      </c>
      <c r="M685" s="33" t="s">
        <v>57</v>
      </c>
      <c r="N685" s="28" t="s">
        <v>21</v>
      </c>
      <c r="O685" s="22" t="s">
        <v>28</v>
      </c>
      <c r="P685" s="25">
        <f t="shared" si="30"/>
        <v>45983</v>
      </c>
      <c r="Q685" s="25"/>
      <c r="R685" s="25"/>
      <c r="S685" s="7" t="s">
        <v>23</v>
      </c>
      <c r="T685" s="28">
        <v>1</v>
      </c>
    </row>
    <row r="686" spans="1:20" ht="14.25" customHeight="1">
      <c r="A686" s="22">
        <v>778</v>
      </c>
      <c r="B686" s="35">
        <v>14815</v>
      </c>
      <c r="C686" s="22" t="str">
        <f>IFERROR(VLOOKUP(B686,Colaboradores!A:D,2,),"")</f>
        <v>NATHALIA CRISTINA DOS SANTOS RODRIGUES</v>
      </c>
      <c r="D686" s="22" t="str">
        <f>IFERROR(VLOOKUP(B686,Colaboradores!A:D,3,),"")</f>
        <v>REGIONAL LESTE</v>
      </c>
      <c r="E686" s="22" t="str">
        <f>IFERROR(VLOOKUP(B686,Colaboradores!A:D,4,),"")</f>
        <v>ASSISTENTE DE MEIO AMBIENTE</v>
      </c>
      <c r="F686" s="22" t="s">
        <v>25</v>
      </c>
      <c r="G686" s="24" t="str">
        <f>IFERROR(VLOOKUP(F686,Procedimentos!A:C,2,),"")</f>
        <v>GARANTIA DA QUALIDADE</v>
      </c>
      <c r="H686" s="25"/>
      <c r="I686" s="25">
        <v>45891</v>
      </c>
      <c r="J686" s="22">
        <v>12</v>
      </c>
      <c r="K686" s="25">
        <f t="shared" si="29"/>
        <v>46256</v>
      </c>
      <c r="L686" s="28" t="str">
        <f t="shared" ca="1" si="28"/>
        <v>Em dia</v>
      </c>
      <c r="M686" s="33" t="s">
        <v>57</v>
      </c>
      <c r="N686" s="28" t="s">
        <v>21</v>
      </c>
      <c r="O686" s="22" t="s">
        <v>28</v>
      </c>
      <c r="P686" s="25">
        <f t="shared" si="30"/>
        <v>45983</v>
      </c>
      <c r="Q686" s="25"/>
      <c r="R686" s="25"/>
      <c r="S686" s="7" t="s">
        <v>23</v>
      </c>
      <c r="T686" s="28">
        <v>1</v>
      </c>
    </row>
    <row r="687" spans="1:20" ht="14.25" customHeight="1">
      <c r="A687" s="22">
        <v>779</v>
      </c>
      <c r="B687" s="35">
        <v>14815</v>
      </c>
      <c r="C687" s="22" t="str">
        <f>IFERROR(VLOOKUP(B687,Colaboradores!A:D,2,),"")</f>
        <v>NATHALIA CRISTINA DOS SANTOS RODRIGUES</v>
      </c>
      <c r="D687" s="22" t="str">
        <f>IFERROR(VLOOKUP(B687,Colaboradores!A:D,3,),"")</f>
        <v>REGIONAL LESTE</v>
      </c>
      <c r="E687" s="22" t="str">
        <f>IFERROR(VLOOKUP(B687,Colaboradores!A:D,4,),"")</f>
        <v>ASSISTENTE DE MEIO AMBIENTE</v>
      </c>
      <c r="F687" s="22" t="s">
        <v>26</v>
      </c>
      <c r="G687" s="24" t="str">
        <f>IFERROR(VLOOKUP(F687,Procedimentos!A:C,2,),"")</f>
        <v>RESPONSABILIDADES E AUTORIDADES DO SGQ</v>
      </c>
      <c r="H687" s="25"/>
      <c r="I687" s="25">
        <v>45891</v>
      </c>
      <c r="J687" s="22">
        <v>12</v>
      </c>
      <c r="K687" s="25">
        <f t="shared" si="29"/>
        <v>46256</v>
      </c>
      <c r="L687" s="28" t="str">
        <f t="shared" ca="1" si="28"/>
        <v>Em dia</v>
      </c>
      <c r="M687" s="33" t="s">
        <v>57</v>
      </c>
      <c r="N687" s="28" t="s">
        <v>21</v>
      </c>
      <c r="O687" s="22" t="s">
        <v>28</v>
      </c>
      <c r="P687" s="25">
        <f t="shared" si="30"/>
        <v>45983</v>
      </c>
      <c r="Q687" s="25"/>
      <c r="R687" s="25"/>
      <c r="S687" s="7" t="s">
        <v>23</v>
      </c>
      <c r="T687" s="28">
        <v>1</v>
      </c>
    </row>
    <row r="688" spans="1:20" ht="14.25" customHeight="1">
      <c r="A688" s="22">
        <v>780</v>
      </c>
      <c r="B688" s="35">
        <v>15100</v>
      </c>
      <c r="C688" s="22" t="str">
        <f>IFERROR(VLOOKUP(B688,Colaboradores!A:D,2,),"")</f>
        <v>JONATHAN SILVA ALVES</v>
      </c>
      <c r="D688" s="22" t="str">
        <f>IFERROR(VLOOKUP(B688,Colaboradores!A:D,3,),"")</f>
        <v>REGIONAL SUL</v>
      </c>
      <c r="E688" s="22" t="str">
        <f>IFERROR(VLOOKUP(B688,Colaboradores!A:D,4,),"")</f>
        <v>COORDENADOR DE SSMA</v>
      </c>
      <c r="F688" s="4" t="s">
        <v>58</v>
      </c>
      <c r="G688" s="24" t="str">
        <f>IFERROR(VLOOKUP(F688,Procedimentos!A:C,2,),"")</f>
        <v>POLÍTICA DE QUALIDADE DA DIRETORIA</v>
      </c>
      <c r="H688" s="25"/>
      <c r="I688" s="25">
        <v>45891</v>
      </c>
      <c r="J688" s="22">
        <v>12</v>
      </c>
      <c r="K688" s="25">
        <f t="shared" si="29"/>
        <v>46256</v>
      </c>
      <c r="L688" s="28" t="str">
        <f t="shared" ca="1" si="28"/>
        <v>Em dia</v>
      </c>
      <c r="M688" s="33" t="s">
        <v>57</v>
      </c>
      <c r="N688" s="28" t="s">
        <v>21</v>
      </c>
      <c r="O688" s="22" t="s">
        <v>28</v>
      </c>
      <c r="P688" s="25">
        <f t="shared" si="30"/>
        <v>45983</v>
      </c>
      <c r="Q688" s="25"/>
      <c r="R688" s="25"/>
      <c r="S688" s="7" t="s">
        <v>23</v>
      </c>
      <c r="T688" s="28">
        <v>1</v>
      </c>
    </row>
    <row r="689" spans="1:20" ht="14.25" customHeight="1">
      <c r="A689" s="22">
        <v>781</v>
      </c>
      <c r="B689" s="35">
        <v>13964</v>
      </c>
      <c r="C689" s="22" t="str">
        <f>IFERROR(VLOOKUP(B689,Colaboradores!A:D,2,),"")</f>
        <v>ESTER MOREIRA AMBROSIO DE CARVALHO</v>
      </c>
      <c r="D689" s="22" t="str">
        <f>IFERROR(VLOOKUP(B689,Colaboradores!A:D,3,),"")</f>
        <v>REGIONAL SUL</v>
      </c>
      <c r="E689" s="22" t="str">
        <f>IFERROR(VLOOKUP(B689,Colaboradores!A:D,4,),"")</f>
        <v>ENFERMEIRO DO TRABALHO</v>
      </c>
      <c r="F689" s="22" t="s">
        <v>19</v>
      </c>
      <c r="G689" s="24" t="str">
        <f>IFERROR(VLOOKUP(F689,Procedimentos!A:C,2,),"")</f>
        <v>DIRETRIZES PARA DOCUMENTOS NORMATIVOS</v>
      </c>
      <c r="H689" s="25"/>
      <c r="I689" s="25">
        <v>45891</v>
      </c>
      <c r="J689" s="22">
        <v>12</v>
      </c>
      <c r="K689" s="25">
        <f t="shared" si="29"/>
        <v>46256</v>
      </c>
      <c r="L689" s="28" t="str">
        <f t="shared" ca="1" si="28"/>
        <v>Em dia</v>
      </c>
      <c r="M689" s="33" t="s">
        <v>57</v>
      </c>
      <c r="N689" s="28" t="s">
        <v>21</v>
      </c>
      <c r="O689" s="22" t="s">
        <v>28</v>
      </c>
      <c r="P689" s="25">
        <f t="shared" si="30"/>
        <v>45983</v>
      </c>
      <c r="Q689" s="25"/>
      <c r="R689" s="25"/>
      <c r="S689" s="7" t="s">
        <v>23</v>
      </c>
      <c r="T689" s="28">
        <v>1</v>
      </c>
    </row>
    <row r="690" spans="1:20" ht="14.25" customHeight="1">
      <c r="A690" s="22">
        <v>782</v>
      </c>
      <c r="B690" s="35">
        <v>13964</v>
      </c>
      <c r="C690" s="22" t="str">
        <f>IFERROR(VLOOKUP(B690,Colaboradores!A:D,2,),"")</f>
        <v>ESTER MOREIRA AMBROSIO DE CARVALHO</v>
      </c>
      <c r="D690" s="22" t="str">
        <f>IFERROR(VLOOKUP(B690,Colaboradores!A:D,3,),"")</f>
        <v>REGIONAL SUL</v>
      </c>
      <c r="E690" s="22" t="str">
        <f>IFERROR(VLOOKUP(B690,Colaboradores!A:D,4,),"")</f>
        <v>ENFERMEIRO DO TRABALHO</v>
      </c>
      <c r="F690" s="22" t="s">
        <v>24</v>
      </c>
      <c r="G690" s="24" t="str">
        <f>IFERROR(VLOOKUP(F690,Procedimentos!A:C,2,),"")</f>
        <v>DIRETRIZES  PARA PROGRAMA 5S</v>
      </c>
      <c r="H690" s="25"/>
      <c r="I690" s="25">
        <v>45891</v>
      </c>
      <c r="J690" s="22">
        <v>12</v>
      </c>
      <c r="K690" s="25">
        <f t="shared" si="29"/>
        <v>46256</v>
      </c>
      <c r="L690" s="28" t="str">
        <f t="shared" ca="1" si="28"/>
        <v>Em dia</v>
      </c>
      <c r="M690" s="33" t="s">
        <v>57</v>
      </c>
      <c r="N690" s="28" t="s">
        <v>21</v>
      </c>
      <c r="O690" s="22" t="s">
        <v>28</v>
      </c>
      <c r="P690" s="25">
        <f t="shared" si="30"/>
        <v>45983</v>
      </c>
      <c r="Q690" s="25"/>
      <c r="R690" s="25"/>
      <c r="S690" s="7" t="s">
        <v>23</v>
      </c>
      <c r="T690" s="28">
        <v>1</v>
      </c>
    </row>
    <row r="691" spans="1:20" ht="14.25" customHeight="1">
      <c r="A691" s="22">
        <v>783</v>
      </c>
      <c r="B691" s="35">
        <v>13964</v>
      </c>
      <c r="C691" s="22" t="str">
        <f>IFERROR(VLOOKUP(B691,Colaboradores!A:D,2,),"")</f>
        <v>ESTER MOREIRA AMBROSIO DE CARVALHO</v>
      </c>
      <c r="D691" s="22" t="str">
        <f>IFERROR(VLOOKUP(B691,Colaboradores!A:D,3,),"")</f>
        <v>REGIONAL SUL</v>
      </c>
      <c r="E691" s="22" t="str">
        <f>IFERROR(VLOOKUP(B691,Colaboradores!A:D,4,),"")</f>
        <v>ENFERMEIRO DO TRABALHO</v>
      </c>
      <c r="F691" s="22" t="s">
        <v>25</v>
      </c>
      <c r="G691" s="24" t="str">
        <f>IFERROR(VLOOKUP(F691,Procedimentos!A:C,2,),"")</f>
        <v>GARANTIA DA QUALIDADE</v>
      </c>
      <c r="H691" s="25"/>
      <c r="I691" s="25">
        <v>45891</v>
      </c>
      <c r="J691" s="22">
        <v>12</v>
      </c>
      <c r="K691" s="25">
        <f t="shared" si="29"/>
        <v>46256</v>
      </c>
      <c r="L691" s="28" t="str">
        <f t="shared" ca="1" si="28"/>
        <v>Em dia</v>
      </c>
      <c r="M691" s="33" t="s">
        <v>57</v>
      </c>
      <c r="N691" s="28" t="s">
        <v>21</v>
      </c>
      <c r="O691" s="22" t="s">
        <v>28</v>
      </c>
      <c r="P691" s="25">
        <f t="shared" si="30"/>
        <v>45983</v>
      </c>
      <c r="Q691" s="25"/>
      <c r="R691" s="25"/>
      <c r="S691" s="7" t="s">
        <v>23</v>
      </c>
      <c r="T691" s="28">
        <v>1</v>
      </c>
    </row>
    <row r="692" spans="1:20" ht="14.25" customHeight="1">
      <c r="A692" s="22">
        <v>784</v>
      </c>
      <c r="B692" s="35">
        <v>13964</v>
      </c>
      <c r="C692" s="22" t="str">
        <f>IFERROR(VLOOKUP(B692,Colaboradores!A:D,2,),"")</f>
        <v>ESTER MOREIRA AMBROSIO DE CARVALHO</v>
      </c>
      <c r="D692" s="22" t="str">
        <f>IFERROR(VLOOKUP(B692,Colaboradores!A:D,3,),"")</f>
        <v>REGIONAL SUL</v>
      </c>
      <c r="E692" s="22" t="str">
        <f>IFERROR(VLOOKUP(B692,Colaboradores!A:D,4,),"")</f>
        <v>ENFERMEIRO DO TRABALHO</v>
      </c>
      <c r="F692" s="22" t="s">
        <v>26</v>
      </c>
      <c r="G692" s="24" t="str">
        <f>IFERROR(VLOOKUP(F692,Procedimentos!A:C,2,),"")</f>
        <v>RESPONSABILIDADES E AUTORIDADES DO SGQ</v>
      </c>
      <c r="H692" s="25"/>
      <c r="I692" s="25">
        <v>45891</v>
      </c>
      <c r="J692" s="22">
        <v>12</v>
      </c>
      <c r="K692" s="25">
        <f t="shared" si="29"/>
        <v>46256</v>
      </c>
      <c r="L692" s="28" t="str">
        <f t="shared" ca="1" si="28"/>
        <v>Em dia</v>
      </c>
      <c r="M692" s="33" t="s">
        <v>57</v>
      </c>
      <c r="N692" s="28" t="s">
        <v>21</v>
      </c>
      <c r="O692" s="22" t="s">
        <v>28</v>
      </c>
      <c r="P692" s="25">
        <f t="shared" si="30"/>
        <v>45983</v>
      </c>
      <c r="Q692" s="25"/>
      <c r="R692" s="25"/>
      <c r="S692" s="7" t="s">
        <v>23</v>
      </c>
      <c r="T692" s="28">
        <v>1</v>
      </c>
    </row>
    <row r="693" spans="1:20" ht="14.25" customHeight="1">
      <c r="A693" s="22">
        <v>785</v>
      </c>
      <c r="B693" s="33">
        <v>15011</v>
      </c>
      <c r="C693" s="22" t="str">
        <f>IFERROR(VLOOKUP(B693,Colaboradores!A:D,2,),"")</f>
        <v>RAFAEL FREITAS DE PAULA</v>
      </c>
      <c r="D693" s="22" t="str">
        <f>IFERROR(VLOOKUP(B693,Colaboradores!A:D,3,),"")</f>
        <v>GESTÃO INTEGRADA</v>
      </c>
      <c r="E693" s="22" t="str">
        <f>IFERROR(VLOOKUP(B693,Colaboradores!A:D,4,),"")</f>
        <v>ANALISTA DA QUALIDADE</v>
      </c>
      <c r="F693" s="4" t="s">
        <v>58</v>
      </c>
      <c r="G693" s="24" t="str">
        <f>IFERROR(VLOOKUP(F693,Procedimentos!A:C,2,),"")</f>
        <v>POLÍTICA DE QUALIDADE DA DIRETORIA</v>
      </c>
      <c r="H693" s="25"/>
      <c r="I693" s="25">
        <v>45891</v>
      </c>
      <c r="J693" s="22">
        <v>12</v>
      </c>
      <c r="K693" s="25">
        <f t="shared" si="29"/>
        <v>46256</v>
      </c>
      <c r="L693" s="28" t="str">
        <f t="shared" ca="1" si="28"/>
        <v>Em dia</v>
      </c>
      <c r="M693" s="33" t="s">
        <v>57</v>
      </c>
      <c r="N693" s="28" t="s">
        <v>21</v>
      </c>
      <c r="O693" s="22" t="s">
        <v>28</v>
      </c>
      <c r="P693" s="25">
        <f t="shared" si="30"/>
        <v>45983</v>
      </c>
      <c r="Q693" s="25"/>
      <c r="R693" s="25"/>
      <c r="S693" s="7" t="s">
        <v>27</v>
      </c>
      <c r="T693" s="28">
        <v>1</v>
      </c>
    </row>
    <row r="694" spans="1:20" ht="14.25" customHeight="1">
      <c r="A694" s="22">
        <v>786</v>
      </c>
      <c r="B694" s="36">
        <v>13810</v>
      </c>
      <c r="C694" s="22" t="str">
        <f>IFERROR(VLOOKUP(B694,Colaboradores!A:D,2,),"")</f>
        <v>CAMILA CHAVES SILVA</v>
      </c>
      <c r="D694" s="22" t="str">
        <f>IFERROR(VLOOKUP(B694,Colaboradores!A:D,3,),"")</f>
        <v>DIRETORIA</v>
      </c>
      <c r="E694" s="22" t="str">
        <f>IFERROR(VLOOKUP(B694,Colaboradores!A:D,4,),"")</f>
        <v>ASSESSOR JURÍDICO</v>
      </c>
      <c r="F694" s="22" t="s">
        <v>19</v>
      </c>
      <c r="G694" s="24" t="str">
        <f>IFERROR(VLOOKUP(F694,Procedimentos!A:C,2,),"")</f>
        <v>DIRETRIZES PARA DOCUMENTOS NORMATIVOS</v>
      </c>
      <c r="H694" s="25"/>
      <c r="I694" s="25">
        <v>45891</v>
      </c>
      <c r="J694" s="22">
        <v>12</v>
      </c>
      <c r="K694" s="25">
        <f t="shared" si="29"/>
        <v>46256</v>
      </c>
      <c r="L694" s="28" t="str">
        <f t="shared" ca="1" si="28"/>
        <v>Em dia</v>
      </c>
      <c r="M694" s="33" t="s">
        <v>57</v>
      </c>
      <c r="N694" s="28" t="s">
        <v>21</v>
      </c>
      <c r="O694" s="22" t="s">
        <v>28</v>
      </c>
      <c r="P694" s="25">
        <f t="shared" si="30"/>
        <v>45983</v>
      </c>
      <c r="Q694" s="25"/>
      <c r="R694" s="25"/>
      <c r="S694" s="7" t="s">
        <v>27</v>
      </c>
      <c r="T694" s="28">
        <v>1</v>
      </c>
    </row>
    <row r="695" spans="1:20" ht="14.25" customHeight="1">
      <c r="A695" s="22">
        <v>787</v>
      </c>
      <c r="B695" s="36">
        <v>13810</v>
      </c>
      <c r="C695" s="22" t="str">
        <f>IFERROR(VLOOKUP(B695,Colaboradores!A:D,2,),"")</f>
        <v>CAMILA CHAVES SILVA</v>
      </c>
      <c r="D695" s="22" t="str">
        <f>IFERROR(VLOOKUP(B695,Colaboradores!A:D,3,),"")</f>
        <v>DIRETORIA</v>
      </c>
      <c r="E695" s="22" t="str">
        <f>IFERROR(VLOOKUP(B695,Colaboradores!A:D,4,),"")</f>
        <v>ASSESSOR JURÍDICO</v>
      </c>
      <c r="F695" s="22" t="s">
        <v>24</v>
      </c>
      <c r="G695" s="24" t="str">
        <f>IFERROR(VLOOKUP(F695,Procedimentos!A:C,2,),"")</f>
        <v>DIRETRIZES  PARA PROGRAMA 5S</v>
      </c>
      <c r="H695" s="25"/>
      <c r="I695" s="25">
        <v>45891</v>
      </c>
      <c r="J695" s="22">
        <v>12</v>
      </c>
      <c r="K695" s="25">
        <f t="shared" si="29"/>
        <v>46256</v>
      </c>
      <c r="L695" s="28" t="str">
        <f t="shared" ca="1" si="28"/>
        <v>Em dia</v>
      </c>
      <c r="M695" s="33" t="s">
        <v>57</v>
      </c>
      <c r="N695" s="28" t="s">
        <v>21</v>
      </c>
      <c r="O695" s="22" t="s">
        <v>28</v>
      </c>
      <c r="P695" s="25">
        <f t="shared" si="30"/>
        <v>45983</v>
      </c>
      <c r="Q695" s="25"/>
      <c r="R695" s="25"/>
      <c r="S695" s="7" t="s">
        <v>27</v>
      </c>
      <c r="T695" s="28">
        <v>1</v>
      </c>
    </row>
    <row r="696" spans="1:20" ht="14.25" customHeight="1">
      <c r="A696" s="22">
        <v>788</v>
      </c>
      <c r="B696" s="36">
        <v>13810</v>
      </c>
      <c r="C696" s="22" t="str">
        <f>IFERROR(VLOOKUP(B696,Colaboradores!A:D,2,),"")</f>
        <v>CAMILA CHAVES SILVA</v>
      </c>
      <c r="D696" s="22" t="str">
        <f>IFERROR(VLOOKUP(B696,Colaboradores!A:D,3,),"")</f>
        <v>DIRETORIA</v>
      </c>
      <c r="E696" s="22" t="str">
        <f>IFERROR(VLOOKUP(B696,Colaboradores!A:D,4,),"")</f>
        <v>ASSESSOR JURÍDICO</v>
      </c>
      <c r="F696" s="22" t="s">
        <v>25</v>
      </c>
      <c r="G696" s="24" t="str">
        <f>IFERROR(VLOOKUP(F696,Procedimentos!A:C,2,),"")</f>
        <v>GARANTIA DA QUALIDADE</v>
      </c>
      <c r="H696" s="25"/>
      <c r="I696" s="25">
        <v>45891</v>
      </c>
      <c r="J696" s="22">
        <v>12</v>
      </c>
      <c r="K696" s="25">
        <f t="shared" si="29"/>
        <v>46256</v>
      </c>
      <c r="L696" s="28" t="str">
        <f t="shared" ca="1" si="28"/>
        <v>Em dia</v>
      </c>
      <c r="M696" s="33" t="s">
        <v>57</v>
      </c>
      <c r="N696" s="28" t="s">
        <v>21</v>
      </c>
      <c r="O696" s="22" t="s">
        <v>28</v>
      </c>
      <c r="P696" s="25">
        <f t="shared" si="30"/>
        <v>45983</v>
      </c>
      <c r="Q696" s="25"/>
      <c r="R696" s="25"/>
      <c r="S696" s="7" t="s">
        <v>27</v>
      </c>
      <c r="T696" s="28">
        <v>1</v>
      </c>
    </row>
    <row r="697" spans="1:20" ht="14.25" customHeight="1">
      <c r="A697" s="22">
        <v>789</v>
      </c>
      <c r="B697" s="36">
        <v>13810</v>
      </c>
      <c r="C697" s="22" t="str">
        <f>IFERROR(VLOOKUP(B697,Colaboradores!A:D,2,),"")</f>
        <v>CAMILA CHAVES SILVA</v>
      </c>
      <c r="D697" s="22" t="str">
        <f>IFERROR(VLOOKUP(B697,Colaboradores!A:D,3,),"")</f>
        <v>DIRETORIA</v>
      </c>
      <c r="E697" s="22" t="str">
        <f>IFERROR(VLOOKUP(B697,Colaboradores!A:D,4,),"")</f>
        <v>ASSESSOR JURÍDICO</v>
      </c>
      <c r="F697" s="22" t="s">
        <v>26</v>
      </c>
      <c r="G697" s="24" t="str">
        <f>IFERROR(VLOOKUP(F697,Procedimentos!A:C,2,),"")</f>
        <v>RESPONSABILIDADES E AUTORIDADES DO SGQ</v>
      </c>
      <c r="H697" s="25"/>
      <c r="I697" s="25">
        <v>45891</v>
      </c>
      <c r="J697" s="22">
        <v>12</v>
      </c>
      <c r="K697" s="25">
        <f t="shared" si="29"/>
        <v>46256</v>
      </c>
      <c r="L697" s="28" t="str">
        <f t="shared" ca="1" si="28"/>
        <v>Em dia</v>
      </c>
      <c r="M697" s="33" t="s">
        <v>57</v>
      </c>
      <c r="N697" s="28" t="s">
        <v>21</v>
      </c>
      <c r="O697" s="22" t="s">
        <v>28</v>
      </c>
      <c r="P697" s="25">
        <f t="shared" si="30"/>
        <v>45983</v>
      </c>
      <c r="Q697" s="25"/>
      <c r="R697" s="25"/>
      <c r="S697" s="7" t="s">
        <v>27</v>
      </c>
      <c r="T697" s="28">
        <v>1</v>
      </c>
    </row>
    <row r="698" spans="1:20" ht="14.25" customHeight="1">
      <c r="A698" s="22">
        <v>790</v>
      </c>
      <c r="B698" s="36">
        <v>14565</v>
      </c>
      <c r="C698" s="22" t="str">
        <f>IFERROR(VLOOKUP(B698,Colaboradores!A:D,2,),"")</f>
        <v>CAMILA RODRIGUES GOMES</v>
      </c>
      <c r="D698" s="22" t="str">
        <f>IFERROR(VLOOKUP(B698,Colaboradores!A:D,3,),"")</f>
        <v>SEGURANÇA DO TRABALHO</v>
      </c>
      <c r="E698" s="22" t="str">
        <f>IFERROR(VLOOKUP(B698,Colaboradores!A:D,4,),"")</f>
        <v>TÉCNICO DE SEGURANÇA DO TRABALHO</v>
      </c>
      <c r="F698" s="22" t="s">
        <v>59</v>
      </c>
      <c r="G698" s="24" t="str">
        <f>IFERROR(VLOOKUP(F698,Procedimentos!A:C,2,),"")</f>
        <v>GERENCIAMENTO DE RISCOS DE SAÚDE, SEGURANÇA E PROCESSOS</v>
      </c>
      <c r="H698" s="25"/>
      <c r="I698" s="25">
        <v>45895</v>
      </c>
      <c r="J698" s="22">
        <v>12</v>
      </c>
      <c r="K698" s="25">
        <f t="shared" si="29"/>
        <v>46260</v>
      </c>
      <c r="L698" s="28" t="str">
        <f t="shared" ca="1" si="28"/>
        <v>Em dia</v>
      </c>
      <c r="M698" s="33" t="s">
        <v>60</v>
      </c>
      <c r="N698" s="28" t="s">
        <v>21</v>
      </c>
      <c r="O698" s="22" t="s">
        <v>28</v>
      </c>
      <c r="P698" s="25">
        <f t="shared" si="30"/>
        <v>45987</v>
      </c>
      <c r="Q698" s="25"/>
      <c r="R698" s="25"/>
      <c r="S698" s="7"/>
      <c r="T698" s="7"/>
    </row>
    <row r="699" spans="1:20" ht="14.25" customHeight="1">
      <c r="A699" s="22">
        <v>792</v>
      </c>
      <c r="B699" s="36">
        <v>2740</v>
      </c>
      <c r="C699" s="22" t="str">
        <f>IFERROR(VLOOKUP(B699,Colaboradores!A:D,2,),"")</f>
        <v>LUCIANA BARBOSA SODRE</v>
      </c>
      <c r="D699" s="22" t="str">
        <f>IFERROR(VLOOKUP(B699,Colaboradores!A:D,3,),"")</f>
        <v>SEGURANÇA DO TRABALHO</v>
      </c>
      <c r="E699" s="22" t="str">
        <f>IFERROR(VLOOKUP(B699,Colaboradores!A:D,4,),"")</f>
        <v>TÉCNICO DE SEGURANÇA DO TRABALHO</v>
      </c>
      <c r="F699" s="22" t="s">
        <v>59</v>
      </c>
      <c r="G699" s="24" t="str">
        <f>IFERROR(VLOOKUP(F699,Procedimentos!A:C,2,),"")</f>
        <v>GERENCIAMENTO DE RISCOS DE SAÚDE, SEGURANÇA E PROCESSOS</v>
      </c>
      <c r="H699" s="25"/>
      <c r="I699" s="25">
        <v>45895</v>
      </c>
      <c r="J699" s="22">
        <v>12</v>
      </c>
      <c r="K699" s="25">
        <f t="shared" si="29"/>
        <v>46260</v>
      </c>
      <c r="L699" s="28" t="str">
        <f t="shared" ca="1" si="28"/>
        <v>Em dia</v>
      </c>
      <c r="M699" s="33" t="s">
        <v>60</v>
      </c>
      <c r="N699" s="28" t="s">
        <v>21</v>
      </c>
      <c r="O699" s="22" t="s">
        <v>28</v>
      </c>
      <c r="P699" s="25">
        <f t="shared" si="30"/>
        <v>45987</v>
      </c>
      <c r="Q699" s="25"/>
      <c r="R699" s="25"/>
      <c r="S699" s="7"/>
      <c r="T699" s="7"/>
    </row>
    <row r="700" spans="1:20" ht="14.25" customHeight="1">
      <c r="A700" s="22">
        <v>793</v>
      </c>
      <c r="B700" s="36">
        <v>7580</v>
      </c>
      <c r="C700" s="22" t="str">
        <f>IFERROR(VLOOKUP(B700,Colaboradores!A:D,2,),"")</f>
        <v>LUCIO JOSE DA COSTA LOPES</v>
      </c>
      <c r="D700" s="22" t="str">
        <f>IFERROR(VLOOKUP(B700,Colaboradores!A:D,3,),"")</f>
        <v>SEGURANÇA DO TRABALHO</v>
      </c>
      <c r="E700" s="22" t="str">
        <f>IFERROR(VLOOKUP(B700,Colaboradores!A:D,4,),"")</f>
        <v>TÉCNICO DE SEGURANÇA DO TRABALHO</v>
      </c>
      <c r="F700" s="22" t="s">
        <v>59</v>
      </c>
      <c r="G700" s="24" t="str">
        <f>IFERROR(VLOOKUP(F700,Procedimentos!A:C,2,),"")</f>
        <v>GERENCIAMENTO DE RISCOS DE SAÚDE, SEGURANÇA E PROCESSOS</v>
      </c>
      <c r="H700" s="25"/>
      <c r="I700" s="25">
        <v>45895</v>
      </c>
      <c r="J700" s="22">
        <v>12</v>
      </c>
      <c r="K700" s="25">
        <f t="shared" si="29"/>
        <v>46260</v>
      </c>
      <c r="L700" s="28" t="str">
        <f t="shared" ca="1" si="28"/>
        <v>Em dia</v>
      </c>
      <c r="M700" s="33" t="s">
        <v>60</v>
      </c>
      <c r="N700" s="28" t="s">
        <v>21</v>
      </c>
      <c r="O700" s="22" t="s">
        <v>28</v>
      </c>
      <c r="P700" s="25">
        <f t="shared" si="30"/>
        <v>45987</v>
      </c>
      <c r="Q700" s="25"/>
      <c r="R700" s="25"/>
      <c r="S700" s="7"/>
      <c r="T700" s="7"/>
    </row>
    <row r="701" spans="1:20" ht="14.25" customHeight="1">
      <c r="A701" s="22">
        <v>794</v>
      </c>
      <c r="B701" s="36">
        <v>14565</v>
      </c>
      <c r="C701" s="22" t="str">
        <f>IFERROR(VLOOKUP(B701,Colaboradores!A:D,2,),"")</f>
        <v>CAMILA RODRIGUES GOMES</v>
      </c>
      <c r="D701" s="22" t="str">
        <f>IFERROR(VLOOKUP(B701,Colaboradores!A:D,3,),"")</f>
        <v>SEGURANÇA DO TRABALHO</v>
      </c>
      <c r="E701" s="22" t="str">
        <f>IFERROR(VLOOKUP(B701,Colaboradores!A:D,4,),"")</f>
        <v>TÉCNICO DE SEGURANÇA DO TRABALHO</v>
      </c>
      <c r="F701" s="22" t="s">
        <v>61</v>
      </c>
      <c r="G701" s="24" t="str">
        <f>IFERROR(VLOOKUP(F701,Procedimentos!A:C,2,),"")</f>
        <v>PROCEDIMENTO DE INSPEÇÃO DE SEGURANÇA</v>
      </c>
      <c r="H701" s="25"/>
      <c r="I701" s="25">
        <v>45895</v>
      </c>
      <c r="J701" s="22">
        <v>12</v>
      </c>
      <c r="K701" s="25">
        <f t="shared" si="29"/>
        <v>46260</v>
      </c>
      <c r="L701" s="28" t="str">
        <f t="shared" ca="1" si="28"/>
        <v>Em dia</v>
      </c>
      <c r="M701" s="33" t="s">
        <v>60</v>
      </c>
      <c r="N701" s="28" t="s">
        <v>21</v>
      </c>
      <c r="O701" s="22" t="s">
        <v>28</v>
      </c>
      <c r="P701" s="25">
        <f t="shared" si="30"/>
        <v>45987</v>
      </c>
      <c r="Q701" s="25"/>
      <c r="R701" s="25"/>
      <c r="S701" s="7"/>
      <c r="T701" s="7"/>
    </row>
    <row r="702" spans="1:20" ht="14.25" customHeight="1">
      <c r="A702" s="22">
        <v>796</v>
      </c>
      <c r="B702" s="36">
        <v>2740</v>
      </c>
      <c r="C702" s="22" t="str">
        <f>IFERROR(VLOOKUP(B702,Colaboradores!A:D,2,),"")</f>
        <v>LUCIANA BARBOSA SODRE</v>
      </c>
      <c r="D702" s="22" t="str">
        <f>IFERROR(VLOOKUP(B702,Colaboradores!A:D,3,),"")</f>
        <v>SEGURANÇA DO TRABALHO</v>
      </c>
      <c r="E702" s="22" t="str">
        <f>IFERROR(VLOOKUP(B702,Colaboradores!A:D,4,),"")</f>
        <v>TÉCNICO DE SEGURANÇA DO TRABALHO</v>
      </c>
      <c r="F702" s="22" t="s">
        <v>61</v>
      </c>
      <c r="G702" s="24" t="str">
        <f>IFERROR(VLOOKUP(F702,Procedimentos!A:C,2,),"")</f>
        <v>PROCEDIMENTO DE INSPEÇÃO DE SEGURANÇA</v>
      </c>
      <c r="H702" s="25"/>
      <c r="I702" s="25">
        <v>45895</v>
      </c>
      <c r="J702" s="22">
        <v>12</v>
      </c>
      <c r="K702" s="25">
        <f t="shared" si="29"/>
        <v>46260</v>
      </c>
      <c r="L702" s="28" t="str">
        <f t="shared" ca="1" si="28"/>
        <v>Em dia</v>
      </c>
      <c r="M702" s="33" t="s">
        <v>60</v>
      </c>
      <c r="N702" s="28" t="s">
        <v>21</v>
      </c>
      <c r="O702" s="22" t="s">
        <v>28</v>
      </c>
      <c r="P702" s="25">
        <f t="shared" si="30"/>
        <v>45987</v>
      </c>
      <c r="Q702" s="25"/>
      <c r="R702" s="25"/>
      <c r="S702" s="7"/>
      <c r="T702" s="7"/>
    </row>
    <row r="703" spans="1:20" ht="14.25" customHeight="1">
      <c r="A703" s="22">
        <v>797</v>
      </c>
      <c r="B703" s="36">
        <v>7580</v>
      </c>
      <c r="C703" s="22" t="str">
        <f>IFERROR(VLOOKUP(B703,Colaboradores!A:D,2,),"")</f>
        <v>LUCIO JOSE DA COSTA LOPES</v>
      </c>
      <c r="D703" s="22" t="str">
        <f>IFERROR(VLOOKUP(B703,Colaboradores!A:D,3,),"")</f>
        <v>SEGURANÇA DO TRABALHO</v>
      </c>
      <c r="E703" s="22" t="str">
        <f>IFERROR(VLOOKUP(B703,Colaboradores!A:D,4,),"")</f>
        <v>TÉCNICO DE SEGURANÇA DO TRABALHO</v>
      </c>
      <c r="F703" s="22" t="s">
        <v>61</v>
      </c>
      <c r="G703" s="24" t="str">
        <f>IFERROR(VLOOKUP(F703,Procedimentos!A:C,2,),"")</f>
        <v>PROCEDIMENTO DE INSPEÇÃO DE SEGURANÇA</v>
      </c>
      <c r="H703" s="25"/>
      <c r="I703" s="25">
        <v>45895</v>
      </c>
      <c r="J703" s="22">
        <v>12</v>
      </c>
      <c r="K703" s="25">
        <f t="shared" si="29"/>
        <v>46260</v>
      </c>
      <c r="L703" s="28" t="str">
        <f t="shared" ca="1" si="28"/>
        <v>Em dia</v>
      </c>
      <c r="M703" s="33" t="s">
        <v>60</v>
      </c>
      <c r="N703" s="28" t="s">
        <v>21</v>
      </c>
      <c r="O703" s="22" t="s">
        <v>28</v>
      </c>
      <c r="P703" s="25">
        <f t="shared" si="30"/>
        <v>45987</v>
      </c>
      <c r="Q703" s="25"/>
      <c r="R703" s="25"/>
      <c r="S703" s="7"/>
      <c r="T703" s="7"/>
    </row>
    <row r="704" spans="1:20" ht="14.25" customHeight="1">
      <c r="A704" s="22">
        <v>798</v>
      </c>
      <c r="B704" s="36">
        <v>14565</v>
      </c>
      <c r="C704" s="22" t="str">
        <f>IFERROR(VLOOKUP(B704,Colaboradores!A:D,2,),"")</f>
        <v>CAMILA RODRIGUES GOMES</v>
      </c>
      <c r="D704" s="22" t="str">
        <f>IFERROR(VLOOKUP(B704,Colaboradores!A:D,3,),"")</f>
        <v>SEGURANÇA DO TRABALHO</v>
      </c>
      <c r="E704" s="22" t="str">
        <f>IFERROR(VLOOKUP(B704,Colaboradores!A:D,4,),"")</f>
        <v>TÉCNICO DE SEGURANÇA DO TRABALHO</v>
      </c>
      <c r="F704" s="22" t="s">
        <v>62</v>
      </c>
      <c r="G704" s="24" t="str">
        <f>IFERROR(VLOOKUP(F704,Procedimentos!A:C,2,),"")</f>
        <v>DIRETRIZES PARA ENVIO E RECEBIMENTO DE DOSÍMETRO</v>
      </c>
      <c r="H704" s="25"/>
      <c r="I704" s="25">
        <v>45895</v>
      </c>
      <c r="J704" s="22">
        <v>12</v>
      </c>
      <c r="K704" s="25">
        <f t="shared" si="29"/>
        <v>46260</v>
      </c>
      <c r="L704" s="28" t="str">
        <f t="shared" ca="1" si="28"/>
        <v>Em dia</v>
      </c>
      <c r="M704" s="33" t="s">
        <v>60</v>
      </c>
      <c r="N704" s="28" t="s">
        <v>21</v>
      </c>
      <c r="O704" s="22" t="s">
        <v>28</v>
      </c>
      <c r="P704" s="25">
        <f t="shared" si="30"/>
        <v>45987</v>
      </c>
      <c r="Q704" s="25"/>
      <c r="R704" s="25"/>
      <c r="S704" s="7"/>
      <c r="T704" s="7"/>
    </row>
    <row r="705" spans="1:20" ht="14.25" customHeight="1">
      <c r="A705" s="22">
        <v>800</v>
      </c>
      <c r="B705" s="36">
        <v>2740</v>
      </c>
      <c r="C705" s="22" t="str">
        <f>IFERROR(VLOOKUP(B705,Colaboradores!A:D,2,),"")</f>
        <v>LUCIANA BARBOSA SODRE</v>
      </c>
      <c r="D705" s="22" t="str">
        <f>IFERROR(VLOOKUP(B705,Colaboradores!A:D,3,),"")</f>
        <v>SEGURANÇA DO TRABALHO</v>
      </c>
      <c r="E705" s="22" t="str">
        <f>IFERROR(VLOOKUP(B705,Colaboradores!A:D,4,),"")</f>
        <v>TÉCNICO DE SEGURANÇA DO TRABALHO</v>
      </c>
      <c r="F705" s="22" t="s">
        <v>62</v>
      </c>
      <c r="G705" s="24" t="str">
        <f>IFERROR(VLOOKUP(F705,Procedimentos!A:C,2,),"")</f>
        <v>DIRETRIZES PARA ENVIO E RECEBIMENTO DE DOSÍMETRO</v>
      </c>
      <c r="H705" s="25"/>
      <c r="I705" s="25">
        <v>45895</v>
      </c>
      <c r="J705" s="22">
        <v>12</v>
      </c>
      <c r="K705" s="25">
        <f t="shared" si="29"/>
        <v>46260</v>
      </c>
      <c r="L705" s="28" t="str">
        <f t="shared" ref="L705:L768" ca="1" si="31">IF(K705="","",IF(K705&lt;TODAY(),"Vencido",IF(K705&lt;=TODAY()+30,"A vencer","Em dia")))</f>
        <v>Em dia</v>
      </c>
      <c r="M705" s="33" t="s">
        <v>60</v>
      </c>
      <c r="N705" s="28" t="s">
        <v>21</v>
      </c>
      <c r="O705" s="22" t="s">
        <v>28</v>
      </c>
      <c r="P705" s="25">
        <f t="shared" si="30"/>
        <v>45987</v>
      </c>
      <c r="Q705" s="25"/>
      <c r="R705" s="25"/>
      <c r="S705" s="7"/>
      <c r="T705" s="7"/>
    </row>
    <row r="706" spans="1:20" ht="14.25" customHeight="1">
      <c r="A706" s="22">
        <v>801</v>
      </c>
      <c r="B706" s="36">
        <v>7580</v>
      </c>
      <c r="C706" s="22" t="str">
        <f>IFERROR(VLOOKUP(B706,Colaboradores!A:D,2,),"")</f>
        <v>LUCIO JOSE DA COSTA LOPES</v>
      </c>
      <c r="D706" s="22" t="str">
        <f>IFERROR(VLOOKUP(B706,Colaboradores!A:D,3,),"")</f>
        <v>SEGURANÇA DO TRABALHO</v>
      </c>
      <c r="E706" s="22" t="str">
        <f>IFERROR(VLOOKUP(B706,Colaboradores!A:D,4,),"")</f>
        <v>TÉCNICO DE SEGURANÇA DO TRABALHO</v>
      </c>
      <c r="F706" s="22" t="s">
        <v>62</v>
      </c>
      <c r="G706" s="24" t="str">
        <f>IFERROR(VLOOKUP(F706,Procedimentos!A:C,2,),"")</f>
        <v>DIRETRIZES PARA ENVIO E RECEBIMENTO DE DOSÍMETRO</v>
      </c>
      <c r="H706" s="25"/>
      <c r="I706" s="25">
        <v>45895</v>
      </c>
      <c r="J706" s="22">
        <v>12</v>
      </c>
      <c r="K706" s="25">
        <f t="shared" si="29"/>
        <v>46260</v>
      </c>
      <c r="L706" s="28" t="str">
        <f t="shared" ca="1" si="31"/>
        <v>Em dia</v>
      </c>
      <c r="M706" s="33" t="s">
        <v>60</v>
      </c>
      <c r="N706" s="28" t="s">
        <v>21</v>
      </c>
      <c r="O706" s="22" t="s">
        <v>28</v>
      </c>
      <c r="P706" s="25">
        <f t="shared" si="30"/>
        <v>45987</v>
      </c>
      <c r="Q706" s="25"/>
      <c r="R706" s="25"/>
      <c r="S706" s="7"/>
      <c r="T706" s="7"/>
    </row>
    <row r="707" spans="1:20" ht="14.25" customHeight="1">
      <c r="A707" s="22">
        <v>802</v>
      </c>
      <c r="B707" s="36">
        <v>14565</v>
      </c>
      <c r="C707" s="22" t="str">
        <f>IFERROR(VLOOKUP(B707,Colaboradores!A:D,2,),"")</f>
        <v>CAMILA RODRIGUES GOMES</v>
      </c>
      <c r="D707" s="22" t="str">
        <f>IFERROR(VLOOKUP(B707,Colaboradores!A:D,3,),"")</f>
        <v>SEGURANÇA DO TRABALHO</v>
      </c>
      <c r="E707" s="22" t="str">
        <f>IFERROR(VLOOKUP(B707,Colaboradores!A:D,4,),"")</f>
        <v>TÉCNICO DE SEGURANÇA DO TRABALHO</v>
      </c>
      <c r="F707" s="22" t="s">
        <v>63</v>
      </c>
      <c r="G707" s="24" t="str">
        <f>IFERROR(VLOOKUP(F707,Procedimentos!A:C,2,),"")</f>
        <v>DIÁRIO DE BORDO DOS TÉCNICOS DE SEGURANÇA DO TRABALHO DA EMSERH E IADVH</v>
      </c>
      <c r="H707" s="25"/>
      <c r="I707" s="25">
        <v>45895</v>
      </c>
      <c r="J707" s="22">
        <v>12</v>
      </c>
      <c r="K707" s="25">
        <f t="shared" ref="K707:K770" si="32">IF(AND(I707&lt;&gt;"",J707&lt;&gt;""),DATE(YEAR(I707),MONTH(I707)+J707,DAY(I707)),"")</f>
        <v>46260</v>
      </c>
      <c r="L707" s="28" t="str">
        <f t="shared" ca="1" si="31"/>
        <v>Em dia</v>
      </c>
      <c r="M707" s="33" t="s">
        <v>60</v>
      </c>
      <c r="N707" s="28" t="s">
        <v>21</v>
      </c>
      <c r="O707" s="22" t="s">
        <v>28</v>
      </c>
      <c r="P707" s="25">
        <f t="shared" si="30"/>
        <v>45987</v>
      </c>
      <c r="Q707" s="25"/>
      <c r="R707" s="25"/>
      <c r="S707" s="7"/>
      <c r="T707" s="7"/>
    </row>
    <row r="708" spans="1:20" ht="14.25" customHeight="1">
      <c r="A708" s="22">
        <v>804</v>
      </c>
      <c r="B708" s="36">
        <v>2740</v>
      </c>
      <c r="C708" s="22" t="str">
        <f>IFERROR(VLOOKUP(B708,Colaboradores!A:D,2,),"")</f>
        <v>LUCIANA BARBOSA SODRE</v>
      </c>
      <c r="D708" s="22" t="str">
        <f>IFERROR(VLOOKUP(B708,Colaboradores!A:D,3,),"")</f>
        <v>SEGURANÇA DO TRABALHO</v>
      </c>
      <c r="E708" s="22" t="str">
        <f>IFERROR(VLOOKUP(B708,Colaboradores!A:D,4,),"")</f>
        <v>TÉCNICO DE SEGURANÇA DO TRABALHO</v>
      </c>
      <c r="F708" s="22" t="s">
        <v>63</v>
      </c>
      <c r="G708" s="24" t="str">
        <f>IFERROR(VLOOKUP(F708,Procedimentos!A:C,2,),"")</f>
        <v>DIÁRIO DE BORDO DOS TÉCNICOS DE SEGURANÇA DO TRABALHO DA EMSERH E IADVH</v>
      </c>
      <c r="H708" s="25"/>
      <c r="I708" s="25">
        <v>45895</v>
      </c>
      <c r="J708" s="22">
        <v>12</v>
      </c>
      <c r="K708" s="25">
        <f t="shared" si="32"/>
        <v>46260</v>
      </c>
      <c r="L708" s="28" t="str">
        <f t="shared" ca="1" si="31"/>
        <v>Em dia</v>
      </c>
      <c r="M708" s="33" t="s">
        <v>60</v>
      </c>
      <c r="N708" s="28" t="s">
        <v>21</v>
      </c>
      <c r="O708" s="22" t="s">
        <v>28</v>
      </c>
      <c r="P708" s="25">
        <f t="shared" si="30"/>
        <v>45987</v>
      </c>
      <c r="Q708" s="25"/>
      <c r="R708" s="25"/>
      <c r="S708" s="7"/>
      <c r="T708" s="7"/>
    </row>
    <row r="709" spans="1:20" ht="14.25" customHeight="1">
      <c r="A709" s="22">
        <v>805</v>
      </c>
      <c r="B709" s="36">
        <v>7580</v>
      </c>
      <c r="C709" s="22" t="str">
        <f>IFERROR(VLOOKUP(B709,Colaboradores!A:D,2,),"")</f>
        <v>LUCIO JOSE DA COSTA LOPES</v>
      </c>
      <c r="D709" s="22" t="str">
        <f>IFERROR(VLOOKUP(B709,Colaboradores!A:D,3,),"")</f>
        <v>SEGURANÇA DO TRABALHO</v>
      </c>
      <c r="E709" s="22" t="str">
        <f>IFERROR(VLOOKUP(B709,Colaboradores!A:D,4,),"")</f>
        <v>TÉCNICO DE SEGURANÇA DO TRABALHO</v>
      </c>
      <c r="F709" s="22" t="s">
        <v>63</v>
      </c>
      <c r="G709" s="24" t="str">
        <f>IFERROR(VLOOKUP(F709,Procedimentos!A:C,2,),"")</f>
        <v>DIÁRIO DE BORDO DOS TÉCNICOS DE SEGURANÇA DO TRABALHO DA EMSERH E IADVH</v>
      </c>
      <c r="H709" s="25"/>
      <c r="I709" s="25">
        <v>45895</v>
      </c>
      <c r="J709" s="22">
        <v>12</v>
      </c>
      <c r="K709" s="25">
        <f t="shared" si="32"/>
        <v>46260</v>
      </c>
      <c r="L709" s="28" t="str">
        <f t="shared" ca="1" si="31"/>
        <v>Em dia</v>
      </c>
      <c r="M709" s="33" t="s">
        <v>60</v>
      </c>
      <c r="N709" s="28" t="s">
        <v>21</v>
      </c>
      <c r="O709" s="22" t="s">
        <v>28</v>
      </c>
      <c r="P709" s="25">
        <f t="shared" si="30"/>
        <v>45987</v>
      </c>
      <c r="Q709" s="25"/>
      <c r="R709" s="25"/>
      <c r="S709" s="7"/>
      <c r="T709" s="7"/>
    </row>
    <row r="710" spans="1:20" ht="14.25" customHeight="1">
      <c r="A710" s="22">
        <v>806</v>
      </c>
      <c r="B710" s="36">
        <v>14767</v>
      </c>
      <c r="C710" s="22" t="str">
        <f>IFERROR(VLOOKUP(B710,Colaboradores!A:D,2,),"")</f>
        <v>CAIO VINICIUS PEREIRA DO NASCIMENTO</v>
      </c>
      <c r="D710" s="22" t="str">
        <f>IFERROR(VLOOKUP(B710,Colaboradores!A:D,3,),"")</f>
        <v>REGIONAL SUL</v>
      </c>
      <c r="E710" s="22" t="str">
        <f>IFERROR(VLOOKUP(B710,Colaboradores!A:D,4,),"")</f>
        <v>TÉCNICO DE MEIO AMBIENTE</v>
      </c>
      <c r="F710" s="22" t="s">
        <v>59</v>
      </c>
      <c r="G710" s="24" t="str">
        <f>IFERROR(VLOOKUP(F710,Procedimentos!A:C,2,),"")</f>
        <v>GERENCIAMENTO DE RISCOS DE SAÚDE, SEGURANÇA E PROCESSOS</v>
      </c>
      <c r="H710" s="25"/>
      <c r="I710" s="25">
        <v>45895</v>
      </c>
      <c r="J710" s="22">
        <v>12</v>
      </c>
      <c r="K710" s="25">
        <f t="shared" si="32"/>
        <v>46260</v>
      </c>
      <c r="L710" s="28" t="str">
        <f t="shared" ca="1" si="31"/>
        <v>Em dia</v>
      </c>
      <c r="M710" s="33" t="s">
        <v>60</v>
      </c>
      <c r="N710" s="28" t="s">
        <v>21</v>
      </c>
      <c r="O710" s="22" t="s">
        <v>28</v>
      </c>
      <c r="P710" s="25">
        <f t="shared" si="30"/>
        <v>45987</v>
      </c>
      <c r="Q710" s="25"/>
      <c r="R710" s="25"/>
      <c r="S710" s="7"/>
      <c r="T710" s="7"/>
    </row>
    <row r="711" spans="1:20" ht="14.25" customHeight="1">
      <c r="A711" s="22">
        <v>807</v>
      </c>
      <c r="B711" s="36">
        <v>15042</v>
      </c>
      <c r="C711" s="22" t="str">
        <f>IFERROR(VLOOKUP(B711,Colaboradores!A:D,2,),"")</f>
        <v>MARIANA CRISTINA FEITOSA SANTOS</v>
      </c>
      <c r="D711" s="22" t="str">
        <f>IFERROR(VLOOKUP(B711,Colaboradores!A:D,3,),"")</f>
        <v>REGIONAL SUL</v>
      </c>
      <c r="E711" s="22" t="str">
        <f>IFERROR(VLOOKUP(B711,Colaboradores!A:D,4,),"")</f>
        <v>TÉCNICA DE SEGURANÇA DO TRABALHO</v>
      </c>
      <c r="F711" s="22" t="s">
        <v>59</v>
      </c>
      <c r="G711" s="24" t="str">
        <f>IFERROR(VLOOKUP(F711,Procedimentos!A:C,2,),"")</f>
        <v>GERENCIAMENTO DE RISCOS DE SAÚDE, SEGURANÇA E PROCESSOS</v>
      </c>
      <c r="H711" s="25"/>
      <c r="I711" s="25">
        <v>45895</v>
      </c>
      <c r="J711" s="22">
        <v>12</v>
      </c>
      <c r="K711" s="25">
        <f t="shared" si="32"/>
        <v>46260</v>
      </c>
      <c r="L711" s="28" t="str">
        <f t="shared" ca="1" si="31"/>
        <v>Em dia</v>
      </c>
      <c r="M711" s="33" t="s">
        <v>60</v>
      </c>
      <c r="N711" s="28" t="s">
        <v>21</v>
      </c>
      <c r="O711" s="22" t="s">
        <v>28</v>
      </c>
      <c r="P711" s="25">
        <f t="shared" si="30"/>
        <v>45987</v>
      </c>
      <c r="Q711" s="25"/>
      <c r="R711" s="25"/>
      <c r="S711" s="7"/>
      <c r="T711" s="7"/>
    </row>
    <row r="712" spans="1:20" ht="14.25" customHeight="1">
      <c r="A712" s="22">
        <v>808</v>
      </c>
      <c r="B712" s="36">
        <v>14321</v>
      </c>
      <c r="C712" s="22" t="str">
        <f>IFERROR(VLOOKUP(B712,Colaboradores!A:D,2,),"")</f>
        <v>LAYANA KARINE SILVA BARBOSA</v>
      </c>
      <c r="D712" s="22" t="str">
        <f>IFERROR(VLOOKUP(B712,Colaboradores!A:D,3,),"")</f>
        <v>REGIONAL SUL</v>
      </c>
      <c r="E712" s="22" t="str">
        <f>IFERROR(VLOOKUP(B712,Colaboradores!A:D,4,),"")</f>
        <v>ASSISTENTE ADMINISTRATIVO</v>
      </c>
      <c r="F712" s="22" t="s">
        <v>59</v>
      </c>
      <c r="G712" s="24" t="str">
        <f>IFERROR(VLOOKUP(F712,Procedimentos!A:C,2,),"")</f>
        <v>GERENCIAMENTO DE RISCOS DE SAÚDE, SEGURANÇA E PROCESSOS</v>
      </c>
      <c r="H712" s="25"/>
      <c r="I712" s="25">
        <v>45895</v>
      </c>
      <c r="J712" s="22">
        <v>12</v>
      </c>
      <c r="K712" s="25">
        <f t="shared" si="32"/>
        <v>46260</v>
      </c>
      <c r="L712" s="28" t="str">
        <f t="shared" ca="1" si="31"/>
        <v>Em dia</v>
      </c>
      <c r="M712" s="33" t="s">
        <v>60</v>
      </c>
      <c r="N712" s="28" t="s">
        <v>21</v>
      </c>
      <c r="O712" s="22" t="s">
        <v>28</v>
      </c>
      <c r="P712" s="25">
        <f t="shared" si="30"/>
        <v>45987</v>
      </c>
      <c r="Q712" s="25"/>
      <c r="R712" s="25"/>
      <c r="S712" s="7"/>
      <c r="T712" s="7"/>
    </row>
    <row r="713" spans="1:20" ht="14.25" customHeight="1">
      <c r="A713" s="22">
        <v>809</v>
      </c>
      <c r="B713" s="36">
        <v>14785</v>
      </c>
      <c r="C713" s="22" t="str">
        <f>IFERROR(VLOOKUP(B713,Colaboradores!A:D,2,),"")</f>
        <v>ROSEANE CUSTODIO LIMA</v>
      </c>
      <c r="D713" s="22" t="str">
        <f>IFERROR(VLOOKUP(B713,Colaboradores!A:D,3,),"")</f>
        <v>REGIONAL CENTRAL</v>
      </c>
      <c r="E713" s="22" t="str">
        <f>IFERROR(VLOOKUP(B713,Colaboradores!A:D,4,),"")</f>
        <v>ASSISTENTE DE MEIO AMBIENTE</v>
      </c>
      <c r="F713" s="22" t="s">
        <v>59</v>
      </c>
      <c r="G713" s="24" t="str">
        <f>IFERROR(VLOOKUP(F713,Procedimentos!A:C,2,),"")</f>
        <v>GERENCIAMENTO DE RISCOS DE SAÚDE, SEGURANÇA E PROCESSOS</v>
      </c>
      <c r="H713" s="25"/>
      <c r="I713" s="25">
        <v>45895</v>
      </c>
      <c r="J713" s="22">
        <v>12</v>
      </c>
      <c r="K713" s="25">
        <f t="shared" si="32"/>
        <v>46260</v>
      </c>
      <c r="L713" s="28" t="str">
        <f t="shared" ca="1" si="31"/>
        <v>Em dia</v>
      </c>
      <c r="M713" s="33" t="s">
        <v>60</v>
      </c>
      <c r="N713" s="28" t="s">
        <v>21</v>
      </c>
      <c r="O713" s="22" t="s">
        <v>28</v>
      </c>
      <c r="P713" s="25">
        <f t="shared" si="30"/>
        <v>45987</v>
      </c>
      <c r="Q713" s="25"/>
      <c r="R713" s="25"/>
      <c r="S713" s="7"/>
      <c r="T713" s="7"/>
    </row>
    <row r="714" spans="1:20" ht="14.25" customHeight="1">
      <c r="A714" s="22">
        <v>810</v>
      </c>
      <c r="B714" s="36">
        <v>13964</v>
      </c>
      <c r="C714" s="22" t="str">
        <f>IFERROR(VLOOKUP(B714,Colaboradores!A:D,2,),"")</f>
        <v>ESTER MOREIRA AMBROSIO DE CARVALHO</v>
      </c>
      <c r="D714" s="22" t="str">
        <f>IFERROR(VLOOKUP(B714,Colaboradores!A:D,3,),"")</f>
        <v>REGIONAL SUL</v>
      </c>
      <c r="E714" s="22" t="str">
        <f>IFERROR(VLOOKUP(B714,Colaboradores!A:D,4,),"")</f>
        <v>ENFERMEIRO DO TRABALHO</v>
      </c>
      <c r="F714" s="22" t="s">
        <v>59</v>
      </c>
      <c r="G714" s="24" t="str">
        <f>IFERROR(VLOOKUP(F714,Procedimentos!A:C,2,),"")</f>
        <v>GERENCIAMENTO DE RISCOS DE SAÚDE, SEGURANÇA E PROCESSOS</v>
      </c>
      <c r="H714" s="25"/>
      <c r="I714" s="25">
        <v>45895</v>
      </c>
      <c r="J714" s="22">
        <v>12</v>
      </c>
      <c r="K714" s="25">
        <f t="shared" si="32"/>
        <v>46260</v>
      </c>
      <c r="L714" s="28" t="str">
        <f t="shared" ca="1" si="31"/>
        <v>Em dia</v>
      </c>
      <c r="M714" s="33" t="s">
        <v>60</v>
      </c>
      <c r="N714" s="28" t="s">
        <v>21</v>
      </c>
      <c r="O714" s="22" t="s">
        <v>28</v>
      </c>
      <c r="P714" s="25">
        <f t="shared" si="30"/>
        <v>45987</v>
      </c>
      <c r="Q714" s="25"/>
      <c r="R714" s="25"/>
      <c r="S714" s="7"/>
      <c r="T714" s="7"/>
    </row>
    <row r="715" spans="1:20" ht="14.25" customHeight="1">
      <c r="A715" s="22">
        <v>811</v>
      </c>
      <c r="B715" s="36">
        <v>15100</v>
      </c>
      <c r="C715" s="22" t="str">
        <f>IFERROR(VLOOKUP(B715,Colaboradores!A:D,2,),"")</f>
        <v>JONATHAN SILVA ALVES</v>
      </c>
      <c r="D715" s="22" t="str">
        <f>IFERROR(VLOOKUP(B715,Colaboradores!A:D,3,),"")</f>
        <v>REGIONAL SUL</v>
      </c>
      <c r="E715" s="22" t="str">
        <f>IFERROR(VLOOKUP(B715,Colaboradores!A:D,4,),"")</f>
        <v>COORDENADOR DE SSMA</v>
      </c>
      <c r="F715" s="22" t="s">
        <v>59</v>
      </c>
      <c r="G715" s="24" t="str">
        <f>IFERROR(VLOOKUP(F715,Procedimentos!A:C,2,),"")</f>
        <v>GERENCIAMENTO DE RISCOS DE SAÚDE, SEGURANÇA E PROCESSOS</v>
      </c>
      <c r="H715" s="25"/>
      <c r="I715" s="25">
        <v>45895</v>
      </c>
      <c r="J715" s="22">
        <v>12</v>
      </c>
      <c r="K715" s="25">
        <f t="shared" si="32"/>
        <v>46260</v>
      </c>
      <c r="L715" s="28" t="str">
        <f t="shared" ca="1" si="31"/>
        <v>Em dia</v>
      </c>
      <c r="M715" s="33" t="s">
        <v>60</v>
      </c>
      <c r="N715" s="28" t="s">
        <v>21</v>
      </c>
      <c r="O715" s="22" t="s">
        <v>28</v>
      </c>
      <c r="P715" s="25">
        <f t="shared" si="30"/>
        <v>45987</v>
      </c>
      <c r="Q715" s="25"/>
      <c r="R715" s="25"/>
      <c r="S715" s="7"/>
      <c r="T715" s="7"/>
    </row>
    <row r="716" spans="1:20" ht="14.25" customHeight="1">
      <c r="A716" s="22">
        <v>812</v>
      </c>
      <c r="B716" s="36">
        <v>14356</v>
      </c>
      <c r="C716" s="22" t="str">
        <f>IFERROR(VLOOKUP(B716,Colaboradores!A:D,2,),"")</f>
        <v>JACILENE BELO LIMA</v>
      </c>
      <c r="D716" s="22" t="str">
        <f>IFERROR(VLOOKUP(B716,Colaboradores!A:D,3,),"")</f>
        <v>REGIONAL LESTE</v>
      </c>
      <c r="E716" s="22" t="str">
        <f>IFERROR(VLOOKUP(B716,Colaboradores!A:D,4,),"")</f>
        <v>ASSISTENTE ADMINISTRATIVO</v>
      </c>
      <c r="F716" s="22" t="s">
        <v>59</v>
      </c>
      <c r="G716" s="24" t="str">
        <f>IFERROR(VLOOKUP(F716,Procedimentos!A:C,2,),"")</f>
        <v>GERENCIAMENTO DE RISCOS DE SAÚDE, SEGURANÇA E PROCESSOS</v>
      </c>
      <c r="H716" s="25"/>
      <c r="I716" s="25">
        <v>45895</v>
      </c>
      <c r="J716" s="22">
        <v>12</v>
      </c>
      <c r="K716" s="25">
        <f t="shared" si="32"/>
        <v>46260</v>
      </c>
      <c r="L716" s="28" t="str">
        <f t="shared" ca="1" si="31"/>
        <v>Em dia</v>
      </c>
      <c r="M716" s="33" t="s">
        <v>60</v>
      </c>
      <c r="N716" s="28" t="s">
        <v>21</v>
      </c>
      <c r="O716" s="22" t="s">
        <v>28</v>
      </c>
      <c r="P716" s="25">
        <f t="shared" si="30"/>
        <v>45987</v>
      </c>
      <c r="Q716" s="25"/>
      <c r="R716" s="25"/>
      <c r="S716" s="7"/>
      <c r="T716" s="7"/>
    </row>
    <row r="717" spans="1:20" ht="14.25" customHeight="1">
      <c r="A717" s="22">
        <v>813</v>
      </c>
      <c r="B717" s="36">
        <v>14420</v>
      </c>
      <c r="C717" s="22" t="str">
        <f>IFERROR(VLOOKUP(B717,Colaboradores!A:D,2,),"")</f>
        <v>LAYLLA EMANUELLY DA SILVA ARAUJO</v>
      </c>
      <c r="D717" s="22" t="str">
        <f>IFERROR(VLOOKUP(B717,Colaboradores!A:D,3,),"")</f>
        <v>REGIONAL LESTE</v>
      </c>
      <c r="E717" s="22" t="str">
        <f>IFERROR(VLOOKUP(B717,Colaboradores!A:D,4,),"")</f>
        <v>ASSISTENTE ADMINISTRATIVO</v>
      </c>
      <c r="F717" s="22" t="s">
        <v>59</v>
      </c>
      <c r="G717" s="24" t="str">
        <f>IFERROR(VLOOKUP(F717,Procedimentos!A:C,2,),"")</f>
        <v>GERENCIAMENTO DE RISCOS DE SAÚDE, SEGURANÇA E PROCESSOS</v>
      </c>
      <c r="H717" s="25"/>
      <c r="I717" s="25">
        <v>45895</v>
      </c>
      <c r="J717" s="22">
        <v>12</v>
      </c>
      <c r="K717" s="25">
        <f t="shared" si="32"/>
        <v>46260</v>
      </c>
      <c r="L717" s="28" t="str">
        <f t="shared" ca="1" si="31"/>
        <v>Em dia</v>
      </c>
      <c r="M717" s="33" t="s">
        <v>60</v>
      </c>
      <c r="N717" s="28" t="s">
        <v>21</v>
      </c>
      <c r="O717" s="22" t="s">
        <v>28</v>
      </c>
      <c r="P717" s="25">
        <f t="shared" si="30"/>
        <v>45987</v>
      </c>
      <c r="Q717" s="25"/>
      <c r="R717" s="25"/>
      <c r="S717" s="7"/>
      <c r="T717" s="7"/>
    </row>
    <row r="718" spans="1:20" ht="14.25" customHeight="1">
      <c r="A718" s="22">
        <v>814</v>
      </c>
      <c r="B718" s="36">
        <v>14354</v>
      </c>
      <c r="C718" s="22" t="str">
        <f>IFERROR(VLOOKUP(B718,Colaboradores!A:D,2,),"")</f>
        <v>JOSE CLEITON SILVA DE OLIVEIRA</v>
      </c>
      <c r="D718" s="22" t="str">
        <f>IFERROR(VLOOKUP(B718,Colaboradores!A:D,3,),"")</f>
        <v>REGIONAL CENTRAL</v>
      </c>
      <c r="E718" s="22" t="str">
        <f>IFERROR(VLOOKUP(B718,Colaboradores!A:D,4,),"")</f>
        <v>TÉCNICO DE SEGURANÇA DO TRABALHO</v>
      </c>
      <c r="F718" s="22" t="s">
        <v>59</v>
      </c>
      <c r="G718" s="24" t="str">
        <f>IFERROR(VLOOKUP(F718,Procedimentos!A:C,2,),"")</f>
        <v>GERENCIAMENTO DE RISCOS DE SAÚDE, SEGURANÇA E PROCESSOS</v>
      </c>
      <c r="H718" s="25"/>
      <c r="I718" s="25">
        <v>45895</v>
      </c>
      <c r="J718" s="22">
        <v>12</v>
      </c>
      <c r="K718" s="25">
        <f t="shared" si="32"/>
        <v>46260</v>
      </c>
      <c r="L718" s="28" t="str">
        <f t="shared" ca="1" si="31"/>
        <v>Em dia</v>
      </c>
      <c r="M718" s="33" t="s">
        <v>60</v>
      </c>
      <c r="N718" s="28" t="s">
        <v>21</v>
      </c>
      <c r="O718" s="22" t="s">
        <v>28</v>
      </c>
      <c r="P718" s="25">
        <f t="shared" si="30"/>
        <v>45987</v>
      </c>
      <c r="Q718" s="25"/>
      <c r="R718" s="25"/>
      <c r="S718" s="7"/>
      <c r="T718" s="7"/>
    </row>
    <row r="719" spans="1:20" ht="14.25" customHeight="1">
      <c r="A719" s="22">
        <v>815</v>
      </c>
      <c r="B719" s="36">
        <v>14721</v>
      </c>
      <c r="C719" s="22" t="str">
        <f>IFERROR(VLOOKUP(B719,Colaboradores!A:D,2,),"")</f>
        <v>RONILSON FERREIRA OLIVEIRA</v>
      </c>
      <c r="D719" s="22" t="str">
        <f>IFERROR(VLOOKUP(B719,Colaboradores!A:D,3,),"")</f>
        <v>REGIONAL LESTE</v>
      </c>
      <c r="E719" s="22" t="str">
        <f>IFERROR(VLOOKUP(B719,Colaboradores!A:D,4,),"")</f>
        <v>TÉCNICO DE SEGURANÇA DO TRABALHO</v>
      </c>
      <c r="F719" s="22" t="s">
        <v>59</v>
      </c>
      <c r="G719" s="24" t="str">
        <f>IFERROR(VLOOKUP(F719,Procedimentos!A:C,2,),"")</f>
        <v>GERENCIAMENTO DE RISCOS DE SAÚDE, SEGURANÇA E PROCESSOS</v>
      </c>
      <c r="H719" s="25"/>
      <c r="I719" s="25">
        <v>45895</v>
      </c>
      <c r="J719" s="22">
        <v>12</v>
      </c>
      <c r="K719" s="25">
        <f t="shared" si="32"/>
        <v>46260</v>
      </c>
      <c r="L719" s="28" t="str">
        <f t="shared" ca="1" si="31"/>
        <v>Em dia</v>
      </c>
      <c r="M719" s="33" t="s">
        <v>60</v>
      </c>
      <c r="N719" s="28" t="s">
        <v>21</v>
      </c>
      <c r="O719" s="22" t="s">
        <v>28</v>
      </c>
      <c r="P719" s="25">
        <f t="shared" si="30"/>
        <v>45987</v>
      </c>
      <c r="Q719" s="25"/>
      <c r="R719" s="25"/>
      <c r="S719" s="7"/>
      <c r="T719" s="7"/>
    </row>
    <row r="720" spans="1:20" ht="14.25" customHeight="1">
      <c r="A720" s="22">
        <v>816</v>
      </c>
      <c r="B720" s="36">
        <v>15134</v>
      </c>
      <c r="C720" s="22" t="str">
        <f>IFERROR(VLOOKUP(B720,Colaboradores!A:D,2,),"")</f>
        <v>ADRIANE MENDES ROSA</v>
      </c>
      <c r="D720" s="22" t="str">
        <f>IFERROR(VLOOKUP(B720,Colaboradores!A:D,3,),"")</f>
        <v>REGIONAL CENTRAL</v>
      </c>
      <c r="E720" s="22" t="str">
        <f>IFERROR(VLOOKUP(B720,Colaboradores!A:D,4,),"")</f>
        <v>ENFERMEIRA DO TRABALHO</v>
      </c>
      <c r="F720" s="22" t="s">
        <v>59</v>
      </c>
      <c r="G720" s="24" t="str">
        <f>IFERROR(VLOOKUP(F720,Procedimentos!A:C,2,),"")</f>
        <v>GERENCIAMENTO DE RISCOS DE SAÚDE, SEGURANÇA E PROCESSOS</v>
      </c>
      <c r="H720" s="25"/>
      <c r="I720" s="25">
        <v>45895</v>
      </c>
      <c r="J720" s="22">
        <v>12</v>
      </c>
      <c r="K720" s="25">
        <f t="shared" si="32"/>
        <v>46260</v>
      </c>
      <c r="L720" s="28" t="str">
        <f t="shared" ca="1" si="31"/>
        <v>Em dia</v>
      </c>
      <c r="M720" s="33" t="s">
        <v>60</v>
      </c>
      <c r="N720" s="28" t="s">
        <v>21</v>
      </c>
      <c r="O720" s="22" t="s">
        <v>28</v>
      </c>
      <c r="P720" s="25">
        <f t="shared" si="30"/>
        <v>45987</v>
      </c>
      <c r="Q720" s="25"/>
      <c r="R720" s="25"/>
      <c r="S720" s="7"/>
      <c r="T720" s="7"/>
    </row>
    <row r="721" spans="1:20" ht="14.25" customHeight="1">
      <c r="A721" s="22">
        <v>818</v>
      </c>
      <c r="B721" s="36">
        <v>14815</v>
      </c>
      <c r="C721" s="22" t="str">
        <f>IFERROR(VLOOKUP(B721,Colaboradores!A:D,2,),"")</f>
        <v>NATHALIA CRISTINA DOS SANTOS RODRIGUES</v>
      </c>
      <c r="D721" s="22" t="str">
        <f>IFERROR(VLOOKUP(B721,Colaboradores!A:D,3,),"")</f>
        <v>REGIONAL LESTE</v>
      </c>
      <c r="E721" s="22" t="str">
        <f>IFERROR(VLOOKUP(B721,Colaboradores!A:D,4,),"")</f>
        <v>ASSISTENTE DE MEIO AMBIENTE</v>
      </c>
      <c r="F721" s="22" t="s">
        <v>59</v>
      </c>
      <c r="G721" s="24" t="str">
        <f>IFERROR(VLOOKUP(F721,Procedimentos!A:C,2,),"")</f>
        <v>GERENCIAMENTO DE RISCOS DE SAÚDE, SEGURANÇA E PROCESSOS</v>
      </c>
      <c r="H721" s="25"/>
      <c r="I721" s="25">
        <v>45895</v>
      </c>
      <c r="J721" s="22">
        <v>12</v>
      </c>
      <c r="K721" s="25">
        <f t="shared" si="32"/>
        <v>46260</v>
      </c>
      <c r="L721" s="28" t="str">
        <f t="shared" ca="1" si="31"/>
        <v>Em dia</v>
      </c>
      <c r="M721" s="33" t="s">
        <v>60</v>
      </c>
      <c r="N721" s="28" t="s">
        <v>21</v>
      </c>
      <c r="O721" s="22" t="s">
        <v>28</v>
      </c>
      <c r="P721" s="25">
        <f t="shared" si="30"/>
        <v>45987</v>
      </c>
      <c r="Q721" s="25"/>
      <c r="R721" s="25"/>
      <c r="S721" s="7"/>
      <c r="T721" s="7"/>
    </row>
    <row r="722" spans="1:20" ht="14.25" customHeight="1">
      <c r="A722" s="22">
        <v>819</v>
      </c>
      <c r="B722" s="36">
        <v>13584</v>
      </c>
      <c r="C722" s="22" t="str">
        <f>IFERROR(VLOOKUP(B722,Colaboradores!A:D,2,),"")</f>
        <v>ALANA RODRIGUES FERREIRA</v>
      </c>
      <c r="D722" s="22" t="str">
        <f>IFERROR(VLOOKUP(B722,Colaboradores!A:D,3,),"")</f>
        <v>REGIONAL LESTE</v>
      </c>
      <c r="E722" s="22" t="str">
        <f>IFERROR(VLOOKUP(B722,Colaboradores!A:D,4,),"")</f>
        <v>COORDENADOR DE SSMA</v>
      </c>
      <c r="F722" s="22" t="s">
        <v>59</v>
      </c>
      <c r="G722" s="24" t="str">
        <f>IFERROR(VLOOKUP(F722,Procedimentos!A:C,2,),"")</f>
        <v>GERENCIAMENTO DE RISCOS DE SAÚDE, SEGURANÇA E PROCESSOS</v>
      </c>
      <c r="H722" s="25"/>
      <c r="I722" s="25">
        <v>45895</v>
      </c>
      <c r="J722" s="22">
        <v>12</v>
      </c>
      <c r="K722" s="25">
        <f t="shared" si="32"/>
        <v>46260</v>
      </c>
      <c r="L722" s="28" t="str">
        <f t="shared" ca="1" si="31"/>
        <v>Em dia</v>
      </c>
      <c r="M722" s="33" t="s">
        <v>60</v>
      </c>
      <c r="N722" s="28" t="s">
        <v>21</v>
      </c>
      <c r="O722" s="22" t="s">
        <v>28</v>
      </c>
      <c r="P722" s="25">
        <f t="shared" si="30"/>
        <v>45987</v>
      </c>
      <c r="Q722" s="25"/>
      <c r="R722" s="25"/>
      <c r="S722" s="7"/>
      <c r="T722" s="7"/>
    </row>
    <row r="723" spans="1:20" ht="14.25" customHeight="1">
      <c r="A723" s="22">
        <v>820</v>
      </c>
      <c r="B723" s="36">
        <v>14767</v>
      </c>
      <c r="C723" s="22" t="str">
        <f>IFERROR(VLOOKUP(B723,Colaboradores!A:D,2,),"")</f>
        <v>CAIO VINICIUS PEREIRA DO NASCIMENTO</v>
      </c>
      <c r="D723" s="22" t="str">
        <f>IFERROR(VLOOKUP(B723,Colaboradores!A:D,3,),"")</f>
        <v>REGIONAL SUL</v>
      </c>
      <c r="E723" s="22" t="str">
        <f>IFERROR(VLOOKUP(B723,Colaboradores!A:D,4,),"")</f>
        <v>TÉCNICO DE MEIO AMBIENTE</v>
      </c>
      <c r="F723" s="22" t="s">
        <v>61</v>
      </c>
      <c r="G723" s="24" t="str">
        <f>IFERROR(VLOOKUP(F723,Procedimentos!A:C,2,),"")</f>
        <v>PROCEDIMENTO DE INSPEÇÃO DE SEGURANÇA</v>
      </c>
      <c r="H723" s="25"/>
      <c r="I723" s="25">
        <v>45895</v>
      </c>
      <c r="J723" s="22">
        <v>12</v>
      </c>
      <c r="K723" s="25">
        <f t="shared" si="32"/>
        <v>46260</v>
      </c>
      <c r="L723" s="28" t="str">
        <f t="shared" ca="1" si="31"/>
        <v>Em dia</v>
      </c>
      <c r="M723" s="33" t="s">
        <v>60</v>
      </c>
      <c r="N723" s="28" t="s">
        <v>21</v>
      </c>
      <c r="O723" s="22" t="s">
        <v>28</v>
      </c>
      <c r="P723" s="25">
        <f t="shared" si="30"/>
        <v>45987</v>
      </c>
      <c r="Q723" s="25"/>
      <c r="R723" s="25"/>
      <c r="S723" s="7"/>
      <c r="T723" s="7"/>
    </row>
    <row r="724" spans="1:20" ht="14.25" customHeight="1">
      <c r="A724" s="22">
        <v>821</v>
      </c>
      <c r="B724" s="36">
        <v>15042</v>
      </c>
      <c r="C724" s="22" t="str">
        <f>IFERROR(VLOOKUP(B724,Colaboradores!A:D,2,),"")</f>
        <v>MARIANA CRISTINA FEITOSA SANTOS</v>
      </c>
      <c r="D724" s="22" t="str">
        <f>IFERROR(VLOOKUP(B724,Colaboradores!A:D,3,),"")</f>
        <v>REGIONAL SUL</v>
      </c>
      <c r="E724" s="22" t="str">
        <f>IFERROR(VLOOKUP(B724,Colaboradores!A:D,4,),"")</f>
        <v>TÉCNICA DE SEGURANÇA DO TRABALHO</v>
      </c>
      <c r="F724" s="22" t="s">
        <v>61</v>
      </c>
      <c r="G724" s="24" t="str">
        <f>IFERROR(VLOOKUP(F724,Procedimentos!A:C,2,),"")</f>
        <v>PROCEDIMENTO DE INSPEÇÃO DE SEGURANÇA</v>
      </c>
      <c r="H724" s="25"/>
      <c r="I724" s="25">
        <v>45895</v>
      </c>
      <c r="J724" s="22">
        <v>12</v>
      </c>
      <c r="K724" s="25">
        <f t="shared" si="32"/>
        <v>46260</v>
      </c>
      <c r="L724" s="28" t="str">
        <f t="shared" ca="1" si="31"/>
        <v>Em dia</v>
      </c>
      <c r="M724" s="33" t="s">
        <v>60</v>
      </c>
      <c r="N724" s="28" t="s">
        <v>21</v>
      </c>
      <c r="O724" s="22" t="s">
        <v>28</v>
      </c>
      <c r="P724" s="25">
        <f t="shared" si="30"/>
        <v>45987</v>
      </c>
      <c r="Q724" s="25"/>
      <c r="R724" s="25"/>
      <c r="S724" s="7"/>
      <c r="T724" s="7"/>
    </row>
    <row r="725" spans="1:20" ht="14.25" customHeight="1">
      <c r="A725" s="22">
        <v>822</v>
      </c>
      <c r="B725" s="36">
        <v>14321</v>
      </c>
      <c r="C725" s="22" t="str">
        <f>IFERROR(VLOOKUP(B725,Colaboradores!A:D,2,),"")</f>
        <v>LAYANA KARINE SILVA BARBOSA</v>
      </c>
      <c r="D725" s="22" t="str">
        <f>IFERROR(VLOOKUP(B725,Colaboradores!A:D,3,),"")</f>
        <v>REGIONAL SUL</v>
      </c>
      <c r="E725" s="22" t="str">
        <f>IFERROR(VLOOKUP(B725,Colaboradores!A:D,4,),"")</f>
        <v>ASSISTENTE ADMINISTRATIVO</v>
      </c>
      <c r="F725" s="22" t="s">
        <v>61</v>
      </c>
      <c r="G725" s="24" t="str">
        <f>IFERROR(VLOOKUP(F725,Procedimentos!A:C,2,),"")</f>
        <v>PROCEDIMENTO DE INSPEÇÃO DE SEGURANÇA</v>
      </c>
      <c r="H725" s="25"/>
      <c r="I725" s="25">
        <v>45895</v>
      </c>
      <c r="J725" s="22">
        <v>12</v>
      </c>
      <c r="K725" s="25">
        <f t="shared" si="32"/>
        <v>46260</v>
      </c>
      <c r="L725" s="28" t="str">
        <f t="shared" ca="1" si="31"/>
        <v>Em dia</v>
      </c>
      <c r="M725" s="33" t="s">
        <v>60</v>
      </c>
      <c r="N725" s="28" t="s">
        <v>21</v>
      </c>
      <c r="O725" s="22" t="s">
        <v>28</v>
      </c>
      <c r="P725" s="25">
        <f t="shared" si="30"/>
        <v>45987</v>
      </c>
      <c r="Q725" s="25"/>
      <c r="R725" s="25"/>
      <c r="S725" s="7"/>
      <c r="T725" s="7"/>
    </row>
    <row r="726" spans="1:20" ht="14.25" customHeight="1">
      <c r="A726" s="22">
        <v>823</v>
      </c>
      <c r="B726" s="36">
        <v>14785</v>
      </c>
      <c r="C726" s="22" t="str">
        <f>IFERROR(VLOOKUP(B726,Colaboradores!A:D,2,),"")</f>
        <v>ROSEANE CUSTODIO LIMA</v>
      </c>
      <c r="D726" s="22" t="str">
        <f>IFERROR(VLOOKUP(B726,Colaboradores!A:D,3,),"")</f>
        <v>REGIONAL CENTRAL</v>
      </c>
      <c r="E726" s="22" t="str">
        <f>IFERROR(VLOOKUP(B726,Colaboradores!A:D,4,),"")</f>
        <v>ASSISTENTE DE MEIO AMBIENTE</v>
      </c>
      <c r="F726" s="22" t="s">
        <v>61</v>
      </c>
      <c r="G726" s="24" t="str">
        <f>IFERROR(VLOOKUP(F726,Procedimentos!A:C,2,),"")</f>
        <v>PROCEDIMENTO DE INSPEÇÃO DE SEGURANÇA</v>
      </c>
      <c r="H726" s="25"/>
      <c r="I726" s="25">
        <v>45895</v>
      </c>
      <c r="J726" s="22">
        <v>12</v>
      </c>
      <c r="K726" s="25">
        <f t="shared" si="32"/>
        <v>46260</v>
      </c>
      <c r="L726" s="28" t="str">
        <f t="shared" ca="1" si="31"/>
        <v>Em dia</v>
      </c>
      <c r="M726" s="33" t="s">
        <v>60</v>
      </c>
      <c r="N726" s="28" t="s">
        <v>21</v>
      </c>
      <c r="O726" s="22" t="s">
        <v>28</v>
      </c>
      <c r="P726" s="25">
        <f t="shared" si="30"/>
        <v>45987</v>
      </c>
      <c r="Q726" s="25"/>
      <c r="R726" s="25"/>
      <c r="S726" s="7"/>
      <c r="T726" s="7"/>
    </row>
    <row r="727" spans="1:20" ht="14.25" customHeight="1">
      <c r="A727" s="22">
        <v>824</v>
      </c>
      <c r="B727" s="36">
        <v>13964</v>
      </c>
      <c r="C727" s="22" t="str">
        <f>IFERROR(VLOOKUP(B727,Colaboradores!A:D,2,),"")</f>
        <v>ESTER MOREIRA AMBROSIO DE CARVALHO</v>
      </c>
      <c r="D727" s="22" t="str">
        <f>IFERROR(VLOOKUP(B727,Colaboradores!A:D,3,),"")</f>
        <v>REGIONAL SUL</v>
      </c>
      <c r="E727" s="22" t="str">
        <f>IFERROR(VLOOKUP(B727,Colaboradores!A:D,4,),"")</f>
        <v>ENFERMEIRO DO TRABALHO</v>
      </c>
      <c r="F727" s="22" t="s">
        <v>61</v>
      </c>
      <c r="G727" s="24" t="str">
        <f>IFERROR(VLOOKUP(F727,Procedimentos!A:C,2,),"")</f>
        <v>PROCEDIMENTO DE INSPEÇÃO DE SEGURANÇA</v>
      </c>
      <c r="H727" s="25"/>
      <c r="I727" s="25">
        <v>45895</v>
      </c>
      <c r="J727" s="22">
        <v>12</v>
      </c>
      <c r="K727" s="25">
        <f t="shared" si="32"/>
        <v>46260</v>
      </c>
      <c r="L727" s="28" t="str">
        <f t="shared" ca="1" si="31"/>
        <v>Em dia</v>
      </c>
      <c r="M727" s="33" t="s">
        <v>60</v>
      </c>
      <c r="N727" s="28" t="s">
        <v>21</v>
      </c>
      <c r="O727" s="22" t="s">
        <v>28</v>
      </c>
      <c r="P727" s="25">
        <f t="shared" si="30"/>
        <v>45987</v>
      </c>
      <c r="Q727" s="25"/>
      <c r="R727" s="25"/>
      <c r="S727" s="7"/>
      <c r="T727" s="7"/>
    </row>
    <row r="728" spans="1:20" ht="14.25" customHeight="1">
      <c r="A728" s="22">
        <v>825</v>
      </c>
      <c r="B728" s="36">
        <v>15100</v>
      </c>
      <c r="C728" s="22" t="str">
        <f>IFERROR(VLOOKUP(B728,Colaboradores!A:D,2,),"")</f>
        <v>JONATHAN SILVA ALVES</v>
      </c>
      <c r="D728" s="22" t="str">
        <f>IFERROR(VLOOKUP(B728,Colaboradores!A:D,3,),"")</f>
        <v>REGIONAL SUL</v>
      </c>
      <c r="E728" s="22" t="str">
        <f>IFERROR(VLOOKUP(B728,Colaboradores!A:D,4,),"")</f>
        <v>COORDENADOR DE SSMA</v>
      </c>
      <c r="F728" s="22" t="s">
        <v>61</v>
      </c>
      <c r="G728" s="24" t="str">
        <f>IFERROR(VLOOKUP(F728,Procedimentos!A:C,2,),"")</f>
        <v>PROCEDIMENTO DE INSPEÇÃO DE SEGURANÇA</v>
      </c>
      <c r="H728" s="25"/>
      <c r="I728" s="25">
        <v>45895</v>
      </c>
      <c r="J728" s="22">
        <v>12</v>
      </c>
      <c r="K728" s="25">
        <f t="shared" si="32"/>
        <v>46260</v>
      </c>
      <c r="L728" s="28" t="str">
        <f t="shared" ca="1" si="31"/>
        <v>Em dia</v>
      </c>
      <c r="M728" s="33" t="s">
        <v>60</v>
      </c>
      <c r="N728" s="28" t="s">
        <v>21</v>
      </c>
      <c r="O728" s="22" t="s">
        <v>28</v>
      </c>
      <c r="P728" s="25">
        <f t="shared" si="30"/>
        <v>45987</v>
      </c>
      <c r="Q728" s="25"/>
      <c r="R728" s="25"/>
      <c r="S728" s="7"/>
      <c r="T728" s="7"/>
    </row>
    <row r="729" spans="1:20" ht="14.25" customHeight="1">
      <c r="A729" s="22">
        <v>826</v>
      </c>
      <c r="B729" s="36">
        <v>14356</v>
      </c>
      <c r="C729" s="22" t="str">
        <f>IFERROR(VLOOKUP(B729,Colaboradores!A:D,2,),"")</f>
        <v>JACILENE BELO LIMA</v>
      </c>
      <c r="D729" s="22" t="str">
        <f>IFERROR(VLOOKUP(B729,Colaboradores!A:D,3,),"")</f>
        <v>REGIONAL LESTE</v>
      </c>
      <c r="E729" s="22" t="str">
        <f>IFERROR(VLOOKUP(B729,Colaboradores!A:D,4,),"")</f>
        <v>ASSISTENTE ADMINISTRATIVO</v>
      </c>
      <c r="F729" s="22" t="s">
        <v>61</v>
      </c>
      <c r="G729" s="24" t="str">
        <f>IFERROR(VLOOKUP(F729,Procedimentos!A:C,2,),"")</f>
        <v>PROCEDIMENTO DE INSPEÇÃO DE SEGURANÇA</v>
      </c>
      <c r="H729" s="25"/>
      <c r="I729" s="25">
        <v>45895</v>
      </c>
      <c r="J729" s="22">
        <v>12</v>
      </c>
      <c r="K729" s="25">
        <f t="shared" si="32"/>
        <v>46260</v>
      </c>
      <c r="L729" s="28" t="str">
        <f t="shared" ca="1" si="31"/>
        <v>Em dia</v>
      </c>
      <c r="M729" s="33" t="s">
        <v>60</v>
      </c>
      <c r="N729" s="28" t="s">
        <v>21</v>
      </c>
      <c r="O729" s="22" t="s">
        <v>28</v>
      </c>
      <c r="P729" s="25">
        <f t="shared" si="30"/>
        <v>45987</v>
      </c>
      <c r="Q729" s="25"/>
      <c r="R729" s="25"/>
      <c r="S729" s="7"/>
      <c r="T729" s="7"/>
    </row>
    <row r="730" spans="1:20" ht="14.25" customHeight="1">
      <c r="A730" s="22">
        <v>827</v>
      </c>
      <c r="B730" s="36">
        <v>14420</v>
      </c>
      <c r="C730" s="22" t="str">
        <f>IFERROR(VLOOKUP(B730,Colaboradores!A:D,2,),"")</f>
        <v>LAYLLA EMANUELLY DA SILVA ARAUJO</v>
      </c>
      <c r="D730" s="22" t="str">
        <f>IFERROR(VLOOKUP(B730,Colaboradores!A:D,3,),"")</f>
        <v>REGIONAL LESTE</v>
      </c>
      <c r="E730" s="22" t="str">
        <f>IFERROR(VLOOKUP(B730,Colaboradores!A:D,4,),"")</f>
        <v>ASSISTENTE ADMINISTRATIVO</v>
      </c>
      <c r="F730" s="22" t="s">
        <v>61</v>
      </c>
      <c r="G730" s="24" t="str">
        <f>IFERROR(VLOOKUP(F730,Procedimentos!A:C,2,),"")</f>
        <v>PROCEDIMENTO DE INSPEÇÃO DE SEGURANÇA</v>
      </c>
      <c r="H730" s="25"/>
      <c r="I730" s="25">
        <v>45895</v>
      </c>
      <c r="J730" s="22">
        <v>12</v>
      </c>
      <c r="K730" s="25">
        <f t="shared" si="32"/>
        <v>46260</v>
      </c>
      <c r="L730" s="28" t="str">
        <f t="shared" ca="1" si="31"/>
        <v>Em dia</v>
      </c>
      <c r="M730" s="33" t="s">
        <v>60</v>
      </c>
      <c r="N730" s="28" t="s">
        <v>21</v>
      </c>
      <c r="O730" s="22" t="s">
        <v>28</v>
      </c>
      <c r="P730" s="25">
        <f t="shared" si="30"/>
        <v>45987</v>
      </c>
      <c r="Q730" s="25"/>
      <c r="R730" s="25"/>
      <c r="S730" s="7"/>
      <c r="T730" s="7"/>
    </row>
    <row r="731" spans="1:20" ht="14.25" customHeight="1">
      <c r="A731" s="22">
        <v>828</v>
      </c>
      <c r="B731" s="36">
        <v>14354</v>
      </c>
      <c r="C731" s="22" t="str">
        <f>IFERROR(VLOOKUP(B731,Colaboradores!A:D,2,),"")</f>
        <v>JOSE CLEITON SILVA DE OLIVEIRA</v>
      </c>
      <c r="D731" s="22" t="str">
        <f>IFERROR(VLOOKUP(B731,Colaboradores!A:D,3,),"")</f>
        <v>REGIONAL CENTRAL</v>
      </c>
      <c r="E731" s="22" t="str">
        <f>IFERROR(VLOOKUP(B731,Colaboradores!A:D,4,),"")</f>
        <v>TÉCNICO DE SEGURANÇA DO TRABALHO</v>
      </c>
      <c r="F731" s="22" t="s">
        <v>61</v>
      </c>
      <c r="G731" s="24" t="str">
        <f>IFERROR(VLOOKUP(F731,Procedimentos!A:C,2,),"")</f>
        <v>PROCEDIMENTO DE INSPEÇÃO DE SEGURANÇA</v>
      </c>
      <c r="H731" s="25"/>
      <c r="I731" s="25">
        <v>45895</v>
      </c>
      <c r="J731" s="22">
        <v>12</v>
      </c>
      <c r="K731" s="25">
        <f t="shared" si="32"/>
        <v>46260</v>
      </c>
      <c r="L731" s="28" t="str">
        <f t="shared" ca="1" si="31"/>
        <v>Em dia</v>
      </c>
      <c r="M731" s="33" t="s">
        <v>60</v>
      </c>
      <c r="N731" s="28" t="s">
        <v>21</v>
      </c>
      <c r="O731" s="22" t="s">
        <v>28</v>
      </c>
      <c r="P731" s="25">
        <f t="shared" si="30"/>
        <v>45987</v>
      </c>
      <c r="Q731" s="25"/>
      <c r="R731" s="25"/>
      <c r="S731" s="7"/>
      <c r="T731" s="7"/>
    </row>
    <row r="732" spans="1:20" ht="14.25" customHeight="1">
      <c r="A732" s="22">
        <v>829</v>
      </c>
      <c r="B732" s="36">
        <v>14721</v>
      </c>
      <c r="C732" s="22" t="str">
        <f>IFERROR(VLOOKUP(B732,Colaboradores!A:D,2,),"")</f>
        <v>RONILSON FERREIRA OLIVEIRA</v>
      </c>
      <c r="D732" s="22" t="str">
        <f>IFERROR(VLOOKUP(B732,Colaboradores!A:D,3,),"")</f>
        <v>REGIONAL LESTE</v>
      </c>
      <c r="E732" s="22" t="str">
        <f>IFERROR(VLOOKUP(B732,Colaboradores!A:D,4,),"")</f>
        <v>TÉCNICO DE SEGURANÇA DO TRABALHO</v>
      </c>
      <c r="F732" s="22" t="s">
        <v>61</v>
      </c>
      <c r="G732" s="24" t="str">
        <f>IFERROR(VLOOKUP(F732,Procedimentos!A:C,2,),"")</f>
        <v>PROCEDIMENTO DE INSPEÇÃO DE SEGURANÇA</v>
      </c>
      <c r="H732" s="25"/>
      <c r="I732" s="25">
        <v>45895</v>
      </c>
      <c r="J732" s="22">
        <v>12</v>
      </c>
      <c r="K732" s="25">
        <f t="shared" si="32"/>
        <v>46260</v>
      </c>
      <c r="L732" s="28" t="str">
        <f t="shared" ca="1" si="31"/>
        <v>Em dia</v>
      </c>
      <c r="M732" s="33" t="s">
        <v>60</v>
      </c>
      <c r="N732" s="28" t="s">
        <v>21</v>
      </c>
      <c r="O732" s="22" t="s">
        <v>28</v>
      </c>
      <c r="P732" s="25">
        <f t="shared" si="30"/>
        <v>45987</v>
      </c>
      <c r="Q732" s="25"/>
      <c r="R732" s="25"/>
      <c r="S732" s="7"/>
      <c r="T732" s="7"/>
    </row>
    <row r="733" spans="1:20" ht="14.25" customHeight="1">
      <c r="A733" s="22">
        <v>830</v>
      </c>
      <c r="B733" s="36">
        <v>15134</v>
      </c>
      <c r="C733" s="22" t="str">
        <f>IFERROR(VLOOKUP(B733,Colaboradores!A:D,2,),"")</f>
        <v>ADRIANE MENDES ROSA</v>
      </c>
      <c r="D733" s="22" t="str">
        <f>IFERROR(VLOOKUP(B733,Colaboradores!A:D,3,),"")</f>
        <v>REGIONAL CENTRAL</v>
      </c>
      <c r="E733" s="22" t="str">
        <f>IFERROR(VLOOKUP(B733,Colaboradores!A:D,4,),"")</f>
        <v>ENFERMEIRA DO TRABALHO</v>
      </c>
      <c r="F733" s="22" t="s">
        <v>61</v>
      </c>
      <c r="G733" s="24" t="str">
        <f>IFERROR(VLOOKUP(F733,Procedimentos!A:C,2,),"")</f>
        <v>PROCEDIMENTO DE INSPEÇÃO DE SEGURANÇA</v>
      </c>
      <c r="H733" s="25"/>
      <c r="I733" s="25">
        <v>45895</v>
      </c>
      <c r="J733" s="22">
        <v>12</v>
      </c>
      <c r="K733" s="25">
        <f t="shared" si="32"/>
        <v>46260</v>
      </c>
      <c r="L733" s="28" t="str">
        <f t="shared" ca="1" si="31"/>
        <v>Em dia</v>
      </c>
      <c r="M733" s="33" t="s">
        <v>60</v>
      </c>
      <c r="N733" s="28" t="s">
        <v>21</v>
      </c>
      <c r="O733" s="22" t="s">
        <v>28</v>
      </c>
      <c r="P733" s="25">
        <f t="shared" si="30"/>
        <v>45987</v>
      </c>
      <c r="Q733" s="25"/>
      <c r="R733" s="25"/>
      <c r="S733" s="7"/>
      <c r="T733" s="7"/>
    </row>
    <row r="734" spans="1:20" ht="14.25" customHeight="1">
      <c r="A734" s="22">
        <v>832</v>
      </c>
      <c r="B734" s="36">
        <v>14815</v>
      </c>
      <c r="C734" s="22" t="str">
        <f>IFERROR(VLOOKUP(B734,Colaboradores!A:D,2,),"")</f>
        <v>NATHALIA CRISTINA DOS SANTOS RODRIGUES</v>
      </c>
      <c r="D734" s="22" t="str">
        <f>IFERROR(VLOOKUP(B734,Colaboradores!A:D,3,),"")</f>
        <v>REGIONAL LESTE</v>
      </c>
      <c r="E734" s="22" t="str">
        <f>IFERROR(VLOOKUP(B734,Colaboradores!A:D,4,),"")</f>
        <v>ASSISTENTE DE MEIO AMBIENTE</v>
      </c>
      <c r="F734" s="22" t="s">
        <v>61</v>
      </c>
      <c r="G734" s="24" t="str">
        <f>IFERROR(VLOOKUP(F734,Procedimentos!A:C,2,),"")</f>
        <v>PROCEDIMENTO DE INSPEÇÃO DE SEGURANÇA</v>
      </c>
      <c r="H734" s="25"/>
      <c r="I734" s="25">
        <v>45895</v>
      </c>
      <c r="J734" s="22">
        <v>12</v>
      </c>
      <c r="K734" s="25">
        <f t="shared" si="32"/>
        <v>46260</v>
      </c>
      <c r="L734" s="28" t="str">
        <f t="shared" ca="1" si="31"/>
        <v>Em dia</v>
      </c>
      <c r="M734" s="33" t="s">
        <v>60</v>
      </c>
      <c r="N734" s="28" t="s">
        <v>21</v>
      </c>
      <c r="O734" s="22" t="s">
        <v>28</v>
      </c>
      <c r="P734" s="25">
        <f t="shared" si="30"/>
        <v>45987</v>
      </c>
      <c r="Q734" s="25"/>
      <c r="R734" s="25"/>
      <c r="S734" s="7"/>
      <c r="T734" s="7"/>
    </row>
    <row r="735" spans="1:20" ht="14.25" customHeight="1">
      <c r="A735" s="22">
        <v>833</v>
      </c>
      <c r="B735" s="36">
        <v>13584</v>
      </c>
      <c r="C735" s="22" t="str">
        <f>IFERROR(VLOOKUP(B735,Colaboradores!A:D,2,),"")</f>
        <v>ALANA RODRIGUES FERREIRA</v>
      </c>
      <c r="D735" s="22" t="str">
        <f>IFERROR(VLOOKUP(B735,Colaboradores!A:D,3,),"")</f>
        <v>REGIONAL LESTE</v>
      </c>
      <c r="E735" s="22" t="str">
        <f>IFERROR(VLOOKUP(B735,Colaboradores!A:D,4,),"")</f>
        <v>COORDENADOR DE SSMA</v>
      </c>
      <c r="F735" s="22" t="s">
        <v>61</v>
      </c>
      <c r="G735" s="24" t="str">
        <f>IFERROR(VLOOKUP(F735,Procedimentos!A:C,2,),"")</f>
        <v>PROCEDIMENTO DE INSPEÇÃO DE SEGURANÇA</v>
      </c>
      <c r="H735" s="25"/>
      <c r="I735" s="25">
        <v>45895</v>
      </c>
      <c r="J735" s="22">
        <v>12</v>
      </c>
      <c r="K735" s="25">
        <f t="shared" si="32"/>
        <v>46260</v>
      </c>
      <c r="L735" s="28" t="str">
        <f t="shared" ca="1" si="31"/>
        <v>Em dia</v>
      </c>
      <c r="M735" s="33" t="s">
        <v>60</v>
      </c>
      <c r="N735" s="28" t="s">
        <v>21</v>
      </c>
      <c r="O735" s="22" t="s">
        <v>28</v>
      </c>
      <c r="P735" s="25">
        <f t="shared" si="30"/>
        <v>45987</v>
      </c>
      <c r="Q735" s="25"/>
      <c r="R735" s="25"/>
      <c r="S735" s="7"/>
      <c r="T735" s="7"/>
    </row>
    <row r="736" spans="1:20" ht="14.25" customHeight="1">
      <c r="A736" s="22">
        <v>834</v>
      </c>
      <c r="B736" s="36">
        <v>14767</v>
      </c>
      <c r="C736" s="22" t="str">
        <f>IFERROR(VLOOKUP(B736,Colaboradores!A:D,2,),"")</f>
        <v>CAIO VINICIUS PEREIRA DO NASCIMENTO</v>
      </c>
      <c r="D736" s="22" t="str">
        <f>IFERROR(VLOOKUP(B736,Colaboradores!A:D,3,),"")</f>
        <v>REGIONAL SUL</v>
      </c>
      <c r="E736" s="22" t="str">
        <f>IFERROR(VLOOKUP(B736,Colaboradores!A:D,4,),"")</f>
        <v>TÉCNICO DE MEIO AMBIENTE</v>
      </c>
      <c r="F736" s="22" t="s">
        <v>62</v>
      </c>
      <c r="G736" s="24" t="str">
        <f>IFERROR(VLOOKUP(F736,Procedimentos!A:C,2,),"")</f>
        <v>DIRETRIZES PARA ENVIO E RECEBIMENTO DE DOSÍMETRO</v>
      </c>
      <c r="H736" s="25"/>
      <c r="I736" s="25">
        <v>45895</v>
      </c>
      <c r="J736" s="22">
        <v>12</v>
      </c>
      <c r="K736" s="25">
        <f t="shared" si="32"/>
        <v>46260</v>
      </c>
      <c r="L736" s="28" t="str">
        <f t="shared" ca="1" si="31"/>
        <v>Em dia</v>
      </c>
      <c r="M736" s="33" t="s">
        <v>60</v>
      </c>
      <c r="N736" s="28" t="s">
        <v>21</v>
      </c>
      <c r="O736" s="22" t="s">
        <v>28</v>
      </c>
      <c r="P736" s="25">
        <f t="shared" si="30"/>
        <v>45987</v>
      </c>
      <c r="Q736" s="25"/>
      <c r="R736" s="25"/>
      <c r="S736" s="7"/>
      <c r="T736" s="7"/>
    </row>
    <row r="737" spans="1:20" ht="14.25" customHeight="1">
      <c r="A737" s="22">
        <v>835</v>
      </c>
      <c r="B737" s="36">
        <v>15042</v>
      </c>
      <c r="C737" s="22" t="str">
        <f>IFERROR(VLOOKUP(B737,Colaboradores!A:D,2,),"")</f>
        <v>MARIANA CRISTINA FEITOSA SANTOS</v>
      </c>
      <c r="D737" s="22" t="str">
        <f>IFERROR(VLOOKUP(B737,Colaboradores!A:D,3,),"")</f>
        <v>REGIONAL SUL</v>
      </c>
      <c r="E737" s="22" t="str">
        <f>IFERROR(VLOOKUP(B737,Colaboradores!A:D,4,),"")</f>
        <v>TÉCNICA DE SEGURANÇA DO TRABALHO</v>
      </c>
      <c r="F737" s="22" t="s">
        <v>62</v>
      </c>
      <c r="G737" s="24" t="str">
        <f>IFERROR(VLOOKUP(F737,Procedimentos!A:C,2,),"")</f>
        <v>DIRETRIZES PARA ENVIO E RECEBIMENTO DE DOSÍMETRO</v>
      </c>
      <c r="H737" s="25"/>
      <c r="I737" s="25">
        <v>45895</v>
      </c>
      <c r="J737" s="22">
        <v>12</v>
      </c>
      <c r="K737" s="25">
        <f t="shared" si="32"/>
        <v>46260</v>
      </c>
      <c r="L737" s="28" t="str">
        <f t="shared" ca="1" si="31"/>
        <v>Em dia</v>
      </c>
      <c r="M737" s="33" t="s">
        <v>60</v>
      </c>
      <c r="N737" s="28" t="s">
        <v>21</v>
      </c>
      <c r="O737" s="22" t="s">
        <v>28</v>
      </c>
      <c r="P737" s="25">
        <f t="shared" si="30"/>
        <v>45987</v>
      </c>
      <c r="Q737" s="25"/>
      <c r="R737" s="25"/>
      <c r="S737" s="7"/>
      <c r="T737" s="7"/>
    </row>
    <row r="738" spans="1:20" ht="14.25" customHeight="1">
      <c r="A738" s="22">
        <v>836</v>
      </c>
      <c r="B738" s="36">
        <v>14321</v>
      </c>
      <c r="C738" s="22" t="str">
        <f>IFERROR(VLOOKUP(B738,Colaboradores!A:D,2,),"")</f>
        <v>LAYANA KARINE SILVA BARBOSA</v>
      </c>
      <c r="D738" s="22" t="str">
        <f>IFERROR(VLOOKUP(B738,Colaboradores!A:D,3,),"")</f>
        <v>REGIONAL SUL</v>
      </c>
      <c r="E738" s="22" t="str">
        <f>IFERROR(VLOOKUP(B738,Colaboradores!A:D,4,),"")</f>
        <v>ASSISTENTE ADMINISTRATIVO</v>
      </c>
      <c r="F738" s="22" t="s">
        <v>62</v>
      </c>
      <c r="G738" s="24" t="str">
        <f>IFERROR(VLOOKUP(F738,Procedimentos!A:C,2,),"")</f>
        <v>DIRETRIZES PARA ENVIO E RECEBIMENTO DE DOSÍMETRO</v>
      </c>
      <c r="H738" s="25"/>
      <c r="I738" s="25">
        <v>45895</v>
      </c>
      <c r="J738" s="22">
        <v>12</v>
      </c>
      <c r="K738" s="25">
        <f t="shared" si="32"/>
        <v>46260</v>
      </c>
      <c r="L738" s="28" t="str">
        <f t="shared" ca="1" si="31"/>
        <v>Em dia</v>
      </c>
      <c r="M738" s="33" t="s">
        <v>60</v>
      </c>
      <c r="N738" s="28" t="s">
        <v>21</v>
      </c>
      <c r="O738" s="22" t="s">
        <v>28</v>
      </c>
      <c r="P738" s="25">
        <f t="shared" si="30"/>
        <v>45987</v>
      </c>
      <c r="Q738" s="25"/>
      <c r="R738" s="25"/>
      <c r="S738" s="7"/>
      <c r="T738" s="7"/>
    </row>
    <row r="739" spans="1:20" ht="14.25" customHeight="1">
      <c r="A739" s="22">
        <v>837</v>
      </c>
      <c r="B739" s="36">
        <v>14785</v>
      </c>
      <c r="C739" s="22" t="str">
        <f>IFERROR(VLOOKUP(B739,Colaboradores!A:D,2,),"")</f>
        <v>ROSEANE CUSTODIO LIMA</v>
      </c>
      <c r="D739" s="22" t="str">
        <f>IFERROR(VLOOKUP(B739,Colaboradores!A:D,3,),"")</f>
        <v>REGIONAL CENTRAL</v>
      </c>
      <c r="E739" s="22" t="str">
        <f>IFERROR(VLOOKUP(B739,Colaboradores!A:D,4,),"")</f>
        <v>ASSISTENTE DE MEIO AMBIENTE</v>
      </c>
      <c r="F739" s="22" t="s">
        <v>62</v>
      </c>
      <c r="G739" s="24" t="str">
        <f>IFERROR(VLOOKUP(F739,Procedimentos!A:C,2,),"")</f>
        <v>DIRETRIZES PARA ENVIO E RECEBIMENTO DE DOSÍMETRO</v>
      </c>
      <c r="H739" s="25"/>
      <c r="I739" s="25">
        <v>45895</v>
      </c>
      <c r="J739" s="22">
        <v>12</v>
      </c>
      <c r="K739" s="25">
        <f t="shared" si="32"/>
        <v>46260</v>
      </c>
      <c r="L739" s="28" t="str">
        <f t="shared" ca="1" si="31"/>
        <v>Em dia</v>
      </c>
      <c r="M739" s="33" t="s">
        <v>60</v>
      </c>
      <c r="N739" s="28" t="s">
        <v>21</v>
      </c>
      <c r="O739" s="22" t="s">
        <v>28</v>
      </c>
      <c r="P739" s="25">
        <f t="shared" si="30"/>
        <v>45987</v>
      </c>
      <c r="Q739" s="25"/>
      <c r="R739" s="25"/>
      <c r="S739" s="7"/>
      <c r="T739" s="7"/>
    </row>
    <row r="740" spans="1:20" ht="14.25" customHeight="1">
      <c r="A740" s="22">
        <v>838</v>
      </c>
      <c r="B740" s="36">
        <v>13964</v>
      </c>
      <c r="C740" s="22" t="str">
        <f>IFERROR(VLOOKUP(B740,Colaboradores!A:D,2,),"")</f>
        <v>ESTER MOREIRA AMBROSIO DE CARVALHO</v>
      </c>
      <c r="D740" s="22" t="str">
        <f>IFERROR(VLOOKUP(B740,Colaboradores!A:D,3,),"")</f>
        <v>REGIONAL SUL</v>
      </c>
      <c r="E740" s="22" t="str">
        <f>IFERROR(VLOOKUP(B740,Colaboradores!A:D,4,),"")</f>
        <v>ENFERMEIRO DO TRABALHO</v>
      </c>
      <c r="F740" s="22" t="s">
        <v>62</v>
      </c>
      <c r="G740" s="24" t="str">
        <f>IFERROR(VLOOKUP(F740,Procedimentos!A:C,2,),"")</f>
        <v>DIRETRIZES PARA ENVIO E RECEBIMENTO DE DOSÍMETRO</v>
      </c>
      <c r="H740" s="25"/>
      <c r="I740" s="25">
        <v>45895</v>
      </c>
      <c r="J740" s="22">
        <v>12</v>
      </c>
      <c r="K740" s="25">
        <f t="shared" si="32"/>
        <v>46260</v>
      </c>
      <c r="L740" s="28" t="str">
        <f t="shared" ca="1" si="31"/>
        <v>Em dia</v>
      </c>
      <c r="M740" s="33" t="s">
        <v>60</v>
      </c>
      <c r="N740" s="28" t="s">
        <v>21</v>
      </c>
      <c r="O740" s="22" t="s">
        <v>28</v>
      </c>
      <c r="P740" s="25">
        <f t="shared" ref="P740:P771" si="33">EDATE(I740,3)</f>
        <v>45987</v>
      </c>
      <c r="Q740" s="25"/>
      <c r="R740" s="25"/>
      <c r="S740" s="7"/>
      <c r="T740" s="7"/>
    </row>
    <row r="741" spans="1:20" ht="14.25" customHeight="1">
      <c r="A741" s="22">
        <v>839</v>
      </c>
      <c r="B741" s="36">
        <v>15100</v>
      </c>
      <c r="C741" s="22" t="str">
        <f>IFERROR(VLOOKUP(B741,Colaboradores!A:D,2,),"")</f>
        <v>JONATHAN SILVA ALVES</v>
      </c>
      <c r="D741" s="22" t="str">
        <f>IFERROR(VLOOKUP(B741,Colaboradores!A:D,3,),"")</f>
        <v>REGIONAL SUL</v>
      </c>
      <c r="E741" s="22" t="str">
        <f>IFERROR(VLOOKUP(B741,Colaboradores!A:D,4,),"")</f>
        <v>COORDENADOR DE SSMA</v>
      </c>
      <c r="F741" s="22" t="s">
        <v>62</v>
      </c>
      <c r="G741" s="24" t="str">
        <f>IFERROR(VLOOKUP(F741,Procedimentos!A:C,2,),"")</f>
        <v>DIRETRIZES PARA ENVIO E RECEBIMENTO DE DOSÍMETRO</v>
      </c>
      <c r="H741" s="25"/>
      <c r="I741" s="25">
        <v>45895</v>
      </c>
      <c r="J741" s="22">
        <v>12</v>
      </c>
      <c r="K741" s="25">
        <f t="shared" si="32"/>
        <v>46260</v>
      </c>
      <c r="L741" s="28" t="str">
        <f t="shared" ca="1" si="31"/>
        <v>Em dia</v>
      </c>
      <c r="M741" s="33" t="s">
        <v>60</v>
      </c>
      <c r="N741" s="28" t="s">
        <v>21</v>
      </c>
      <c r="O741" s="22" t="s">
        <v>28</v>
      </c>
      <c r="P741" s="25">
        <f t="shared" si="33"/>
        <v>45987</v>
      </c>
      <c r="Q741" s="25"/>
      <c r="R741" s="25"/>
      <c r="S741" s="7"/>
      <c r="T741" s="7"/>
    </row>
    <row r="742" spans="1:20" ht="14.25" customHeight="1">
      <c r="A742" s="22">
        <v>840</v>
      </c>
      <c r="B742" s="36">
        <v>14356</v>
      </c>
      <c r="C742" s="22" t="str">
        <f>IFERROR(VLOOKUP(B742,Colaboradores!A:D,2,),"")</f>
        <v>JACILENE BELO LIMA</v>
      </c>
      <c r="D742" s="22" t="str">
        <f>IFERROR(VLOOKUP(B742,Colaboradores!A:D,3,),"")</f>
        <v>REGIONAL LESTE</v>
      </c>
      <c r="E742" s="22" t="str">
        <f>IFERROR(VLOOKUP(B742,Colaboradores!A:D,4,),"")</f>
        <v>ASSISTENTE ADMINISTRATIVO</v>
      </c>
      <c r="F742" s="22" t="s">
        <v>62</v>
      </c>
      <c r="G742" s="24" t="str">
        <f>IFERROR(VLOOKUP(F742,Procedimentos!A:C,2,),"")</f>
        <v>DIRETRIZES PARA ENVIO E RECEBIMENTO DE DOSÍMETRO</v>
      </c>
      <c r="H742" s="25"/>
      <c r="I742" s="25">
        <v>45895</v>
      </c>
      <c r="J742" s="22">
        <v>12</v>
      </c>
      <c r="K742" s="25">
        <f t="shared" si="32"/>
        <v>46260</v>
      </c>
      <c r="L742" s="28" t="str">
        <f t="shared" ca="1" si="31"/>
        <v>Em dia</v>
      </c>
      <c r="M742" s="33" t="s">
        <v>60</v>
      </c>
      <c r="N742" s="28" t="s">
        <v>21</v>
      </c>
      <c r="O742" s="22" t="s">
        <v>28</v>
      </c>
      <c r="P742" s="25">
        <f t="shared" si="33"/>
        <v>45987</v>
      </c>
      <c r="Q742" s="25"/>
      <c r="R742" s="25"/>
      <c r="S742" s="7"/>
      <c r="T742" s="7"/>
    </row>
    <row r="743" spans="1:20" ht="14.25" customHeight="1">
      <c r="A743" s="22">
        <v>841</v>
      </c>
      <c r="B743" s="36">
        <v>14420</v>
      </c>
      <c r="C743" s="22" t="str">
        <f>IFERROR(VLOOKUP(B743,Colaboradores!A:D,2,),"")</f>
        <v>LAYLLA EMANUELLY DA SILVA ARAUJO</v>
      </c>
      <c r="D743" s="22" t="str">
        <f>IFERROR(VLOOKUP(B743,Colaboradores!A:D,3,),"")</f>
        <v>REGIONAL LESTE</v>
      </c>
      <c r="E743" s="22" t="str">
        <f>IFERROR(VLOOKUP(B743,Colaboradores!A:D,4,),"")</f>
        <v>ASSISTENTE ADMINISTRATIVO</v>
      </c>
      <c r="F743" s="22" t="s">
        <v>62</v>
      </c>
      <c r="G743" s="24" t="str">
        <f>IFERROR(VLOOKUP(F743,Procedimentos!A:C,2,),"")</f>
        <v>DIRETRIZES PARA ENVIO E RECEBIMENTO DE DOSÍMETRO</v>
      </c>
      <c r="H743" s="25"/>
      <c r="I743" s="25">
        <v>45895</v>
      </c>
      <c r="J743" s="22">
        <v>12</v>
      </c>
      <c r="K743" s="25">
        <f t="shared" si="32"/>
        <v>46260</v>
      </c>
      <c r="L743" s="28" t="str">
        <f t="shared" ca="1" si="31"/>
        <v>Em dia</v>
      </c>
      <c r="M743" s="33" t="s">
        <v>60</v>
      </c>
      <c r="N743" s="28" t="s">
        <v>21</v>
      </c>
      <c r="O743" s="22" t="s">
        <v>28</v>
      </c>
      <c r="P743" s="25">
        <f t="shared" si="33"/>
        <v>45987</v>
      </c>
      <c r="Q743" s="25"/>
      <c r="R743" s="25"/>
      <c r="S743" s="7"/>
      <c r="T743" s="7"/>
    </row>
    <row r="744" spans="1:20" ht="14.25" customHeight="1">
      <c r="A744" s="22">
        <v>842</v>
      </c>
      <c r="B744" s="36">
        <v>14354</v>
      </c>
      <c r="C744" s="22" t="str">
        <f>IFERROR(VLOOKUP(B744,Colaboradores!A:D,2,),"")</f>
        <v>JOSE CLEITON SILVA DE OLIVEIRA</v>
      </c>
      <c r="D744" s="22" t="str">
        <f>IFERROR(VLOOKUP(B744,Colaboradores!A:D,3,),"")</f>
        <v>REGIONAL CENTRAL</v>
      </c>
      <c r="E744" s="22" t="str">
        <f>IFERROR(VLOOKUP(B744,Colaboradores!A:D,4,),"")</f>
        <v>TÉCNICO DE SEGURANÇA DO TRABALHO</v>
      </c>
      <c r="F744" s="22" t="s">
        <v>62</v>
      </c>
      <c r="G744" s="24" t="str">
        <f>IFERROR(VLOOKUP(F744,Procedimentos!A:C,2,),"")</f>
        <v>DIRETRIZES PARA ENVIO E RECEBIMENTO DE DOSÍMETRO</v>
      </c>
      <c r="H744" s="25"/>
      <c r="I744" s="25">
        <v>45895</v>
      </c>
      <c r="J744" s="22">
        <v>12</v>
      </c>
      <c r="K744" s="25">
        <f t="shared" si="32"/>
        <v>46260</v>
      </c>
      <c r="L744" s="28" t="str">
        <f t="shared" ca="1" si="31"/>
        <v>Em dia</v>
      </c>
      <c r="M744" s="33" t="s">
        <v>60</v>
      </c>
      <c r="N744" s="28" t="s">
        <v>21</v>
      </c>
      <c r="O744" s="22" t="s">
        <v>28</v>
      </c>
      <c r="P744" s="25">
        <f t="shared" si="33"/>
        <v>45987</v>
      </c>
      <c r="Q744" s="25"/>
      <c r="R744" s="25"/>
      <c r="S744" s="7"/>
      <c r="T744" s="7"/>
    </row>
    <row r="745" spans="1:20" ht="14.25" customHeight="1">
      <c r="A745" s="22">
        <v>843</v>
      </c>
      <c r="B745" s="36">
        <v>14721</v>
      </c>
      <c r="C745" s="22" t="str">
        <f>IFERROR(VLOOKUP(B745,Colaboradores!A:D,2,),"")</f>
        <v>RONILSON FERREIRA OLIVEIRA</v>
      </c>
      <c r="D745" s="22" t="str">
        <f>IFERROR(VLOOKUP(B745,Colaboradores!A:D,3,),"")</f>
        <v>REGIONAL LESTE</v>
      </c>
      <c r="E745" s="22" t="str">
        <f>IFERROR(VLOOKUP(B745,Colaboradores!A:D,4,),"")</f>
        <v>TÉCNICO DE SEGURANÇA DO TRABALHO</v>
      </c>
      <c r="F745" s="22" t="s">
        <v>62</v>
      </c>
      <c r="G745" s="24" t="str">
        <f>IFERROR(VLOOKUP(F745,Procedimentos!A:C,2,),"")</f>
        <v>DIRETRIZES PARA ENVIO E RECEBIMENTO DE DOSÍMETRO</v>
      </c>
      <c r="H745" s="25"/>
      <c r="I745" s="25">
        <v>45895</v>
      </c>
      <c r="J745" s="22">
        <v>12</v>
      </c>
      <c r="K745" s="25">
        <f t="shared" si="32"/>
        <v>46260</v>
      </c>
      <c r="L745" s="28" t="str">
        <f t="shared" ca="1" si="31"/>
        <v>Em dia</v>
      </c>
      <c r="M745" s="33" t="s">
        <v>60</v>
      </c>
      <c r="N745" s="28" t="s">
        <v>21</v>
      </c>
      <c r="O745" s="22" t="s">
        <v>28</v>
      </c>
      <c r="P745" s="25">
        <f t="shared" si="33"/>
        <v>45987</v>
      </c>
      <c r="Q745" s="25"/>
      <c r="R745" s="25"/>
      <c r="S745" s="7"/>
      <c r="T745" s="7"/>
    </row>
    <row r="746" spans="1:20" ht="14.25" customHeight="1">
      <c r="A746" s="22">
        <v>844</v>
      </c>
      <c r="B746" s="36">
        <v>15134</v>
      </c>
      <c r="C746" s="22" t="str">
        <f>IFERROR(VLOOKUP(B746,Colaboradores!A:D,2,),"")</f>
        <v>ADRIANE MENDES ROSA</v>
      </c>
      <c r="D746" s="22" t="str">
        <f>IFERROR(VLOOKUP(B746,Colaboradores!A:D,3,),"")</f>
        <v>REGIONAL CENTRAL</v>
      </c>
      <c r="E746" s="22" t="str">
        <f>IFERROR(VLOOKUP(B746,Colaboradores!A:D,4,),"")</f>
        <v>ENFERMEIRA DO TRABALHO</v>
      </c>
      <c r="F746" s="22" t="s">
        <v>62</v>
      </c>
      <c r="G746" s="24" t="str">
        <f>IFERROR(VLOOKUP(F746,Procedimentos!A:C,2,),"")</f>
        <v>DIRETRIZES PARA ENVIO E RECEBIMENTO DE DOSÍMETRO</v>
      </c>
      <c r="H746" s="25"/>
      <c r="I746" s="25">
        <v>45895</v>
      </c>
      <c r="J746" s="22">
        <v>12</v>
      </c>
      <c r="K746" s="25">
        <f t="shared" si="32"/>
        <v>46260</v>
      </c>
      <c r="L746" s="28" t="str">
        <f t="shared" ca="1" si="31"/>
        <v>Em dia</v>
      </c>
      <c r="M746" s="33" t="s">
        <v>60</v>
      </c>
      <c r="N746" s="28" t="s">
        <v>21</v>
      </c>
      <c r="O746" s="22" t="s">
        <v>28</v>
      </c>
      <c r="P746" s="25">
        <f t="shared" si="33"/>
        <v>45987</v>
      </c>
      <c r="Q746" s="25"/>
      <c r="R746" s="25"/>
      <c r="S746" s="7"/>
      <c r="T746" s="7"/>
    </row>
    <row r="747" spans="1:20" ht="14.25" customHeight="1">
      <c r="A747" s="22">
        <v>846</v>
      </c>
      <c r="B747" s="36">
        <v>14815</v>
      </c>
      <c r="C747" s="22" t="str">
        <f>IFERROR(VLOOKUP(B747,Colaboradores!A:D,2,),"")</f>
        <v>NATHALIA CRISTINA DOS SANTOS RODRIGUES</v>
      </c>
      <c r="D747" s="22" t="str">
        <f>IFERROR(VLOOKUP(B747,Colaboradores!A:D,3,),"")</f>
        <v>REGIONAL LESTE</v>
      </c>
      <c r="E747" s="22" t="str">
        <f>IFERROR(VLOOKUP(B747,Colaboradores!A:D,4,),"")</f>
        <v>ASSISTENTE DE MEIO AMBIENTE</v>
      </c>
      <c r="F747" s="22" t="s">
        <v>62</v>
      </c>
      <c r="G747" s="24" t="str">
        <f>IFERROR(VLOOKUP(F747,Procedimentos!A:C,2,),"")</f>
        <v>DIRETRIZES PARA ENVIO E RECEBIMENTO DE DOSÍMETRO</v>
      </c>
      <c r="H747" s="25"/>
      <c r="I747" s="25">
        <v>45895</v>
      </c>
      <c r="J747" s="22">
        <v>12</v>
      </c>
      <c r="K747" s="25">
        <f t="shared" si="32"/>
        <v>46260</v>
      </c>
      <c r="L747" s="28" t="str">
        <f t="shared" ca="1" si="31"/>
        <v>Em dia</v>
      </c>
      <c r="M747" s="33" t="s">
        <v>60</v>
      </c>
      <c r="N747" s="28" t="s">
        <v>21</v>
      </c>
      <c r="O747" s="22" t="s">
        <v>28</v>
      </c>
      <c r="P747" s="25">
        <f t="shared" si="33"/>
        <v>45987</v>
      </c>
      <c r="Q747" s="25"/>
      <c r="R747" s="25"/>
      <c r="S747" s="7"/>
      <c r="T747" s="7"/>
    </row>
    <row r="748" spans="1:20" ht="14.25" customHeight="1">
      <c r="A748" s="22">
        <v>847</v>
      </c>
      <c r="B748" s="36">
        <v>13584</v>
      </c>
      <c r="C748" s="22" t="str">
        <f>IFERROR(VLOOKUP(B748,Colaboradores!A:D,2,),"")</f>
        <v>ALANA RODRIGUES FERREIRA</v>
      </c>
      <c r="D748" s="22" t="str">
        <f>IFERROR(VLOOKUP(B748,Colaboradores!A:D,3,),"")</f>
        <v>REGIONAL LESTE</v>
      </c>
      <c r="E748" s="22" t="str">
        <f>IFERROR(VLOOKUP(B748,Colaboradores!A:D,4,),"")</f>
        <v>COORDENADOR DE SSMA</v>
      </c>
      <c r="F748" s="22" t="s">
        <v>62</v>
      </c>
      <c r="G748" s="24" t="str">
        <f>IFERROR(VLOOKUP(F748,Procedimentos!A:C,2,),"")</f>
        <v>DIRETRIZES PARA ENVIO E RECEBIMENTO DE DOSÍMETRO</v>
      </c>
      <c r="H748" s="25"/>
      <c r="I748" s="25">
        <v>45895</v>
      </c>
      <c r="J748" s="22">
        <v>12</v>
      </c>
      <c r="K748" s="25">
        <f t="shared" si="32"/>
        <v>46260</v>
      </c>
      <c r="L748" s="28" t="str">
        <f t="shared" ca="1" si="31"/>
        <v>Em dia</v>
      </c>
      <c r="M748" s="33" t="s">
        <v>60</v>
      </c>
      <c r="N748" s="28" t="s">
        <v>21</v>
      </c>
      <c r="O748" s="22" t="s">
        <v>28</v>
      </c>
      <c r="P748" s="25">
        <f t="shared" si="33"/>
        <v>45987</v>
      </c>
      <c r="Q748" s="25"/>
      <c r="R748" s="25"/>
      <c r="S748" s="7"/>
      <c r="T748" s="7"/>
    </row>
    <row r="749" spans="1:20" ht="14.25" customHeight="1">
      <c r="A749" s="22">
        <v>848</v>
      </c>
      <c r="B749" s="36">
        <v>14767</v>
      </c>
      <c r="C749" s="22" t="str">
        <f>IFERROR(VLOOKUP(B749,Colaboradores!A:D,2,),"")</f>
        <v>CAIO VINICIUS PEREIRA DO NASCIMENTO</v>
      </c>
      <c r="D749" s="22" t="str">
        <f>IFERROR(VLOOKUP(B749,Colaboradores!A:D,3,),"")</f>
        <v>REGIONAL SUL</v>
      </c>
      <c r="E749" s="22" t="str">
        <f>IFERROR(VLOOKUP(B749,Colaboradores!A:D,4,),"")</f>
        <v>TÉCNICO DE MEIO AMBIENTE</v>
      </c>
      <c r="F749" s="22" t="s">
        <v>63</v>
      </c>
      <c r="G749" s="24" t="str">
        <f>IFERROR(VLOOKUP(F749,Procedimentos!A:C,2,),"")</f>
        <v>DIÁRIO DE BORDO DOS TÉCNICOS DE SEGURANÇA DO TRABALHO DA EMSERH E IADVH</v>
      </c>
      <c r="H749" s="25"/>
      <c r="I749" s="25">
        <v>45895</v>
      </c>
      <c r="J749" s="22">
        <v>12</v>
      </c>
      <c r="K749" s="25">
        <f t="shared" si="32"/>
        <v>46260</v>
      </c>
      <c r="L749" s="28" t="str">
        <f t="shared" ca="1" si="31"/>
        <v>Em dia</v>
      </c>
      <c r="M749" s="33" t="s">
        <v>60</v>
      </c>
      <c r="N749" s="28" t="s">
        <v>21</v>
      </c>
      <c r="O749" s="22" t="s">
        <v>28</v>
      </c>
      <c r="P749" s="25">
        <f t="shared" si="33"/>
        <v>45987</v>
      </c>
      <c r="Q749" s="25"/>
      <c r="R749" s="25"/>
      <c r="S749" s="7"/>
      <c r="T749" s="7"/>
    </row>
    <row r="750" spans="1:20" ht="14.25" customHeight="1">
      <c r="A750" s="22">
        <v>849</v>
      </c>
      <c r="B750" s="36">
        <v>15042</v>
      </c>
      <c r="C750" s="22" t="str">
        <f>IFERROR(VLOOKUP(B750,Colaboradores!A:D,2,),"")</f>
        <v>MARIANA CRISTINA FEITOSA SANTOS</v>
      </c>
      <c r="D750" s="22" t="str">
        <f>IFERROR(VLOOKUP(B750,Colaboradores!A:D,3,),"")</f>
        <v>REGIONAL SUL</v>
      </c>
      <c r="E750" s="22" t="str">
        <f>IFERROR(VLOOKUP(B750,Colaboradores!A:D,4,),"")</f>
        <v>TÉCNICA DE SEGURANÇA DO TRABALHO</v>
      </c>
      <c r="F750" s="22" t="s">
        <v>63</v>
      </c>
      <c r="G750" s="24" t="str">
        <f>IFERROR(VLOOKUP(F750,Procedimentos!A:C,2,),"")</f>
        <v>DIÁRIO DE BORDO DOS TÉCNICOS DE SEGURANÇA DO TRABALHO DA EMSERH E IADVH</v>
      </c>
      <c r="H750" s="25"/>
      <c r="I750" s="25">
        <v>45895</v>
      </c>
      <c r="J750" s="22">
        <v>12</v>
      </c>
      <c r="K750" s="25">
        <f t="shared" si="32"/>
        <v>46260</v>
      </c>
      <c r="L750" s="28" t="str">
        <f t="shared" ca="1" si="31"/>
        <v>Em dia</v>
      </c>
      <c r="M750" s="33" t="s">
        <v>60</v>
      </c>
      <c r="N750" s="28" t="s">
        <v>21</v>
      </c>
      <c r="O750" s="22" t="s">
        <v>28</v>
      </c>
      <c r="P750" s="25">
        <f t="shared" si="33"/>
        <v>45987</v>
      </c>
      <c r="Q750" s="25"/>
      <c r="R750" s="25"/>
      <c r="S750" s="7"/>
      <c r="T750" s="7"/>
    </row>
    <row r="751" spans="1:20" ht="14.25" customHeight="1">
      <c r="A751" s="22">
        <v>850</v>
      </c>
      <c r="B751" s="36">
        <v>14321</v>
      </c>
      <c r="C751" s="22" t="str">
        <f>IFERROR(VLOOKUP(B751,Colaboradores!A:D,2,),"")</f>
        <v>LAYANA KARINE SILVA BARBOSA</v>
      </c>
      <c r="D751" s="22" t="str">
        <f>IFERROR(VLOOKUP(B751,Colaboradores!A:D,3,),"")</f>
        <v>REGIONAL SUL</v>
      </c>
      <c r="E751" s="22" t="str">
        <f>IFERROR(VLOOKUP(B751,Colaboradores!A:D,4,),"")</f>
        <v>ASSISTENTE ADMINISTRATIVO</v>
      </c>
      <c r="F751" s="22" t="s">
        <v>63</v>
      </c>
      <c r="G751" s="24" t="str">
        <f>IFERROR(VLOOKUP(F751,Procedimentos!A:C,2,),"")</f>
        <v>DIÁRIO DE BORDO DOS TÉCNICOS DE SEGURANÇA DO TRABALHO DA EMSERH E IADVH</v>
      </c>
      <c r="H751" s="25"/>
      <c r="I751" s="25">
        <v>45895</v>
      </c>
      <c r="J751" s="22">
        <v>12</v>
      </c>
      <c r="K751" s="25">
        <f t="shared" si="32"/>
        <v>46260</v>
      </c>
      <c r="L751" s="28" t="str">
        <f t="shared" ca="1" si="31"/>
        <v>Em dia</v>
      </c>
      <c r="M751" s="33" t="s">
        <v>60</v>
      </c>
      <c r="N751" s="28" t="s">
        <v>21</v>
      </c>
      <c r="O751" s="22" t="s">
        <v>28</v>
      </c>
      <c r="P751" s="25">
        <f t="shared" si="33"/>
        <v>45987</v>
      </c>
      <c r="Q751" s="25"/>
      <c r="R751" s="25"/>
      <c r="S751" s="7"/>
      <c r="T751" s="7"/>
    </row>
    <row r="752" spans="1:20" ht="14.25" customHeight="1">
      <c r="A752" s="22">
        <v>851</v>
      </c>
      <c r="B752" s="36">
        <v>14785</v>
      </c>
      <c r="C752" s="22" t="str">
        <f>IFERROR(VLOOKUP(B752,Colaboradores!A:D,2,),"")</f>
        <v>ROSEANE CUSTODIO LIMA</v>
      </c>
      <c r="D752" s="22" t="str">
        <f>IFERROR(VLOOKUP(B752,Colaboradores!A:D,3,),"")</f>
        <v>REGIONAL CENTRAL</v>
      </c>
      <c r="E752" s="22" t="str">
        <f>IFERROR(VLOOKUP(B752,Colaboradores!A:D,4,),"")</f>
        <v>ASSISTENTE DE MEIO AMBIENTE</v>
      </c>
      <c r="F752" s="22" t="s">
        <v>63</v>
      </c>
      <c r="G752" s="24" t="str">
        <f>IFERROR(VLOOKUP(F752,Procedimentos!A:C,2,),"")</f>
        <v>DIÁRIO DE BORDO DOS TÉCNICOS DE SEGURANÇA DO TRABALHO DA EMSERH E IADVH</v>
      </c>
      <c r="H752" s="25"/>
      <c r="I752" s="25">
        <v>45895</v>
      </c>
      <c r="J752" s="22">
        <v>12</v>
      </c>
      <c r="K752" s="25">
        <f t="shared" si="32"/>
        <v>46260</v>
      </c>
      <c r="L752" s="28" t="str">
        <f t="shared" ca="1" si="31"/>
        <v>Em dia</v>
      </c>
      <c r="M752" s="33" t="s">
        <v>60</v>
      </c>
      <c r="N752" s="28" t="s">
        <v>21</v>
      </c>
      <c r="O752" s="22" t="s">
        <v>28</v>
      </c>
      <c r="P752" s="25">
        <f t="shared" si="33"/>
        <v>45987</v>
      </c>
      <c r="Q752" s="25"/>
      <c r="R752" s="25"/>
      <c r="S752" s="7"/>
      <c r="T752" s="7"/>
    </row>
    <row r="753" spans="1:20" ht="14.25" customHeight="1">
      <c r="A753" s="22">
        <v>852</v>
      </c>
      <c r="B753" s="36">
        <v>13964</v>
      </c>
      <c r="C753" s="22" t="str">
        <f>IFERROR(VLOOKUP(B753,Colaboradores!A:D,2,),"")</f>
        <v>ESTER MOREIRA AMBROSIO DE CARVALHO</v>
      </c>
      <c r="D753" s="22" t="str">
        <f>IFERROR(VLOOKUP(B753,Colaboradores!A:D,3,),"")</f>
        <v>REGIONAL SUL</v>
      </c>
      <c r="E753" s="22" t="str">
        <f>IFERROR(VLOOKUP(B753,Colaboradores!A:D,4,),"")</f>
        <v>ENFERMEIRO DO TRABALHO</v>
      </c>
      <c r="F753" s="22" t="s">
        <v>63</v>
      </c>
      <c r="G753" s="24" t="str">
        <f>IFERROR(VLOOKUP(F753,Procedimentos!A:C,2,),"")</f>
        <v>DIÁRIO DE BORDO DOS TÉCNICOS DE SEGURANÇA DO TRABALHO DA EMSERH E IADVH</v>
      </c>
      <c r="H753" s="25"/>
      <c r="I753" s="25">
        <v>45895</v>
      </c>
      <c r="J753" s="22">
        <v>12</v>
      </c>
      <c r="K753" s="25">
        <f t="shared" si="32"/>
        <v>46260</v>
      </c>
      <c r="L753" s="28" t="str">
        <f t="shared" ca="1" si="31"/>
        <v>Em dia</v>
      </c>
      <c r="M753" s="33" t="s">
        <v>60</v>
      </c>
      <c r="N753" s="28" t="s">
        <v>21</v>
      </c>
      <c r="O753" s="22" t="s">
        <v>28</v>
      </c>
      <c r="P753" s="25">
        <f t="shared" si="33"/>
        <v>45987</v>
      </c>
      <c r="Q753" s="25"/>
      <c r="R753" s="25"/>
      <c r="S753" s="7"/>
      <c r="T753" s="7"/>
    </row>
    <row r="754" spans="1:20" ht="14.25" customHeight="1">
      <c r="A754" s="22">
        <v>853</v>
      </c>
      <c r="B754" s="36">
        <v>15100</v>
      </c>
      <c r="C754" s="22" t="str">
        <f>IFERROR(VLOOKUP(B754,Colaboradores!A:D,2,),"")</f>
        <v>JONATHAN SILVA ALVES</v>
      </c>
      <c r="D754" s="22" t="str">
        <f>IFERROR(VLOOKUP(B754,Colaboradores!A:D,3,),"")</f>
        <v>REGIONAL SUL</v>
      </c>
      <c r="E754" s="22" t="str">
        <f>IFERROR(VLOOKUP(B754,Colaboradores!A:D,4,),"")</f>
        <v>COORDENADOR DE SSMA</v>
      </c>
      <c r="F754" s="22" t="s">
        <v>63</v>
      </c>
      <c r="G754" s="24" t="str">
        <f>IFERROR(VLOOKUP(F754,Procedimentos!A:C,2,),"")</f>
        <v>DIÁRIO DE BORDO DOS TÉCNICOS DE SEGURANÇA DO TRABALHO DA EMSERH E IADVH</v>
      </c>
      <c r="H754" s="25"/>
      <c r="I754" s="25">
        <v>45895</v>
      </c>
      <c r="J754" s="22">
        <v>12</v>
      </c>
      <c r="K754" s="25">
        <f t="shared" si="32"/>
        <v>46260</v>
      </c>
      <c r="L754" s="28" t="str">
        <f t="shared" ca="1" si="31"/>
        <v>Em dia</v>
      </c>
      <c r="M754" s="33" t="s">
        <v>60</v>
      </c>
      <c r="N754" s="28" t="s">
        <v>21</v>
      </c>
      <c r="O754" s="22" t="s">
        <v>28</v>
      </c>
      <c r="P754" s="25">
        <f t="shared" si="33"/>
        <v>45987</v>
      </c>
      <c r="Q754" s="25"/>
      <c r="R754" s="25"/>
      <c r="S754" s="7"/>
      <c r="T754" s="7"/>
    </row>
    <row r="755" spans="1:20" ht="14.25" customHeight="1">
      <c r="A755" s="22">
        <v>854</v>
      </c>
      <c r="B755" s="36">
        <v>14356</v>
      </c>
      <c r="C755" s="22" t="str">
        <f>IFERROR(VLOOKUP(B755,Colaboradores!A:D,2,),"")</f>
        <v>JACILENE BELO LIMA</v>
      </c>
      <c r="D755" s="22" t="str">
        <f>IFERROR(VLOOKUP(B755,Colaboradores!A:D,3,),"")</f>
        <v>REGIONAL LESTE</v>
      </c>
      <c r="E755" s="22" t="str">
        <f>IFERROR(VLOOKUP(B755,Colaboradores!A:D,4,),"")</f>
        <v>ASSISTENTE ADMINISTRATIVO</v>
      </c>
      <c r="F755" s="22" t="s">
        <v>63</v>
      </c>
      <c r="G755" s="24" t="str">
        <f>IFERROR(VLOOKUP(F755,Procedimentos!A:C,2,),"")</f>
        <v>DIÁRIO DE BORDO DOS TÉCNICOS DE SEGURANÇA DO TRABALHO DA EMSERH E IADVH</v>
      </c>
      <c r="H755" s="25"/>
      <c r="I755" s="25">
        <v>45895</v>
      </c>
      <c r="J755" s="22">
        <v>12</v>
      </c>
      <c r="K755" s="25">
        <f t="shared" si="32"/>
        <v>46260</v>
      </c>
      <c r="L755" s="28" t="str">
        <f t="shared" ca="1" si="31"/>
        <v>Em dia</v>
      </c>
      <c r="M755" s="33" t="s">
        <v>60</v>
      </c>
      <c r="N755" s="28" t="s">
        <v>21</v>
      </c>
      <c r="O755" s="22" t="s">
        <v>28</v>
      </c>
      <c r="P755" s="25">
        <f t="shared" si="33"/>
        <v>45987</v>
      </c>
      <c r="Q755" s="25"/>
      <c r="R755" s="25"/>
      <c r="S755" s="7"/>
      <c r="T755" s="7"/>
    </row>
    <row r="756" spans="1:20" ht="14.25" customHeight="1">
      <c r="A756" s="22">
        <v>855</v>
      </c>
      <c r="B756" s="36">
        <v>14420</v>
      </c>
      <c r="C756" s="22" t="str">
        <f>IFERROR(VLOOKUP(B756,Colaboradores!A:D,2,),"")</f>
        <v>LAYLLA EMANUELLY DA SILVA ARAUJO</v>
      </c>
      <c r="D756" s="22" t="str">
        <f>IFERROR(VLOOKUP(B756,Colaboradores!A:D,3,),"")</f>
        <v>REGIONAL LESTE</v>
      </c>
      <c r="E756" s="22" t="str">
        <f>IFERROR(VLOOKUP(B756,Colaboradores!A:D,4,),"")</f>
        <v>ASSISTENTE ADMINISTRATIVO</v>
      </c>
      <c r="F756" s="22" t="s">
        <v>63</v>
      </c>
      <c r="G756" s="24" t="str">
        <f>IFERROR(VLOOKUP(F756,Procedimentos!A:C,2,),"")</f>
        <v>DIÁRIO DE BORDO DOS TÉCNICOS DE SEGURANÇA DO TRABALHO DA EMSERH E IADVH</v>
      </c>
      <c r="H756" s="25"/>
      <c r="I756" s="25">
        <v>45895</v>
      </c>
      <c r="J756" s="22">
        <v>12</v>
      </c>
      <c r="K756" s="25">
        <f t="shared" si="32"/>
        <v>46260</v>
      </c>
      <c r="L756" s="28" t="str">
        <f t="shared" ca="1" si="31"/>
        <v>Em dia</v>
      </c>
      <c r="M756" s="33" t="s">
        <v>60</v>
      </c>
      <c r="N756" s="28" t="s">
        <v>21</v>
      </c>
      <c r="O756" s="22" t="s">
        <v>28</v>
      </c>
      <c r="P756" s="25">
        <f t="shared" si="33"/>
        <v>45987</v>
      </c>
      <c r="Q756" s="25"/>
      <c r="R756" s="25"/>
      <c r="S756" s="7"/>
      <c r="T756" s="7"/>
    </row>
    <row r="757" spans="1:20" ht="14.25" customHeight="1">
      <c r="A757" s="22">
        <v>856</v>
      </c>
      <c r="B757" s="36">
        <v>14354</v>
      </c>
      <c r="C757" s="22" t="str">
        <f>IFERROR(VLOOKUP(B757,Colaboradores!A:D,2,),"")</f>
        <v>JOSE CLEITON SILVA DE OLIVEIRA</v>
      </c>
      <c r="D757" s="22" t="str">
        <f>IFERROR(VLOOKUP(B757,Colaboradores!A:D,3,),"")</f>
        <v>REGIONAL CENTRAL</v>
      </c>
      <c r="E757" s="22" t="str">
        <f>IFERROR(VLOOKUP(B757,Colaboradores!A:D,4,),"")</f>
        <v>TÉCNICO DE SEGURANÇA DO TRABALHO</v>
      </c>
      <c r="F757" s="22" t="s">
        <v>63</v>
      </c>
      <c r="G757" s="24" t="str">
        <f>IFERROR(VLOOKUP(F757,Procedimentos!A:C,2,),"")</f>
        <v>DIÁRIO DE BORDO DOS TÉCNICOS DE SEGURANÇA DO TRABALHO DA EMSERH E IADVH</v>
      </c>
      <c r="H757" s="25"/>
      <c r="I757" s="25">
        <v>45895</v>
      </c>
      <c r="J757" s="22">
        <v>12</v>
      </c>
      <c r="K757" s="25">
        <f t="shared" si="32"/>
        <v>46260</v>
      </c>
      <c r="L757" s="28" t="str">
        <f t="shared" ca="1" si="31"/>
        <v>Em dia</v>
      </c>
      <c r="M757" s="33" t="s">
        <v>60</v>
      </c>
      <c r="N757" s="28" t="s">
        <v>21</v>
      </c>
      <c r="O757" s="22" t="s">
        <v>28</v>
      </c>
      <c r="P757" s="25">
        <f t="shared" si="33"/>
        <v>45987</v>
      </c>
      <c r="Q757" s="25"/>
      <c r="R757" s="25"/>
      <c r="S757" s="7"/>
      <c r="T757" s="7"/>
    </row>
    <row r="758" spans="1:20" ht="14.25" customHeight="1">
      <c r="A758" s="22">
        <v>857</v>
      </c>
      <c r="B758" s="36">
        <v>14721</v>
      </c>
      <c r="C758" s="22" t="str">
        <f>IFERROR(VLOOKUP(B758,Colaboradores!A:D,2,),"")</f>
        <v>RONILSON FERREIRA OLIVEIRA</v>
      </c>
      <c r="D758" s="22" t="str">
        <f>IFERROR(VLOOKUP(B758,Colaboradores!A:D,3,),"")</f>
        <v>REGIONAL LESTE</v>
      </c>
      <c r="E758" s="22" t="str">
        <f>IFERROR(VLOOKUP(B758,Colaboradores!A:D,4,),"")</f>
        <v>TÉCNICO DE SEGURANÇA DO TRABALHO</v>
      </c>
      <c r="F758" s="22" t="s">
        <v>63</v>
      </c>
      <c r="G758" s="24" t="str">
        <f>IFERROR(VLOOKUP(F758,Procedimentos!A:C,2,),"")</f>
        <v>DIÁRIO DE BORDO DOS TÉCNICOS DE SEGURANÇA DO TRABALHO DA EMSERH E IADVH</v>
      </c>
      <c r="H758" s="25"/>
      <c r="I758" s="25">
        <v>45895</v>
      </c>
      <c r="J758" s="22">
        <v>12</v>
      </c>
      <c r="K758" s="25">
        <f t="shared" si="32"/>
        <v>46260</v>
      </c>
      <c r="L758" s="28" t="str">
        <f t="shared" ca="1" si="31"/>
        <v>Em dia</v>
      </c>
      <c r="M758" s="33" t="s">
        <v>60</v>
      </c>
      <c r="N758" s="28" t="s">
        <v>21</v>
      </c>
      <c r="O758" s="22" t="s">
        <v>28</v>
      </c>
      <c r="P758" s="25">
        <f t="shared" si="33"/>
        <v>45987</v>
      </c>
      <c r="Q758" s="25"/>
      <c r="R758" s="25"/>
      <c r="S758" s="7"/>
      <c r="T758" s="7"/>
    </row>
    <row r="759" spans="1:20" ht="14.25" customHeight="1">
      <c r="A759" s="22">
        <v>858</v>
      </c>
      <c r="B759" s="36">
        <v>15134</v>
      </c>
      <c r="C759" s="22" t="str">
        <f>IFERROR(VLOOKUP(B759,Colaboradores!A:D,2,),"")</f>
        <v>ADRIANE MENDES ROSA</v>
      </c>
      <c r="D759" s="22" t="str">
        <f>IFERROR(VLOOKUP(B759,Colaboradores!A:D,3,),"")</f>
        <v>REGIONAL CENTRAL</v>
      </c>
      <c r="E759" s="22" t="str">
        <f>IFERROR(VLOOKUP(B759,Colaboradores!A:D,4,),"")</f>
        <v>ENFERMEIRA DO TRABALHO</v>
      </c>
      <c r="F759" s="22" t="s">
        <v>63</v>
      </c>
      <c r="G759" s="24" t="str">
        <f>IFERROR(VLOOKUP(F759,Procedimentos!A:C,2,),"")</f>
        <v>DIÁRIO DE BORDO DOS TÉCNICOS DE SEGURANÇA DO TRABALHO DA EMSERH E IADVH</v>
      </c>
      <c r="H759" s="25"/>
      <c r="I759" s="25">
        <v>45895</v>
      </c>
      <c r="J759" s="22">
        <v>12</v>
      </c>
      <c r="K759" s="25">
        <f t="shared" si="32"/>
        <v>46260</v>
      </c>
      <c r="L759" s="28" t="str">
        <f t="shared" ca="1" si="31"/>
        <v>Em dia</v>
      </c>
      <c r="M759" s="33" t="s">
        <v>60</v>
      </c>
      <c r="N759" s="28" t="s">
        <v>21</v>
      </c>
      <c r="O759" s="22" t="s">
        <v>28</v>
      </c>
      <c r="P759" s="25">
        <f t="shared" si="33"/>
        <v>45987</v>
      </c>
      <c r="Q759" s="25"/>
      <c r="R759" s="25"/>
      <c r="S759" s="7"/>
      <c r="T759" s="7"/>
    </row>
    <row r="760" spans="1:20" ht="14.25" customHeight="1">
      <c r="A760" s="22">
        <v>860</v>
      </c>
      <c r="B760" s="36">
        <v>14815</v>
      </c>
      <c r="C760" s="22" t="str">
        <f>IFERROR(VLOOKUP(B760,Colaboradores!A:D,2,),"")</f>
        <v>NATHALIA CRISTINA DOS SANTOS RODRIGUES</v>
      </c>
      <c r="D760" s="22" t="str">
        <f>IFERROR(VLOOKUP(B760,Colaboradores!A:D,3,),"")</f>
        <v>REGIONAL LESTE</v>
      </c>
      <c r="E760" s="22" t="str">
        <f>IFERROR(VLOOKUP(B760,Colaboradores!A:D,4,),"")</f>
        <v>ASSISTENTE DE MEIO AMBIENTE</v>
      </c>
      <c r="F760" s="22" t="s">
        <v>63</v>
      </c>
      <c r="G760" s="24" t="str">
        <f>IFERROR(VLOOKUP(F760,Procedimentos!A:C,2,),"")</f>
        <v>DIÁRIO DE BORDO DOS TÉCNICOS DE SEGURANÇA DO TRABALHO DA EMSERH E IADVH</v>
      </c>
      <c r="H760" s="25"/>
      <c r="I760" s="25">
        <v>45895</v>
      </c>
      <c r="J760" s="22">
        <v>12</v>
      </c>
      <c r="K760" s="25">
        <f t="shared" si="32"/>
        <v>46260</v>
      </c>
      <c r="L760" s="28" t="str">
        <f t="shared" ca="1" si="31"/>
        <v>Em dia</v>
      </c>
      <c r="M760" s="33" t="s">
        <v>60</v>
      </c>
      <c r="N760" s="28" t="s">
        <v>21</v>
      </c>
      <c r="O760" s="22" t="s">
        <v>28</v>
      </c>
      <c r="P760" s="25">
        <f t="shared" si="33"/>
        <v>45987</v>
      </c>
      <c r="Q760" s="25"/>
      <c r="R760" s="25"/>
      <c r="S760" s="7"/>
      <c r="T760" s="7"/>
    </row>
    <row r="761" spans="1:20" ht="14.25" customHeight="1">
      <c r="A761" s="22">
        <v>861</v>
      </c>
      <c r="B761" s="36">
        <v>13584</v>
      </c>
      <c r="C761" s="22" t="str">
        <f>IFERROR(VLOOKUP(B761,Colaboradores!A:D,2,),"")</f>
        <v>ALANA RODRIGUES FERREIRA</v>
      </c>
      <c r="D761" s="22" t="str">
        <f>IFERROR(VLOOKUP(B761,Colaboradores!A:D,3,),"")</f>
        <v>REGIONAL LESTE</v>
      </c>
      <c r="E761" s="22" t="str">
        <f>IFERROR(VLOOKUP(B761,Colaboradores!A:D,4,),"")</f>
        <v>COORDENADOR DE SSMA</v>
      </c>
      <c r="F761" s="22" t="s">
        <v>63</v>
      </c>
      <c r="G761" s="24" t="str">
        <f>IFERROR(VLOOKUP(F761,Procedimentos!A:C,2,),"")</f>
        <v>DIÁRIO DE BORDO DOS TÉCNICOS DE SEGURANÇA DO TRABALHO DA EMSERH E IADVH</v>
      </c>
      <c r="H761" s="25"/>
      <c r="I761" s="25">
        <v>45895</v>
      </c>
      <c r="J761" s="22">
        <v>12</v>
      </c>
      <c r="K761" s="25">
        <f t="shared" si="32"/>
        <v>46260</v>
      </c>
      <c r="L761" s="28" t="str">
        <f t="shared" ca="1" si="31"/>
        <v>Em dia</v>
      </c>
      <c r="M761" s="33" t="s">
        <v>60</v>
      </c>
      <c r="N761" s="28" t="s">
        <v>21</v>
      </c>
      <c r="O761" s="22" t="s">
        <v>28</v>
      </c>
      <c r="P761" s="25">
        <f t="shared" si="33"/>
        <v>45987</v>
      </c>
      <c r="Q761" s="25"/>
      <c r="R761" s="25"/>
      <c r="S761" s="7"/>
      <c r="T761" s="7"/>
    </row>
    <row r="762" spans="1:20" ht="14.25" customHeight="1">
      <c r="A762" s="22">
        <v>862</v>
      </c>
      <c r="B762" s="36">
        <v>14354</v>
      </c>
      <c r="C762" s="22" t="str">
        <f>IFERROR(VLOOKUP(B762,Colaboradores!A:D,2,),"")</f>
        <v>JOSE CLEITON SILVA DE OLIVEIRA</v>
      </c>
      <c r="D762" s="22" t="str">
        <f>IFERROR(VLOOKUP(B762,Colaboradores!A:D,3,),"")</f>
        <v>REGIONAL CENTRAL</v>
      </c>
      <c r="E762" s="22" t="str">
        <f>IFERROR(VLOOKUP(B762,Colaboradores!A:D,4,),"")</f>
        <v>TÉCNICO DE SEGURANÇA DO TRABALHO</v>
      </c>
      <c r="F762" s="22" t="s">
        <v>43</v>
      </c>
      <c r="G762" s="24" t="str">
        <f>IFERROR(VLOOKUP(F762,Procedimentos!A:C,2,),"")</f>
        <v>DIÁLOGO DE SAÚDE E SEGURANÇA - DSS</v>
      </c>
      <c r="H762" s="25"/>
      <c r="I762" s="25">
        <v>45895</v>
      </c>
      <c r="J762" s="22">
        <v>12</v>
      </c>
      <c r="K762" s="25">
        <f t="shared" si="32"/>
        <v>46260</v>
      </c>
      <c r="L762" s="28" t="str">
        <f t="shared" ca="1" si="31"/>
        <v>Em dia</v>
      </c>
      <c r="M762" s="33" t="s">
        <v>60</v>
      </c>
      <c r="N762" s="28" t="s">
        <v>21</v>
      </c>
      <c r="O762" s="22" t="s">
        <v>28</v>
      </c>
      <c r="P762" s="25">
        <f t="shared" si="33"/>
        <v>45987</v>
      </c>
      <c r="Q762" s="25"/>
      <c r="R762" s="25"/>
      <c r="S762" s="7"/>
      <c r="T762" s="7"/>
    </row>
    <row r="763" spans="1:20" ht="14.25" customHeight="1">
      <c r="A763" s="22">
        <v>864</v>
      </c>
      <c r="B763" s="36">
        <v>14785</v>
      </c>
      <c r="C763" s="22" t="str">
        <f>IFERROR(VLOOKUP(B763,Colaboradores!A:D,2,),"")</f>
        <v>ROSEANE CUSTODIO LIMA</v>
      </c>
      <c r="D763" s="22" t="str">
        <f>IFERROR(VLOOKUP(B763,Colaboradores!A:D,3,),"")</f>
        <v>REGIONAL CENTRAL</v>
      </c>
      <c r="E763" s="22" t="str">
        <f>IFERROR(VLOOKUP(B763,Colaboradores!A:D,4,),"")</f>
        <v>ASSISTENTE DE MEIO AMBIENTE</v>
      </c>
      <c r="F763" s="22" t="s">
        <v>43</v>
      </c>
      <c r="G763" s="24" t="str">
        <f>IFERROR(VLOOKUP(F763,Procedimentos!A:C,2,),"")</f>
        <v>DIÁLOGO DE SAÚDE E SEGURANÇA - DSS</v>
      </c>
      <c r="H763" s="25"/>
      <c r="I763" s="25">
        <v>45895</v>
      </c>
      <c r="J763" s="22">
        <v>12</v>
      </c>
      <c r="K763" s="25">
        <f t="shared" si="32"/>
        <v>46260</v>
      </c>
      <c r="L763" s="28" t="str">
        <f t="shared" ca="1" si="31"/>
        <v>Em dia</v>
      </c>
      <c r="M763" s="33" t="s">
        <v>60</v>
      </c>
      <c r="N763" s="28" t="s">
        <v>21</v>
      </c>
      <c r="O763" s="22" t="s">
        <v>28</v>
      </c>
      <c r="P763" s="25">
        <f t="shared" si="33"/>
        <v>45987</v>
      </c>
      <c r="Q763" s="25"/>
      <c r="R763" s="25"/>
      <c r="S763" s="7"/>
      <c r="T763" s="7"/>
    </row>
    <row r="764" spans="1:20" ht="14.25" customHeight="1">
      <c r="A764" s="22">
        <v>865</v>
      </c>
      <c r="B764" s="36">
        <v>14356</v>
      </c>
      <c r="C764" s="22" t="str">
        <f>IFERROR(VLOOKUP(B764,Colaboradores!A:D,2,),"")</f>
        <v>JACILENE BELO LIMA</v>
      </c>
      <c r="D764" s="22" t="str">
        <f>IFERROR(VLOOKUP(B764,Colaboradores!A:D,3,),"")</f>
        <v>REGIONAL LESTE</v>
      </c>
      <c r="E764" s="22" t="str">
        <f>IFERROR(VLOOKUP(B764,Colaboradores!A:D,4,),"")</f>
        <v>ASSISTENTE ADMINISTRATIVO</v>
      </c>
      <c r="F764" s="22" t="s">
        <v>43</v>
      </c>
      <c r="G764" s="24" t="str">
        <f>IFERROR(VLOOKUP(F764,Procedimentos!A:C,2,),"")</f>
        <v>DIÁLOGO DE SAÚDE E SEGURANÇA - DSS</v>
      </c>
      <c r="H764" s="25"/>
      <c r="I764" s="25">
        <v>45895</v>
      </c>
      <c r="J764" s="22">
        <v>12</v>
      </c>
      <c r="K764" s="25">
        <f t="shared" si="32"/>
        <v>46260</v>
      </c>
      <c r="L764" s="28" t="str">
        <f t="shared" ca="1" si="31"/>
        <v>Em dia</v>
      </c>
      <c r="M764" s="33" t="s">
        <v>60</v>
      </c>
      <c r="N764" s="28" t="s">
        <v>21</v>
      </c>
      <c r="O764" s="22" t="s">
        <v>28</v>
      </c>
      <c r="P764" s="25">
        <f t="shared" si="33"/>
        <v>45987</v>
      </c>
      <c r="Q764" s="25"/>
      <c r="R764" s="25"/>
      <c r="S764" s="7"/>
      <c r="T764" s="7"/>
    </row>
    <row r="765" spans="1:20" ht="14.25" customHeight="1">
      <c r="A765" s="22">
        <v>866</v>
      </c>
      <c r="B765" s="36">
        <v>14420</v>
      </c>
      <c r="C765" s="22" t="str">
        <f>IFERROR(VLOOKUP(B765,Colaboradores!A:D,2,),"")</f>
        <v>LAYLLA EMANUELLY DA SILVA ARAUJO</v>
      </c>
      <c r="D765" s="22" t="str">
        <f>IFERROR(VLOOKUP(B765,Colaboradores!A:D,3,),"")</f>
        <v>REGIONAL LESTE</v>
      </c>
      <c r="E765" s="22" t="str">
        <f>IFERROR(VLOOKUP(B765,Colaboradores!A:D,4,),"")</f>
        <v>ASSISTENTE ADMINISTRATIVO</v>
      </c>
      <c r="F765" s="22" t="s">
        <v>43</v>
      </c>
      <c r="G765" s="24" t="str">
        <f>IFERROR(VLOOKUP(F765,Procedimentos!A:C,2,),"")</f>
        <v>DIÁLOGO DE SAÚDE E SEGURANÇA - DSS</v>
      </c>
      <c r="H765" s="25"/>
      <c r="I765" s="25">
        <v>45895</v>
      </c>
      <c r="J765" s="22">
        <v>12</v>
      </c>
      <c r="K765" s="25">
        <f t="shared" si="32"/>
        <v>46260</v>
      </c>
      <c r="L765" s="28" t="str">
        <f t="shared" ca="1" si="31"/>
        <v>Em dia</v>
      </c>
      <c r="M765" s="33" t="s">
        <v>60</v>
      </c>
      <c r="N765" s="28" t="s">
        <v>21</v>
      </c>
      <c r="O765" s="22" t="s">
        <v>28</v>
      </c>
      <c r="P765" s="25">
        <f t="shared" si="33"/>
        <v>45987</v>
      </c>
      <c r="Q765" s="25"/>
      <c r="R765" s="25"/>
      <c r="S765" s="7"/>
      <c r="T765" s="7"/>
    </row>
    <row r="766" spans="1:20" ht="14.25" customHeight="1">
      <c r="A766" s="22">
        <v>867</v>
      </c>
      <c r="B766" s="36">
        <v>14815</v>
      </c>
      <c r="C766" s="22" t="str">
        <f>IFERROR(VLOOKUP(B766,Colaboradores!A:D,2,),"")</f>
        <v>NATHALIA CRISTINA DOS SANTOS RODRIGUES</v>
      </c>
      <c r="D766" s="22" t="str">
        <f>IFERROR(VLOOKUP(B766,Colaboradores!A:D,3,),"")</f>
        <v>REGIONAL LESTE</v>
      </c>
      <c r="E766" s="22" t="str">
        <f>IFERROR(VLOOKUP(B766,Colaboradores!A:D,4,),"")</f>
        <v>ASSISTENTE DE MEIO AMBIENTE</v>
      </c>
      <c r="F766" s="22" t="s">
        <v>43</v>
      </c>
      <c r="G766" s="24" t="str">
        <f>IFERROR(VLOOKUP(F766,Procedimentos!A:C,2,),"")</f>
        <v>DIÁLOGO DE SAÚDE E SEGURANÇA - DSS</v>
      </c>
      <c r="H766" s="25"/>
      <c r="I766" s="25">
        <v>45895</v>
      </c>
      <c r="J766" s="22">
        <v>12</v>
      </c>
      <c r="K766" s="25">
        <f t="shared" si="32"/>
        <v>46260</v>
      </c>
      <c r="L766" s="28" t="str">
        <f t="shared" ca="1" si="31"/>
        <v>Em dia</v>
      </c>
      <c r="M766" s="33" t="s">
        <v>60</v>
      </c>
      <c r="N766" s="28" t="s">
        <v>21</v>
      </c>
      <c r="O766" s="22" t="s">
        <v>28</v>
      </c>
      <c r="P766" s="25">
        <f t="shared" si="33"/>
        <v>45987</v>
      </c>
      <c r="Q766" s="25"/>
      <c r="R766" s="25"/>
      <c r="S766" s="7"/>
      <c r="T766" s="7"/>
    </row>
    <row r="767" spans="1:20" ht="14.25" customHeight="1">
      <c r="A767" s="22">
        <v>868</v>
      </c>
      <c r="B767" s="36">
        <v>14721</v>
      </c>
      <c r="C767" s="22" t="str">
        <f>IFERROR(VLOOKUP(B767,Colaboradores!A:D,2,),"")</f>
        <v>RONILSON FERREIRA OLIVEIRA</v>
      </c>
      <c r="D767" s="22" t="str">
        <f>IFERROR(VLOOKUP(B767,Colaboradores!A:D,3,),"")</f>
        <v>REGIONAL LESTE</v>
      </c>
      <c r="E767" s="22" t="str">
        <f>IFERROR(VLOOKUP(B767,Colaboradores!A:D,4,),"")</f>
        <v>TÉCNICO DE SEGURANÇA DO TRABALHO</v>
      </c>
      <c r="F767" s="22" t="s">
        <v>43</v>
      </c>
      <c r="G767" s="24" t="str">
        <f>IFERROR(VLOOKUP(F767,Procedimentos!A:C,2,),"")</f>
        <v>DIÁLOGO DE SAÚDE E SEGURANÇA - DSS</v>
      </c>
      <c r="H767" s="25"/>
      <c r="I767" s="25">
        <v>45895</v>
      </c>
      <c r="J767" s="22">
        <v>12</v>
      </c>
      <c r="K767" s="25">
        <f t="shared" si="32"/>
        <v>46260</v>
      </c>
      <c r="L767" s="28" t="str">
        <f t="shared" ca="1" si="31"/>
        <v>Em dia</v>
      </c>
      <c r="M767" s="33" t="s">
        <v>60</v>
      </c>
      <c r="N767" s="28" t="s">
        <v>21</v>
      </c>
      <c r="O767" s="22" t="s">
        <v>28</v>
      </c>
      <c r="P767" s="25">
        <f t="shared" si="33"/>
        <v>45987</v>
      </c>
      <c r="Q767" s="25"/>
      <c r="R767" s="25"/>
      <c r="S767" s="7"/>
      <c r="T767" s="7"/>
    </row>
    <row r="768" spans="1:20" ht="14.25" customHeight="1">
      <c r="A768" s="22">
        <v>869</v>
      </c>
      <c r="B768" s="36">
        <v>14767</v>
      </c>
      <c r="C768" s="22" t="str">
        <f>IFERROR(VLOOKUP(B768,Colaboradores!A:D,2,),"")</f>
        <v>CAIO VINICIUS PEREIRA DO NASCIMENTO</v>
      </c>
      <c r="D768" s="22" t="str">
        <f>IFERROR(VLOOKUP(B768,Colaboradores!A:D,3,),"")</f>
        <v>REGIONAL SUL</v>
      </c>
      <c r="E768" s="22" t="str">
        <f>IFERROR(VLOOKUP(B768,Colaboradores!A:D,4,),"")</f>
        <v>TÉCNICO DE MEIO AMBIENTE</v>
      </c>
      <c r="F768" s="22" t="s">
        <v>43</v>
      </c>
      <c r="G768" s="24" t="str">
        <f>IFERROR(VLOOKUP(F768,Procedimentos!A:C,2,),"")</f>
        <v>DIÁLOGO DE SAÚDE E SEGURANÇA - DSS</v>
      </c>
      <c r="H768" s="25"/>
      <c r="I768" s="25">
        <v>45895</v>
      </c>
      <c r="J768" s="22">
        <v>12</v>
      </c>
      <c r="K768" s="25">
        <f t="shared" si="32"/>
        <v>46260</v>
      </c>
      <c r="L768" s="28" t="str">
        <f t="shared" ca="1" si="31"/>
        <v>Em dia</v>
      </c>
      <c r="M768" s="33" t="s">
        <v>60</v>
      </c>
      <c r="N768" s="28" t="s">
        <v>21</v>
      </c>
      <c r="O768" s="22" t="s">
        <v>28</v>
      </c>
      <c r="P768" s="25">
        <f t="shared" si="33"/>
        <v>45987</v>
      </c>
      <c r="Q768" s="25"/>
      <c r="R768" s="25"/>
      <c r="S768" s="7"/>
      <c r="T768" s="7"/>
    </row>
    <row r="769" spans="1:20" ht="14.25" customHeight="1">
      <c r="A769" s="22">
        <v>870</v>
      </c>
      <c r="B769" s="36">
        <v>15100</v>
      </c>
      <c r="C769" s="22" t="str">
        <f>IFERROR(VLOOKUP(B769,Colaboradores!A:D,2,),"")</f>
        <v>JONATHAN SILVA ALVES</v>
      </c>
      <c r="D769" s="22" t="str">
        <f>IFERROR(VLOOKUP(B769,Colaboradores!A:D,3,),"")</f>
        <v>REGIONAL SUL</v>
      </c>
      <c r="E769" s="22" t="str">
        <f>IFERROR(VLOOKUP(B769,Colaboradores!A:D,4,),"")</f>
        <v>COORDENADOR DE SSMA</v>
      </c>
      <c r="F769" s="22" t="s">
        <v>43</v>
      </c>
      <c r="G769" s="24" t="str">
        <f>IFERROR(VLOOKUP(F769,Procedimentos!A:C,2,),"")</f>
        <v>DIÁLOGO DE SAÚDE E SEGURANÇA - DSS</v>
      </c>
      <c r="H769" s="25"/>
      <c r="I769" s="25">
        <v>45895</v>
      </c>
      <c r="J769" s="22">
        <v>12</v>
      </c>
      <c r="K769" s="25">
        <f t="shared" si="32"/>
        <v>46260</v>
      </c>
      <c r="L769" s="28" t="str">
        <f t="shared" ref="L769:L832" ca="1" si="34">IF(K769="","",IF(K769&lt;TODAY(),"Vencido",IF(K769&lt;=TODAY()+30,"A vencer","Em dia")))</f>
        <v>Em dia</v>
      </c>
      <c r="M769" s="33" t="s">
        <v>60</v>
      </c>
      <c r="N769" s="28" t="s">
        <v>21</v>
      </c>
      <c r="O769" s="22" t="s">
        <v>28</v>
      </c>
      <c r="P769" s="25">
        <f t="shared" si="33"/>
        <v>45987</v>
      </c>
      <c r="Q769" s="25"/>
      <c r="R769" s="25"/>
      <c r="S769" s="7"/>
      <c r="T769" s="7"/>
    </row>
    <row r="770" spans="1:20" ht="14.25" customHeight="1">
      <c r="A770" s="22">
        <v>871</v>
      </c>
      <c r="B770" s="36">
        <v>15042</v>
      </c>
      <c r="C770" s="22" t="str">
        <f>IFERROR(VLOOKUP(B770,Colaboradores!A:D,2,),"")</f>
        <v>MARIANA CRISTINA FEITOSA SANTOS</v>
      </c>
      <c r="D770" s="22" t="str">
        <f>IFERROR(VLOOKUP(B770,Colaboradores!A:D,3,),"")</f>
        <v>REGIONAL SUL</v>
      </c>
      <c r="E770" s="22" t="str">
        <f>IFERROR(VLOOKUP(B770,Colaboradores!A:D,4,),"")</f>
        <v>TÉCNICA DE SEGURANÇA DO TRABALHO</v>
      </c>
      <c r="F770" s="22" t="s">
        <v>43</v>
      </c>
      <c r="G770" s="24" t="str">
        <f>IFERROR(VLOOKUP(F770,Procedimentos!A:C,2,),"")</f>
        <v>DIÁLOGO DE SAÚDE E SEGURANÇA - DSS</v>
      </c>
      <c r="H770" s="25"/>
      <c r="I770" s="25">
        <v>45895</v>
      </c>
      <c r="J770" s="22">
        <v>12</v>
      </c>
      <c r="K770" s="25">
        <f t="shared" si="32"/>
        <v>46260</v>
      </c>
      <c r="L770" s="28" t="str">
        <f t="shared" ca="1" si="34"/>
        <v>Em dia</v>
      </c>
      <c r="M770" s="33" t="s">
        <v>60</v>
      </c>
      <c r="N770" s="28" t="s">
        <v>21</v>
      </c>
      <c r="O770" s="22" t="s">
        <v>28</v>
      </c>
      <c r="P770" s="25">
        <f t="shared" si="33"/>
        <v>45987</v>
      </c>
      <c r="Q770" s="25"/>
      <c r="R770" s="25"/>
      <c r="S770" s="7"/>
      <c r="T770" s="7"/>
    </row>
    <row r="771" spans="1:20" ht="14.25" customHeight="1">
      <c r="A771" s="22">
        <v>872</v>
      </c>
      <c r="B771" s="36">
        <v>13750</v>
      </c>
      <c r="C771" s="22" t="str">
        <f>IFERROR(VLOOKUP(B771,Colaboradores!A:D,2,),"")</f>
        <v>JOSE ANTONIO ALVES MAGALHAES</v>
      </c>
      <c r="D771" s="22" t="str">
        <f>IFERROR(VLOOKUP(B771,Colaboradores!A:D,3,),"")</f>
        <v>GESTÃO INTEGRADA</v>
      </c>
      <c r="E771" s="22" t="str">
        <f>IFERROR(VLOOKUP(B771,Colaboradores!A:D,4,),"")</f>
        <v>GERENTE DE GESTÃO INTEGRADA</v>
      </c>
      <c r="F771" s="22" t="s">
        <v>64</v>
      </c>
      <c r="G771" s="24" t="str">
        <f>IFERROR(VLOOKUP(F771,Procedimentos!A:C,2,),"")</f>
        <v>AVALIAÇÃO DESEMPENHO</v>
      </c>
      <c r="H771" s="22" t="s">
        <v>7</v>
      </c>
      <c r="I771" s="25"/>
      <c r="J771" s="22">
        <v>12</v>
      </c>
      <c r="K771" s="25" t="str">
        <f t="shared" ref="K771:K834" si="35">IF(AND(I771&lt;&gt;"",J771&lt;&gt;""),DATE(YEAR(I771),MONTH(I771)+J771,DAY(I771)),"")</f>
        <v/>
      </c>
      <c r="L771" s="28" t="str">
        <f t="shared" ca="1" si="34"/>
        <v/>
      </c>
      <c r="M771" s="33" t="s">
        <v>60</v>
      </c>
      <c r="N771" s="28" t="s">
        <v>21</v>
      </c>
      <c r="O771" s="22" t="s">
        <v>28</v>
      </c>
      <c r="P771" s="25">
        <f t="shared" si="33"/>
        <v>91</v>
      </c>
      <c r="Q771" s="25"/>
      <c r="R771" s="25"/>
      <c r="S771" s="7"/>
      <c r="T771" s="7"/>
    </row>
    <row r="772" spans="1:20" ht="14.25" customHeight="1">
      <c r="A772" s="22">
        <v>873</v>
      </c>
      <c r="B772" s="36">
        <v>12685</v>
      </c>
      <c r="C772" s="22" t="str">
        <f>IFERROR(VLOOKUP(B772,Colaboradores!A:D,2,),"")</f>
        <v>LIDIANA CRISTINA MIRANDA FERREIRA</v>
      </c>
      <c r="D772" s="22" t="str">
        <f>IFERROR(VLOOKUP(B772,Colaboradores!A:D,3,),"")</f>
        <v>GESTÃO INTEGRADA</v>
      </c>
      <c r="E772" s="22" t="str">
        <f>IFERROR(VLOOKUP(B772,Colaboradores!A:D,4,),"")</f>
        <v>COORDENADOR DE GESTÃO INTEGRADA</v>
      </c>
      <c r="F772" s="22" t="s">
        <v>64</v>
      </c>
      <c r="G772" s="24" t="str">
        <f>IFERROR(VLOOKUP(F772,Procedimentos!A:C,2,),"")</f>
        <v>AVALIAÇÃO DESEMPENHO</v>
      </c>
      <c r="H772" s="22" t="s">
        <v>7</v>
      </c>
      <c r="I772" s="25"/>
      <c r="J772" s="22">
        <v>12</v>
      </c>
      <c r="K772" s="25" t="str">
        <f t="shared" si="35"/>
        <v/>
      </c>
      <c r="L772" s="28" t="str">
        <f t="shared" ca="1" si="34"/>
        <v/>
      </c>
      <c r="M772" s="33"/>
      <c r="N772" s="28" t="s">
        <v>21</v>
      </c>
      <c r="O772" s="22" t="s">
        <v>28</v>
      </c>
      <c r="P772" s="25"/>
      <c r="Q772" s="25"/>
      <c r="R772" s="25"/>
      <c r="S772" s="7"/>
      <c r="T772" s="7"/>
    </row>
    <row r="773" spans="1:20" ht="14.25" customHeight="1">
      <c r="A773" s="22">
        <v>874</v>
      </c>
      <c r="B773" s="36">
        <v>12684</v>
      </c>
      <c r="C773" s="22" t="str">
        <f>IFERROR(VLOOKUP(B773,Colaboradores!A:D,2,),"")</f>
        <v>JACIARA VIEIRA DA CRUZ DE AGUIAR</v>
      </c>
      <c r="D773" s="22" t="str">
        <f>IFERROR(VLOOKUP(B773,Colaboradores!A:D,3,),"")</f>
        <v>MEIO AMBIENTE</v>
      </c>
      <c r="E773" s="22" t="str">
        <f>IFERROR(VLOOKUP(B773,Colaboradores!A:D,4,),"")</f>
        <v>GERENTE DE MEIO AMBIENTE</v>
      </c>
      <c r="F773" s="22" t="s">
        <v>64</v>
      </c>
      <c r="G773" s="24" t="str">
        <f>IFERROR(VLOOKUP(F773,Procedimentos!A:C,2,),"")</f>
        <v>AVALIAÇÃO DESEMPENHO</v>
      </c>
      <c r="H773" s="25"/>
      <c r="I773" s="25">
        <v>45860</v>
      </c>
      <c r="J773" s="22">
        <v>12</v>
      </c>
      <c r="K773" s="25">
        <f t="shared" si="35"/>
        <v>46225</v>
      </c>
      <c r="L773" s="28" t="str">
        <f t="shared" ca="1" si="34"/>
        <v>Em dia</v>
      </c>
      <c r="M773" s="33" t="s">
        <v>65</v>
      </c>
      <c r="N773" s="28" t="s">
        <v>21</v>
      </c>
      <c r="O773" s="22" t="s">
        <v>28</v>
      </c>
      <c r="P773" s="25">
        <f t="shared" ref="P773:P775" si="36">EDATE(I773,3)</f>
        <v>45952</v>
      </c>
      <c r="Q773" s="25"/>
      <c r="R773" s="25"/>
      <c r="S773" s="7"/>
      <c r="T773" s="7"/>
    </row>
    <row r="774" spans="1:20" ht="14.25" customHeight="1">
      <c r="A774" s="22">
        <v>875</v>
      </c>
      <c r="B774" s="36">
        <v>7590</v>
      </c>
      <c r="C774" s="22" t="str">
        <f>IFERROR(VLOOKUP(B774,Colaboradores!A:D,2,),"")</f>
        <v>FABIOLA SOUSA MOURA BORGES</v>
      </c>
      <c r="D774" s="22" t="str">
        <f>IFERROR(VLOOKUP(B774,Colaboradores!A:D,3,),"")</f>
        <v>SAÚDE OCUPACIONAL</v>
      </c>
      <c r="E774" s="22" t="str">
        <f>IFERROR(VLOOKUP(B774,Colaboradores!A:D,4,),"")</f>
        <v>GERENTE DE SAÚDE OCUPACIONAL</v>
      </c>
      <c r="F774" s="22" t="s">
        <v>64</v>
      </c>
      <c r="G774" s="24" t="str">
        <f>IFERROR(VLOOKUP(F774,Procedimentos!A:C,2,),"")</f>
        <v>AVALIAÇÃO DESEMPENHO</v>
      </c>
      <c r="H774" s="22"/>
      <c r="I774" s="25">
        <v>45860</v>
      </c>
      <c r="J774" s="22">
        <v>12</v>
      </c>
      <c r="K774" s="25">
        <f t="shared" si="35"/>
        <v>46225</v>
      </c>
      <c r="L774" s="28" t="str">
        <f t="shared" ca="1" si="34"/>
        <v>Em dia</v>
      </c>
      <c r="M774" s="33" t="s">
        <v>65</v>
      </c>
      <c r="N774" s="28" t="s">
        <v>21</v>
      </c>
      <c r="O774" s="22" t="s">
        <v>28</v>
      </c>
      <c r="P774" s="25">
        <f t="shared" si="36"/>
        <v>45952</v>
      </c>
      <c r="Q774" s="25"/>
      <c r="R774" s="25"/>
      <c r="S774" s="7"/>
      <c r="T774" s="7"/>
    </row>
    <row r="775" spans="1:20" ht="14.25" customHeight="1">
      <c r="A775" s="22">
        <v>876</v>
      </c>
      <c r="B775" s="36">
        <v>13727</v>
      </c>
      <c r="C775" s="22" t="str">
        <f>IFERROR(VLOOKUP(B775,Colaboradores!A:D,2,),"")</f>
        <v>THIAGO MARIO LIMA GLERIA</v>
      </c>
      <c r="D775" s="22" t="str">
        <f>IFERROR(VLOOKUP(B775,Colaboradores!A:D,3,),"")</f>
        <v>SEGURANÇA DO TRABALHO</v>
      </c>
      <c r="E775" s="22" t="str">
        <f>IFERROR(VLOOKUP(B775,Colaboradores!A:D,4,),"")</f>
        <v>GERENTE DE SEGURANÇA DO TRABALHO</v>
      </c>
      <c r="F775" s="22" t="s">
        <v>64</v>
      </c>
      <c r="G775" s="24" t="str">
        <f>IFERROR(VLOOKUP(F775,Procedimentos!A:C,2,),"")</f>
        <v>AVALIAÇÃO DESEMPENHO</v>
      </c>
      <c r="H775" s="25"/>
      <c r="I775" s="25">
        <v>45860</v>
      </c>
      <c r="J775" s="22">
        <v>12</v>
      </c>
      <c r="K775" s="25">
        <f t="shared" si="35"/>
        <v>46225</v>
      </c>
      <c r="L775" s="28" t="str">
        <f t="shared" ca="1" si="34"/>
        <v>Em dia</v>
      </c>
      <c r="M775" s="33" t="s">
        <v>65</v>
      </c>
      <c r="N775" s="28" t="s">
        <v>21</v>
      </c>
      <c r="O775" s="22" t="s">
        <v>28</v>
      </c>
      <c r="P775" s="25">
        <f t="shared" si="36"/>
        <v>45952</v>
      </c>
      <c r="Q775" s="25"/>
      <c r="R775" s="25"/>
      <c r="S775" s="7"/>
      <c r="T775" s="7"/>
    </row>
    <row r="776" spans="1:20" ht="14.25" customHeight="1">
      <c r="A776" s="22">
        <v>877</v>
      </c>
      <c r="B776" s="36">
        <v>12451</v>
      </c>
      <c r="C776" s="22" t="str">
        <f>IFERROR(VLOOKUP(B776,Colaboradores!A:D,2,),"")</f>
        <v>JORGE CARLOS ARAUJO DE ARAUJO</v>
      </c>
      <c r="D776" s="22" t="str">
        <f>IFERROR(VLOOKUP(B776,Colaboradores!A:D,3,),"")</f>
        <v>DIRETORIA</v>
      </c>
      <c r="E776" s="22" t="str">
        <f>IFERROR(VLOOKUP(B776,Colaboradores!A:D,4,),"")</f>
        <v>DIRETOR GERAL</v>
      </c>
      <c r="F776" s="22" t="s">
        <v>64</v>
      </c>
      <c r="G776" s="24" t="str">
        <f>IFERROR(VLOOKUP(F776,Procedimentos!A:C,2,),"")</f>
        <v>AVALIAÇÃO DESEMPENHO</v>
      </c>
      <c r="H776" s="22" t="s">
        <v>7</v>
      </c>
      <c r="I776" s="25"/>
      <c r="J776" s="22">
        <v>12</v>
      </c>
      <c r="K776" s="25" t="str">
        <f t="shared" si="35"/>
        <v/>
      </c>
      <c r="L776" s="28" t="str">
        <f t="shared" ca="1" si="34"/>
        <v/>
      </c>
      <c r="M776" s="33"/>
      <c r="N776" s="28" t="s">
        <v>21</v>
      </c>
      <c r="O776" s="22" t="s">
        <v>28</v>
      </c>
      <c r="P776" s="25"/>
      <c r="Q776" s="25"/>
      <c r="R776" s="25"/>
      <c r="S776" s="7"/>
      <c r="T776" s="7"/>
    </row>
    <row r="777" spans="1:20" ht="14.25" customHeight="1">
      <c r="A777" s="22">
        <v>878</v>
      </c>
      <c r="B777" s="36">
        <v>12671</v>
      </c>
      <c r="C777" s="22" t="str">
        <f>IFERROR(VLOOKUP(B777,Colaboradores!A:D,2,),"")</f>
        <v>LEONARDO ESPINDOLA FONSECA ROCHA</v>
      </c>
      <c r="D777" s="22" t="str">
        <f>IFERROR(VLOOKUP(B777,Colaboradores!A:D,3,),"")</f>
        <v>DIRETORIA</v>
      </c>
      <c r="E777" s="22" t="str">
        <f>IFERROR(VLOOKUP(B777,Colaboradores!A:D,4,),"")</f>
        <v>GERENTE GERAL</v>
      </c>
      <c r="F777" s="22" t="s">
        <v>64</v>
      </c>
      <c r="G777" s="24" t="str">
        <f>IFERROR(VLOOKUP(F777,Procedimentos!A:C,2,),"")</f>
        <v>AVALIAÇÃO DESEMPENHO</v>
      </c>
      <c r="H777" s="25"/>
      <c r="I777" s="25">
        <v>45860</v>
      </c>
      <c r="J777" s="22">
        <v>12</v>
      </c>
      <c r="K777" s="25">
        <f t="shared" si="35"/>
        <v>46225</v>
      </c>
      <c r="L777" s="28" t="str">
        <f t="shared" ca="1" si="34"/>
        <v>Em dia</v>
      </c>
      <c r="M777" s="33" t="s">
        <v>65</v>
      </c>
      <c r="N777" s="28" t="s">
        <v>21</v>
      </c>
      <c r="O777" s="22" t="s">
        <v>28</v>
      </c>
      <c r="P777" s="25">
        <f t="shared" ref="P777:P779" si="37">EDATE(I777,3)</f>
        <v>45952</v>
      </c>
      <c r="Q777" s="25"/>
      <c r="R777" s="25"/>
      <c r="S777" s="7"/>
      <c r="T777" s="7"/>
    </row>
    <row r="778" spans="1:20" ht="14.25" customHeight="1">
      <c r="A778" s="22">
        <v>879</v>
      </c>
      <c r="B778" s="36">
        <v>13750</v>
      </c>
      <c r="C778" s="22" t="str">
        <f>IFERROR(VLOOKUP(B778,Colaboradores!A:D,2,),"")</f>
        <v>JOSE ANTONIO ALVES MAGALHAES</v>
      </c>
      <c r="D778" s="22" t="str">
        <f>IFERROR(VLOOKUP(B778,Colaboradores!A:D,3,),"")</f>
        <v>GESTÃO INTEGRADA</v>
      </c>
      <c r="E778" s="22" t="str">
        <f>IFERROR(VLOOKUP(B778,Colaboradores!A:D,4,),"")</f>
        <v>GERENTE DE GESTÃO INTEGRADA</v>
      </c>
      <c r="F778" s="22" t="s">
        <v>66</v>
      </c>
      <c r="G778" s="24" t="str">
        <f>IFERROR(VLOOKUP(F778,Procedimentos!A:C,2,),"")</f>
        <v>PROCEDIMENTO DE GERENCIAMENTO DE RISCOS</v>
      </c>
      <c r="H778" s="25"/>
      <c r="I778" s="25">
        <v>45860</v>
      </c>
      <c r="J778" s="22">
        <v>12</v>
      </c>
      <c r="K778" s="25">
        <f t="shared" si="35"/>
        <v>46225</v>
      </c>
      <c r="L778" s="28" t="str">
        <f t="shared" ca="1" si="34"/>
        <v>Em dia</v>
      </c>
      <c r="M778" s="33" t="s">
        <v>65</v>
      </c>
      <c r="N778" s="28" t="s">
        <v>21</v>
      </c>
      <c r="O778" s="22" t="s">
        <v>28</v>
      </c>
      <c r="P778" s="25">
        <f t="shared" si="37"/>
        <v>45952</v>
      </c>
      <c r="Q778" s="25"/>
      <c r="R778" s="25"/>
      <c r="S778" s="7"/>
      <c r="T778" s="7"/>
    </row>
    <row r="779" spans="1:20" ht="14.25" customHeight="1">
      <c r="A779" s="22">
        <v>880</v>
      </c>
      <c r="B779" s="36">
        <v>12685</v>
      </c>
      <c r="C779" s="22" t="str">
        <f>IFERROR(VLOOKUP(B779,Colaboradores!A:D,2,),"")</f>
        <v>LIDIANA CRISTINA MIRANDA FERREIRA</v>
      </c>
      <c r="D779" s="22" t="str">
        <f>IFERROR(VLOOKUP(B779,Colaboradores!A:D,3,),"")</f>
        <v>GESTÃO INTEGRADA</v>
      </c>
      <c r="E779" s="22" t="str">
        <f>IFERROR(VLOOKUP(B779,Colaboradores!A:D,4,),"")</f>
        <v>COORDENADOR DE GESTÃO INTEGRADA</v>
      </c>
      <c r="F779" s="22" t="s">
        <v>66</v>
      </c>
      <c r="G779" s="24" t="str">
        <f>IFERROR(VLOOKUP(F779,Procedimentos!A:C,2,),"")</f>
        <v>PROCEDIMENTO DE GERENCIAMENTO DE RISCOS</v>
      </c>
      <c r="H779" s="25"/>
      <c r="I779" s="25">
        <v>45860</v>
      </c>
      <c r="J779" s="22">
        <v>12</v>
      </c>
      <c r="K779" s="25">
        <f t="shared" si="35"/>
        <v>46225</v>
      </c>
      <c r="L779" s="28" t="str">
        <f t="shared" ca="1" si="34"/>
        <v>Em dia</v>
      </c>
      <c r="M779" s="33" t="s">
        <v>65</v>
      </c>
      <c r="N779" s="28" t="s">
        <v>21</v>
      </c>
      <c r="O779" s="22" t="s">
        <v>28</v>
      </c>
      <c r="P779" s="25">
        <f t="shared" si="37"/>
        <v>45952</v>
      </c>
      <c r="Q779" s="25"/>
      <c r="R779" s="25"/>
      <c r="S779" s="7"/>
      <c r="T779" s="7"/>
    </row>
    <row r="780" spans="1:20" ht="14.25" customHeight="1">
      <c r="A780" s="22">
        <v>881</v>
      </c>
      <c r="B780" s="36">
        <v>12684</v>
      </c>
      <c r="C780" s="22" t="str">
        <f>IFERROR(VLOOKUP(B780,Colaboradores!A:D,2,),"")</f>
        <v>JACIARA VIEIRA DA CRUZ DE AGUIAR</v>
      </c>
      <c r="D780" s="22" t="str">
        <f>IFERROR(VLOOKUP(B780,Colaboradores!A:D,3,),"")</f>
        <v>MEIO AMBIENTE</v>
      </c>
      <c r="E780" s="22" t="str">
        <f>IFERROR(VLOOKUP(B780,Colaboradores!A:D,4,),"")</f>
        <v>GERENTE DE MEIO AMBIENTE</v>
      </c>
      <c r="F780" s="22" t="s">
        <v>66</v>
      </c>
      <c r="G780" s="24" t="str">
        <f>IFERROR(VLOOKUP(F780,Procedimentos!A:C,2,),"")</f>
        <v>PROCEDIMENTO DE GERENCIAMENTO DE RISCOS</v>
      </c>
      <c r="H780" s="22" t="s">
        <v>7</v>
      </c>
      <c r="I780" s="25"/>
      <c r="J780" s="22">
        <v>12</v>
      </c>
      <c r="K780" s="25" t="str">
        <f t="shared" si="35"/>
        <v/>
      </c>
      <c r="L780" s="28" t="str">
        <f t="shared" ca="1" si="34"/>
        <v/>
      </c>
      <c r="M780" s="33"/>
      <c r="N780" s="28" t="s">
        <v>21</v>
      </c>
      <c r="O780" s="22" t="s">
        <v>28</v>
      </c>
      <c r="P780" s="25"/>
      <c r="Q780" s="25"/>
      <c r="R780" s="25"/>
      <c r="S780" s="7"/>
      <c r="T780" s="7"/>
    </row>
    <row r="781" spans="1:20" ht="14.25" customHeight="1">
      <c r="A781" s="22">
        <v>882</v>
      </c>
      <c r="B781" s="36">
        <v>7590</v>
      </c>
      <c r="C781" s="22" t="str">
        <f>IFERROR(VLOOKUP(B781,Colaboradores!A:D,2,),"")</f>
        <v>FABIOLA SOUSA MOURA BORGES</v>
      </c>
      <c r="D781" s="22" t="str">
        <f>IFERROR(VLOOKUP(B781,Colaboradores!A:D,3,),"")</f>
        <v>SAÚDE OCUPACIONAL</v>
      </c>
      <c r="E781" s="22" t="str">
        <f>IFERROR(VLOOKUP(B781,Colaboradores!A:D,4,),"")</f>
        <v>GERENTE DE SAÚDE OCUPACIONAL</v>
      </c>
      <c r="F781" s="22" t="s">
        <v>66</v>
      </c>
      <c r="G781" s="24" t="str">
        <f>IFERROR(VLOOKUP(F781,Procedimentos!A:C,2,),"")</f>
        <v>PROCEDIMENTO DE GERENCIAMENTO DE RISCOS</v>
      </c>
      <c r="H781" s="22"/>
      <c r="I781" s="25">
        <v>45860</v>
      </c>
      <c r="J781" s="22">
        <v>12</v>
      </c>
      <c r="K781" s="25">
        <f t="shared" si="35"/>
        <v>46225</v>
      </c>
      <c r="L781" s="28" t="str">
        <f t="shared" ca="1" si="34"/>
        <v>Em dia</v>
      </c>
      <c r="M781" s="33" t="s">
        <v>65</v>
      </c>
      <c r="N781" s="28" t="s">
        <v>21</v>
      </c>
      <c r="O781" s="22" t="s">
        <v>28</v>
      </c>
      <c r="P781" s="25">
        <f t="shared" ref="P781:P782" si="38">EDATE(I781,3)</f>
        <v>45952</v>
      </c>
      <c r="Q781" s="25"/>
      <c r="R781" s="25"/>
      <c r="S781" s="7"/>
      <c r="T781" s="7"/>
    </row>
    <row r="782" spans="1:20" ht="14.25" customHeight="1">
      <c r="A782" s="22">
        <v>883</v>
      </c>
      <c r="B782" s="36">
        <v>13727</v>
      </c>
      <c r="C782" s="22" t="str">
        <f>IFERROR(VLOOKUP(B782,Colaboradores!A:D,2,),"")</f>
        <v>THIAGO MARIO LIMA GLERIA</v>
      </c>
      <c r="D782" s="22" t="str">
        <f>IFERROR(VLOOKUP(B782,Colaboradores!A:D,3,),"")</f>
        <v>SEGURANÇA DO TRABALHO</v>
      </c>
      <c r="E782" s="22" t="str">
        <f>IFERROR(VLOOKUP(B782,Colaboradores!A:D,4,),"")</f>
        <v>GERENTE DE SEGURANÇA DO TRABALHO</v>
      </c>
      <c r="F782" s="22" t="s">
        <v>66</v>
      </c>
      <c r="G782" s="24" t="str">
        <f>IFERROR(VLOOKUP(F782,Procedimentos!A:C,2,),"")</f>
        <v>PROCEDIMENTO DE GERENCIAMENTO DE RISCOS</v>
      </c>
      <c r="H782" s="25"/>
      <c r="I782" s="25">
        <v>45860</v>
      </c>
      <c r="J782" s="22">
        <v>12</v>
      </c>
      <c r="K782" s="25">
        <f t="shared" si="35"/>
        <v>46225</v>
      </c>
      <c r="L782" s="28" t="str">
        <f t="shared" ca="1" si="34"/>
        <v>Em dia</v>
      </c>
      <c r="M782" s="33" t="s">
        <v>65</v>
      </c>
      <c r="N782" s="28" t="s">
        <v>21</v>
      </c>
      <c r="O782" s="22" t="s">
        <v>28</v>
      </c>
      <c r="P782" s="25">
        <f t="shared" si="38"/>
        <v>45952</v>
      </c>
      <c r="Q782" s="25"/>
      <c r="R782" s="25"/>
      <c r="S782" s="7"/>
      <c r="T782" s="7"/>
    </row>
    <row r="783" spans="1:20" ht="14.25" customHeight="1">
      <c r="A783" s="22">
        <v>884</v>
      </c>
      <c r="B783" s="36">
        <v>12451</v>
      </c>
      <c r="C783" s="22" t="str">
        <f>IFERROR(VLOOKUP(B783,Colaboradores!A:D,2,),"")</f>
        <v>JORGE CARLOS ARAUJO DE ARAUJO</v>
      </c>
      <c r="D783" s="22" t="str">
        <f>IFERROR(VLOOKUP(B783,Colaboradores!A:D,3,),"")</f>
        <v>DIRETORIA</v>
      </c>
      <c r="E783" s="22" t="str">
        <f>IFERROR(VLOOKUP(B783,Colaboradores!A:D,4,),"")</f>
        <v>DIRETOR GERAL</v>
      </c>
      <c r="F783" s="22" t="s">
        <v>66</v>
      </c>
      <c r="G783" s="24" t="str">
        <f>IFERROR(VLOOKUP(F783,Procedimentos!A:C,2,),"")</f>
        <v>PROCEDIMENTO DE GERENCIAMENTO DE RISCOS</v>
      </c>
      <c r="H783" s="22" t="s">
        <v>7</v>
      </c>
      <c r="I783" s="25"/>
      <c r="J783" s="22">
        <v>12</v>
      </c>
      <c r="K783" s="25" t="str">
        <f t="shared" si="35"/>
        <v/>
      </c>
      <c r="L783" s="28" t="str">
        <f t="shared" ca="1" si="34"/>
        <v/>
      </c>
      <c r="M783" s="33"/>
      <c r="N783" s="28" t="s">
        <v>21</v>
      </c>
      <c r="O783" s="22" t="s">
        <v>28</v>
      </c>
      <c r="P783" s="25"/>
      <c r="Q783" s="25"/>
      <c r="R783" s="25"/>
      <c r="S783" s="7"/>
      <c r="T783" s="7"/>
    </row>
    <row r="784" spans="1:20" ht="14.25" customHeight="1">
      <c r="A784" s="22">
        <v>885</v>
      </c>
      <c r="B784" s="36">
        <v>12671</v>
      </c>
      <c r="C784" s="22" t="str">
        <f>IFERROR(VLOOKUP(B784,Colaboradores!A:D,2,),"")</f>
        <v>LEONARDO ESPINDOLA FONSECA ROCHA</v>
      </c>
      <c r="D784" s="22" t="str">
        <f>IFERROR(VLOOKUP(B784,Colaboradores!A:D,3,),"")</f>
        <v>DIRETORIA</v>
      </c>
      <c r="E784" s="22" t="str">
        <f>IFERROR(VLOOKUP(B784,Colaboradores!A:D,4,),"")</f>
        <v>GERENTE GERAL</v>
      </c>
      <c r="F784" s="22" t="s">
        <v>66</v>
      </c>
      <c r="G784" s="24" t="str">
        <f>IFERROR(VLOOKUP(F784,Procedimentos!A:C,2,),"")</f>
        <v>PROCEDIMENTO DE GERENCIAMENTO DE RISCOS</v>
      </c>
      <c r="H784" s="22" t="s">
        <v>7</v>
      </c>
      <c r="I784" s="25"/>
      <c r="J784" s="22">
        <v>12</v>
      </c>
      <c r="K784" s="25" t="str">
        <f t="shared" si="35"/>
        <v/>
      </c>
      <c r="L784" s="28" t="str">
        <f t="shared" ca="1" si="34"/>
        <v/>
      </c>
      <c r="M784" s="33"/>
      <c r="N784" s="28" t="s">
        <v>21</v>
      </c>
      <c r="O784" s="22" t="s">
        <v>28</v>
      </c>
      <c r="P784" s="25"/>
      <c r="Q784" s="25"/>
      <c r="R784" s="25"/>
      <c r="S784" s="7"/>
      <c r="T784" s="7"/>
    </row>
    <row r="785" spans="1:20" ht="14.25" customHeight="1">
      <c r="A785" s="22">
        <v>886</v>
      </c>
      <c r="B785" s="36">
        <v>14525</v>
      </c>
      <c r="C785" s="22" t="str">
        <f>IFERROR(VLOOKUP(B785,Colaboradores!A:D,2,),"")</f>
        <v>IANKA PRAZERES CUNHA</v>
      </c>
      <c r="D785" s="22" t="str">
        <f>IFERROR(VLOOKUP(B785,Colaboradores!A:D,3,),"")</f>
        <v>GESTÃO INTEGRADA</v>
      </c>
      <c r="E785" s="22" t="str">
        <f>IFERROR(VLOOKUP(B785,Colaboradores!A:D,4,),"")</f>
        <v>ANALISTA DE GESTÃO INTEGRADA</v>
      </c>
      <c r="F785" s="22" t="s">
        <v>67</v>
      </c>
      <c r="G785" s="24" t="str">
        <f>IFERROR(VLOOKUP(F785,Procedimentos!A:C,2,),"")</f>
        <v>SISTEMATICA DE ROTINA DE REUNIÕES DA DESSMA</v>
      </c>
      <c r="H785" s="22" t="s">
        <v>7</v>
      </c>
      <c r="I785" s="25"/>
      <c r="J785" s="22">
        <v>12</v>
      </c>
      <c r="K785" s="25" t="str">
        <f t="shared" si="35"/>
        <v/>
      </c>
      <c r="L785" s="28" t="str">
        <f t="shared" ca="1" si="34"/>
        <v/>
      </c>
      <c r="M785" s="33"/>
      <c r="N785" s="28" t="s">
        <v>21</v>
      </c>
      <c r="O785" s="22" t="s">
        <v>28</v>
      </c>
      <c r="P785" s="25"/>
      <c r="Q785" s="25"/>
      <c r="R785" s="25"/>
      <c r="S785" s="7"/>
      <c r="T785" s="7"/>
    </row>
    <row r="786" spans="1:20" ht="14.25" customHeight="1">
      <c r="A786" s="22">
        <v>887</v>
      </c>
      <c r="B786" s="36">
        <v>13750</v>
      </c>
      <c r="C786" s="22" t="str">
        <f>IFERROR(VLOOKUP(B786,Colaboradores!A:D,2,),"")</f>
        <v>JOSE ANTONIO ALVES MAGALHAES</v>
      </c>
      <c r="D786" s="22" t="str">
        <f>IFERROR(VLOOKUP(B786,Colaboradores!A:D,3,),"")</f>
        <v>GESTÃO INTEGRADA</v>
      </c>
      <c r="E786" s="22" t="str">
        <f>IFERROR(VLOOKUP(B786,Colaboradores!A:D,4,),"")</f>
        <v>GERENTE DE GESTÃO INTEGRADA</v>
      </c>
      <c r="F786" s="22" t="s">
        <v>67</v>
      </c>
      <c r="G786" s="24" t="str">
        <f>IFERROR(VLOOKUP(F786,Procedimentos!A:C,2,),"")</f>
        <v>SISTEMATICA DE ROTINA DE REUNIÕES DA DESSMA</v>
      </c>
      <c r="H786" s="22" t="s">
        <v>7</v>
      </c>
      <c r="I786" s="25"/>
      <c r="J786" s="22">
        <v>12</v>
      </c>
      <c r="K786" s="25" t="str">
        <f t="shared" si="35"/>
        <v/>
      </c>
      <c r="L786" s="28" t="str">
        <f t="shared" ca="1" si="34"/>
        <v/>
      </c>
      <c r="M786" s="33"/>
      <c r="N786" s="28" t="s">
        <v>21</v>
      </c>
      <c r="O786" s="22" t="s">
        <v>28</v>
      </c>
      <c r="P786" s="25"/>
      <c r="Q786" s="25"/>
      <c r="R786" s="25"/>
      <c r="S786" s="7"/>
      <c r="T786" s="7"/>
    </row>
    <row r="787" spans="1:20" ht="14.25" customHeight="1">
      <c r="A787" s="22">
        <v>888</v>
      </c>
      <c r="B787" s="36">
        <v>12712</v>
      </c>
      <c r="C787" s="22" t="str">
        <f>IFERROR(VLOOKUP(B787,Colaboradores!A:D,2,),"")</f>
        <v>JOYCE CLEIA MIRANDA BARROS</v>
      </c>
      <c r="D787" s="22" t="str">
        <f>IFERROR(VLOOKUP(B787,Colaboradores!A:D,3,),"")</f>
        <v>GESTÃO INTEGRADA</v>
      </c>
      <c r="E787" s="22" t="str">
        <f>IFERROR(VLOOKUP(B787,Colaboradores!A:D,4,),"")</f>
        <v>ANALISTA DE GESTÃO INTEGRADA</v>
      </c>
      <c r="F787" s="22" t="s">
        <v>67</v>
      </c>
      <c r="G787" s="24" t="str">
        <f>IFERROR(VLOOKUP(F787,Procedimentos!A:C,2,),"")</f>
        <v>SISTEMATICA DE ROTINA DE REUNIÕES DA DESSMA</v>
      </c>
      <c r="H787" s="22" t="s">
        <v>7</v>
      </c>
      <c r="I787" s="25"/>
      <c r="J787" s="22">
        <v>12</v>
      </c>
      <c r="K787" s="25" t="str">
        <f t="shared" si="35"/>
        <v/>
      </c>
      <c r="L787" s="28" t="str">
        <f t="shared" ca="1" si="34"/>
        <v/>
      </c>
      <c r="M787" s="33"/>
      <c r="N787" s="28" t="s">
        <v>21</v>
      </c>
      <c r="O787" s="22" t="s">
        <v>28</v>
      </c>
      <c r="P787" s="25"/>
      <c r="Q787" s="25"/>
      <c r="R787" s="25"/>
      <c r="S787" s="7"/>
      <c r="T787" s="7"/>
    </row>
    <row r="788" spans="1:20" ht="14.25" customHeight="1">
      <c r="A788" s="22">
        <v>889</v>
      </c>
      <c r="B788" s="36">
        <v>13787</v>
      </c>
      <c r="C788" s="22" t="str">
        <f>IFERROR(VLOOKUP(B788,Colaboradores!A:D,2,),"")</f>
        <v>KELLE SOCORRO MENDES GUIGNONI</v>
      </c>
      <c r="D788" s="22" t="str">
        <f>IFERROR(VLOOKUP(B788,Colaboradores!A:D,3,),"")</f>
        <v>GESTÃO INTEGRADA</v>
      </c>
      <c r="E788" s="22" t="str">
        <f>IFERROR(VLOOKUP(B788,Colaboradores!A:D,4,),"")</f>
        <v>ANALISTA DE GESTÃO INTEGRADA</v>
      </c>
      <c r="F788" s="22" t="s">
        <v>67</v>
      </c>
      <c r="G788" s="24" t="str">
        <f>IFERROR(VLOOKUP(F788,Procedimentos!A:C,2,),"")</f>
        <v>SISTEMATICA DE ROTINA DE REUNIÕES DA DESSMA</v>
      </c>
      <c r="H788" s="22" t="s">
        <v>7</v>
      </c>
      <c r="I788" s="25"/>
      <c r="J788" s="22">
        <v>12</v>
      </c>
      <c r="K788" s="25" t="str">
        <f t="shared" si="35"/>
        <v/>
      </c>
      <c r="L788" s="28" t="str">
        <f t="shared" ca="1" si="34"/>
        <v/>
      </c>
      <c r="M788" s="33"/>
      <c r="N788" s="28" t="s">
        <v>21</v>
      </c>
      <c r="O788" s="22" t="s">
        <v>28</v>
      </c>
      <c r="P788" s="25"/>
      <c r="Q788" s="25"/>
      <c r="R788" s="25"/>
      <c r="S788" s="7"/>
      <c r="T788" s="7"/>
    </row>
    <row r="789" spans="1:20" ht="14.25" customHeight="1">
      <c r="A789" s="22">
        <v>890</v>
      </c>
      <c r="B789" s="36">
        <v>12685</v>
      </c>
      <c r="C789" s="22" t="str">
        <f>IFERROR(VLOOKUP(B789,Colaboradores!A:D,2,),"")</f>
        <v>LIDIANA CRISTINA MIRANDA FERREIRA</v>
      </c>
      <c r="D789" s="22" t="str">
        <f>IFERROR(VLOOKUP(B789,Colaboradores!A:D,3,),"")</f>
        <v>GESTÃO INTEGRADA</v>
      </c>
      <c r="E789" s="22" t="str">
        <f>IFERROR(VLOOKUP(B789,Colaboradores!A:D,4,),"")</f>
        <v>COORDENADOR DE GESTÃO INTEGRADA</v>
      </c>
      <c r="F789" s="22" t="s">
        <v>67</v>
      </c>
      <c r="G789" s="24" t="str">
        <f>IFERROR(VLOOKUP(F789,Procedimentos!A:C,2,),"")</f>
        <v>SISTEMATICA DE ROTINA DE REUNIÕES DA DESSMA</v>
      </c>
      <c r="H789" s="22" t="s">
        <v>7</v>
      </c>
      <c r="I789" s="25"/>
      <c r="J789" s="22">
        <v>12</v>
      </c>
      <c r="K789" s="25" t="str">
        <f t="shared" si="35"/>
        <v/>
      </c>
      <c r="L789" s="28" t="str">
        <f t="shared" ca="1" si="34"/>
        <v/>
      </c>
      <c r="M789" s="33"/>
      <c r="N789" s="28" t="s">
        <v>21</v>
      </c>
      <c r="O789" s="22" t="s">
        <v>28</v>
      </c>
      <c r="P789" s="25"/>
      <c r="Q789" s="25"/>
      <c r="R789" s="25"/>
      <c r="S789" s="7"/>
      <c r="T789" s="7"/>
    </row>
    <row r="790" spans="1:20" ht="14.25" customHeight="1">
      <c r="A790" s="22">
        <v>891</v>
      </c>
      <c r="B790" s="36">
        <v>12684</v>
      </c>
      <c r="C790" s="22" t="str">
        <f>IFERROR(VLOOKUP(B790,Colaboradores!A:D,2,),"")</f>
        <v>JACIARA VIEIRA DA CRUZ DE AGUIAR</v>
      </c>
      <c r="D790" s="22" t="str">
        <f>IFERROR(VLOOKUP(B790,Colaboradores!A:D,3,),"")</f>
        <v>MEIO AMBIENTE</v>
      </c>
      <c r="E790" s="22" t="str">
        <f>IFERROR(VLOOKUP(B790,Colaboradores!A:D,4,),"")</f>
        <v>GERENTE DE MEIO AMBIENTE</v>
      </c>
      <c r="F790" s="22" t="s">
        <v>67</v>
      </c>
      <c r="G790" s="24" t="str">
        <f>IFERROR(VLOOKUP(F790,Procedimentos!A:C,2,),"")</f>
        <v>SISTEMATICA DE ROTINA DE REUNIÕES DA DESSMA</v>
      </c>
      <c r="H790" s="25"/>
      <c r="I790" s="25">
        <v>45860</v>
      </c>
      <c r="J790" s="22">
        <v>12</v>
      </c>
      <c r="K790" s="25">
        <f t="shared" si="35"/>
        <v>46225</v>
      </c>
      <c r="L790" s="28" t="str">
        <f t="shared" ca="1" si="34"/>
        <v>Em dia</v>
      </c>
      <c r="M790" s="33" t="s">
        <v>65</v>
      </c>
      <c r="N790" s="28" t="s">
        <v>21</v>
      </c>
      <c r="O790" s="22" t="s">
        <v>28</v>
      </c>
      <c r="P790" s="25">
        <f>EDATE(I790,3)</f>
        <v>45952</v>
      </c>
      <c r="Q790" s="25"/>
      <c r="R790" s="25"/>
      <c r="S790" s="7"/>
      <c r="T790" s="7"/>
    </row>
    <row r="791" spans="1:20" ht="14.25" customHeight="1">
      <c r="A791" s="22">
        <v>892</v>
      </c>
      <c r="B791" s="36">
        <v>7590</v>
      </c>
      <c r="C791" s="22" t="str">
        <f>IFERROR(VLOOKUP(B791,Colaboradores!A:D,2,),"")</f>
        <v>FABIOLA SOUSA MOURA BORGES</v>
      </c>
      <c r="D791" s="22" t="str">
        <f>IFERROR(VLOOKUP(B791,Colaboradores!A:D,3,),"")</f>
        <v>SAÚDE OCUPACIONAL</v>
      </c>
      <c r="E791" s="22" t="str">
        <f>IFERROR(VLOOKUP(B791,Colaboradores!A:D,4,),"")</f>
        <v>GERENTE DE SAÚDE OCUPACIONAL</v>
      </c>
      <c r="F791" s="22" t="s">
        <v>67</v>
      </c>
      <c r="G791" s="24" t="str">
        <f>IFERROR(VLOOKUP(F791,Procedimentos!A:C,2,),"")</f>
        <v>SISTEMATICA DE ROTINA DE REUNIÕES DA DESSMA</v>
      </c>
      <c r="H791" s="25"/>
      <c r="I791" s="25">
        <v>45860</v>
      </c>
      <c r="J791" s="22">
        <v>12</v>
      </c>
      <c r="K791" s="25">
        <f t="shared" si="35"/>
        <v>46225</v>
      </c>
      <c r="L791" s="28" t="str">
        <f t="shared" ca="1" si="34"/>
        <v>Em dia</v>
      </c>
      <c r="M791" s="33" t="s">
        <v>65</v>
      </c>
      <c r="N791" s="28" t="s">
        <v>21</v>
      </c>
      <c r="O791" s="22" t="s">
        <v>28</v>
      </c>
      <c r="P791" s="25">
        <f>EDATE(I791,3)</f>
        <v>45952</v>
      </c>
      <c r="Q791" s="25"/>
      <c r="R791" s="25"/>
      <c r="S791" s="7"/>
      <c r="T791" s="7"/>
    </row>
    <row r="792" spans="1:20" ht="14.25" customHeight="1">
      <c r="A792" s="22">
        <v>893</v>
      </c>
      <c r="B792" s="36">
        <v>13727</v>
      </c>
      <c r="C792" s="22" t="str">
        <f>IFERROR(VLOOKUP(B792,Colaboradores!A:D,2,),"")</f>
        <v>THIAGO MARIO LIMA GLERIA</v>
      </c>
      <c r="D792" s="22" t="str">
        <f>IFERROR(VLOOKUP(B792,Colaboradores!A:D,3,),"")</f>
        <v>SEGURANÇA DO TRABALHO</v>
      </c>
      <c r="E792" s="22" t="str">
        <f>IFERROR(VLOOKUP(B792,Colaboradores!A:D,4,),"")</f>
        <v>GERENTE DE SEGURANÇA DO TRABALHO</v>
      </c>
      <c r="F792" s="22" t="s">
        <v>67</v>
      </c>
      <c r="G792" s="24" t="str">
        <f>IFERROR(VLOOKUP(F792,Procedimentos!A:C,2,),"")</f>
        <v>SISTEMATICA DE ROTINA DE REUNIÕES DA DESSMA</v>
      </c>
      <c r="H792" s="25"/>
      <c r="I792" s="25">
        <v>45860</v>
      </c>
      <c r="J792" s="22">
        <v>12</v>
      </c>
      <c r="K792" s="25">
        <f t="shared" si="35"/>
        <v>46225</v>
      </c>
      <c r="L792" s="28" t="str">
        <f t="shared" ca="1" si="34"/>
        <v>Em dia</v>
      </c>
      <c r="M792" s="33" t="s">
        <v>65</v>
      </c>
      <c r="N792" s="28" t="s">
        <v>21</v>
      </c>
      <c r="O792" s="22" t="s">
        <v>28</v>
      </c>
      <c r="P792" s="25">
        <f>EDATE(I792,3)</f>
        <v>45952</v>
      </c>
      <c r="Q792" s="25"/>
      <c r="R792" s="25"/>
      <c r="S792" s="7"/>
      <c r="T792" s="7"/>
    </row>
    <row r="793" spans="1:20" ht="14.25" customHeight="1">
      <c r="A793" s="22">
        <v>894</v>
      </c>
      <c r="B793" s="36">
        <v>12451</v>
      </c>
      <c r="C793" s="22" t="str">
        <f>IFERROR(VLOOKUP(B793,Colaboradores!A:D,2,),"")</f>
        <v>JORGE CARLOS ARAUJO DE ARAUJO</v>
      </c>
      <c r="D793" s="22" t="str">
        <f>IFERROR(VLOOKUP(B793,Colaboradores!A:D,3,),"")</f>
        <v>DIRETORIA</v>
      </c>
      <c r="E793" s="22" t="str">
        <f>IFERROR(VLOOKUP(B793,Colaboradores!A:D,4,),"")</f>
        <v>DIRETOR GERAL</v>
      </c>
      <c r="F793" s="22" t="s">
        <v>67</v>
      </c>
      <c r="G793" s="24" t="str">
        <f>IFERROR(VLOOKUP(F793,Procedimentos!A:C,2,),"")</f>
        <v>SISTEMATICA DE ROTINA DE REUNIÕES DA DESSMA</v>
      </c>
      <c r="H793" s="25"/>
      <c r="I793" s="25">
        <v>45860</v>
      </c>
      <c r="J793" s="22">
        <v>12</v>
      </c>
      <c r="K793" s="25">
        <f t="shared" si="35"/>
        <v>46225</v>
      </c>
      <c r="L793" s="28" t="str">
        <f t="shared" ca="1" si="34"/>
        <v>Em dia</v>
      </c>
      <c r="M793" s="33" t="s">
        <v>65</v>
      </c>
      <c r="N793" s="28" t="s">
        <v>21</v>
      </c>
      <c r="O793" s="22" t="s">
        <v>28</v>
      </c>
      <c r="P793" s="25">
        <f>EDATE(I793,3)</f>
        <v>45952</v>
      </c>
      <c r="Q793" s="25"/>
      <c r="R793" s="25"/>
      <c r="S793" s="7"/>
      <c r="T793" s="7"/>
    </row>
    <row r="794" spans="1:20" ht="14.25" customHeight="1">
      <c r="A794" s="22">
        <v>895</v>
      </c>
      <c r="B794" s="36">
        <v>12671</v>
      </c>
      <c r="C794" s="22" t="str">
        <f>IFERROR(VLOOKUP(B794,Colaboradores!A:D,2,),"")</f>
        <v>LEONARDO ESPINDOLA FONSECA ROCHA</v>
      </c>
      <c r="D794" s="22" t="str">
        <f>IFERROR(VLOOKUP(B794,Colaboradores!A:D,3,),"")</f>
        <v>DIRETORIA</v>
      </c>
      <c r="E794" s="22" t="str">
        <f>IFERROR(VLOOKUP(B794,Colaboradores!A:D,4,),"")</f>
        <v>GERENTE GERAL</v>
      </c>
      <c r="F794" s="22" t="s">
        <v>67</v>
      </c>
      <c r="G794" s="24" t="str">
        <f>IFERROR(VLOOKUP(F794,Procedimentos!A:C,2,),"")</f>
        <v>SISTEMATICA DE ROTINA DE REUNIÕES DA DESSMA</v>
      </c>
      <c r="H794" s="25"/>
      <c r="I794" s="25">
        <v>45860</v>
      </c>
      <c r="J794" s="22">
        <v>12</v>
      </c>
      <c r="K794" s="25">
        <f t="shared" si="35"/>
        <v>46225</v>
      </c>
      <c r="L794" s="28" t="str">
        <f t="shared" ca="1" si="34"/>
        <v>Em dia</v>
      </c>
      <c r="M794" s="33" t="s">
        <v>65</v>
      </c>
      <c r="N794" s="28" t="s">
        <v>21</v>
      </c>
      <c r="O794" s="22" t="s">
        <v>28</v>
      </c>
      <c r="P794" s="25">
        <f>EDATE(I794,3)</f>
        <v>45952</v>
      </c>
      <c r="Q794" s="25"/>
      <c r="R794" s="25"/>
      <c r="S794" s="7"/>
      <c r="T794" s="7"/>
    </row>
    <row r="795" spans="1:20" ht="14.25" customHeight="1">
      <c r="A795" s="22">
        <v>896</v>
      </c>
      <c r="B795" s="36">
        <v>14525</v>
      </c>
      <c r="C795" s="22" t="str">
        <f>IFERROR(VLOOKUP(B795,Colaboradores!A:D,2,),"")</f>
        <v>IANKA PRAZERES CUNHA</v>
      </c>
      <c r="D795" s="22" t="str">
        <f>IFERROR(VLOOKUP(B795,Colaboradores!A:D,3,),"")</f>
        <v>GESTÃO INTEGRADA</v>
      </c>
      <c r="E795" s="22" t="str">
        <f>IFERROR(VLOOKUP(B795,Colaboradores!A:D,4,),"")</f>
        <v>ANALISTA DE GESTÃO INTEGRADA</v>
      </c>
      <c r="F795" s="22" t="s">
        <v>68</v>
      </c>
      <c r="G795" s="24" t="str">
        <f>IFERROR(VLOOKUP(F795,Procedimentos!A:C,2,),"")</f>
        <v>GESTÃO INDICADORES</v>
      </c>
      <c r="H795" s="22" t="s">
        <v>7</v>
      </c>
      <c r="I795" s="25"/>
      <c r="J795" s="22">
        <v>12</v>
      </c>
      <c r="K795" s="25" t="str">
        <f t="shared" si="35"/>
        <v/>
      </c>
      <c r="L795" s="28" t="str">
        <f t="shared" ca="1" si="34"/>
        <v/>
      </c>
      <c r="M795" s="33"/>
      <c r="N795" s="28" t="s">
        <v>21</v>
      </c>
      <c r="O795" s="22" t="s">
        <v>28</v>
      </c>
      <c r="P795" s="25"/>
      <c r="Q795" s="25"/>
      <c r="R795" s="25"/>
      <c r="S795" s="7"/>
      <c r="T795" s="7"/>
    </row>
    <row r="796" spans="1:20" ht="14.25" customHeight="1">
      <c r="A796" s="22">
        <v>897</v>
      </c>
      <c r="B796" s="36">
        <v>13750</v>
      </c>
      <c r="C796" s="22" t="str">
        <f>IFERROR(VLOOKUP(B796,Colaboradores!A:D,2,),"")</f>
        <v>JOSE ANTONIO ALVES MAGALHAES</v>
      </c>
      <c r="D796" s="22" t="str">
        <f>IFERROR(VLOOKUP(B796,Colaboradores!A:D,3,),"")</f>
        <v>GESTÃO INTEGRADA</v>
      </c>
      <c r="E796" s="22" t="str">
        <f>IFERROR(VLOOKUP(B796,Colaboradores!A:D,4,),"")</f>
        <v>GERENTE DE GESTÃO INTEGRADA</v>
      </c>
      <c r="F796" s="22" t="s">
        <v>68</v>
      </c>
      <c r="G796" s="24" t="str">
        <f>IFERROR(VLOOKUP(F796,Procedimentos!A:C,2,),"")</f>
        <v>GESTÃO INDICADORES</v>
      </c>
      <c r="H796" s="22" t="s">
        <v>7</v>
      </c>
      <c r="I796" s="25"/>
      <c r="J796" s="22">
        <v>12</v>
      </c>
      <c r="K796" s="25" t="str">
        <f t="shared" si="35"/>
        <v/>
      </c>
      <c r="L796" s="28" t="str">
        <f ca="1">IF(K796="","",IF(K796&lt;TODAY(),"Vencido",IF(K796&lt;=TODAY()+30,"A vencer","Em dia")))</f>
        <v/>
      </c>
      <c r="M796" s="33"/>
      <c r="N796" s="28" t="s">
        <v>21</v>
      </c>
      <c r="O796" s="22" t="s">
        <v>28</v>
      </c>
      <c r="P796" s="25"/>
      <c r="Q796" s="25"/>
      <c r="R796" s="25"/>
      <c r="S796" s="7"/>
      <c r="T796" s="7"/>
    </row>
    <row r="797" spans="1:20" ht="14.25" customHeight="1">
      <c r="A797" s="22">
        <v>898</v>
      </c>
      <c r="B797" s="36">
        <v>12712</v>
      </c>
      <c r="C797" s="22" t="str">
        <f>IFERROR(VLOOKUP(B797,Colaboradores!A:D,2,),"")</f>
        <v>JOYCE CLEIA MIRANDA BARROS</v>
      </c>
      <c r="D797" s="22" t="str">
        <f>IFERROR(VLOOKUP(B797,Colaboradores!A:D,3,),"")</f>
        <v>GESTÃO INTEGRADA</v>
      </c>
      <c r="E797" s="22" t="str">
        <f>IFERROR(VLOOKUP(B797,Colaboradores!A:D,4,),"")</f>
        <v>ANALISTA DE GESTÃO INTEGRADA</v>
      </c>
      <c r="F797" s="22" t="s">
        <v>68</v>
      </c>
      <c r="G797" s="24" t="str">
        <f>IFERROR(VLOOKUP(F797,Procedimentos!A:C,2,),"")</f>
        <v>GESTÃO INDICADORES</v>
      </c>
      <c r="H797" s="22" t="s">
        <v>7</v>
      </c>
      <c r="I797" s="25"/>
      <c r="J797" s="22">
        <v>12</v>
      </c>
      <c r="K797" s="25" t="str">
        <f t="shared" si="35"/>
        <v/>
      </c>
      <c r="L797" s="28" t="str">
        <f t="shared" ca="1" si="34"/>
        <v/>
      </c>
      <c r="M797" s="33"/>
      <c r="N797" s="28" t="s">
        <v>21</v>
      </c>
      <c r="O797" s="22" t="s">
        <v>28</v>
      </c>
      <c r="P797" s="25"/>
      <c r="Q797" s="25"/>
      <c r="R797" s="25"/>
      <c r="S797" s="7"/>
      <c r="T797" s="7"/>
    </row>
    <row r="798" spans="1:20" ht="14.25" customHeight="1">
      <c r="A798" s="22">
        <v>899</v>
      </c>
      <c r="B798" s="36">
        <v>13787</v>
      </c>
      <c r="C798" s="22" t="str">
        <f>IFERROR(VLOOKUP(B798,Colaboradores!A:D,2,),"")</f>
        <v>KELLE SOCORRO MENDES GUIGNONI</v>
      </c>
      <c r="D798" s="22" t="str">
        <f>IFERROR(VLOOKUP(B798,Colaboradores!A:D,3,),"")</f>
        <v>GESTÃO INTEGRADA</v>
      </c>
      <c r="E798" s="22" t="str">
        <f>IFERROR(VLOOKUP(B798,Colaboradores!A:D,4,),"")</f>
        <v>ANALISTA DE GESTÃO INTEGRADA</v>
      </c>
      <c r="F798" s="22" t="s">
        <v>68</v>
      </c>
      <c r="G798" s="24" t="str">
        <f>IFERROR(VLOOKUP(F798,Procedimentos!A:C,2,),"")</f>
        <v>GESTÃO INDICADORES</v>
      </c>
      <c r="H798" s="22" t="s">
        <v>7</v>
      </c>
      <c r="I798" s="25"/>
      <c r="J798" s="22">
        <v>12</v>
      </c>
      <c r="K798" s="25" t="str">
        <f t="shared" si="35"/>
        <v/>
      </c>
      <c r="L798" s="28" t="str">
        <f t="shared" ca="1" si="34"/>
        <v/>
      </c>
      <c r="M798" s="33"/>
      <c r="N798" s="28" t="s">
        <v>21</v>
      </c>
      <c r="O798" s="22" t="s">
        <v>28</v>
      </c>
      <c r="P798" s="25"/>
      <c r="Q798" s="25"/>
      <c r="R798" s="25"/>
      <c r="S798" s="7"/>
      <c r="T798" s="7"/>
    </row>
    <row r="799" spans="1:20" ht="14.25" customHeight="1">
      <c r="A799" s="22">
        <v>900</v>
      </c>
      <c r="B799" s="36">
        <v>12685</v>
      </c>
      <c r="C799" s="22" t="str">
        <f>IFERROR(VLOOKUP(B799,Colaboradores!A:D,2,),"")</f>
        <v>LIDIANA CRISTINA MIRANDA FERREIRA</v>
      </c>
      <c r="D799" s="22" t="str">
        <f>IFERROR(VLOOKUP(B799,Colaboradores!A:D,3,),"")</f>
        <v>GESTÃO INTEGRADA</v>
      </c>
      <c r="E799" s="22" t="str">
        <f>IFERROR(VLOOKUP(B799,Colaboradores!A:D,4,),"")</f>
        <v>COORDENADOR DE GESTÃO INTEGRADA</v>
      </c>
      <c r="F799" s="22" t="s">
        <v>68</v>
      </c>
      <c r="G799" s="24" t="str">
        <f>IFERROR(VLOOKUP(F799,Procedimentos!A:C,2,),"")</f>
        <v>GESTÃO INDICADORES</v>
      </c>
      <c r="H799" s="22" t="s">
        <v>7</v>
      </c>
      <c r="I799" s="25"/>
      <c r="J799" s="22">
        <v>12</v>
      </c>
      <c r="K799" s="25" t="str">
        <f t="shared" si="35"/>
        <v/>
      </c>
      <c r="L799" s="28" t="str">
        <f t="shared" ca="1" si="34"/>
        <v/>
      </c>
      <c r="M799" s="33"/>
      <c r="N799" s="28" t="s">
        <v>21</v>
      </c>
      <c r="O799" s="22" t="s">
        <v>28</v>
      </c>
      <c r="P799" s="25"/>
      <c r="Q799" s="25"/>
      <c r="R799" s="25"/>
      <c r="S799" s="7"/>
      <c r="T799" s="7"/>
    </row>
    <row r="800" spans="1:20" ht="14.25" customHeight="1">
      <c r="A800" s="22">
        <v>901</v>
      </c>
      <c r="B800" s="36">
        <v>12684</v>
      </c>
      <c r="C800" s="22" t="str">
        <f>IFERROR(VLOOKUP(B800,Colaboradores!A:D,2,),"")</f>
        <v>JACIARA VIEIRA DA CRUZ DE AGUIAR</v>
      </c>
      <c r="D800" s="22" t="str">
        <f>IFERROR(VLOOKUP(B800,Colaboradores!A:D,3,),"")</f>
        <v>MEIO AMBIENTE</v>
      </c>
      <c r="E800" s="22" t="str">
        <f>IFERROR(VLOOKUP(B800,Colaboradores!A:D,4,),"")</f>
        <v>GERENTE DE MEIO AMBIENTE</v>
      </c>
      <c r="F800" s="22" t="s">
        <v>68</v>
      </c>
      <c r="G800" s="24" t="str">
        <f>IFERROR(VLOOKUP(F800,Procedimentos!A:C,2,),"")</f>
        <v>GESTÃO INDICADORES</v>
      </c>
      <c r="H800" s="25"/>
      <c r="I800" s="25">
        <v>45860</v>
      </c>
      <c r="J800" s="22">
        <v>12</v>
      </c>
      <c r="K800" s="25">
        <f t="shared" si="35"/>
        <v>46225</v>
      </c>
      <c r="L800" s="28" t="str">
        <f t="shared" ca="1" si="34"/>
        <v>Em dia</v>
      </c>
      <c r="M800" s="33" t="s">
        <v>65</v>
      </c>
      <c r="N800" s="28" t="s">
        <v>21</v>
      </c>
      <c r="O800" s="22" t="s">
        <v>28</v>
      </c>
      <c r="P800" s="25">
        <f t="shared" ref="P800:P806" si="39">EDATE(I800,3)</f>
        <v>45952</v>
      </c>
      <c r="Q800" s="25"/>
      <c r="R800" s="25"/>
      <c r="S800" s="7"/>
      <c r="T800" s="7"/>
    </row>
    <row r="801" spans="1:20" ht="14.25" customHeight="1">
      <c r="A801" s="22">
        <v>902</v>
      </c>
      <c r="B801" s="36">
        <v>7590</v>
      </c>
      <c r="C801" s="22" t="str">
        <f>IFERROR(VLOOKUP(B801,Colaboradores!A:D,2,),"")</f>
        <v>FABIOLA SOUSA MOURA BORGES</v>
      </c>
      <c r="D801" s="22" t="str">
        <f>IFERROR(VLOOKUP(B801,Colaboradores!A:D,3,),"")</f>
        <v>SAÚDE OCUPACIONAL</v>
      </c>
      <c r="E801" s="22" t="str">
        <f>IFERROR(VLOOKUP(B801,Colaboradores!A:D,4,),"")</f>
        <v>GERENTE DE SAÚDE OCUPACIONAL</v>
      </c>
      <c r="F801" s="22" t="s">
        <v>68</v>
      </c>
      <c r="G801" s="24" t="str">
        <f>IFERROR(VLOOKUP(F801,Procedimentos!A:C,2,),"")</f>
        <v>GESTÃO INDICADORES</v>
      </c>
      <c r="H801" s="25"/>
      <c r="I801" s="25">
        <v>45860</v>
      </c>
      <c r="J801" s="22">
        <v>12</v>
      </c>
      <c r="K801" s="25">
        <f t="shared" si="35"/>
        <v>46225</v>
      </c>
      <c r="L801" s="28" t="str">
        <f t="shared" ca="1" si="34"/>
        <v>Em dia</v>
      </c>
      <c r="M801" s="33" t="s">
        <v>65</v>
      </c>
      <c r="N801" s="28" t="s">
        <v>21</v>
      </c>
      <c r="O801" s="22" t="s">
        <v>28</v>
      </c>
      <c r="P801" s="25">
        <f t="shared" si="39"/>
        <v>45952</v>
      </c>
      <c r="Q801" s="25"/>
      <c r="R801" s="25"/>
      <c r="S801" s="7"/>
      <c r="T801" s="7"/>
    </row>
    <row r="802" spans="1:20" ht="14.25" customHeight="1">
      <c r="A802" s="22">
        <v>903</v>
      </c>
      <c r="B802" s="36">
        <v>13727</v>
      </c>
      <c r="C802" s="22" t="str">
        <f>IFERROR(VLOOKUP(B802,Colaboradores!A:D,2,),"")</f>
        <v>THIAGO MARIO LIMA GLERIA</v>
      </c>
      <c r="D802" s="22" t="str">
        <f>IFERROR(VLOOKUP(B802,Colaboradores!A:D,3,),"")</f>
        <v>SEGURANÇA DO TRABALHO</v>
      </c>
      <c r="E802" s="22" t="str">
        <f>IFERROR(VLOOKUP(B802,Colaboradores!A:D,4,),"")</f>
        <v>GERENTE DE SEGURANÇA DO TRABALHO</v>
      </c>
      <c r="F802" s="22" t="s">
        <v>68</v>
      </c>
      <c r="G802" s="24" t="str">
        <f>IFERROR(VLOOKUP(F802,Procedimentos!A:C,2,),"")</f>
        <v>GESTÃO INDICADORES</v>
      </c>
      <c r="H802" s="25"/>
      <c r="I802" s="25">
        <v>45860</v>
      </c>
      <c r="J802" s="22">
        <v>12</v>
      </c>
      <c r="K802" s="25">
        <f t="shared" si="35"/>
        <v>46225</v>
      </c>
      <c r="L802" s="28" t="str">
        <f t="shared" ca="1" si="34"/>
        <v>Em dia</v>
      </c>
      <c r="M802" s="33" t="s">
        <v>65</v>
      </c>
      <c r="N802" s="28" t="s">
        <v>21</v>
      </c>
      <c r="O802" s="22" t="s">
        <v>28</v>
      </c>
      <c r="P802" s="25">
        <f t="shared" si="39"/>
        <v>45952</v>
      </c>
      <c r="Q802" s="25"/>
      <c r="R802" s="25"/>
      <c r="S802" s="7"/>
      <c r="T802" s="7"/>
    </row>
    <row r="803" spans="1:20" ht="14.25" customHeight="1">
      <c r="A803" s="22">
        <v>904</v>
      </c>
      <c r="B803" s="36">
        <v>12451</v>
      </c>
      <c r="C803" s="22" t="str">
        <f>IFERROR(VLOOKUP(B803,Colaboradores!A:D,2,),"")</f>
        <v>JORGE CARLOS ARAUJO DE ARAUJO</v>
      </c>
      <c r="D803" s="22" t="str">
        <f>IFERROR(VLOOKUP(B803,Colaboradores!A:D,3,),"")</f>
        <v>DIRETORIA</v>
      </c>
      <c r="E803" s="22" t="str">
        <f>IFERROR(VLOOKUP(B803,Colaboradores!A:D,4,),"")</f>
        <v>DIRETOR GERAL</v>
      </c>
      <c r="F803" s="22" t="s">
        <v>68</v>
      </c>
      <c r="G803" s="24" t="str">
        <f>IFERROR(VLOOKUP(F803,Procedimentos!A:C,2,),"")</f>
        <v>GESTÃO INDICADORES</v>
      </c>
      <c r="H803" s="25"/>
      <c r="I803" s="25">
        <v>45860</v>
      </c>
      <c r="J803" s="22">
        <v>12</v>
      </c>
      <c r="K803" s="25">
        <f t="shared" si="35"/>
        <v>46225</v>
      </c>
      <c r="L803" s="28" t="str">
        <f t="shared" ca="1" si="34"/>
        <v>Em dia</v>
      </c>
      <c r="M803" s="33" t="s">
        <v>65</v>
      </c>
      <c r="N803" s="28" t="s">
        <v>21</v>
      </c>
      <c r="O803" s="22" t="s">
        <v>28</v>
      </c>
      <c r="P803" s="25">
        <f t="shared" si="39"/>
        <v>45952</v>
      </c>
      <c r="Q803" s="25"/>
      <c r="R803" s="25"/>
      <c r="S803" s="7"/>
      <c r="T803" s="7"/>
    </row>
    <row r="804" spans="1:20" ht="14.25" customHeight="1">
      <c r="A804" s="22">
        <v>905</v>
      </c>
      <c r="B804" s="36">
        <v>12671</v>
      </c>
      <c r="C804" s="22" t="str">
        <f>IFERROR(VLOOKUP(B804,Colaboradores!A:D,2,),"")</f>
        <v>LEONARDO ESPINDOLA FONSECA ROCHA</v>
      </c>
      <c r="D804" s="22" t="str">
        <f>IFERROR(VLOOKUP(B804,Colaboradores!A:D,3,),"")</f>
        <v>DIRETORIA</v>
      </c>
      <c r="E804" s="22" t="str">
        <f>IFERROR(VLOOKUP(B804,Colaboradores!A:D,4,),"")</f>
        <v>GERENTE GERAL</v>
      </c>
      <c r="F804" s="22" t="s">
        <v>68</v>
      </c>
      <c r="G804" s="24" t="str">
        <f>IFERROR(VLOOKUP(F804,Procedimentos!A:C,2,),"")</f>
        <v>GESTÃO INDICADORES</v>
      </c>
      <c r="H804" s="25"/>
      <c r="I804" s="25">
        <v>45860</v>
      </c>
      <c r="J804" s="22">
        <v>12</v>
      </c>
      <c r="K804" s="25">
        <f t="shared" si="35"/>
        <v>46225</v>
      </c>
      <c r="L804" s="28" t="str">
        <f t="shared" ca="1" si="34"/>
        <v>Em dia</v>
      </c>
      <c r="M804" s="33" t="s">
        <v>65</v>
      </c>
      <c r="N804" s="28" t="s">
        <v>21</v>
      </c>
      <c r="O804" s="22" t="s">
        <v>28</v>
      </c>
      <c r="P804" s="25">
        <f t="shared" si="39"/>
        <v>45952</v>
      </c>
      <c r="Q804" s="25"/>
      <c r="R804" s="25"/>
      <c r="S804" s="7"/>
      <c r="T804" s="7"/>
    </row>
    <row r="805" spans="1:20" ht="14.25" customHeight="1">
      <c r="A805" s="22">
        <v>906</v>
      </c>
      <c r="B805" s="36">
        <v>15023</v>
      </c>
      <c r="C805" s="22" t="str">
        <f>IFERROR(VLOOKUP(B805,Colaboradores!A:D,2,),"")</f>
        <v>DANIEL ELISON GUSMÃO PEREIRA</v>
      </c>
      <c r="D805" s="22" t="str">
        <f>IFERROR(VLOOKUP(B805,Colaboradores!A:D,3,),"")</f>
        <v>GESTÃO INTEGRADA</v>
      </c>
      <c r="E805" s="22" t="str">
        <f>IFERROR(VLOOKUP(B805,Colaboradores!A:D,4,),"")</f>
        <v>ASSISTENTE ADMINISTRATIVO</v>
      </c>
      <c r="F805" s="22" t="s">
        <v>69</v>
      </c>
      <c r="G805" s="24" t="str">
        <f>IFERROR(VLOOKUP(F805,Procedimentos!A:C,2,),"")</f>
        <v>PROCEDIMENTO GESTÃO DE MUDANÇA SGQ</v>
      </c>
      <c r="H805" s="25"/>
      <c r="I805" s="25">
        <v>45860</v>
      </c>
      <c r="J805" s="22">
        <v>12</v>
      </c>
      <c r="K805" s="25">
        <f t="shared" si="35"/>
        <v>46225</v>
      </c>
      <c r="L805" s="28" t="str">
        <f t="shared" ca="1" si="34"/>
        <v>Em dia</v>
      </c>
      <c r="M805" s="33" t="s">
        <v>65</v>
      </c>
      <c r="N805" s="28" t="s">
        <v>21</v>
      </c>
      <c r="O805" s="22" t="s">
        <v>28</v>
      </c>
      <c r="P805" s="25">
        <f t="shared" si="39"/>
        <v>45952</v>
      </c>
      <c r="Q805" s="25"/>
      <c r="R805" s="25"/>
      <c r="S805" s="7"/>
      <c r="T805" s="7"/>
    </row>
    <row r="806" spans="1:20" ht="14.25" customHeight="1">
      <c r="A806" s="22">
        <v>907</v>
      </c>
      <c r="B806" s="36">
        <v>14525</v>
      </c>
      <c r="C806" s="22" t="str">
        <f>IFERROR(VLOOKUP(B806,Colaboradores!A:D,2,),"")</f>
        <v>IANKA PRAZERES CUNHA</v>
      </c>
      <c r="D806" s="22" t="str">
        <f>IFERROR(VLOOKUP(B806,Colaboradores!A:D,3,),"")</f>
        <v>GESTÃO INTEGRADA</v>
      </c>
      <c r="E806" s="22" t="str">
        <f>IFERROR(VLOOKUP(B806,Colaboradores!A:D,4,),"")</f>
        <v>ANALISTA DE GESTÃO INTEGRADA</v>
      </c>
      <c r="F806" s="22" t="s">
        <v>69</v>
      </c>
      <c r="G806" s="24" t="str">
        <f>IFERROR(VLOOKUP(F806,Procedimentos!A:C,2,),"")</f>
        <v>PROCEDIMENTO GESTÃO DE MUDANÇA SGQ</v>
      </c>
      <c r="H806" s="25"/>
      <c r="I806" s="25">
        <v>45860</v>
      </c>
      <c r="J806" s="22">
        <v>12</v>
      </c>
      <c r="K806" s="25">
        <f t="shared" si="35"/>
        <v>46225</v>
      </c>
      <c r="L806" s="28" t="str">
        <f t="shared" ca="1" si="34"/>
        <v>Em dia</v>
      </c>
      <c r="M806" s="33" t="s">
        <v>65</v>
      </c>
      <c r="N806" s="28" t="s">
        <v>21</v>
      </c>
      <c r="O806" s="22" t="s">
        <v>28</v>
      </c>
      <c r="P806" s="25">
        <f t="shared" si="39"/>
        <v>45952</v>
      </c>
      <c r="Q806" s="25"/>
      <c r="R806" s="25"/>
      <c r="S806" s="7"/>
      <c r="T806" s="7"/>
    </row>
    <row r="807" spans="1:20" ht="14.25" customHeight="1">
      <c r="A807" s="22">
        <v>908</v>
      </c>
      <c r="B807" s="36">
        <v>13750</v>
      </c>
      <c r="C807" s="22" t="str">
        <f>IFERROR(VLOOKUP(B807,Colaboradores!A:D,2,),"")</f>
        <v>JOSE ANTONIO ALVES MAGALHAES</v>
      </c>
      <c r="D807" s="22" t="str">
        <f>IFERROR(VLOOKUP(B807,Colaboradores!A:D,3,),"")</f>
        <v>GESTÃO INTEGRADA</v>
      </c>
      <c r="E807" s="22" t="str">
        <f>IFERROR(VLOOKUP(B807,Colaboradores!A:D,4,),"")</f>
        <v>GERENTE DE GESTÃO INTEGRADA</v>
      </c>
      <c r="F807" s="22" t="s">
        <v>69</v>
      </c>
      <c r="G807" s="24" t="str">
        <f>IFERROR(VLOOKUP(F807,Procedimentos!A:C,2,),"")</f>
        <v>PROCEDIMENTO GESTÃO DE MUDANÇA SGQ</v>
      </c>
      <c r="H807" s="22" t="s">
        <v>7</v>
      </c>
      <c r="I807" s="22"/>
      <c r="J807" s="22">
        <v>12</v>
      </c>
      <c r="K807" s="25" t="str">
        <f t="shared" si="35"/>
        <v/>
      </c>
      <c r="L807" s="28" t="str">
        <f t="shared" ca="1" si="34"/>
        <v/>
      </c>
      <c r="M807" s="33"/>
      <c r="N807" s="28" t="s">
        <v>21</v>
      </c>
      <c r="O807" s="22" t="s">
        <v>28</v>
      </c>
      <c r="P807" s="25"/>
      <c r="Q807" s="25"/>
      <c r="R807" s="25"/>
      <c r="S807" s="7"/>
      <c r="T807" s="7"/>
    </row>
    <row r="808" spans="1:20" ht="14.25" customHeight="1">
      <c r="A808" s="22">
        <v>909</v>
      </c>
      <c r="B808" s="36">
        <v>12712</v>
      </c>
      <c r="C808" s="22" t="str">
        <f>IFERROR(VLOOKUP(B808,Colaboradores!A:D,2,),"")</f>
        <v>JOYCE CLEIA MIRANDA BARROS</v>
      </c>
      <c r="D808" s="22" t="str">
        <f>IFERROR(VLOOKUP(B808,Colaboradores!A:D,3,),"")</f>
        <v>GESTÃO INTEGRADA</v>
      </c>
      <c r="E808" s="22" t="str">
        <f>IFERROR(VLOOKUP(B808,Colaboradores!A:D,4,),"")</f>
        <v>ANALISTA DE GESTÃO INTEGRADA</v>
      </c>
      <c r="F808" s="22" t="s">
        <v>69</v>
      </c>
      <c r="G808" s="24" t="str">
        <f>IFERROR(VLOOKUP(F808,Procedimentos!A:C,2,),"")</f>
        <v>PROCEDIMENTO GESTÃO DE MUDANÇA SGQ</v>
      </c>
      <c r="H808" s="25"/>
      <c r="I808" s="25">
        <v>45860</v>
      </c>
      <c r="J808" s="22">
        <v>12</v>
      </c>
      <c r="K808" s="25">
        <f t="shared" si="35"/>
        <v>46225</v>
      </c>
      <c r="L808" s="28" t="str">
        <f t="shared" ca="1" si="34"/>
        <v>Em dia</v>
      </c>
      <c r="M808" s="33" t="s">
        <v>65</v>
      </c>
      <c r="N808" s="28" t="s">
        <v>21</v>
      </c>
      <c r="O808" s="22" t="s">
        <v>28</v>
      </c>
      <c r="P808" s="25">
        <f t="shared" ref="P808:P809" si="40">EDATE(I808,3)</f>
        <v>45952</v>
      </c>
      <c r="Q808" s="25"/>
      <c r="R808" s="25"/>
      <c r="S808" s="7"/>
      <c r="T808" s="7"/>
    </row>
    <row r="809" spans="1:20" ht="14.25" customHeight="1">
      <c r="A809" s="22">
        <v>910</v>
      </c>
      <c r="B809" s="36">
        <v>13787</v>
      </c>
      <c r="C809" s="22" t="str">
        <f>IFERROR(VLOOKUP(B809,Colaboradores!A:D,2,),"")</f>
        <v>KELLE SOCORRO MENDES GUIGNONI</v>
      </c>
      <c r="D809" s="22" t="str">
        <f>IFERROR(VLOOKUP(B809,Colaboradores!A:D,3,),"")</f>
        <v>GESTÃO INTEGRADA</v>
      </c>
      <c r="E809" s="22" t="str">
        <f>IFERROR(VLOOKUP(B809,Colaboradores!A:D,4,),"")</f>
        <v>ANALISTA DE GESTÃO INTEGRADA</v>
      </c>
      <c r="F809" s="22" t="s">
        <v>69</v>
      </c>
      <c r="G809" s="24" t="str">
        <f>IFERROR(VLOOKUP(F809,Procedimentos!A:C,2,),"")</f>
        <v>PROCEDIMENTO GESTÃO DE MUDANÇA SGQ</v>
      </c>
      <c r="H809" s="25"/>
      <c r="I809" s="25">
        <v>45860</v>
      </c>
      <c r="J809" s="22">
        <v>12</v>
      </c>
      <c r="K809" s="25">
        <f t="shared" si="35"/>
        <v>46225</v>
      </c>
      <c r="L809" s="28" t="str">
        <f t="shared" ca="1" si="34"/>
        <v>Em dia</v>
      </c>
      <c r="M809" s="33" t="s">
        <v>65</v>
      </c>
      <c r="N809" s="28" t="s">
        <v>21</v>
      </c>
      <c r="O809" s="22" t="s">
        <v>28</v>
      </c>
      <c r="P809" s="25">
        <f t="shared" si="40"/>
        <v>45952</v>
      </c>
      <c r="Q809" s="25"/>
      <c r="R809" s="25"/>
      <c r="S809" s="7"/>
      <c r="T809" s="7"/>
    </row>
    <row r="810" spans="1:20" ht="14.25" customHeight="1">
      <c r="A810" s="22">
        <v>911</v>
      </c>
      <c r="B810" s="36">
        <v>12685</v>
      </c>
      <c r="C810" s="22" t="str">
        <f>IFERROR(VLOOKUP(B810,Colaboradores!A:D,2,),"")</f>
        <v>LIDIANA CRISTINA MIRANDA FERREIRA</v>
      </c>
      <c r="D810" s="22" t="str">
        <f>IFERROR(VLOOKUP(B810,Colaboradores!A:D,3,),"")</f>
        <v>GESTÃO INTEGRADA</v>
      </c>
      <c r="E810" s="22" t="str">
        <f>IFERROR(VLOOKUP(B810,Colaboradores!A:D,4,),"")</f>
        <v>COORDENADOR DE GESTÃO INTEGRADA</v>
      </c>
      <c r="F810" s="22" t="s">
        <v>69</v>
      </c>
      <c r="G810" s="24" t="str">
        <f>IFERROR(VLOOKUP(F810,Procedimentos!A:C,2,),"")</f>
        <v>PROCEDIMENTO GESTÃO DE MUDANÇA SGQ</v>
      </c>
      <c r="H810" s="22" t="s">
        <v>7</v>
      </c>
      <c r="I810" s="22"/>
      <c r="J810" s="22">
        <v>12</v>
      </c>
      <c r="K810" s="25" t="str">
        <f t="shared" si="35"/>
        <v/>
      </c>
      <c r="L810" s="28" t="str">
        <f t="shared" ca="1" si="34"/>
        <v/>
      </c>
      <c r="M810" s="33"/>
      <c r="N810" s="28" t="s">
        <v>21</v>
      </c>
      <c r="O810" s="22" t="s">
        <v>28</v>
      </c>
      <c r="P810" s="25"/>
      <c r="Q810" s="25"/>
      <c r="R810" s="25"/>
      <c r="S810" s="7"/>
      <c r="T810" s="7"/>
    </row>
    <row r="811" spans="1:20" ht="14.25" customHeight="1">
      <c r="A811" s="22">
        <v>912</v>
      </c>
      <c r="B811" s="36">
        <v>15068</v>
      </c>
      <c r="C811" s="22" t="str">
        <f>IFERROR(VLOOKUP(B811,Colaboradores!A:D,2,),"")</f>
        <v>TASSO CHAVES DE OLIVEIRA</v>
      </c>
      <c r="D811" s="22" t="str">
        <f>IFERROR(VLOOKUP(B811,Colaboradores!A:D,3,),"")</f>
        <v>GESTÃO INTEGRADA</v>
      </c>
      <c r="E811" s="22" t="str">
        <f>IFERROR(VLOOKUP(B811,Colaboradores!A:D,4,),"")</f>
        <v>ASSESSOR DE GESTÃO INTEGRADA</v>
      </c>
      <c r="F811" s="22" t="s">
        <v>69</v>
      </c>
      <c r="G811" s="24" t="str">
        <f>IFERROR(VLOOKUP(F811,Procedimentos!A:C,2,),"")</f>
        <v>PROCEDIMENTO GESTÃO DE MUDANÇA SGQ</v>
      </c>
      <c r="H811" s="25"/>
      <c r="I811" s="25">
        <v>45860</v>
      </c>
      <c r="J811" s="22">
        <v>12</v>
      </c>
      <c r="K811" s="25">
        <f t="shared" si="35"/>
        <v>46225</v>
      </c>
      <c r="L811" s="28" t="str">
        <f t="shared" ca="1" si="34"/>
        <v>Em dia</v>
      </c>
      <c r="M811" s="33" t="s">
        <v>65</v>
      </c>
      <c r="N811" s="28" t="s">
        <v>21</v>
      </c>
      <c r="O811" s="22" t="s">
        <v>28</v>
      </c>
      <c r="P811" s="25">
        <f t="shared" ref="P811:P823" si="41">EDATE(I811,3)</f>
        <v>45952</v>
      </c>
      <c r="Q811" s="25"/>
      <c r="R811" s="25"/>
      <c r="S811" s="7"/>
      <c r="T811" s="7"/>
    </row>
    <row r="812" spans="1:20" ht="14.25" customHeight="1">
      <c r="A812" s="22">
        <v>913</v>
      </c>
      <c r="B812" s="36">
        <v>12684</v>
      </c>
      <c r="C812" s="22" t="str">
        <f>IFERROR(VLOOKUP(B812,Colaboradores!A:D,2,),"")</f>
        <v>JACIARA VIEIRA DA CRUZ DE AGUIAR</v>
      </c>
      <c r="D812" s="22" t="str">
        <f>IFERROR(VLOOKUP(B812,Colaboradores!A:D,3,),"")</f>
        <v>MEIO AMBIENTE</v>
      </c>
      <c r="E812" s="22" t="str">
        <f>IFERROR(VLOOKUP(B812,Colaboradores!A:D,4,),"")</f>
        <v>GERENTE DE MEIO AMBIENTE</v>
      </c>
      <c r="F812" s="22" t="s">
        <v>69</v>
      </c>
      <c r="G812" s="24" t="str">
        <f>IFERROR(VLOOKUP(F812,Procedimentos!A:C,2,),"")</f>
        <v>PROCEDIMENTO GESTÃO DE MUDANÇA SGQ</v>
      </c>
      <c r="H812" s="25"/>
      <c r="I812" s="25">
        <v>45860</v>
      </c>
      <c r="J812" s="22">
        <v>12</v>
      </c>
      <c r="K812" s="25">
        <f t="shared" si="35"/>
        <v>46225</v>
      </c>
      <c r="L812" s="28" t="str">
        <f t="shared" ca="1" si="34"/>
        <v>Em dia</v>
      </c>
      <c r="M812" s="33" t="s">
        <v>65</v>
      </c>
      <c r="N812" s="28" t="s">
        <v>21</v>
      </c>
      <c r="O812" s="22" t="s">
        <v>28</v>
      </c>
      <c r="P812" s="25">
        <f t="shared" si="41"/>
        <v>45952</v>
      </c>
      <c r="Q812" s="25"/>
      <c r="R812" s="25"/>
      <c r="S812" s="7"/>
      <c r="T812" s="7"/>
    </row>
    <row r="813" spans="1:20" ht="14.25" customHeight="1">
      <c r="A813" s="22">
        <v>914</v>
      </c>
      <c r="B813" s="36">
        <v>7590</v>
      </c>
      <c r="C813" s="22" t="str">
        <f>IFERROR(VLOOKUP(B813,Colaboradores!A:D,2,),"")</f>
        <v>FABIOLA SOUSA MOURA BORGES</v>
      </c>
      <c r="D813" s="22" t="str">
        <f>IFERROR(VLOOKUP(B813,Colaboradores!A:D,3,),"")</f>
        <v>SAÚDE OCUPACIONAL</v>
      </c>
      <c r="E813" s="22" t="str">
        <f>IFERROR(VLOOKUP(B813,Colaboradores!A:D,4,),"")</f>
        <v>GERENTE DE SAÚDE OCUPACIONAL</v>
      </c>
      <c r="F813" s="22" t="s">
        <v>69</v>
      </c>
      <c r="G813" s="24" t="str">
        <f>IFERROR(VLOOKUP(F813,Procedimentos!A:C,2,),"")</f>
        <v>PROCEDIMENTO GESTÃO DE MUDANÇA SGQ</v>
      </c>
      <c r="H813" s="22"/>
      <c r="I813" s="25">
        <v>45860</v>
      </c>
      <c r="J813" s="22">
        <v>12</v>
      </c>
      <c r="K813" s="25">
        <f t="shared" si="35"/>
        <v>46225</v>
      </c>
      <c r="L813" s="28" t="str">
        <f t="shared" ca="1" si="34"/>
        <v>Em dia</v>
      </c>
      <c r="M813" s="33" t="s">
        <v>65</v>
      </c>
      <c r="N813" s="28" t="s">
        <v>21</v>
      </c>
      <c r="O813" s="22" t="s">
        <v>28</v>
      </c>
      <c r="P813" s="25">
        <f t="shared" si="41"/>
        <v>45952</v>
      </c>
      <c r="Q813" s="25"/>
      <c r="R813" s="25"/>
      <c r="S813" s="7"/>
      <c r="T813" s="7"/>
    </row>
    <row r="814" spans="1:20" ht="14.25" customHeight="1">
      <c r="A814" s="22">
        <v>915</v>
      </c>
      <c r="B814" s="36">
        <v>13727</v>
      </c>
      <c r="C814" s="22" t="str">
        <f>IFERROR(VLOOKUP(B814,Colaboradores!A:D,2,),"")</f>
        <v>THIAGO MARIO LIMA GLERIA</v>
      </c>
      <c r="D814" s="22" t="str">
        <f>IFERROR(VLOOKUP(B814,Colaboradores!A:D,3,),"")</f>
        <v>SEGURANÇA DO TRABALHO</v>
      </c>
      <c r="E814" s="22" t="str">
        <f>IFERROR(VLOOKUP(B814,Colaboradores!A:D,4,),"")</f>
        <v>GERENTE DE SEGURANÇA DO TRABALHO</v>
      </c>
      <c r="F814" s="22" t="s">
        <v>69</v>
      </c>
      <c r="G814" s="24" t="str">
        <f>IFERROR(VLOOKUP(F814,Procedimentos!A:C,2,),"")</f>
        <v>PROCEDIMENTO GESTÃO DE MUDANÇA SGQ</v>
      </c>
      <c r="H814" s="25"/>
      <c r="I814" s="25">
        <v>45860</v>
      </c>
      <c r="J814" s="22">
        <v>12</v>
      </c>
      <c r="K814" s="25">
        <f t="shared" si="35"/>
        <v>46225</v>
      </c>
      <c r="L814" s="28" t="str">
        <f t="shared" ca="1" si="34"/>
        <v>Em dia</v>
      </c>
      <c r="M814" s="33" t="s">
        <v>65</v>
      </c>
      <c r="N814" s="28" t="s">
        <v>21</v>
      </c>
      <c r="O814" s="22" t="s">
        <v>28</v>
      </c>
      <c r="P814" s="25">
        <f t="shared" si="41"/>
        <v>45952</v>
      </c>
      <c r="Q814" s="25"/>
      <c r="R814" s="25"/>
      <c r="S814" s="7"/>
      <c r="T814" s="7"/>
    </row>
    <row r="815" spans="1:20" ht="14.25" customHeight="1">
      <c r="A815" s="22">
        <v>916</v>
      </c>
      <c r="B815" s="36">
        <v>12451</v>
      </c>
      <c r="C815" s="22" t="str">
        <f>IFERROR(VLOOKUP(B815,Colaboradores!A:D,2,),"")</f>
        <v>JORGE CARLOS ARAUJO DE ARAUJO</v>
      </c>
      <c r="D815" s="22" t="str">
        <f>IFERROR(VLOOKUP(B815,Colaboradores!A:D,3,),"")</f>
        <v>DIRETORIA</v>
      </c>
      <c r="E815" s="22" t="str">
        <f>IFERROR(VLOOKUP(B815,Colaboradores!A:D,4,),"")</f>
        <v>DIRETOR GERAL</v>
      </c>
      <c r="F815" s="22" t="s">
        <v>69</v>
      </c>
      <c r="G815" s="24" t="str">
        <f>IFERROR(VLOOKUP(F815,Procedimentos!A:C,2,),"")</f>
        <v>PROCEDIMENTO GESTÃO DE MUDANÇA SGQ</v>
      </c>
      <c r="H815" s="25"/>
      <c r="I815" s="25">
        <v>45860</v>
      </c>
      <c r="J815" s="22">
        <v>12</v>
      </c>
      <c r="K815" s="25">
        <f t="shared" si="35"/>
        <v>46225</v>
      </c>
      <c r="L815" s="28" t="str">
        <f t="shared" ca="1" si="34"/>
        <v>Em dia</v>
      </c>
      <c r="M815" s="33" t="s">
        <v>65</v>
      </c>
      <c r="N815" s="28" t="s">
        <v>21</v>
      </c>
      <c r="O815" s="22" t="s">
        <v>28</v>
      </c>
      <c r="P815" s="25">
        <f t="shared" si="41"/>
        <v>45952</v>
      </c>
      <c r="Q815" s="25"/>
      <c r="R815" s="25"/>
      <c r="S815" s="7"/>
      <c r="T815" s="7"/>
    </row>
    <row r="816" spans="1:20" ht="14.25" customHeight="1">
      <c r="A816" s="22">
        <v>917</v>
      </c>
      <c r="B816" s="36">
        <v>12671</v>
      </c>
      <c r="C816" s="22" t="str">
        <f>IFERROR(VLOOKUP(B816,Colaboradores!A:D,2,),"")</f>
        <v>LEONARDO ESPINDOLA FONSECA ROCHA</v>
      </c>
      <c r="D816" s="22" t="str">
        <f>IFERROR(VLOOKUP(B816,Colaboradores!A:D,3,),"")</f>
        <v>DIRETORIA</v>
      </c>
      <c r="E816" s="22" t="str">
        <f>IFERROR(VLOOKUP(B816,Colaboradores!A:D,4,),"")</f>
        <v>GERENTE GERAL</v>
      </c>
      <c r="F816" s="22" t="s">
        <v>69</v>
      </c>
      <c r="G816" s="24" t="str">
        <f>IFERROR(VLOOKUP(F816,Procedimentos!A:C,2,),"")</f>
        <v>PROCEDIMENTO GESTÃO DE MUDANÇA SGQ</v>
      </c>
      <c r="H816" s="25"/>
      <c r="I816" s="25">
        <v>45860</v>
      </c>
      <c r="J816" s="22">
        <v>12</v>
      </c>
      <c r="K816" s="25">
        <f t="shared" si="35"/>
        <v>46225</v>
      </c>
      <c r="L816" s="28" t="str">
        <f t="shared" ca="1" si="34"/>
        <v>Em dia</v>
      </c>
      <c r="M816" s="33" t="s">
        <v>65</v>
      </c>
      <c r="N816" s="28" t="s">
        <v>21</v>
      </c>
      <c r="O816" s="22" t="s">
        <v>28</v>
      </c>
      <c r="P816" s="25">
        <f t="shared" si="41"/>
        <v>45952</v>
      </c>
      <c r="Q816" s="25"/>
      <c r="R816" s="25"/>
      <c r="S816" s="7"/>
      <c r="T816" s="7"/>
    </row>
    <row r="817" spans="1:20" ht="14.25" customHeight="1">
      <c r="A817" s="22">
        <v>918</v>
      </c>
      <c r="B817" s="36">
        <v>11149</v>
      </c>
      <c r="C817" s="22" t="str">
        <f>IFERROR(VLOOKUP(B817,Colaboradores!A:D,2,),"")</f>
        <v>CAMYLA CRYSTYNE RABELO LIMA</v>
      </c>
      <c r="D817" s="22" t="str">
        <f>IFERROR(VLOOKUP(B817,Colaboradores!A:D,3,),"")</f>
        <v>COORDENAÇÃO ADMINISTRATIVA</v>
      </c>
      <c r="E817" s="22" t="str">
        <f>IFERROR(VLOOKUP(B817,Colaboradores!A:D,4,),"")</f>
        <v>ANALISTA ADMINISTRATIVO</v>
      </c>
      <c r="F817" s="22" t="s">
        <v>58</v>
      </c>
      <c r="G817" s="24" t="str">
        <f>IFERROR(VLOOKUP(F817,Procedimentos!A:C,2,),"")</f>
        <v>POLÍTICA DE QUALIDADE DA DIRETORIA</v>
      </c>
      <c r="H817" s="39"/>
      <c r="I817" s="40">
        <v>45692</v>
      </c>
      <c r="J817" s="22">
        <v>12</v>
      </c>
      <c r="K817" s="25">
        <f t="shared" si="35"/>
        <v>46057</v>
      </c>
      <c r="L817" s="28" t="str">
        <f t="shared" ca="1" si="34"/>
        <v>Vencido</v>
      </c>
      <c r="M817" s="33" t="s">
        <v>65</v>
      </c>
      <c r="N817" s="28" t="s">
        <v>21</v>
      </c>
      <c r="O817" s="22" t="s">
        <v>28</v>
      </c>
      <c r="P817" s="25">
        <f t="shared" si="41"/>
        <v>45781</v>
      </c>
      <c r="Q817" s="25"/>
      <c r="R817" s="25"/>
      <c r="S817" s="7"/>
      <c r="T817" s="7"/>
    </row>
    <row r="818" spans="1:20" ht="14.25" customHeight="1">
      <c r="A818" s="22">
        <v>919</v>
      </c>
      <c r="B818" s="36">
        <v>14824</v>
      </c>
      <c r="C818" s="22" t="str">
        <f>IFERROR(VLOOKUP(B818,Colaboradores!A:D,2,),"")</f>
        <v>DENISE DE SOUSA RIBEIRO SANTOS</v>
      </c>
      <c r="D818" s="22" t="str">
        <f>IFERROR(VLOOKUP(B818,Colaboradores!A:D,3,),"")</f>
        <v>COORDENAÇÃO ADMINISTRATIVA</v>
      </c>
      <c r="E818" s="22" t="str">
        <f>IFERROR(VLOOKUP(B818,Colaboradores!A:D,4,),"")</f>
        <v>ASSISTENTE ADMINISTRATIVO</v>
      </c>
      <c r="F818" s="22" t="s">
        <v>58</v>
      </c>
      <c r="G818" s="24" t="str">
        <f>IFERROR(VLOOKUP(F818,Procedimentos!A:C,2,),"")</f>
        <v>POLÍTICA DE QUALIDADE DA DIRETORIA</v>
      </c>
      <c r="H818" s="39"/>
      <c r="I818" s="40">
        <v>45692</v>
      </c>
      <c r="J818" s="22">
        <v>12</v>
      </c>
      <c r="K818" s="25">
        <f t="shared" si="35"/>
        <v>46057</v>
      </c>
      <c r="L818" s="28" t="str">
        <f t="shared" ca="1" si="34"/>
        <v>Vencido</v>
      </c>
      <c r="M818" s="33" t="s">
        <v>65</v>
      </c>
      <c r="N818" s="28" t="s">
        <v>21</v>
      </c>
      <c r="O818" s="22" t="s">
        <v>28</v>
      </c>
      <c r="P818" s="25">
        <f t="shared" si="41"/>
        <v>45781</v>
      </c>
      <c r="Q818" s="25"/>
      <c r="R818" s="25"/>
      <c r="S818" s="7"/>
      <c r="T818" s="7"/>
    </row>
    <row r="819" spans="1:20" ht="14.25" customHeight="1">
      <c r="A819" s="22">
        <v>920</v>
      </c>
      <c r="B819" s="36">
        <v>12748</v>
      </c>
      <c r="C819" s="22" t="str">
        <f>IFERROR(VLOOKUP(B819,Colaboradores!A:D,2,),"")</f>
        <v>KARINY DE SOUZA COSTA</v>
      </c>
      <c r="D819" s="22" t="str">
        <f>IFERROR(VLOOKUP(B819,Colaboradores!A:D,3,),"")</f>
        <v>COORDENAÇÃO ADMINISTRATIVA</v>
      </c>
      <c r="E819" s="22" t="str">
        <f>IFERROR(VLOOKUP(B819,Colaboradores!A:D,4,),"")</f>
        <v>ASSISTENTE ADMINISTRATIVO</v>
      </c>
      <c r="F819" s="22" t="s">
        <v>58</v>
      </c>
      <c r="G819" s="24" t="str">
        <f>IFERROR(VLOOKUP(F819,Procedimentos!A:C,2,),"")</f>
        <v>POLÍTICA DE QUALIDADE DA DIRETORIA</v>
      </c>
      <c r="H819" s="39"/>
      <c r="I819" s="40">
        <v>45692</v>
      </c>
      <c r="J819" s="22">
        <v>12</v>
      </c>
      <c r="K819" s="25">
        <f t="shared" si="35"/>
        <v>46057</v>
      </c>
      <c r="L819" s="28" t="str">
        <f t="shared" ca="1" si="34"/>
        <v>Vencido</v>
      </c>
      <c r="M819" s="33" t="s">
        <v>65</v>
      </c>
      <c r="N819" s="28" t="s">
        <v>21</v>
      </c>
      <c r="O819" s="22" t="s">
        <v>28</v>
      </c>
      <c r="P819" s="25">
        <f t="shared" si="41"/>
        <v>45781</v>
      </c>
      <c r="Q819" s="25"/>
      <c r="R819" s="25"/>
      <c r="S819" s="7"/>
      <c r="T819" s="7"/>
    </row>
    <row r="820" spans="1:20" ht="14.25" customHeight="1">
      <c r="A820" s="22">
        <v>921</v>
      </c>
      <c r="B820" s="36">
        <v>12555</v>
      </c>
      <c r="C820" s="22" t="str">
        <f>IFERROR(VLOOKUP(B820,Colaboradores!A:D,2,),"")</f>
        <v>HWGO AUGUSTO ALMEIDA</v>
      </c>
      <c r="D820" s="22" t="str">
        <f>IFERROR(VLOOKUP(B820,Colaboradores!A:D,3,),"")</f>
        <v>COORDENAÇÃO ADMINISTRATIVA</v>
      </c>
      <c r="E820" s="22" t="str">
        <f>IFERROR(VLOOKUP(B820,Colaboradores!A:D,4,),"")</f>
        <v>ANALISTA ADMINISTRATIVO</v>
      </c>
      <c r="F820" s="22" t="s">
        <v>58</v>
      </c>
      <c r="G820" s="24" t="str">
        <f>IFERROR(VLOOKUP(F820,Procedimentos!A:C,2,),"")</f>
        <v>POLÍTICA DE QUALIDADE DA DIRETORIA</v>
      </c>
      <c r="H820" s="39"/>
      <c r="I820" s="40">
        <v>45692</v>
      </c>
      <c r="J820" s="22">
        <v>12</v>
      </c>
      <c r="K820" s="25">
        <f t="shared" si="35"/>
        <v>46057</v>
      </c>
      <c r="L820" s="28" t="str">
        <f t="shared" ca="1" si="34"/>
        <v>Vencido</v>
      </c>
      <c r="M820" s="33" t="s">
        <v>65</v>
      </c>
      <c r="N820" s="28" t="s">
        <v>21</v>
      </c>
      <c r="O820" s="22" t="s">
        <v>28</v>
      </c>
      <c r="P820" s="25">
        <f t="shared" si="41"/>
        <v>45781</v>
      </c>
      <c r="Q820" s="25"/>
      <c r="R820" s="25"/>
      <c r="S820" s="7"/>
      <c r="T820" s="7"/>
    </row>
    <row r="821" spans="1:20" ht="14.25" customHeight="1">
      <c r="A821" s="22">
        <v>922</v>
      </c>
      <c r="B821" s="36">
        <v>13766</v>
      </c>
      <c r="C821" s="22" t="str">
        <f>IFERROR(VLOOKUP(B821,Colaboradores!A:D,2,),"")</f>
        <v>RAIMUNDO TAVARES PESSOA</v>
      </c>
      <c r="D821" s="22" t="str">
        <f>IFERROR(VLOOKUP(B821,Colaboradores!A:D,3,),"")</f>
        <v>COORDENAÇÃO ADMINISTRATIVA</v>
      </c>
      <c r="E821" s="22" t="str">
        <f>IFERROR(VLOOKUP(B821,Colaboradores!A:D,4,),"")</f>
        <v>ANALISTA ADMINISTRATIVO</v>
      </c>
      <c r="F821" s="22" t="s">
        <v>58</v>
      </c>
      <c r="G821" s="24" t="str">
        <f>IFERROR(VLOOKUP(F821,Procedimentos!A:C,2,),"")</f>
        <v>POLÍTICA DE QUALIDADE DA DIRETORIA</v>
      </c>
      <c r="H821" s="39"/>
      <c r="I821" s="40">
        <v>45692</v>
      </c>
      <c r="J821" s="22">
        <v>12</v>
      </c>
      <c r="K821" s="25">
        <f t="shared" si="35"/>
        <v>46057</v>
      </c>
      <c r="L821" s="28" t="str">
        <f t="shared" ca="1" si="34"/>
        <v>Vencido</v>
      </c>
      <c r="M821" s="33" t="s">
        <v>65</v>
      </c>
      <c r="N821" s="28" t="s">
        <v>21</v>
      </c>
      <c r="O821" s="22" t="s">
        <v>28</v>
      </c>
      <c r="P821" s="25">
        <f t="shared" si="41"/>
        <v>45781</v>
      </c>
      <c r="Q821" s="25"/>
      <c r="R821" s="25"/>
      <c r="S821" s="7"/>
      <c r="T821" s="7"/>
    </row>
    <row r="822" spans="1:20" ht="14.25" customHeight="1">
      <c r="A822" s="22">
        <v>923</v>
      </c>
      <c r="B822" s="36">
        <v>15023</v>
      </c>
      <c r="C822" s="22" t="str">
        <f>IFERROR(VLOOKUP(B822,Colaboradores!A:D,2,),"")</f>
        <v>DANIEL ELISON GUSMÃO PEREIRA</v>
      </c>
      <c r="D822" s="22" t="str">
        <f>IFERROR(VLOOKUP(B822,Colaboradores!A:D,3,),"")</f>
        <v>GESTÃO INTEGRADA</v>
      </c>
      <c r="E822" s="22" t="str">
        <f>IFERROR(VLOOKUP(B822,Colaboradores!A:D,4,),"")</f>
        <v>ASSISTENTE ADMINISTRATIVO</v>
      </c>
      <c r="F822" s="22" t="s">
        <v>58</v>
      </c>
      <c r="G822" s="24" t="str">
        <f>IFERROR(VLOOKUP(F822,Procedimentos!A:C,2,),"")</f>
        <v>POLÍTICA DE QUALIDADE DA DIRETORIA</v>
      </c>
      <c r="H822" s="39"/>
      <c r="I822" s="40">
        <v>45692</v>
      </c>
      <c r="J822" s="22">
        <v>12</v>
      </c>
      <c r="K822" s="25">
        <f t="shared" si="35"/>
        <v>46057</v>
      </c>
      <c r="L822" s="28" t="str">
        <f t="shared" ca="1" si="34"/>
        <v>Vencido</v>
      </c>
      <c r="M822" s="33" t="s">
        <v>65</v>
      </c>
      <c r="N822" s="28" t="s">
        <v>21</v>
      </c>
      <c r="O822" s="22" t="s">
        <v>28</v>
      </c>
      <c r="P822" s="25">
        <f t="shared" si="41"/>
        <v>45781</v>
      </c>
      <c r="Q822" s="25"/>
      <c r="R822" s="25"/>
      <c r="S822" s="7"/>
      <c r="T822" s="7"/>
    </row>
    <row r="823" spans="1:20" ht="14.25" customHeight="1">
      <c r="A823" s="22">
        <v>924</v>
      </c>
      <c r="B823" s="36">
        <v>14525</v>
      </c>
      <c r="C823" s="22" t="str">
        <f>IFERROR(VLOOKUP(B823,Colaboradores!A:D,2,),"")</f>
        <v>IANKA PRAZERES CUNHA</v>
      </c>
      <c r="D823" s="22" t="str">
        <f>IFERROR(VLOOKUP(B823,Colaboradores!A:D,3,),"")</f>
        <v>GESTÃO INTEGRADA</v>
      </c>
      <c r="E823" s="22" t="str">
        <f>IFERROR(VLOOKUP(B823,Colaboradores!A:D,4,),"")</f>
        <v>ANALISTA DE GESTÃO INTEGRADA</v>
      </c>
      <c r="F823" s="22" t="s">
        <v>58</v>
      </c>
      <c r="G823" s="24" t="str">
        <f>IFERROR(VLOOKUP(F823,Procedimentos!A:C,2,),"")</f>
        <v>POLÍTICA DE QUALIDADE DA DIRETORIA</v>
      </c>
      <c r="H823" s="39"/>
      <c r="I823" s="40">
        <v>45692</v>
      </c>
      <c r="J823" s="22">
        <v>12</v>
      </c>
      <c r="K823" s="25">
        <f t="shared" si="35"/>
        <v>46057</v>
      </c>
      <c r="L823" s="28" t="str">
        <f t="shared" ca="1" si="34"/>
        <v>Vencido</v>
      </c>
      <c r="M823" s="33" t="s">
        <v>65</v>
      </c>
      <c r="N823" s="28" t="s">
        <v>21</v>
      </c>
      <c r="O823" s="22" t="s">
        <v>28</v>
      </c>
      <c r="P823" s="25">
        <f t="shared" si="41"/>
        <v>45781</v>
      </c>
      <c r="Q823" s="25"/>
      <c r="R823" s="25"/>
      <c r="S823" s="7"/>
      <c r="T823" s="7"/>
    </row>
    <row r="824" spans="1:20" ht="14.25" customHeight="1">
      <c r="A824" s="22">
        <v>925</v>
      </c>
      <c r="B824" s="36">
        <v>13750</v>
      </c>
      <c r="C824" s="22" t="str">
        <f>IFERROR(VLOOKUP(B824,Colaboradores!A:D,2,),"")</f>
        <v>JOSE ANTONIO ALVES MAGALHAES</v>
      </c>
      <c r="D824" s="22" t="str">
        <f>IFERROR(VLOOKUP(B824,Colaboradores!A:D,3,),"")</f>
        <v>GESTÃO INTEGRADA</v>
      </c>
      <c r="E824" s="22" t="str">
        <f>IFERROR(VLOOKUP(B824,Colaboradores!A:D,4,),"")</f>
        <v>GERENTE DE GESTÃO INTEGRADA</v>
      </c>
      <c r="F824" s="22" t="s">
        <v>58</v>
      </c>
      <c r="G824" s="24" t="str">
        <f>IFERROR(VLOOKUP(F824,Procedimentos!A:C,2,),"")</f>
        <v>POLÍTICA DE QUALIDADE DA DIRETORIA</v>
      </c>
      <c r="H824" s="22" t="s">
        <v>7</v>
      </c>
      <c r="I824" s="25"/>
      <c r="J824" s="22">
        <v>12</v>
      </c>
      <c r="K824" s="25" t="str">
        <f t="shared" si="35"/>
        <v/>
      </c>
      <c r="L824" s="28" t="str">
        <f t="shared" ca="1" si="34"/>
        <v/>
      </c>
      <c r="M824" s="33"/>
      <c r="N824" s="28" t="s">
        <v>21</v>
      </c>
      <c r="O824" s="22" t="s">
        <v>28</v>
      </c>
      <c r="P824" s="25"/>
      <c r="Q824" s="25"/>
      <c r="R824" s="25"/>
      <c r="S824" s="7"/>
      <c r="T824" s="7"/>
    </row>
    <row r="825" spans="1:20" ht="14.25" customHeight="1">
      <c r="A825" s="22">
        <v>926</v>
      </c>
      <c r="B825" s="36">
        <v>12712</v>
      </c>
      <c r="C825" s="22" t="str">
        <f>IFERROR(VLOOKUP(B825,Colaboradores!A:D,2,),"")</f>
        <v>JOYCE CLEIA MIRANDA BARROS</v>
      </c>
      <c r="D825" s="22" t="str">
        <f>IFERROR(VLOOKUP(B825,Colaboradores!A:D,3,),"")</f>
        <v>GESTÃO INTEGRADA</v>
      </c>
      <c r="E825" s="22" t="str">
        <f>IFERROR(VLOOKUP(B825,Colaboradores!A:D,4,),"")</f>
        <v>ANALISTA DE GESTÃO INTEGRADA</v>
      </c>
      <c r="F825" s="22" t="s">
        <v>58</v>
      </c>
      <c r="G825" s="24" t="str">
        <f>IFERROR(VLOOKUP(F825,Procedimentos!A:C,2,),"")</f>
        <v>POLÍTICA DE QUALIDADE DA DIRETORIA</v>
      </c>
      <c r="H825" s="25"/>
      <c r="I825" s="40">
        <v>45692</v>
      </c>
      <c r="J825" s="22">
        <v>12</v>
      </c>
      <c r="K825" s="25">
        <f t="shared" si="35"/>
        <v>46057</v>
      </c>
      <c r="L825" s="28" t="str">
        <f t="shared" ca="1" si="34"/>
        <v>Vencido</v>
      </c>
      <c r="M825" s="33" t="s">
        <v>65</v>
      </c>
      <c r="N825" s="28" t="s">
        <v>21</v>
      </c>
      <c r="O825" s="22" t="s">
        <v>28</v>
      </c>
      <c r="P825" s="25">
        <f t="shared" ref="P825:P826" si="42">EDATE(I825,3)</f>
        <v>45781</v>
      </c>
      <c r="Q825" s="25"/>
      <c r="R825" s="25"/>
      <c r="S825" s="7"/>
      <c r="T825" s="7"/>
    </row>
    <row r="826" spans="1:20" ht="14.25" customHeight="1">
      <c r="A826" s="22">
        <v>927</v>
      </c>
      <c r="B826" s="36">
        <v>13787</v>
      </c>
      <c r="C826" s="22" t="str">
        <f>IFERROR(VLOOKUP(B826,Colaboradores!A:D,2,),"")</f>
        <v>KELLE SOCORRO MENDES GUIGNONI</v>
      </c>
      <c r="D826" s="22" t="str">
        <f>IFERROR(VLOOKUP(B826,Colaboradores!A:D,3,),"")</f>
        <v>GESTÃO INTEGRADA</v>
      </c>
      <c r="E826" s="22" t="str">
        <f>IFERROR(VLOOKUP(B826,Colaboradores!A:D,4,),"")</f>
        <v>ANALISTA DE GESTÃO INTEGRADA</v>
      </c>
      <c r="F826" s="22" t="s">
        <v>58</v>
      </c>
      <c r="G826" s="24" t="str">
        <f>IFERROR(VLOOKUP(F826,Procedimentos!A:C,2,),"")</f>
        <v>POLÍTICA DE QUALIDADE DA DIRETORIA</v>
      </c>
      <c r="H826" s="39"/>
      <c r="I826" s="40">
        <v>45692</v>
      </c>
      <c r="J826" s="22">
        <v>12</v>
      </c>
      <c r="K826" s="25">
        <f t="shared" si="35"/>
        <v>46057</v>
      </c>
      <c r="L826" s="28" t="str">
        <f t="shared" ca="1" si="34"/>
        <v>Vencido</v>
      </c>
      <c r="M826" s="33" t="s">
        <v>65</v>
      </c>
      <c r="N826" s="28" t="s">
        <v>21</v>
      </c>
      <c r="O826" s="22" t="s">
        <v>28</v>
      </c>
      <c r="P826" s="25">
        <f t="shared" si="42"/>
        <v>45781</v>
      </c>
      <c r="Q826" s="25"/>
      <c r="R826" s="25"/>
      <c r="S826" s="7"/>
      <c r="T826" s="7"/>
    </row>
    <row r="827" spans="1:20" ht="14.25" customHeight="1">
      <c r="A827" s="22">
        <v>928</v>
      </c>
      <c r="B827" s="36">
        <v>12685</v>
      </c>
      <c r="C827" s="22" t="str">
        <f>IFERROR(VLOOKUP(B827,Colaboradores!A:D,2,),"")</f>
        <v>LIDIANA CRISTINA MIRANDA FERREIRA</v>
      </c>
      <c r="D827" s="22" t="str">
        <f>IFERROR(VLOOKUP(B827,Colaboradores!A:D,3,),"")</f>
        <v>GESTÃO INTEGRADA</v>
      </c>
      <c r="E827" s="22" t="str">
        <f>IFERROR(VLOOKUP(B827,Colaboradores!A:D,4,),"")</f>
        <v>COORDENADOR DE GESTÃO INTEGRADA</v>
      </c>
      <c r="F827" s="22" t="s">
        <v>58</v>
      </c>
      <c r="G827" s="24" t="str">
        <f>IFERROR(VLOOKUP(F827,Procedimentos!A:C,2,),"")</f>
        <v>POLÍTICA DE QUALIDADE DA DIRETORIA</v>
      </c>
      <c r="H827" s="22" t="s">
        <v>7</v>
      </c>
      <c r="I827" s="25"/>
      <c r="J827" s="22">
        <v>12</v>
      </c>
      <c r="K827" s="25" t="str">
        <f t="shared" si="35"/>
        <v/>
      </c>
      <c r="L827" s="28" t="str">
        <f t="shared" ca="1" si="34"/>
        <v/>
      </c>
      <c r="M827" s="33"/>
      <c r="N827" s="28" t="s">
        <v>21</v>
      </c>
      <c r="O827" s="22" t="s">
        <v>28</v>
      </c>
      <c r="P827" s="25"/>
      <c r="Q827" s="25"/>
      <c r="R827" s="25"/>
      <c r="S827" s="7"/>
      <c r="T827" s="7"/>
    </row>
    <row r="828" spans="1:20" ht="14.25" customHeight="1">
      <c r="A828" s="22">
        <v>929</v>
      </c>
      <c r="B828" s="36">
        <v>15068</v>
      </c>
      <c r="C828" s="22" t="str">
        <f>IFERROR(VLOOKUP(B828,Colaboradores!A:D,2,),"")</f>
        <v>TASSO CHAVES DE OLIVEIRA</v>
      </c>
      <c r="D828" s="22" t="str">
        <f>IFERROR(VLOOKUP(B828,Colaboradores!A:D,3,),"")</f>
        <v>GESTÃO INTEGRADA</v>
      </c>
      <c r="E828" s="22" t="str">
        <f>IFERROR(VLOOKUP(B828,Colaboradores!A:D,4,),"")</f>
        <v>ASSESSOR DE GESTÃO INTEGRADA</v>
      </c>
      <c r="F828" s="22" t="s">
        <v>58</v>
      </c>
      <c r="G828" s="24" t="str">
        <f>IFERROR(VLOOKUP(F828,Procedimentos!A:C,2,),"")</f>
        <v>POLÍTICA DE QUALIDADE DA DIRETORIA</v>
      </c>
      <c r="H828" s="39"/>
      <c r="I828" s="40">
        <v>45692</v>
      </c>
      <c r="J828" s="22">
        <v>12</v>
      </c>
      <c r="K828" s="25">
        <f t="shared" si="35"/>
        <v>46057</v>
      </c>
      <c r="L828" s="28" t="str">
        <f t="shared" ca="1" si="34"/>
        <v>Vencido</v>
      </c>
      <c r="M828" s="33" t="s">
        <v>65</v>
      </c>
      <c r="N828" s="28" t="s">
        <v>21</v>
      </c>
      <c r="O828" s="22" t="s">
        <v>28</v>
      </c>
      <c r="P828" s="25">
        <f t="shared" ref="P828:P867" si="43">EDATE(I828,3)</f>
        <v>45781</v>
      </c>
      <c r="Q828" s="25"/>
      <c r="R828" s="25"/>
      <c r="S828" s="7"/>
      <c r="T828" s="7"/>
    </row>
    <row r="829" spans="1:20" ht="14.25" customHeight="1">
      <c r="A829" s="22">
        <v>931</v>
      </c>
      <c r="B829" s="36">
        <v>12486</v>
      </c>
      <c r="C829" s="22" t="str">
        <f>IFERROR(VLOOKUP(B829,Colaboradores!A:D,2,),"")</f>
        <v>ENEAS GALVAO MAGALHAES BRITO</v>
      </c>
      <c r="D829" s="22" t="str">
        <f>IFERROR(VLOOKUP(B829,Colaboradores!A:D,3,),"")</f>
        <v>MEIO AMBIENTE</v>
      </c>
      <c r="E829" s="22" t="str">
        <f>IFERROR(VLOOKUP(B829,Colaboradores!A:D,4,),"")</f>
        <v>ENGENHEIRO DE MEIO AMBIENTE</v>
      </c>
      <c r="F829" s="22" t="s">
        <v>58</v>
      </c>
      <c r="G829" s="24" t="str">
        <f>IFERROR(VLOOKUP(F829,Procedimentos!A:C,2,),"")</f>
        <v>POLÍTICA DE QUALIDADE DA DIRETORIA</v>
      </c>
      <c r="H829" s="39"/>
      <c r="I829" s="40">
        <v>45692</v>
      </c>
      <c r="J829" s="22">
        <v>12</v>
      </c>
      <c r="K829" s="25">
        <f t="shared" si="35"/>
        <v>46057</v>
      </c>
      <c r="L829" s="28" t="str">
        <f t="shared" ca="1" si="34"/>
        <v>Vencido</v>
      </c>
      <c r="M829" s="33" t="s">
        <v>65</v>
      </c>
      <c r="N829" s="28" t="s">
        <v>21</v>
      </c>
      <c r="O829" s="22" t="s">
        <v>28</v>
      </c>
      <c r="P829" s="25">
        <f t="shared" si="43"/>
        <v>45781</v>
      </c>
      <c r="Q829" s="25"/>
      <c r="R829" s="25"/>
      <c r="S829" s="7"/>
      <c r="T829" s="7"/>
    </row>
    <row r="830" spans="1:20" ht="14.25" customHeight="1">
      <c r="A830" s="22">
        <v>932</v>
      </c>
      <c r="B830" s="36">
        <v>14013</v>
      </c>
      <c r="C830" s="22" t="str">
        <f>IFERROR(VLOOKUP(B830,Colaboradores!A:D,2,),"")</f>
        <v>IGOR WARWICK SANTOS DE CASTRO</v>
      </c>
      <c r="D830" s="22" t="str">
        <f>IFERROR(VLOOKUP(B830,Colaboradores!A:D,3,),"")</f>
        <v>MEIO AMBIENTE</v>
      </c>
      <c r="E830" s="22" t="str">
        <f>IFERROR(VLOOKUP(B830,Colaboradores!A:D,4,),"")</f>
        <v>ASSISTENTE ADMINISTRATIVO</v>
      </c>
      <c r="F830" s="22" t="s">
        <v>58</v>
      </c>
      <c r="G830" s="24" t="str">
        <f>IFERROR(VLOOKUP(F830,Procedimentos!A:C,2,),"")</f>
        <v>POLÍTICA DE QUALIDADE DA DIRETORIA</v>
      </c>
      <c r="H830" s="39"/>
      <c r="I830" s="40">
        <v>45692</v>
      </c>
      <c r="J830" s="22">
        <v>12</v>
      </c>
      <c r="K830" s="25">
        <f t="shared" si="35"/>
        <v>46057</v>
      </c>
      <c r="L830" s="28" t="str">
        <f t="shared" ca="1" si="34"/>
        <v>Vencido</v>
      </c>
      <c r="M830" s="33" t="s">
        <v>65</v>
      </c>
      <c r="N830" s="28" t="s">
        <v>21</v>
      </c>
      <c r="O830" s="22" t="s">
        <v>28</v>
      </c>
      <c r="P830" s="25">
        <f t="shared" si="43"/>
        <v>45781</v>
      </c>
      <c r="Q830" s="25"/>
      <c r="R830" s="25"/>
      <c r="S830" s="7"/>
      <c r="T830" s="7"/>
    </row>
    <row r="831" spans="1:20" ht="14.25" customHeight="1">
      <c r="A831" s="22">
        <v>933</v>
      </c>
      <c r="B831" s="36">
        <v>12684</v>
      </c>
      <c r="C831" s="22" t="str">
        <f>IFERROR(VLOOKUP(B831,Colaboradores!A:D,2,),"")</f>
        <v>JACIARA VIEIRA DA CRUZ DE AGUIAR</v>
      </c>
      <c r="D831" s="22" t="str">
        <f>IFERROR(VLOOKUP(B831,Colaboradores!A:D,3,),"")</f>
        <v>MEIO AMBIENTE</v>
      </c>
      <c r="E831" s="22" t="str">
        <f>IFERROR(VLOOKUP(B831,Colaboradores!A:D,4,),"")</f>
        <v>GERENTE DE MEIO AMBIENTE</v>
      </c>
      <c r="F831" s="22" t="s">
        <v>58</v>
      </c>
      <c r="G831" s="24" t="str">
        <f>IFERROR(VLOOKUP(F831,Procedimentos!A:C,2,),"")</f>
        <v>POLÍTICA DE QUALIDADE DA DIRETORIA</v>
      </c>
      <c r="H831" s="39"/>
      <c r="I831" s="40">
        <v>45692</v>
      </c>
      <c r="J831" s="22">
        <v>12</v>
      </c>
      <c r="K831" s="25">
        <f t="shared" si="35"/>
        <v>46057</v>
      </c>
      <c r="L831" s="28" t="str">
        <f t="shared" ca="1" si="34"/>
        <v>Vencido</v>
      </c>
      <c r="M831" s="33" t="s">
        <v>65</v>
      </c>
      <c r="N831" s="28" t="s">
        <v>21</v>
      </c>
      <c r="O831" s="22" t="s">
        <v>28</v>
      </c>
      <c r="P831" s="25">
        <f t="shared" si="43"/>
        <v>45781</v>
      </c>
      <c r="Q831" s="25"/>
      <c r="R831" s="25"/>
      <c r="S831" s="7"/>
      <c r="T831" s="7"/>
    </row>
    <row r="832" spans="1:20" ht="14.25" customHeight="1">
      <c r="A832" s="22">
        <v>934</v>
      </c>
      <c r="B832" s="36">
        <v>13741</v>
      </c>
      <c r="C832" s="22" t="str">
        <f>IFERROR(VLOOKUP(B832,Colaboradores!A:D,2,),"")</f>
        <v>LUCAS LOPES VIEIRA</v>
      </c>
      <c r="D832" s="22" t="str">
        <f>IFERROR(VLOOKUP(B832,Colaboradores!A:D,3,),"")</f>
        <v>MEIO AMBIENTE</v>
      </c>
      <c r="E832" s="22" t="str">
        <f>IFERROR(VLOOKUP(B832,Colaboradores!A:D,4,),"")</f>
        <v>ENGENHEIRO DE MEIO AMBIENTE</v>
      </c>
      <c r="F832" s="22" t="s">
        <v>58</v>
      </c>
      <c r="G832" s="24" t="str">
        <f>IFERROR(VLOOKUP(F832,Procedimentos!A:C,2,),"")</f>
        <v>POLÍTICA DE QUALIDADE DA DIRETORIA</v>
      </c>
      <c r="H832" s="39"/>
      <c r="I832" s="40">
        <v>45692</v>
      </c>
      <c r="J832" s="22">
        <v>12</v>
      </c>
      <c r="K832" s="25">
        <f t="shared" si="35"/>
        <v>46057</v>
      </c>
      <c r="L832" s="28" t="str">
        <f t="shared" ca="1" si="34"/>
        <v>Vencido</v>
      </c>
      <c r="M832" s="33" t="s">
        <v>65</v>
      </c>
      <c r="N832" s="28" t="s">
        <v>21</v>
      </c>
      <c r="O832" s="22" t="s">
        <v>28</v>
      </c>
      <c r="P832" s="25">
        <f t="shared" si="43"/>
        <v>45781</v>
      </c>
      <c r="Q832" s="25"/>
      <c r="R832" s="25"/>
      <c r="S832" s="7"/>
      <c r="T832" s="7"/>
    </row>
    <row r="833" spans="1:20" ht="14.25" customHeight="1">
      <c r="A833" s="22">
        <v>935</v>
      </c>
      <c r="B833" s="36">
        <v>14246</v>
      </c>
      <c r="C833" s="22" t="str">
        <f>IFERROR(VLOOKUP(B833,Colaboradores!A:D,2,),"")</f>
        <v>THIALISSON SILVA MORAES</v>
      </c>
      <c r="D833" s="22" t="str">
        <f>IFERROR(VLOOKUP(B833,Colaboradores!A:D,3,),"")</f>
        <v>MEIO AMBIENTE</v>
      </c>
      <c r="E833" s="22" t="str">
        <f>IFERROR(VLOOKUP(B833,Colaboradores!A:D,4,),"")</f>
        <v>ANALISTA DE MEIO AMBIENTE</v>
      </c>
      <c r="F833" s="22" t="s">
        <v>58</v>
      </c>
      <c r="G833" s="24" t="str">
        <f>IFERROR(VLOOKUP(F833,Procedimentos!A:C,2,),"")</f>
        <v>POLÍTICA DE QUALIDADE DA DIRETORIA</v>
      </c>
      <c r="H833" s="39"/>
      <c r="I833" s="40">
        <v>45692</v>
      </c>
      <c r="J833" s="22">
        <v>12</v>
      </c>
      <c r="K833" s="25">
        <f t="shared" si="35"/>
        <v>46057</v>
      </c>
      <c r="L833" s="28" t="str">
        <f t="shared" ref="L833:L896" ca="1" si="44">IF(K833="","",IF(K833&lt;TODAY(),"Vencido",IF(K833&lt;=TODAY()+30,"A vencer","Em dia")))</f>
        <v>Vencido</v>
      </c>
      <c r="M833" s="33" t="s">
        <v>65</v>
      </c>
      <c r="N833" s="28" t="s">
        <v>21</v>
      </c>
      <c r="O833" s="22" t="s">
        <v>28</v>
      </c>
      <c r="P833" s="25">
        <f t="shared" si="43"/>
        <v>45781</v>
      </c>
      <c r="Q833" s="25"/>
      <c r="R833" s="25"/>
      <c r="S833" s="7"/>
      <c r="T833" s="7"/>
    </row>
    <row r="834" spans="1:20" ht="14.25" customHeight="1">
      <c r="A834" s="22">
        <v>936</v>
      </c>
      <c r="B834" s="36">
        <v>14526</v>
      </c>
      <c r="C834" s="22" t="str">
        <f>IFERROR(VLOOKUP(B834,Colaboradores!A:D,2,),"")</f>
        <v>VINNICYUS ANTONIO DE CARVALHO RIBEIRO</v>
      </c>
      <c r="D834" s="22" t="str">
        <f>IFERROR(VLOOKUP(B834,Colaboradores!A:D,3,),"")</f>
        <v>MEIO AMBIENTE</v>
      </c>
      <c r="E834" s="22" t="str">
        <f>IFERROR(VLOOKUP(B834,Colaboradores!A:D,4,),"")</f>
        <v>ENGENHEIRO DE MEIO AMBIENTE</v>
      </c>
      <c r="F834" s="22" t="s">
        <v>58</v>
      </c>
      <c r="G834" s="24" t="str">
        <f>IFERROR(VLOOKUP(F834,Procedimentos!A:C,2,),"")</f>
        <v>POLÍTICA DE QUALIDADE DA DIRETORIA</v>
      </c>
      <c r="H834" s="39"/>
      <c r="I834" s="40">
        <v>45692</v>
      </c>
      <c r="J834" s="22">
        <v>12</v>
      </c>
      <c r="K834" s="25">
        <f t="shared" si="35"/>
        <v>46057</v>
      </c>
      <c r="L834" s="28" t="str">
        <f t="shared" ca="1" si="44"/>
        <v>Vencido</v>
      </c>
      <c r="M834" s="33" t="s">
        <v>65</v>
      </c>
      <c r="N834" s="28" t="s">
        <v>21</v>
      </c>
      <c r="O834" s="22" t="s">
        <v>28</v>
      </c>
      <c r="P834" s="25">
        <f t="shared" si="43"/>
        <v>45781</v>
      </c>
      <c r="Q834" s="25"/>
      <c r="R834" s="25"/>
      <c r="S834" s="7"/>
      <c r="T834" s="7"/>
    </row>
    <row r="835" spans="1:20" ht="14.25" customHeight="1">
      <c r="A835" s="22">
        <v>937</v>
      </c>
      <c r="B835" s="36">
        <v>15295</v>
      </c>
      <c r="C835" s="22" t="str">
        <f>IFERROR(VLOOKUP(B835,Colaboradores!A:D,2,),"")</f>
        <v>ANA CRISTINA GONÇALVES NUNES</v>
      </c>
      <c r="D835" s="22" t="str">
        <f>IFERROR(VLOOKUP(B835,Colaboradores!A:D,3,),"")</f>
        <v>SAÚDE OCUPACIONAL</v>
      </c>
      <c r="E835" s="22" t="str">
        <f>IFERROR(VLOOKUP(B835,Colaboradores!A:D,4,),"")</f>
        <v>ENFERMEIRA</v>
      </c>
      <c r="F835" s="22" t="s">
        <v>58</v>
      </c>
      <c r="G835" s="24" t="str">
        <f>IFERROR(VLOOKUP(F835,Procedimentos!A:C,2,),"")</f>
        <v>POLÍTICA DE QUALIDADE DA DIRETORIA</v>
      </c>
      <c r="H835" s="39"/>
      <c r="I835" s="40">
        <v>45692</v>
      </c>
      <c r="J835" s="22">
        <v>12</v>
      </c>
      <c r="K835" s="25">
        <f t="shared" ref="K835:K898" si="45">IF(AND(I835&lt;&gt;"",J835&lt;&gt;""),DATE(YEAR(I835),MONTH(I835)+J835,DAY(I835)),"")</f>
        <v>46057</v>
      </c>
      <c r="L835" s="28" t="str">
        <f t="shared" ca="1" si="44"/>
        <v>Vencido</v>
      </c>
      <c r="M835" s="33" t="s">
        <v>65</v>
      </c>
      <c r="N835" s="28" t="s">
        <v>21</v>
      </c>
      <c r="O835" s="22" t="s">
        <v>28</v>
      </c>
      <c r="P835" s="25">
        <f t="shared" si="43"/>
        <v>45781</v>
      </c>
      <c r="Q835" s="25"/>
      <c r="R835" s="25"/>
      <c r="S835" s="7"/>
      <c r="T835" s="7"/>
    </row>
    <row r="836" spans="1:20" ht="14.25" customHeight="1">
      <c r="A836" s="22">
        <v>938</v>
      </c>
      <c r="B836" s="36">
        <v>12330</v>
      </c>
      <c r="C836" s="22" t="str">
        <f>IFERROR(VLOOKUP(B836,Colaboradores!A:D,2,),"")</f>
        <v>BIANCA GUEDES SILVA ALMEIDA</v>
      </c>
      <c r="D836" s="22" t="str">
        <f>IFERROR(VLOOKUP(B836,Colaboradores!A:D,3,),"")</f>
        <v>SAÚDE OCUPACIONAL</v>
      </c>
      <c r="E836" s="22" t="str">
        <f>IFERROR(VLOOKUP(B836,Colaboradores!A:D,4,),"")</f>
        <v>NUTRICIONISTA</v>
      </c>
      <c r="F836" s="22" t="s">
        <v>58</v>
      </c>
      <c r="G836" s="24" t="str">
        <f>IFERROR(VLOOKUP(F836,Procedimentos!A:C,2,),"")</f>
        <v>POLÍTICA DE QUALIDADE DA DIRETORIA</v>
      </c>
      <c r="H836" s="39"/>
      <c r="I836" s="40">
        <v>45692</v>
      </c>
      <c r="J836" s="22">
        <v>12</v>
      </c>
      <c r="K836" s="25">
        <f t="shared" si="45"/>
        <v>46057</v>
      </c>
      <c r="L836" s="28" t="str">
        <f t="shared" ca="1" si="44"/>
        <v>Vencido</v>
      </c>
      <c r="M836" s="33" t="s">
        <v>65</v>
      </c>
      <c r="N836" s="28" t="s">
        <v>21</v>
      </c>
      <c r="O836" s="22" t="s">
        <v>28</v>
      </c>
      <c r="P836" s="25">
        <f t="shared" si="43"/>
        <v>45781</v>
      </c>
      <c r="Q836" s="25"/>
      <c r="R836" s="25"/>
      <c r="S836" s="7"/>
      <c r="T836" s="7"/>
    </row>
    <row r="837" spans="1:20" ht="14.25" customHeight="1">
      <c r="A837" s="22">
        <v>939</v>
      </c>
      <c r="B837" s="36">
        <v>3109</v>
      </c>
      <c r="C837" s="22" t="str">
        <f>IFERROR(VLOOKUP(B837,Colaboradores!A:D,2,),"")</f>
        <v>BRUNO ARRUDA DE AMORIM OLIVEIRA</v>
      </c>
      <c r="D837" s="22" t="str">
        <f>IFERROR(VLOOKUP(B837,Colaboradores!A:D,3,),"")</f>
        <v>SAÚDE OCUPACIONAL</v>
      </c>
      <c r="E837" s="22" t="str">
        <f>IFERROR(VLOOKUP(B837,Colaboradores!A:D,4,),"")</f>
        <v>MÉDICO DO TRABALHO</v>
      </c>
      <c r="F837" s="22" t="s">
        <v>58</v>
      </c>
      <c r="G837" s="24" t="str">
        <f>IFERROR(VLOOKUP(F837,Procedimentos!A:C,2,),"")</f>
        <v>POLÍTICA DE QUALIDADE DA DIRETORIA</v>
      </c>
      <c r="H837" s="39"/>
      <c r="I837" s="40">
        <v>45692</v>
      </c>
      <c r="J837" s="22">
        <v>12</v>
      </c>
      <c r="K837" s="25">
        <f t="shared" si="45"/>
        <v>46057</v>
      </c>
      <c r="L837" s="28" t="str">
        <f t="shared" ca="1" si="44"/>
        <v>Vencido</v>
      </c>
      <c r="M837" s="33" t="s">
        <v>65</v>
      </c>
      <c r="N837" s="28" t="s">
        <v>21</v>
      </c>
      <c r="O837" s="22" t="s">
        <v>28</v>
      </c>
      <c r="P837" s="25">
        <f t="shared" si="43"/>
        <v>45781</v>
      </c>
      <c r="Q837" s="25"/>
      <c r="R837" s="25"/>
      <c r="S837" s="7"/>
      <c r="T837" s="7"/>
    </row>
    <row r="838" spans="1:20" ht="14.25" customHeight="1">
      <c r="A838" s="22">
        <v>940</v>
      </c>
      <c r="B838" s="36">
        <v>7590</v>
      </c>
      <c r="C838" s="22" t="str">
        <f>IFERROR(VLOOKUP(B838,Colaboradores!A:D,2,),"")</f>
        <v>FABIOLA SOUSA MOURA BORGES</v>
      </c>
      <c r="D838" s="22" t="str">
        <f>IFERROR(VLOOKUP(B838,Colaboradores!A:D,3,),"")</f>
        <v>SAÚDE OCUPACIONAL</v>
      </c>
      <c r="E838" s="22" t="str">
        <f>IFERROR(VLOOKUP(B838,Colaboradores!A:D,4,),"")</f>
        <v>GERENTE DE SAÚDE OCUPACIONAL</v>
      </c>
      <c r="F838" s="22" t="s">
        <v>58</v>
      </c>
      <c r="G838" s="24" t="str">
        <f>IFERROR(VLOOKUP(F838,Procedimentos!A:C,2,),"")</f>
        <v>POLÍTICA DE QUALIDADE DA DIRETORIA</v>
      </c>
      <c r="H838" s="22"/>
      <c r="I838" s="40">
        <v>45692</v>
      </c>
      <c r="J838" s="22">
        <v>12</v>
      </c>
      <c r="K838" s="25">
        <f t="shared" si="45"/>
        <v>46057</v>
      </c>
      <c r="L838" s="28" t="str">
        <f t="shared" ca="1" si="44"/>
        <v>Vencido</v>
      </c>
      <c r="M838" s="33" t="s">
        <v>65</v>
      </c>
      <c r="N838" s="28" t="s">
        <v>21</v>
      </c>
      <c r="O838" s="22" t="s">
        <v>28</v>
      </c>
      <c r="P838" s="25">
        <f t="shared" si="43"/>
        <v>45781</v>
      </c>
      <c r="Q838" s="25"/>
      <c r="R838" s="25"/>
      <c r="S838" s="7"/>
      <c r="T838" s="7"/>
    </row>
    <row r="839" spans="1:20" ht="14.25" customHeight="1">
      <c r="A839" s="22">
        <v>941</v>
      </c>
      <c r="B839" s="36">
        <v>1866</v>
      </c>
      <c r="C839" s="22" t="str">
        <f>IFERROR(VLOOKUP(B839,Colaboradores!A:D,2,),"")</f>
        <v>FLAVIA AROUCHE GAMA</v>
      </c>
      <c r="D839" s="22" t="str">
        <f>IFERROR(VLOOKUP(B839,Colaboradores!A:D,3,),"")</f>
        <v>SAÚDE OCUPACIONAL</v>
      </c>
      <c r="E839" s="22" t="str">
        <f>IFERROR(VLOOKUP(B839,Colaboradores!A:D,4,),"")</f>
        <v>MÉDICO DO TRABALHO</v>
      </c>
      <c r="F839" s="22" t="s">
        <v>58</v>
      </c>
      <c r="G839" s="24" t="str">
        <f>IFERROR(VLOOKUP(F839,Procedimentos!A:C,2,),"")</f>
        <v>POLÍTICA DE QUALIDADE DA DIRETORIA</v>
      </c>
      <c r="H839" s="39"/>
      <c r="I839" s="40">
        <v>45692</v>
      </c>
      <c r="J839" s="22">
        <v>12</v>
      </c>
      <c r="K839" s="25">
        <f t="shared" si="45"/>
        <v>46057</v>
      </c>
      <c r="L839" s="28" t="str">
        <f t="shared" ca="1" si="44"/>
        <v>Vencido</v>
      </c>
      <c r="M839" s="33" t="s">
        <v>65</v>
      </c>
      <c r="N839" s="28" t="s">
        <v>21</v>
      </c>
      <c r="O839" s="22" t="s">
        <v>28</v>
      </c>
      <c r="P839" s="25">
        <f t="shared" si="43"/>
        <v>45781</v>
      </c>
      <c r="Q839" s="25"/>
      <c r="R839" s="25"/>
      <c r="S839" s="7"/>
      <c r="T839" s="7"/>
    </row>
    <row r="840" spans="1:20" ht="14.25" customHeight="1">
      <c r="A840" s="22">
        <v>942</v>
      </c>
      <c r="B840" s="36">
        <v>14508</v>
      </c>
      <c r="C840" s="22" t="str">
        <f>IFERROR(VLOOKUP(B840,Colaboradores!A:D,2,),"")</f>
        <v>FYAMA SANTOS SILVA</v>
      </c>
      <c r="D840" s="22" t="str">
        <f>IFERROR(VLOOKUP(B840,Colaboradores!A:D,3,),"")</f>
        <v>SAÚDE OCUPACIONAL</v>
      </c>
      <c r="E840" s="22" t="str">
        <f>IFERROR(VLOOKUP(B840,Colaboradores!A:D,4,),"")</f>
        <v>ASSISTENTE ADMINISTRATIVO</v>
      </c>
      <c r="F840" s="22" t="s">
        <v>58</v>
      </c>
      <c r="G840" s="24" t="str">
        <f>IFERROR(VLOOKUP(F840,Procedimentos!A:C,2,),"")</f>
        <v>POLÍTICA DE QUALIDADE DA DIRETORIA</v>
      </c>
      <c r="H840" s="39"/>
      <c r="I840" s="40">
        <v>45692</v>
      </c>
      <c r="J840" s="22">
        <v>12</v>
      </c>
      <c r="K840" s="25">
        <f t="shared" si="45"/>
        <v>46057</v>
      </c>
      <c r="L840" s="28" t="str">
        <f t="shared" ca="1" si="44"/>
        <v>Vencido</v>
      </c>
      <c r="M840" s="33" t="s">
        <v>65</v>
      </c>
      <c r="N840" s="28" t="s">
        <v>21</v>
      </c>
      <c r="O840" s="22" t="s">
        <v>28</v>
      </c>
      <c r="P840" s="25">
        <f t="shared" si="43"/>
        <v>45781</v>
      </c>
      <c r="Q840" s="25"/>
      <c r="R840" s="25"/>
      <c r="S840" s="7"/>
      <c r="T840" s="7"/>
    </row>
    <row r="841" spans="1:20" ht="14.25" customHeight="1">
      <c r="A841" s="22">
        <v>943</v>
      </c>
      <c r="B841" s="36">
        <v>14866</v>
      </c>
      <c r="C841" s="22" t="str">
        <f>IFERROR(VLOOKUP(B841,Colaboradores!A:D,2,),"")</f>
        <v>GERUSA LOURDES CHAVES ALVES DA SILVA</v>
      </c>
      <c r="D841" s="22" t="str">
        <f>IFERROR(VLOOKUP(B841,Colaboradores!A:D,3,),"")</f>
        <v>SAÚDE OCUPACIONAL</v>
      </c>
      <c r="E841" s="22" t="str">
        <f>IFERROR(VLOOKUP(B841,Colaboradores!A:D,4,),"")</f>
        <v>ASSESSOR CLINICO(A)</v>
      </c>
      <c r="F841" s="22" t="s">
        <v>58</v>
      </c>
      <c r="G841" s="24" t="str">
        <f>IFERROR(VLOOKUP(F841,Procedimentos!A:C,2,),"")</f>
        <v>POLÍTICA DE QUALIDADE DA DIRETORIA</v>
      </c>
      <c r="H841" s="39"/>
      <c r="I841" s="40">
        <v>45692</v>
      </c>
      <c r="J841" s="22">
        <v>12</v>
      </c>
      <c r="K841" s="25">
        <f t="shared" si="45"/>
        <v>46057</v>
      </c>
      <c r="L841" s="28" t="str">
        <f t="shared" ca="1" si="44"/>
        <v>Vencido</v>
      </c>
      <c r="M841" s="33" t="s">
        <v>65</v>
      </c>
      <c r="N841" s="28" t="s">
        <v>21</v>
      </c>
      <c r="O841" s="22" t="s">
        <v>28</v>
      </c>
      <c r="P841" s="25">
        <f t="shared" si="43"/>
        <v>45781</v>
      </c>
      <c r="Q841" s="25"/>
      <c r="R841" s="25"/>
      <c r="S841" s="7"/>
      <c r="T841" s="7"/>
    </row>
    <row r="842" spans="1:20" ht="14.25" customHeight="1">
      <c r="A842" s="22">
        <v>944</v>
      </c>
      <c r="B842" s="36">
        <v>15059</v>
      </c>
      <c r="C842" s="22" t="str">
        <f>IFERROR(VLOOKUP(B842,Colaboradores!A:D,2,),"")</f>
        <v>GUILHERME LEÃO DOS SANTOS</v>
      </c>
      <c r="D842" s="22" t="str">
        <f>IFERROR(VLOOKUP(B842,Colaboradores!A:D,3,),"")</f>
        <v>SAÚDE OCUPACIONAL</v>
      </c>
      <c r="E842" s="22" t="str">
        <f>IFERROR(VLOOKUP(B842,Colaboradores!A:D,4,),"")</f>
        <v>ASSISTENTE ADMINISTRATIVO</v>
      </c>
      <c r="F842" s="22" t="s">
        <v>58</v>
      </c>
      <c r="G842" s="24" t="str">
        <f>IFERROR(VLOOKUP(F842,Procedimentos!A:C,2,),"")</f>
        <v>POLÍTICA DE QUALIDADE DA DIRETORIA</v>
      </c>
      <c r="H842" s="39"/>
      <c r="I842" s="40">
        <v>45692</v>
      </c>
      <c r="J842" s="22">
        <v>12</v>
      </c>
      <c r="K842" s="25">
        <f t="shared" si="45"/>
        <v>46057</v>
      </c>
      <c r="L842" s="28" t="str">
        <f t="shared" ca="1" si="44"/>
        <v>Vencido</v>
      </c>
      <c r="M842" s="33" t="s">
        <v>65</v>
      </c>
      <c r="N842" s="28" t="s">
        <v>21</v>
      </c>
      <c r="O842" s="22" t="s">
        <v>28</v>
      </c>
      <c r="P842" s="25">
        <f t="shared" si="43"/>
        <v>45781</v>
      </c>
      <c r="Q842" s="25"/>
      <c r="R842" s="25"/>
      <c r="S842" s="7"/>
      <c r="T842" s="7"/>
    </row>
    <row r="843" spans="1:20" ht="14.25" customHeight="1">
      <c r="A843" s="22">
        <v>945</v>
      </c>
      <c r="B843" s="36">
        <v>13778</v>
      </c>
      <c r="C843" s="22" t="str">
        <f>IFERROR(VLOOKUP(B843,Colaboradores!A:D,2,),"")</f>
        <v>LAIS FERREIRA CAMPOS MINEIRO</v>
      </c>
      <c r="D843" s="22" t="str">
        <f>IFERROR(VLOOKUP(B843,Colaboradores!A:D,3,),"")</f>
        <v>SAÚDE OCUPACIONAL</v>
      </c>
      <c r="E843" s="22" t="str">
        <f>IFERROR(VLOOKUP(B843,Colaboradores!A:D,4,),"")</f>
        <v>FISIOTERAPEUTA</v>
      </c>
      <c r="F843" s="22" t="s">
        <v>58</v>
      </c>
      <c r="G843" s="24" t="str">
        <f>IFERROR(VLOOKUP(F843,Procedimentos!A:C,2,),"")</f>
        <v>POLÍTICA DE QUALIDADE DA DIRETORIA</v>
      </c>
      <c r="H843" s="39"/>
      <c r="I843" s="40">
        <v>45692</v>
      </c>
      <c r="J843" s="22">
        <v>12</v>
      </c>
      <c r="K843" s="25">
        <f t="shared" si="45"/>
        <v>46057</v>
      </c>
      <c r="L843" s="28" t="str">
        <f t="shared" ca="1" si="44"/>
        <v>Vencido</v>
      </c>
      <c r="M843" s="33" t="s">
        <v>65</v>
      </c>
      <c r="N843" s="28" t="s">
        <v>21</v>
      </c>
      <c r="O843" s="22" t="s">
        <v>28</v>
      </c>
      <c r="P843" s="25">
        <f t="shared" si="43"/>
        <v>45781</v>
      </c>
      <c r="Q843" s="25"/>
      <c r="R843" s="25"/>
      <c r="S843" s="7"/>
      <c r="T843" s="7"/>
    </row>
    <row r="844" spans="1:20" ht="14.25" customHeight="1">
      <c r="A844" s="22">
        <v>946</v>
      </c>
      <c r="B844" s="36">
        <v>7147</v>
      </c>
      <c r="C844" s="22" t="str">
        <f>IFERROR(VLOOKUP(B844,Colaboradores!A:D,2,),"")</f>
        <v>MAIARA MONTEIRO MARQUES CASTELO BRANCO</v>
      </c>
      <c r="D844" s="22" t="str">
        <f>IFERROR(VLOOKUP(B844,Colaboradores!A:D,3,),"")</f>
        <v>SAÚDE OCUPACIONAL</v>
      </c>
      <c r="E844" s="22" t="str">
        <f>IFERROR(VLOOKUP(B844,Colaboradores!A:D,4,),"")</f>
        <v>PSICÓLOGA</v>
      </c>
      <c r="F844" s="22" t="s">
        <v>58</v>
      </c>
      <c r="G844" s="24" t="str">
        <f>IFERROR(VLOOKUP(F844,Procedimentos!A:C,2,),"")</f>
        <v>POLÍTICA DE QUALIDADE DA DIRETORIA</v>
      </c>
      <c r="H844" s="39"/>
      <c r="I844" s="40">
        <v>45692</v>
      </c>
      <c r="J844" s="22">
        <v>12</v>
      </c>
      <c r="K844" s="25">
        <f t="shared" si="45"/>
        <v>46057</v>
      </c>
      <c r="L844" s="28" t="str">
        <f t="shared" ca="1" si="44"/>
        <v>Vencido</v>
      </c>
      <c r="M844" s="33" t="s">
        <v>65</v>
      </c>
      <c r="N844" s="28" t="s">
        <v>21</v>
      </c>
      <c r="O844" s="22" t="s">
        <v>28</v>
      </c>
      <c r="P844" s="25">
        <f t="shared" si="43"/>
        <v>45781</v>
      </c>
      <c r="Q844" s="25"/>
      <c r="R844" s="25"/>
      <c r="S844" s="7"/>
      <c r="T844" s="7"/>
    </row>
    <row r="845" spans="1:20" ht="14.25" customHeight="1">
      <c r="A845" s="22">
        <v>947</v>
      </c>
      <c r="B845" s="36">
        <v>7601</v>
      </c>
      <c r="C845" s="22" t="str">
        <f>IFERROR(VLOOKUP(B845,Colaboradores!A:D,2,),"")</f>
        <v>RAYANE BEZERRA DE JESUS</v>
      </c>
      <c r="D845" s="22" t="str">
        <f>IFERROR(VLOOKUP(B845,Colaboradores!A:D,3,),"")</f>
        <v>SAÚDE OCUPACIONAL</v>
      </c>
      <c r="E845" s="22" t="str">
        <f>IFERROR(VLOOKUP(B845,Colaboradores!A:D,4,),"")</f>
        <v>TÉCNICO DE ENFERMAGEM DO TRABALHO</v>
      </c>
      <c r="F845" s="22" t="s">
        <v>58</v>
      </c>
      <c r="G845" s="24" t="str">
        <f>IFERROR(VLOOKUP(F845,Procedimentos!A:C,2,),"")</f>
        <v>POLÍTICA DE QUALIDADE DA DIRETORIA</v>
      </c>
      <c r="H845" s="39"/>
      <c r="I845" s="40">
        <v>45692</v>
      </c>
      <c r="J845" s="22">
        <v>12</v>
      </c>
      <c r="K845" s="25">
        <f t="shared" si="45"/>
        <v>46057</v>
      </c>
      <c r="L845" s="28" t="str">
        <f t="shared" ca="1" si="44"/>
        <v>Vencido</v>
      </c>
      <c r="M845" s="33" t="s">
        <v>65</v>
      </c>
      <c r="N845" s="28" t="s">
        <v>21</v>
      </c>
      <c r="O845" s="22" t="s">
        <v>28</v>
      </c>
      <c r="P845" s="25">
        <f t="shared" si="43"/>
        <v>45781</v>
      </c>
      <c r="Q845" s="25"/>
      <c r="R845" s="25"/>
      <c r="S845" s="7"/>
      <c r="T845" s="7"/>
    </row>
    <row r="846" spans="1:20" ht="14.25" customHeight="1">
      <c r="A846" s="22">
        <v>948</v>
      </c>
      <c r="B846" s="36">
        <v>14499</v>
      </c>
      <c r="C846" s="22" t="str">
        <f>IFERROR(VLOOKUP(B846,Colaboradores!A:D,2,),"")</f>
        <v>SAMIRIS COSTA DA SILVA</v>
      </c>
      <c r="D846" s="22" t="str">
        <f>IFERROR(VLOOKUP(B846,Colaboradores!A:D,3,),"")</f>
        <v>SAÚDE OCUPACIONAL</v>
      </c>
      <c r="E846" s="22" t="str">
        <f>IFERROR(VLOOKUP(B846,Colaboradores!A:D,4,),"")</f>
        <v>PSICÓLOGA</v>
      </c>
      <c r="F846" s="22" t="s">
        <v>58</v>
      </c>
      <c r="G846" s="24" t="str">
        <f>IFERROR(VLOOKUP(F846,Procedimentos!A:C,2,),"")</f>
        <v>POLÍTICA DE QUALIDADE DA DIRETORIA</v>
      </c>
      <c r="H846" s="39"/>
      <c r="I846" s="40">
        <v>45692</v>
      </c>
      <c r="J846" s="22">
        <v>12</v>
      </c>
      <c r="K846" s="25">
        <f t="shared" si="45"/>
        <v>46057</v>
      </c>
      <c r="L846" s="28" t="str">
        <f t="shared" ca="1" si="44"/>
        <v>Vencido</v>
      </c>
      <c r="M846" s="33" t="s">
        <v>65</v>
      </c>
      <c r="N846" s="28" t="s">
        <v>21</v>
      </c>
      <c r="O846" s="22" t="s">
        <v>28</v>
      </c>
      <c r="P846" s="25">
        <f t="shared" si="43"/>
        <v>45781</v>
      </c>
      <c r="Q846" s="25"/>
      <c r="R846" s="25"/>
      <c r="S846" s="7"/>
      <c r="T846" s="7"/>
    </row>
    <row r="847" spans="1:20" ht="14.25" customHeight="1">
      <c r="A847" s="22">
        <v>949</v>
      </c>
      <c r="B847" s="36">
        <v>14083</v>
      </c>
      <c r="C847" s="22" t="str">
        <f>IFERROR(VLOOKUP(B847,Colaboradores!A:D,2,),"")</f>
        <v>TAHYNAN FREITAS SILVA COSTA</v>
      </c>
      <c r="D847" s="22" t="str">
        <f>IFERROR(VLOOKUP(B847,Colaboradores!A:D,3,),"")</f>
        <v>SAÚDE OCUPACIONAL</v>
      </c>
      <c r="E847" s="22" t="str">
        <f>IFERROR(VLOOKUP(B847,Colaboradores!A:D,4,),"")</f>
        <v>TÉCNICO DE ENFERMAGEM DO TRABALHO</v>
      </c>
      <c r="F847" s="22" t="s">
        <v>58</v>
      </c>
      <c r="G847" s="24" t="str">
        <f>IFERROR(VLOOKUP(F847,Procedimentos!A:C,2,),"")</f>
        <v>POLÍTICA DE QUALIDADE DA DIRETORIA</v>
      </c>
      <c r="H847" s="39"/>
      <c r="I847" s="40">
        <v>45692</v>
      </c>
      <c r="J847" s="22">
        <v>12</v>
      </c>
      <c r="K847" s="25">
        <f t="shared" si="45"/>
        <v>46057</v>
      </c>
      <c r="L847" s="28" t="str">
        <f t="shared" ca="1" si="44"/>
        <v>Vencido</v>
      </c>
      <c r="M847" s="33" t="s">
        <v>65</v>
      </c>
      <c r="N847" s="28" t="s">
        <v>21</v>
      </c>
      <c r="O847" s="22" t="s">
        <v>28</v>
      </c>
      <c r="P847" s="25">
        <f t="shared" si="43"/>
        <v>45781</v>
      </c>
      <c r="Q847" s="25"/>
      <c r="R847" s="25"/>
      <c r="S847" s="7"/>
      <c r="T847" s="7"/>
    </row>
    <row r="848" spans="1:20" ht="14.25" customHeight="1">
      <c r="A848" s="22">
        <v>951</v>
      </c>
      <c r="B848" s="36">
        <v>14565</v>
      </c>
      <c r="C848" s="22" t="str">
        <f>IFERROR(VLOOKUP(B848,Colaboradores!A:D,2,),"")</f>
        <v>CAMILA RODRIGUES GOMES</v>
      </c>
      <c r="D848" s="22" t="str">
        <f>IFERROR(VLOOKUP(B848,Colaboradores!A:D,3,),"")</f>
        <v>SEGURANÇA DO TRABALHO</v>
      </c>
      <c r="E848" s="22" t="str">
        <f>IFERROR(VLOOKUP(B848,Colaboradores!A:D,4,),"")</f>
        <v>TÉCNICO DE SEGURANÇA DO TRABALHO</v>
      </c>
      <c r="F848" s="22" t="s">
        <v>58</v>
      </c>
      <c r="G848" s="24" t="str">
        <f>IFERROR(VLOOKUP(F848,Procedimentos!A:C,2,),"")</f>
        <v>POLÍTICA DE QUALIDADE DA DIRETORIA</v>
      </c>
      <c r="H848" s="39"/>
      <c r="I848" s="40">
        <v>45692</v>
      </c>
      <c r="J848" s="22">
        <v>12</v>
      </c>
      <c r="K848" s="25">
        <f t="shared" si="45"/>
        <v>46057</v>
      </c>
      <c r="L848" s="28" t="str">
        <f t="shared" ca="1" si="44"/>
        <v>Vencido</v>
      </c>
      <c r="M848" s="33" t="s">
        <v>65</v>
      </c>
      <c r="N848" s="28" t="s">
        <v>21</v>
      </c>
      <c r="O848" s="22" t="s">
        <v>28</v>
      </c>
      <c r="P848" s="25">
        <f t="shared" si="43"/>
        <v>45781</v>
      </c>
      <c r="Q848" s="25"/>
      <c r="R848" s="25"/>
      <c r="S848" s="7"/>
      <c r="T848" s="7"/>
    </row>
    <row r="849" spans="1:20" ht="14.25" customHeight="1">
      <c r="A849" s="22">
        <v>954</v>
      </c>
      <c r="B849" s="36">
        <v>13524</v>
      </c>
      <c r="C849" s="22" t="str">
        <f>IFERROR(VLOOKUP(B849,Colaboradores!A:D,2,),"")</f>
        <v>JOAO WILKER RIBEIRO BARROS LIMA</v>
      </c>
      <c r="D849" s="22" t="str">
        <f>IFERROR(VLOOKUP(B849,Colaboradores!A:D,3,),"")</f>
        <v>SEGURANÇA DO TRABALHO</v>
      </c>
      <c r="E849" s="22" t="str">
        <f>IFERROR(VLOOKUP(B849,Colaboradores!A:D,4,),"")</f>
        <v>COORDENADOR DE SEGURANÇA DO TRABALHO</v>
      </c>
      <c r="F849" s="22" t="s">
        <v>58</v>
      </c>
      <c r="G849" s="24" t="str">
        <f>IFERROR(VLOOKUP(F849,Procedimentos!A:C,2,),"")</f>
        <v>POLÍTICA DE QUALIDADE DA DIRETORIA</v>
      </c>
      <c r="H849" s="41"/>
      <c r="I849" s="43">
        <v>45700</v>
      </c>
      <c r="J849" s="22">
        <v>12</v>
      </c>
      <c r="K849" s="25">
        <f t="shared" si="45"/>
        <v>46065</v>
      </c>
      <c r="L849" s="28" t="str">
        <f t="shared" ca="1" si="44"/>
        <v>Vencido</v>
      </c>
      <c r="M849" s="33" t="s">
        <v>65</v>
      </c>
      <c r="N849" s="28" t="s">
        <v>21</v>
      </c>
      <c r="O849" s="22" t="s">
        <v>28</v>
      </c>
      <c r="P849" s="25">
        <f t="shared" si="43"/>
        <v>45789</v>
      </c>
      <c r="Q849" s="25"/>
      <c r="R849" s="25"/>
      <c r="S849" s="7"/>
      <c r="T849" s="7"/>
    </row>
    <row r="850" spans="1:20" ht="14.25" customHeight="1">
      <c r="A850" s="22">
        <v>955</v>
      </c>
      <c r="B850" s="36">
        <v>2740</v>
      </c>
      <c r="C850" s="22" t="str">
        <f>IFERROR(VLOOKUP(B850,Colaboradores!A:D,2,),"")</f>
        <v>LUCIANA BARBOSA SODRE</v>
      </c>
      <c r="D850" s="22" t="str">
        <f>IFERROR(VLOOKUP(B850,Colaboradores!A:D,3,),"")</f>
        <v>SEGURANÇA DO TRABALHO</v>
      </c>
      <c r="E850" s="22" t="str">
        <f>IFERROR(VLOOKUP(B850,Colaboradores!A:D,4,),"")</f>
        <v>TÉCNICO DE SEGURANÇA DO TRABALHO</v>
      </c>
      <c r="F850" s="22" t="s">
        <v>58</v>
      </c>
      <c r="G850" s="24" t="str">
        <f>IFERROR(VLOOKUP(F850,Procedimentos!A:C,2,),"")</f>
        <v>POLÍTICA DE QUALIDADE DA DIRETORIA</v>
      </c>
      <c r="H850" s="39"/>
      <c r="I850" s="40">
        <v>45692</v>
      </c>
      <c r="J850" s="22">
        <v>12</v>
      </c>
      <c r="K850" s="25">
        <f t="shared" si="45"/>
        <v>46057</v>
      </c>
      <c r="L850" s="28" t="str">
        <f t="shared" ca="1" si="44"/>
        <v>Vencido</v>
      </c>
      <c r="M850" s="33" t="s">
        <v>65</v>
      </c>
      <c r="N850" s="28" t="s">
        <v>21</v>
      </c>
      <c r="O850" s="22" t="s">
        <v>28</v>
      </c>
      <c r="P850" s="25">
        <f t="shared" si="43"/>
        <v>45781</v>
      </c>
      <c r="Q850" s="25"/>
      <c r="R850" s="25"/>
      <c r="S850" s="7"/>
      <c r="T850" s="7"/>
    </row>
    <row r="851" spans="1:20" ht="14.25" customHeight="1">
      <c r="A851" s="22">
        <v>956</v>
      </c>
      <c r="B851" s="36">
        <v>7580</v>
      </c>
      <c r="C851" s="22" t="str">
        <f>IFERROR(VLOOKUP(B851,Colaboradores!A:D,2,),"")</f>
        <v>LUCIO JOSE DA COSTA LOPES</v>
      </c>
      <c r="D851" s="22" t="str">
        <f>IFERROR(VLOOKUP(B851,Colaboradores!A:D,3,),"")</f>
        <v>SEGURANÇA DO TRABALHO</v>
      </c>
      <c r="E851" s="22" t="str">
        <f>IFERROR(VLOOKUP(B851,Colaboradores!A:D,4,),"")</f>
        <v>TÉCNICO DE SEGURANÇA DO TRABALHO</v>
      </c>
      <c r="F851" s="22" t="s">
        <v>58</v>
      </c>
      <c r="G851" s="24" t="str">
        <f>IFERROR(VLOOKUP(F851,Procedimentos!A:C,2,),"")</f>
        <v>POLÍTICA DE QUALIDADE DA DIRETORIA</v>
      </c>
      <c r="H851" s="39"/>
      <c r="I851" s="40">
        <v>45692</v>
      </c>
      <c r="J851" s="22">
        <v>12</v>
      </c>
      <c r="K851" s="25">
        <f t="shared" si="45"/>
        <v>46057</v>
      </c>
      <c r="L851" s="28" t="str">
        <f t="shared" ca="1" si="44"/>
        <v>Vencido</v>
      </c>
      <c r="M851" s="33" t="s">
        <v>65</v>
      </c>
      <c r="N851" s="28" t="s">
        <v>21</v>
      </c>
      <c r="O851" s="22" t="s">
        <v>28</v>
      </c>
      <c r="P851" s="25">
        <f t="shared" si="43"/>
        <v>45781</v>
      </c>
      <c r="Q851" s="25"/>
      <c r="R851" s="25"/>
      <c r="S851" s="7"/>
      <c r="T851" s="7"/>
    </row>
    <row r="852" spans="1:20" ht="14.25" customHeight="1">
      <c r="A852" s="22">
        <v>957</v>
      </c>
      <c r="B852" s="36">
        <v>13727</v>
      </c>
      <c r="C852" s="22" t="str">
        <f>IFERROR(VLOOKUP(B852,Colaboradores!A:D,2,),"")</f>
        <v>THIAGO MARIO LIMA GLERIA</v>
      </c>
      <c r="D852" s="22" t="str">
        <f>IFERROR(VLOOKUP(B852,Colaboradores!A:D,3,),"")</f>
        <v>SEGURANÇA DO TRABALHO</v>
      </c>
      <c r="E852" s="22" t="str">
        <f>IFERROR(VLOOKUP(B852,Colaboradores!A:D,4,),"")</f>
        <v>GERENTE DE SEGURANÇA DO TRABALHO</v>
      </c>
      <c r="F852" s="22" t="s">
        <v>58</v>
      </c>
      <c r="G852" s="24" t="str">
        <f>IFERROR(VLOOKUP(F852,Procedimentos!A:C,2,),"")</f>
        <v>POLÍTICA DE QUALIDADE DA DIRETORIA</v>
      </c>
      <c r="H852" s="39"/>
      <c r="I852" s="40">
        <v>45692</v>
      </c>
      <c r="J852" s="22">
        <v>12</v>
      </c>
      <c r="K852" s="25">
        <f t="shared" si="45"/>
        <v>46057</v>
      </c>
      <c r="L852" s="28" t="str">
        <f t="shared" ca="1" si="44"/>
        <v>Vencido</v>
      </c>
      <c r="M852" s="33" t="s">
        <v>65</v>
      </c>
      <c r="N852" s="28" t="s">
        <v>21</v>
      </c>
      <c r="O852" s="22" t="s">
        <v>28</v>
      </c>
      <c r="P852" s="25">
        <f t="shared" si="43"/>
        <v>45781</v>
      </c>
      <c r="Q852" s="25"/>
      <c r="R852" s="25"/>
      <c r="S852" s="7"/>
      <c r="T852" s="7"/>
    </row>
    <row r="853" spans="1:20" ht="14.25" customHeight="1">
      <c r="A853" s="22">
        <v>958</v>
      </c>
      <c r="B853" s="36">
        <v>15134</v>
      </c>
      <c r="C853" s="22" t="str">
        <f>IFERROR(VLOOKUP(B853,Colaboradores!A:D,2,),"")</f>
        <v>ADRIANE MENDES ROSA</v>
      </c>
      <c r="D853" s="22" t="str">
        <f>IFERROR(VLOOKUP(B853,Colaboradores!A:D,3,),"")</f>
        <v>REGIONAL CENTRAL</v>
      </c>
      <c r="E853" s="22" t="str">
        <f>IFERROR(VLOOKUP(B853,Colaboradores!A:D,4,),"")</f>
        <v>ENFERMEIRA DO TRABALHO</v>
      </c>
      <c r="F853" s="22" t="s">
        <v>58</v>
      </c>
      <c r="G853" s="24" t="str">
        <f>IFERROR(VLOOKUP(F853,Procedimentos!A:C,2,),"")</f>
        <v>POLÍTICA DE QUALIDADE DA DIRETORIA</v>
      </c>
      <c r="H853" s="41"/>
      <c r="I853" s="43">
        <v>45700</v>
      </c>
      <c r="J853" s="22">
        <v>12</v>
      </c>
      <c r="K853" s="25">
        <f t="shared" si="45"/>
        <v>46065</v>
      </c>
      <c r="L853" s="28" t="str">
        <f t="shared" ca="1" si="44"/>
        <v>Vencido</v>
      </c>
      <c r="M853" s="33" t="s">
        <v>65</v>
      </c>
      <c r="N853" s="28" t="s">
        <v>21</v>
      </c>
      <c r="O853" s="22" t="s">
        <v>28</v>
      </c>
      <c r="P853" s="25">
        <f t="shared" si="43"/>
        <v>45789</v>
      </c>
      <c r="Q853" s="25"/>
      <c r="R853" s="25"/>
      <c r="S853" s="7"/>
      <c r="T853" s="7"/>
    </row>
    <row r="854" spans="1:20" ht="14.25" customHeight="1">
      <c r="A854" s="22">
        <v>959</v>
      </c>
      <c r="B854" s="36">
        <v>14354</v>
      </c>
      <c r="C854" s="22" t="str">
        <f>IFERROR(VLOOKUP(B854,Colaboradores!A:D,2,),"")</f>
        <v>JOSE CLEITON SILVA DE OLIVEIRA</v>
      </c>
      <c r="D854" s="22" t="str">
        <f>IFERROR(VLOOKUP(B854,Colaboradores!A:D,3,),"")</f>
        <v>REGIONAL CENTRAL</v>
      </c>
      <c r="E854" s="22" t="str">
        <f>IFERROR(VLOOKUP(B854,Colaboradores!A:D,4,),"")</f>
        <v>TÉCNICO DE SEGURANÇA DO TRABALHO</v>
      </c>
      <c r="F854" s="22" t="s">
        <v>58</v>
      </c>
      <c r="G854" s="24" t="str">
        <f>IFERROR(VLOOKUP(F854,Procedimentos!A:C,2,),"")</f>
        <v>POLÍTICA DE QUALIDADE DA DIRETORIA</v>
      </c>
      <c r="H854" s="41"/>
      <c r="I854" s="43">
        <v>45700</v>
      </c>
      <c r="J854" s="22">
        <v>12</v>
      </c>
      <c r="K854" s="25">
        <f t="shared" si="45"/>
        <v>46065</v>
      </c>
      <c r="L854" s="28" t="str">
        <f t="shared" ca="1" si="44"/>
        <v>Vencido</v>
      </c>
      <c r="M854" s="33" t="s">
        <v>65</v>
      </c>
      <c r="N854" s="28" t="s">
        <v>21</v>
      </c>
      <c r="O854" s="22" t="s">
        <v>28</v>
      </c>
      <c r="P854" s="25">
        <f t="shared" si="43"/>
        <v>45789</v>
      </c>
      <c r="Q854" s="25"/>
      <c r="R854" s="25"/>
      <c r="S854" s="7"/>
      <c r="T854" s="7"/>
    </row>
    <row r="855" spans="1:20" ht="14.25" customHeight="1">
      <c r="A855" s="22">
        <v>960</v>
      </c>
      <c r="B855" s="36">
        <v>13822</v>
      </c>
      <c r="C855" s="22" t="str">
        <f>IFERROR(VLOOKUP(B855,Colaboradores!A:D,2,),"")</f>
        <v>JULIANA DE CASTRO ALMEIDA</v>
      </c>
      <c r="D855" s="22" t="str">
        <f>IFERROR(VLOOKUP(B855,Colaboradores!A:D,3,),"")</f>
        <v>REGIONAL CENTRAL</v>
      </c>
      <c r="E855" s="22" t="str">
        <f>IFERROR(VLOOKUP(B855,Colaboradores!A:D,4,),"")</f>
        <v>COORDENADOR DE SSMA</v>
      </c>
      <c r="F855" s="22" t="s">
        <v>58</v>
      </c>
      <c r="G855" s="24" t="str">
        <f>IFERROR(VLOOKUP(F855,Procedimentos!A:C,2,),"")</f>
        <v>POLÍTICA DE QUALIDADE DA DIRETORIA</v>
      </c>
      <c r="H855" s="41"/>
      <c r="I855" s="43">
        <v>45700</v>
      </c>
      <c r="J855" s="22">
        <v>12</v>
      </c>
      <c r="K855" s="25">
        <f t="shared" si="45"/>
        <v>46065</v>
      </c>
      <c r="L855" s="28" t="str">
        <f t="shared" ca="1" si="44"/>
        <v>Vencido</v>
      </c>
      <c r="M855" s="33" t="s">
        <v>65</v>
      </c>
      <c r="N855" s="28" t="s">
        <v>21</v>
      </c>
      <c r="O855" s="22" t="s">
        <v>28</v>
      </c>
      <c r="P855" s="25">
        <f t="shared" si="43"/>
        <v>45789</v>
      </c>
      <c r="Q855" s="25"/>
      <c r="R855" s="25"/>
      <c r="S855" s="7"/>
      <c r="T855" s="7"/>
    </row>
    <row r="856" spans="1:20" ht="14.25" customHeight="1">
      <c r="A856" s="22">
        <v>961</v>
      </c>
      <c r="B856" s="36">
        <v>14700</v>
      </c>
      <c r="C856" s="22" t="str">
        <f>IFERROR(VLOOKUP(B856,Colaboradores!A:D,2,),"")</f>
        <v>LEANNDRO JOSE SOUSA DA SILVA</v>
      </c>
      <c r="D856" s="22" t="str">
        <f>IFERROR(VLOOKUP(B856,Colaboradores!A:D,3,),"")</f>
        <v>REGIONAL CENTRAL</v>
      </c>
      <c r="E856" s="22" t="str">
        <f>IFERROR(VLOOKUP(B856,Colaboradores!A:D,4,),"")</f>
        <v>MÉDICO DO TRABALHO</v>
      </c>
      <c r="F856" s="22" t="s">
        <v>58</v>
      </c>
      <c r="G856" s="24" t="str">
        <f>IFERROR(VLOOKUP(F856,Procedimentos!A:C,2,),"")</f>
        <v>POLÍTICA DE QUALIDADE DA DIRETORIA</v>
      </c>
      <c r="H856" s="41"/>
      <c r="I856" s="43">
        <v>45700</v>
      </c>
      <c r="J856" s="22">
        <v>12</v>
      </c>
      <c r="K856" s="25">
        <f t="shared" si="45"/>
        <v>46065</v>
      </c>
      <c r="L856" s="28" t="str">
        <f t="shared" ca="1" si="44"/>
        <v>Vencido</v>
      </c>
      <c r="M856" s="33" t="s">
        <v>65</v>
      </c>
      <c r="N856" s="28" t="s">
        <v>21</v>
      </c>
      <c r="O856" s="22" t="s">
        <v>28</v>
      </c>
      <c r="P856" s="25">
        <f t="shared" si="43"/>
        <v>45789</v>
      </c>
      <c r="Q856" s="25"/>
      <c r="R856" s="25"/>
      <c r="S856" s="7"/>
      <c r="T856" s="7"/>
    </row>
    <row r="857" spans="1:20" ht="14.25" customHeight="1">
      <c r="A857" s="22">
        <v>963</v>
      </c>
      <c r="B857" s="36">
        <v>14785</v>
      </c>
      <c r="C857" s="22" t="str">
        <f>IFERROR(VLOOKUP(B857,Colaboradores!A:D,2,),"")</f>
        <v>ROSEANE CUSTODIO LIMA</v>
      </c>
      <c r="D857" s="22" t="str">
        <f>IFERROR(VLOOKUP(B857,Colaboradores!A:D,3,),"")</f>
        <v>REGIONAL CENTRAL</v>
      </c>
      <c r="E857" s="22" t="str">
        <f>IFERROR(VLOOKUP(B857,Colaboradores!A:D,4,),"")</f>
        <v>ASSISTENTE DE MEIO AMBIENTE</v>
      </c>
      <c r="F857" s="22" t="s">
        <v>58</v>
      </c>
      <c r="G857" s="24" t="str">
        <f>IFERROR(VLOOKUP(F857,Procedimentos!A:C,2,),"")</f>
        <v>POLÍTICA DE QUALIDADE DA DIRETORIA</v>
      </c>
      <c r="H857" s="41"/>
      <c r="I857" s="43">
        <v>45700</v>
      </c>
      <c r="J857" s="22">
        <v>12</v>
      </c>
      <c r="K857" s="25">
        <f t="shared" si="45"/>
        <v>46065</v>
      </c>
      <c r="L857" s="28" t="str">
        <f t="shared" ca="1" si="44"/>
        <v>Vencido</v>
      </c>
      <c r="M857" s="33" t="s">
        <v>65</v>
      </c>
      <c r="N857" s="28" t="s">
        <v>21</v>
      </c>
      <c r="O857" s="22" t="s">
        <v>28</v>
      </c>
      <c r="P857" s="25">
        <f t="shared" si="43"/>
        <v>45789</v>
      </c>
      <c r="Q857" s="25"/>
      <c r="R857" s="25"/>
      <c r="S857" s="7"/>
      <c r="T857" s="7"/>
    </row>
    <row r="858" spans="1:20" ht="14.25" customHeight="1">
      <c r="A858" s="22">
        <v>964</v>
      </c>
      <c r="B858" s="36">
        <v>13584</v>
      </c>
      <c r="C858" s="22" t="str">
        <f>IFERROR(VLOOKUP(B858,Colaboradores!A:D,2,),"")</f>
        <v>ALANA RODRIGUES FERREIRA</v>
      </c>
      <c r="D858" s="22" t="str">
        <f>IFERROR(VLOOKUP(B858,Colaboradores!A:D,3,),"")</f>
        <v>REGIONAL LESTE</v>
      </c>
      <c r="E858" s="22" t="str">
        <f>IFERROR(VLOOKUP(B858,Colaboradores!A:D,4,),"")</f>
        <v>COORDENADOR DE SSMA</v>
      </c>
      <c r="F858" s="22" t="s">
        <v>58</v>
      </c>
      <c r="G858" s="24" t="str">
        <f>IFERROR(VLOOKUP(F858,Procedimentos!A:C,2,),"")</f>
        <v>POLÍTICA DE QUALIDADE DA DIRETORIA</v>
      </c>
      <c r="H858" s="41"/>
      <c r="I858" s="43">
        <v>45700</v>
      </c>
      <c r="J858" s="22">
        <v>12</v>
      </c>
      <c r="K858" s="25">
        <f t="shared" si="45"/>
        <v>46065</v>
      </c>
      <c r="L858" s="28" t="str">
        <f t="shared" ca="1" si="44"/>
        <v>Vencido</v>
      </c>
      <c r="M858" s="33" t="s">
        <v>65</v>
      </c>
      <c r="N858" s="28" t="s">
        <v>21</v>
      </c>
      <c r="O858" s="22" t="s">
        <v>28</v>
      </c>
      <c r="P858" s="25">
        <f t="shared" si="43"/>
        <v>45789</v>
      </c>
      <c r="Q858" s="25"/>
      <c r="R858" s="25"/>
      <c r="S858" s="7"/>
      <c r="T858" s="7"/>
    </row>
    <row r="859" spans="1:20" ht="14.25" customHeight="1">
      <c r="A859" s="22">
        <v>965</v>
      </c>
      <c r="B859" s="36">
        <v>13794</v>
      </c>
      <c r="C859" s="22" t="str">
        <f>IFERROR(VLOOKUP(B859,Colaboradores!A:D,2,),"")</f>
        <v>ERMANDO VIEIRA DE MOURA NETO</v>
      </c>
      <c r="D859" s="22" t="str">
        <f>IFERROR(VLOOKUP(B859,Colaboradores!A:D,3,),"")</f>
        <v>REGIONAL LESTE</v>
      </c>
      <c r="E859" s="22" t="str">
        <f>IFERROR(VLOOKUP(B859,Colaboradores!A:D,4,),"")</f>
        <v>MÉDICO DO TRABALHO</v>
      </c>
      <c r="F859" s="22" t="s">
        <v>58</v>
      </c>
      <c r="G859" s="24" t="str">
        <f>IFERROR(VLOOKUP(F859,Procedimentos!A:C,2,),"")</f>
        <v>POLÍTICA DE QUALIDADE DA DIRETORIA</v>
      </c>
      <c r="H859" s="41"/>
      <c r="I859" s="43">
        <v>45743</v>
      </c>
      <c r="J859" s="22">
        <v>12</v>
      </c>
      <c r="K859" s="25">
        <f t="shared" si="45"/>
        <v>46108</v>
      </c>
      <c r="L859" s="28" t="str">
        <f t="shared" ca="1" si="44"/>
        <v>A vencer</v>
      </c>
      <c r="M859" s="33" t="s">
        <v>65</v>
      </c>
      <c r="N859" s="28" t="s">
        <v>21</v>
      </c>
      <c r="O859" s="22" t="s">
        <v>28</v>
      </c>
      <c r="P859" s="25">
        <f t="shared" si="43"/>
        <v>45835</v>
      </c>
      <c r="Q859" s="25"/>
      <c r="R859" s="25"/>
      <c r="S859" s="7"/>
      <c r="T859" s="7"/>
    </row>
    <row r="860" spans="1:20" ht="14.25" customHeight="1">
      <c r="A860" s="22">
        <v>966</v>
      </c>
      <c r="B860" s="36">
        <v>14356</v>
      </c>
      <c r="C860" s="22" t="str">
        <f>IFERROR(VLOOKUP(B860,Colaboradores!A:D,2,),"")</f>
        <v>JACILENE BELO LIMA</v>
      </c>
      <c r="D860" s="22" t="str">
        <f>IFERROR(VLOOKUP(B860,Colaboradores!A:D,3,),"")</f>
        <v>REGIONAL LESTE</v>
      </c>
      <c r="E860" s="22" t="str">
        <f>IFERROR(VLOOKUP(B860,Colaboradores!A:D,4,),"")</f>
        <v>ASSISTENTE ADMINISTRATIVO</v>
      </c>
      <c r="F860" s="22" t="s">
        <v>58</v>
      </c>
      <c r="G860" s="24" t="str">
        <f>IFERROR(VLOOKUP(F860,Procedimentos!A:C,2,),"")</f>
        <v>POLÍTICA DE QUALIDADE DA DIRETORIA</v>
      </c>
      <c r="H860" s="41"/>
      <c r="I860" s="43">
        <v>45700</v>
      </c>
      <c r="J860" s="22">
        <v>12</v>
      </c>
      <c r="K860" s="25">
        <f t="shared" si="45"/>
        <v>46065</v>
      </c>
      <c r="L860" s="28" t="str">
        <f t="shared" ca="1" si="44"/>
        <v>Vencido</v>
      </c>
      <c r="M860" s="33" t="s">
        <v>65</v>
      </c>
      <c r="N860" s="28" t="s">
        <v>21</v>
      </c>
      <c r="O860" s="22" t="s">
        <v>28</v>
      </c>
      <c r="P860" s="25">
        <f t="shared" si="43"/>
        <v>45789</v>
      </c>
      <c r="Q860" s="25"/>
      <c r="R860" s="25"/>
      <c r="S860" s="7"/>
      <c r="T860" s="7"/>
    </row>
    <row r="861" spans="1:20" ht="14.25" customHeight="1">
      <c r="A861" s="22">
        <v>967</v>
      </c>
      <c r="B861" s="36">
        <v>14420</v>
      </c>
      <c r="C861" s="22" t="str">
        <f>IFERROR(VLOOKUP(B861,Colaboradores!A:D,2,),"")</f>
        <v>LAYLLA EMANUELLY DA SILVA ARAUJO</v>
      </c>
      <c r="D861" s="22" t="str">
        <f>IFERROR(VLOOKUP(B861,Colaboradores!A:D,3,),"")</f>
        <v>REGIONAL LESTE</v>
      </c>
      <c r="E861" s="22" t="str">
        <f>IFERROR(VLOOKUP(B861,Colaboradores!A:D,4,),"")</f>
        <v>ASSISTENTE ADMINISTRATIVO</v>
      </c>
      <c r="F861" s="22" t="s">
        <v>58</v>
      </c>
      <c r="G861" s="24" t="str">
        <f>IFERROR(VLOOKUP(F861,Procedimentos!A:C,2,),"")</f>
        <v>POLÍTICA DE QUALIDADE DA DIRETORIA</v>
      </c>
      <c r="H861" s="41"/>
      <c r="I861" s="43">
        <v>45700</v>
      </c>
      <c r="J861" s="22">
        <v>12</v>
      </c>
      <c r="K861" s="25">
        <f t="shared" si="45"/>
        <v>46065</v>
      </c>
      <c r="L861" s="28" t="str">
        <f t="shared" ca="1" si="44"/>
        <v>Vencido</v>
      </c>
      <c r="M861" s="33" t="s">
        <v>65</v>
      </c>
      <c r="N861" s="28" t="s">
        <v>21</v>
      </c>
      <c r="O861" s="22" t="s">
        <v>28</v>
      </c>
      <c r="P861" s="25">
        <f t="shared" si="43"/>
        <v>45789</v>
      </c>
      <c r="Q861" s="25"/>
      <c r="R861" s="25"/>
      <c r="S861" s="7"/>
      <c r="T861" s="7"/>
    </row>
    <row r="862" spans="1:20" ht="14.25" customHeight="1">
      <c r="A862" s="22">
        <v>968</v>
      </c>
      <c r="B862" s="36">
        <v>14815</v>
      </c>
      <c r="C862" s="22" t="str">
        <f>IFERROR(VLOOKUP(B862,Colaboradores!A:D,2,),"")</f>
        <v>NATHALIA CRISTINA DOS SANTOS RODRIGUES</v>
      </c>
      <c r="D862" s="22" t="str">
        <f>IFERROR(VLOOKUP(B862,Colaboradores!A:D,3,),"")</f>
        <v>REGIONAL LESTE</v>
      </c>
      <c r="E862" s="22" t="str">
        <f>IFERROR(VLOOKUP(B862,Colaboradores!A:D,4,),"")</f>
        <v>ASSISTENTE DE MEIO AMBIENTE</v>
      </c>
      <c r="F862" s="22" t="s">
        <v>58</v>
      </c>
      <c r="G862" s="24" t="str">
        <f>IFERROR(VLOOKUP(F862,Procedimentos!A:C,2,),"")</f>
        <v>POLÍTICA DE QUALIDADE DA DIRETORIA</v>
      </c>
      <c r="H862" s="41"/>
      <c r="I862" s="43">
        <v>45700</v>
      </c>
      <c r="J862" s="22">
        <v>12</v>
      </c>
      <c r="K862" s="25">
        <f t="shared" si="45"/>
        <v>46065</v>
      </c>
      <c r="L862" s="28" t="str">
        <f t="shared" ca="1" si="44"/>
        <v>Vencido</v>
      </c>
      <c r="M862" s="33" t="s">
        <v>65</v>
      </c>
      <c r="N862" s="28" t="s">
        <v>21</v>
      </c>
      <c r="O862" s="22" t="s">
        <v>28</v>
      </c>
      <c r="P862" s="25">
        <f t="shared" si="43"/>
        <v>45789</v>
      </c>
      <c r="Q862" s="25"/>
      <c r="R862" s="25"/>
      <c r="S862" s="7"/>
      <c r="T862" s="7"/>
    </row>
    <row r="863" spans="1:20" ht="14.25" customHeight="1">
      <c r="A863" s="22">
        <v>969</v>
      </c>
      <c r="B863" s="36">
        <v>14721</v>
      </c>
      <c r="C863" s="22" t="str">
        <f>IFERROR(VLOOKUP(B863,Colaboradores!A:D,2,),"")</f>
        <v>RONILSON FERREIRA OLIVEIRA</v>
      </c>
      <c r="D863" s="22" t="str">
        <f>IFERROR(VLOOKUP(B863,Colaboradores!A:D,3,),"")</f>
        <v>REGIONAL LESTE</v>
      </c>
      <c r="E863" s="22" t="str">
        <f>IFERROR(VLOOKUP(B863,Colaboradores!A:D,4,),"")</f>
        <v>TÉCNICO DE SEGURANÇA DO TRABALHO</v>
      </c>
      <c r="F863" s="22" t="s">
        <v>58</v>
      </c>
      <c r="G863" s="24" t="str">
        <f>IFERROR(VLOOKUP(F863,Procedimentos!A:C,2,),"")</f>
        <v>POLÍTICA DE QUALIDADE DA DIRETORIA</v>
      </c>
      <c r="H863" s="41"/>
      <c r="I863" s="43">
        <v>45700</v>
      </c>
      <c r="J863" s="22">
        <v>12</v>
      </c>
      <c r="K863" s="25">
        <f t="shared" si="45"/>
        <v>46065</v>
      </c>
      <c r="L863" s="28" t="str">
        <f t="shared" ca="1" si="44"/>
        <v>Vencido</v>
      </c>
      <c r="M863" s="33" t="s">
        <v>65</v>
      </c>
      <c r="N863" s="28" t="s">
        <v>21</v>
      </c>
      <c r="O863" s="22" t="s">
        <v>28</v>
      </c>
      <c r="P863" s="25">
        <f t="shared" si="43"/>
        <v>45789</v>
      </c>
      <c r="Q863" s="25"/>
      <c r="R863" s="25"/>
      <c r="S863" s="7"/>
      <c r="T863" s="7"/>
    </row>
    <row r="864" spans="1:20" ht="14.25" customHeight="1">
      <c r="A864" s="22">
        <v>970</v>
      </c>
      <c r="B864" s="36">
        <v>14767</v>
      </c>
      <c r="C864" s="22" t="str">
        <f>IFERROR(VLOOKUP(B864,Colaboradores!A:D,2,),"")</f>
        <v>CAIO VINICIUS PEREIRA DO NASCIMENTO</v>
      </c>
      <c r="D864" s="22" t="str">
        <f>IFERROR(VLOOKUP(B864,Colaboradores!A:D,3,),"")</f>
        <v>REGIONAL SUL</v>
      </c>
      <c r="E864" s="22" t="str">
        <f>IFERROR(VLOOKUP(B864,Colaboradores!A:D,4,),"")</f>
        <v>TÉCNICO DE MEIO AMBIENTE</v>
      </c>
      <c r="F864" s="22" t="s">
        <v>58</v>
      </c>
      <c r="G864" s="24" t="str">
        <f>IFERROR(VLOOKUP(F864,Procedimentos!A:C,2,),"")</f>
        <v>POLÍTICA DE QUALIDADE DA DIRETORIA</v>
      </c>
      <c r="H864" s="41"/>
      <c r="I864" s="43">
        <v>45700</v>
      </c>
      <c r="J864" s="22">
        <v>12</v>
      </c>
      <c r="K864" s="25">
        <f t="shared" si="45"/>
        <v>46065</v>
      </c>
      <c r="L864" s="28" t="str">
        <f t="shared" ca="1" si="44"/>
        <v>Vencido</v>
      </c>
      <c r="M864" s="33" t="s">
        <v>65</v>
      </c>
      <c r="N864" s="28" t="s">
        <v>21</v>
      </c>
      <c r="O864" s="22" t="s">
        <v>28</v>
      </c>
      <c r="P864" s="25">
        <f t="shared" si="43"/>
        <v>45789</v>
      </c>
      <c r="Q864" s="25"/>
      <c r="R864" s="25"/>
      <c r="S864" s="7"/>
      <c r="T864" s="7"/>
    </row>
    <row r="865" spans="1:20" ht="14.25" customHeight="1">
      <c r="A865" s="22">
        <v>971</v>
      </c>
      <c r="B865" s="36">
        <v>13964</v>
      </c>
      <c r="C865" s="22" t="str">
        <f>IFERROR(VLOOKUP(B865,Colaboradores!A:D,2,),"")</f>
        <v>ESTER MOREIRA AMBROSIO DE CARVALHO</v>
      </c>
      <c r="D865" s="22" t="str">
        <f>IFERROR(VLOOKUP(B865,Colaboradores!A:D,3,),"")</f>
        <v>REGIONAL SUL</v>
      </c>
      <c r="E865" s="22" t="str">
        <f>IFERROR(VLOOKUP(B865,Colaboradores!A:D,4,),"")</f>
        <v>ENFERMEIRO DO TRABALHO</v>
      </c>
      <c r="F865" s="22" t="s">
        <v>58</v>
      </c>
      <c r="G865" s="24" t="str">
        <f>IFERROR(VLOOKUP(F865,Procedimentos!A:C,2,),"")</f>
        <v>POLÍTICA DE QUALIDADE DA DIRETORIA</v>
      </c>
      <c r="H865" s="41"/>
      <c r="I865" s="43">
        <v>45700</v>
      </c>
      <c r="J865" s="22">
        <v>12</v>
      </c>
      <c r="K865" s="25">
        <f t="shared" si="45"/>
        <v>46065</v>
      </c>
      <c r="L865" s="28" t="str">
        <f t="shared" ca="1" si="44"/>
        <v>Vencido</v>
      </c>
      <c r="M865" s="33" t="s">
        <v>65</v>
      </c>
      <c r="N865" s="28" t="s">
        <v>21</v>
      </c>
      <c r="O865" s="22" t="s">
        <v>28</v>
      </c>
      <c r="P865" s="25">
        <f t="shared" si="43"/>
        <v>45789</v>
      </c>
      <c r="Q865" s="25"/>
      <c r="R865" s="25"/>
      <c r="S865" s="7"/>
      <c r="T865" s="7"/>
    </row>
    <row r="866" spans="1:20" ht="14.25" customHeight="1">
      <c r="A866" s="22">
        <v>972</v>
      </c>
      <c r="B866" s="36">
        <v>15100</v>
      </c>
      <c r="C866" s="22" t="str">
        <f>IFERROR(VLOOKUP(B866,Colaboradores!A:D,2,),"")</f>
        <v>JONATHAN SILVA ALVES</v>
      </c>
      <c r="D866" s="22" t="str">
        <f>IFERROR(VLOOKUP(B866,Colaboradores!A:D,3,),"")</f>
        <v>REGIONAL SUL</v>
      </c>
      <c r="E866" s="22" t="str">
        <f>IFERROR(VLOOKUP(B866,Colaboradores!A:D,4,),"")</f>
        <v>COORDENADOR DE SSMA</v>
      </c>
      <c r="F866" s="22" t="s">
        <v>58</v>
      </c>
      <c r="G866" s="24" t="str">
        <f>IFERROR(VLOOKUP(F866,Procedimentos!A:C,2,),"")</f>
        <v>POLÍTICA DE QUALIDADE DA DIRETORIA</v>
      </c>
      <c r="H866" s="41"/>
      <c r="I866" s="43">
        <v>45891</v>
      </c>
      <c r="J866" s="22">
        <v>12</v>
      </c>
      <c r="K866" s="25">
        <f t="shared" si="45"/>
        <v>46256</v>
      </c>
      <c r="L866" s="28" t="str">
        <f t="shared" ca="1" si="44"/>
        <v>Em dia</v>
      </c>
      <c r="M866" s="33" t="s">
        <v>65</v>
      </c>
      <c r="N866" s="28" t="s">
        <v>21</v>
      </c>
      <c r="O866" s="22" t="s">
        <v>28</v>
      </c>
      <c r="P866" s="25">
        <f t="shared" si="43"/>
        <v>45983</v>
      </c>
      <c r="Q866" s="25"/>
      <c r="R866" s="25"/>
      <c r="S866" s="7"/>
      <c r="T866" s="7"/>
    </row>
    <row r="867" spans="1:20" ht="14.25" customHeight="1">
      <c r="A867" s="22">
        <v>973</v>
      </c>
      <c r="B867" s="36">
        <v>14321</v>
      </c>
      <c r="C867" s="22" t="str">
        <f>IFERROR(VLOOKUP(B867,Colaboradores!A:D,2,),"")</f>
        <v>LAYANA KARINE SILVA BARBOSA</v>
      </c>
      <c r="D867" s="22" t="str">
        <f>IFERROR(VLOOKUP(B867,Colaboradores!A:D,3,),"")</f>
        <v>REGIONAL SUL</v>
      </c>
      <c r="E867" s="22" t="str">
        <f>IFERROR(VLOOKUP(B867,Colaboradores!A:D,4,),"")</f>
        <v>ASSISTENTE ADMINISTRATIVO</v>
      </c>
      <c r="F867" s="22" t="s">
        <v>58</v>
      </c>
      <c r="G867" s="24" t="str">
        <f>IFERROR(VLOOKUP(F867,Procedimentos!A:C,2,),"")</f>
        <v>POLÍTICA DE QUALIDADE DA DIRETORIA</v>
      </c>
      <c r="H867" s="41"/>
      <c r="I867" s="43">
        <v>45700</v>
      </c>
      <c r="J867" s="22">
        <v>12</v>
      </c>
      <c r="K867" s="25">
        <f t="shared" si="45"/>
        <v>46065</v>
      </c>
      <c r="L867" s="28" t="str">
        <f t="shared" ca="1" si="44"/>
        <v>Vencido</v>
      </c>
      <c r="M867" s="33" t="s">
        <v>65</v>
      </c>
      <c r="N867" s="28" t="s">
        <v>21</v>
      </c>
      <c r="O867" s="22" t="s">
        <v>28</v>
      </c>
      <c r="P867" s="25">
        <f t="shared" si="43"/>
        <v>45789</v>
      </c>
      <c r="Q867" s="25"/>
      <c r="R867" s="25"/>
      <c r="S867" s="7"/>
      <c r="T867" s="7"/>
    </row>
    <row r="868" spans="1:20" ht="14.25" customHeight="1">
      <c r="A868" s="22">
        <v>974</v>
      </c>
      <c r="B868" s="36">
        <v>12451</v>
      </c>
      <c r="C868" s="22" t="str">
        <f>IFERROR(VLOOKUP(B868,Colaboradores!A:D,2,),"")</f>
        <v>JORGE CARLOS ARAUJO DE ARAUJO</v>
      </c>
      <c r="D868" s="22" t="str">
        <f>IFERROR(VLOOKUP(B868,Colaboradores!A:D,3,),"")</f>
        <v>DIRETORIA</v>
      </c>
      <c r="E868" s="22" t="str">
        <f>IFERROR(VLOOKUP(B868,Colaboradores!A:D,4,),"")</f>
        <v>DIRETOR GERAL</v>
      </c>
      <c r="F868" s="22" t="s">
        <v>58</v>
      </c>
      <c r="G868" s="24" t="str">
        <f>IFERROR(VLOOKUP(F868,Procedimentos!A:C,2,),"")</f>
        <v>POLÍTICA DE QUALIDADE DA DIRETORIA</v>
      </c>
      <c r="H868" s="22" t="s">
        <v>7</v>
      </c>
      <c r="I868" s="25"/>
      <c r="J868" s="22">
        <v>12</v>
      </c>
      <c r="K868" s="25" t="str">
        <f t="shared" si="45"/>
        <v/>
      </c>
      <c r="L868" s="28" t="str">
        <f t="shared" ca="1" si="44"/>
        <v/>
      </c>
      <c r="M868" s="33"/>
      <c r="N868" s="28" t="s">
        <v>21</v>
      </c>
      <c r="O868" s="22" t="s">
        <v>28</v>
      </c>
      <c r="P868" s="25"/>
      <c r="Q868" s="25"/>
      <c r="R868" s="25"/>
      <c r="S868" s="7"/>
      <c r="T868" s="7"/>
    </row>
    <row r="869" spans="1:20" ht="14.25" customHeight="1">
      <c r="A869" s="22">
        <v>975</v>
      </c>
      <c r="B869" s="36">
        <v>12671</v>
      </c>
      <c r="C869" s="22" t="str">
        <f>IFERROR(VLOOKUP(B869,Colaboradores!A:D,2,),"")</f>
        <v>LEONARDO ESPINDOLA FONSECA ROCHA</v>
      </c>
      <c r="D869" s="22" t="str">
        <f>IFERROR(VLOOKUP(B869,Colaboradores!A:D,3,),"")</f>
        <v>DIRETORIA</v>
      </c>
      <c r="E869" s="22" t="str">
        <f>IFERROR(VLOOKUP(B869,Colaboradores!A:D,4,),"")</f>
        <v>GERENTE GERAL</v>
      </c>
      <c r="F869" s="22" t="s">
        <v>58</v>
      </c>
      <c r="G869" s="24" t="str">
        <f>IFERROR(VLOOKUP(F869,Procedimentos!A:C,2,),"")</f>
        <v>POLÍTICA DE QUALIDADE DA DIRETORIA</v>
      </c>
      <c r="H869" s="22" t="s">
        <v>7</v>
      </c>
      <c r="I869" s="25"/>
      <c r="J869" s="22">
        <v>12</v>
      </c>
      <c r="K869" s="25" t="str">
        <f t="shared" si="45"/>
        <v/>
      </c>
      <c r="L869" s="28" t="str">
        <f t="shared" ca="1" si="44"/>
        <v/>
      </c>
      <c r="M869" s="33"/>
      <c r="N869" s="28" t="s">
        <v>21</v>
      </c>
      <c r="O869" s="22" t="s">
        <v>28</v>
      </c>
      <c r="P869" s="25"/>
      <c r="Q869" s="25"/>
      <c r="R869" s="25"/>
      <c r="S869" s="7"/>
      <c r="T869" s="7"/>
    </row>
    <row r="870" spans="1:20" ht="14.25" customHeight="1">
      <c r="A870" s="22">
        <v>976</v>
      </c>
      <c r="B870" s="36">
        <v>13810</v>
      </c>
      <c r="C870" s="22" t="str">
        <f>IFERROR(VLOOKUP(B870,Colaboradores!A:D,2,),"")</f>
        <v>CAMILA CHAVES SILVA</v>
      </c>
      <c r="D870" s="22" t="str">
        <f>IFERROR(VLOOKUP(B870,Colaboradores!A:D,3,),"")</f>
        <v>DIRETORIA</v>
      </c>
      <c r="E870" s="22" t="str">
        <f>IFERROR(VLOOKUP(B870,Colaboradores!A:D,4,),"")</f>
        <v>ASSESSOR JURÍDICO</v>
      </c>
      <c r="F870" s="22" t="s">
        <v>58</v>
      </c>
      <c r="G870" s="24" t="str">
        <f>IFERROR(VLOOKUP(F870,Procedimentos!A:C,2,),"")</f>
        <v>POLÍTICA DE QUALIDADE DA DIRETORIA</v>
      </c>
      <c r="H870" s="39"/>
      <c r="I870" s="40">
        <v>45692</v>
      </c>
      <c r="J870" s="22">
        <v>12</v>
      </c>
      <c r="K870" s="25">
        <f t="shared" si="45"/>
        <v>46057</v>
      </c>
      <c r="L870" s="28" t="str">
        <f t="shared" ca="1" si="44"/>
        <v>Vencido</v>
      </c>
      <c r="M870" s="33" t="s">
        <v>65</v>
      </c>
      <c r="N870" s="28" t="s">
        <v>21</v>
      </c>
      <c r="O870" s="22" t="s">
        <v>28</v>
      </c>
      <c r="P870" s="25">
        <f t="shared" ref="P870:P885" si="46">EDATE(I870,3)</f>
        <v>45781</v>
      </c>
      <c r="Q870" s="25"/>
      <c r="R870" s="25"/>
      <c r="S870" s="7"/>
      <c r="T870" s="7"/>
    </row>
    <row r="871" spans="1:20" ht="14.25" customHeight="1">
      <c r="A871" s="22">
        <v>977</v>
      </c>
      <c r="B871" s="36">
        <v>15011</v>
      </c>
      <c r="C871" s="22" t="str">
        <f>IFERROR(VLOOKUP(B871,Colaboradores!A:D,2,),"")</f>
        <v>RAFAEL FREITAS DE PAULA</v>
      </c>
      <c r="D871" s="22" t="str">
        <f>IFERROR(VLOOKUP(B871,Colaboradores!A:D,3,),"")</f>
        <v>GESTÃO INTEGRADA</v>
      </c>
      <c r="E871" s="22" t="str">
        <f>IFERROR(VLOOKUP(B871,Colaboradores!A:D,4,),"")</f>
        <v>ANALISTA DA QUALIDADE</v>
      </c>
      <c r="F871" s="22" t="s">
        <v>58</v>
      </c>
      <c r="G871" s="24" t="str">
        <f>IFERROR(VLOOKUP(F871,Procedimentos!A:C,2,),"")</f>
        <v>POLÍTICA DE QUALIDADE DA DIRETORIA</v>
      </c>
      <c r="H871" s="39"/>
      <c r="I871" s="40">
        <v>45891</v>
      </c>
      <c r="J871" s="22">
        <v>12</v>
      </c>
      <c r="K871" s="25">
        <f t="shared" si="45"/>
        <v>46256</v>
      </c>
      <c r="L871" s="28" t="str">
        <f t="shared" ca="1" si="44"/>
        <v>Em dia</v>
      </c>
      <c r="M871" s="33" t="s">
        <v>65</v>
      </c>
      <c r="N871" s="28" t="s">
        <v>21</v>
      </c>
      <c r="O871" s="22" t="s">
        <v>28</v>
      </c>
      <c r="P871" s="25">
        <f t="shared" si="46"/>
        <v>45983</v>
      </c>
      <c r="Q871" s="25"/>
      <c r="R871" s="25"/>
      <c r="S871" s="7"/>
      <c r="T871" s="7"/>
    </row>
    <row r="872" spans="1:20" ht="14.25" customHeight="1">
      <c r="A872" s="22">
        <v>978</v>
      </c>
      <c r="B872" s="36">
        <v>11149</v>
      </c>
      <c r="C872" s="22" t="str">
        <f>IFERROR(VLOOKUP(B872,Colaboradores!A:D,2,),"")</f>
        <v>CAMYLA CRYSTYNE RABELO LIMA</v>
      </c>
      <c r="D872" s="22" t="str">
        <f>IFERROR(VLOOKUP(B872,Colaboradores!A:D,3,),"")</f>
        <v>COORDENAÇÃO ADMINISTRATIVA</v>
      </c>
      <c r="E872" s="22" t="str">
        <f>IFERROR(VLOOKUP(B872,Colaboradores!A:D,4,),"")</f>
        <v>ANALISTA ADMINISTRATIVO</v>
      </c>
      <c r="F872" s="22" t="s">
        <v>48</v>
      </c>
      <c r="G872" s="24" t="str">
        <f>IFERROR(VLOOKUP(F872,Procedimentos!A:C,2,),"")</f>
        <v>POLÍTICA MEIO AMBIENTE EMSERH</v>
      </c>
      <c r="H872" s="39"/>
      <c r="I872" s="40">
        <v>45692</v>
      </c>
      <c r="J872" s="22">
        <v>12</v>
      </c>
      <c r="K872" s="25">
        <f t="shared" si="45"/>
        <v>46057</v>
      </c>
      <c r="L872" s="28" t="str">
        <f t="shared" ca="1" si="44"/>
        <v>Vencido</v>
      </c>
      <c r="M872" s="33" t="s">
        <v>70</v>
      </c>
      <c r="N872" s="28" t="s">
        <v>21</v>
      </c>
      <c r="O872" s="22" t="s">
        <v>28</v>
      </c>
      <c r="P872" s="25">
        <f t="shared" si="46"/>
        <v>45781</v>
      </c>
      <c r="Q872" s="25"/>
      <c r="R872" s="25"/>
      <c r="S872" s="7"/>
      <c r="T872" s="7"/>
    </row>
    <row r="873" spans="1:20" ht="14.25" customHeight="1">
      <c r="A873" s="22">
        <v>979</v>
      </c>
      <c r="B873" s="36">
        <v>14824</v>
      </c>
      <c r="C873" s="22" t="str">
        <f>IFERROR(VLOOKUP(B873,Colaboradores!A:D,2,),"")</f>
        <v>DENISE DE SOUSA RIBEIRO SANTOS</v>
      </c>
      <c r="D873" s="22" t="str">
        <f>IFERROR(VLOOKUP(B873,Colaboradores!A:D,3,),"")</f>
        <v>COORDENAÇÃO ADMINISTRATIVA</v>
      </c>
      <c r="E873" s="22" t="str">
        <f>IFERROR(VLOOKUP(B873,Colaboradores!A:D,4,),"")</f>
        <v>ASSISTENTE ADMINISTRATIVO</v>
      </c>
      <c r="F873" s="22" t="s">
        <v>48</v>
      </c>
      <c r="G873" s="24" t="str">
        <f>IFERROR(VLOOKUP(F873,Procedimentos!A:C,2,),"")</f>
        <v>POLÍTICA MEIO AMBIENTE EMSERH</v>
      </c>
      <c r="H873" s="39"/>
      <c r="I873" s="40">
        <v>45692</v>
      </c>
      <c r="J873" s="22">
        <v>12</v>
      </c>
      <c r="K873" s="25">
        <f t="shared" si="45"/>
        <v>46057</v>
      </c>
      <c r="L873" s="28" t="str">
        <f t="shared" ca="1" si="44"/>
        <v>Vencido</v>
      </c>
      <c r="M873" s="33" t="s">
        <v>70</v>
      </c>
      <c r="N873" s="28" t="s">
        <v>21</v>
      </c>
      <c r="O873" s="22" t="s">
        <v>28</v>
      </c>
      <c r="P873" s="25">
        <f t="shared" si="46"/>
        <v>45781</v>
      </c>
      <c r="Q873" s="25"/>
      <c r="R873" s="25"/>
      <c r="S873" s="7"/>
      <c r="T873" s="7"/>
    </row>
    <row r="874" spans="1:20" ht="14.25" customHeight="1">
      <c r="A874" s="22">
        <v>980</v>
      </c>
      <c r="B874" s="36">
        <v>12748</v>
      </c>
      <c r="C874" s="22" t="str">
        <f>IFERROR(VLOOKUP(B874,Colaboradores!A:D,2,),"")</f>
        <v>KARINY DE SOUZA COSTA</v>
      </c>
      <c r="D874" s="22" t="str">
        <f>IFERROR(VLOOKUP(B874,Colaboradores!A:D,3,),"")</f>
        <v>COORDENAÇÃO ADMINISTRATIVA</v>
      </c>
      <c r="E874" s="22" t="str">
        <f>IFERROR(VLOOKUP(B874,Colaboradores!A:D,4,),"")</f>
        <v>ASSISTENTE ADMINISTRATIVO</v>
      </c>
      <c r="F874" s="22" t="s">
        <v>48</v>
      </c>
      <c r="G874" s="24" t="str">
        <f>IFERROR(VLOOKUP(F874,Procedimentos!A:C,2,),"")</f>
        <v>POLÍTICA MEIO AMBIENTE EMSERH</v>
      </c>
      <c r="H874" s="39"/>
      <c r="I874" s="40">
        <v>45692</v>
      </c>
      <c r="J874" s="22">
        <v>12</v>
      </c>
      <c r="K874" s="25">
        <f t="shared" si="45"/>
        <v>46057</v>
      </c>
      <c r="L874" s="28" t="str">
        <f t="shared" ca="1" si="44"/>
        <v>Vencido</v>
      </c>
      <c r="M874" s="33" t="s">
        <v>70</v>
      </c>
      <c r="N874" s="28" t="s">
        <v>21</v>
      </c>
      <c r="O874" s="22" t="s">
        <v>28</v>
      </c>
      <c r="P874" s="25">
        <f t="shared" si="46"/>
        <v>45781</v>
      </c>
      <c r="Q874" s="25"/>
      <c r="R874" s="25"/>
      <c r="S874" s="7"/>
      <c r="T874" s="7"/>
    </row>
    <row r="875" spans="1:20" ht="14.25" customHeight="1">
      <c r="A875" s="22">
        <v>981</v>
      </c>
      <c r="B875" s="36">
        <v>12555</v>
      </c>
      <c r="C875" s="22" t="str">
        <f>IFERROR(VLOOKUP(B875,Colaboradores!A:D,2,),"")</f>
        <v>HWGO AUGUSTO ALMEIDA</v>
      </c>
      <c r="D875" s="22" t="str">
        <f>IFERROR(VLOOKUP(B875,Colaboradores!A:D,3,),"")</f>
        <v>COORDENAÇÃO ADMINISTRATIVA</v>
      </c>
      <c r="E875" s="22" t="str">
        <f>IFERROR(VLOOKUP(B875,Colaboradores!A:D,4,),"")</f>
        <v>ANALISTA ADMINISTRATIVO</v>
      </c>
      <c r="F875" s="22" t="s">
        <v>48</v>
      </c>
      <c r="G875" s="24" t="str">
        <f>IFERROR(VLOOKUP(F875,Procedimentos!A:C,2,),"")</f>
        <v>POLÍTICA MEIO AMBIENTE EMSERH</v>
      </c>
      <c r="H875" s="39"/>
      <c r="I875" s="40">
        <v>45692</v>
      </c>
      <c r="J875" s="22">
        <v>12</v>
      </c>
      <c r="K875" s="25">
        <f t="shared" si="45"/>
        <v>46057</v>
      </c>
      <c r="L875" s="28" t="str">
        <f t="shared" ca="1" si="44"/>
        <v>Vencido</v>
      </c>
      <c r="M875" s="33" t="s">
        <v>70</v>
      </c>
      <c r="N875" s="28" t="s">
        <v>21</v>
      </c>
      <c r="O875" s="22" t="s">
        <v>28</v>
      </c>
      <c r="P875" s="25">
        <f t="shared" si="46"/>
        <v>45781</v>
      </c>
      <c r="Q875" s="25"/>
      <c r="R875" s="25"/>
      <c r="S875" s="7"/>
      <c r="T875" s="7"/>
    </row>
    <row r="876" spans="1:20" ht="14.25" customHeight="1">
      <c r="A876" s="22">
        <v>982</v>
      </c>
      <c r="B876" s="36">
        <v>13766</v>
      </c>
      <c r="C876" s="22" t="str">
        <f>IFERROR(VLOOKUP(B876,Colaboradores!A:D,2,),"")</f>
        <v>RAIMUNDO TAVARES PESSOA</v>
      </c>
      <c r="D876" s="22" t="str">
        <f>IFERROR(VLOOKUP(B876,Colaboradores!A:D,3,),"")</f>
        <v>COORDENAÇÃO ADMINISTRATIVA</v>
      </c>
      <c r="E876" s="22" t="str">
        <f>IFERROR(VLOOKUP(B876,Colaboradores!A:D,4,),"")</f>
        <v>ANALISTA ADMINISTRATIVO</v>
      </c>
      <c r="F876" s="22" t="s">
        <v>48</v>
      </c>
      <c r="G876" s="24" t="str">
        <f>IFERROR(VLOOKUP(F876,Procedimentos!A:C,2,),"")</f>
        <v>POLÍTICA MEIO AMBIENTE EMSERH</v>
      </c>
      <c r="H876" s="39"/>
      <c r="I876" s="40">
        <v>45692</v>
      </c>
      <c r="J876" s="22">
        <v>12</v>
      </c>
      <c r="K876" s="25">
        <f t="shared" si="45"/>
        <v>46057</v>
      </c>
      <c r="L876" s="28" t="str">
        <f t="shared" ca="1" si="44"/>
        <v>Vencido</v>
      </c>
      <c r="M876" s="33" t="s">
        <v>70</v>
      </c>
      <c r="N876" s="28" t="s">
        <v>21</v>
      </c>
      <c r="O876" s="22" t="s">
        <v>28</v>
      </c>
      <c r="P876" s="25">
        <f t="shared" si="46"/>
        <v>45781</v>
      </c>
      <c r="Q876" s="25"/>
      <c r="R876" s="25"/>
      <c r="S876" s="7"/>
      <c r="T876" s="7"/>
    </row>
    <row r="877" spans="1:20" ht="14.25" customHeight="1">
      <c r="A877" s="22">
        <v>983</v>
      </c>
      <c r="B877" s="36">
        <v>15023</v>
      </c>
      <c r="C877" s="22" t="str">
        <f>IFERROR(VLOOKUP(B877,Colaboradores!A:D,2,),"")</f>
        <v>DANIEL ELISON GUSMÃO PEREIRA</v>
      </c>
      <c r="D877" s="22" t="str">
        <f>IFERROR(VLOOKUP(B877,Colaboradores!A:D,3,),"")</f>
        <v>GESTÃO INTEGRADA</v>
      </c>
      <c r="E877" s="22" t="str">
        <f>IFERROR(VLOOKUP(B877,Colaboradores!A:D,4,),"")</f>
        <v>ASSISTENTE ADMINISTRATIVO</v>
      </c>
      <c r="F877" s="22" t="s">
        <v>48</v>
      </c>
      <c r="G877" s="24" t="str">
        <f>IFERROR(VLOOKUP(F877,Procedimentos!A:C,2,),"")</f>
        <v>POLÍTICA MEIO AMBIENTE EMSERH</v>
      </c>
      <c r="H877" s="42"/>
      <c r="I877" s="44">
        <v>45889</v>
      </c>
      <c r="J877" s="22">
        <v>12</v>
      </c>
      <c r="K877" s="25">
        <f t="shared" si="45"/>
        <v>46254</v>
      </c>
      <c r="L877" s="28" t="str">
        <f t="shared" ca="1" si="44"/>
        <v>Em dia</v>
      </c>
      <c r="M877" s="33" t="s">
        <v>70</v>
      </c>
      <c r="N877" s="28" t="s">
        <v>21</v>
      </c>
      <c r="O877" s="22" t="s">
        <v>28</v>
      </c>
      <c r="P877" s="25">
        <f t="shared" si="46"/>
        <v>45981</v>
      </c>
      <c r="Q877" s="25"/>
      <c r="R877" s="25"/>
      <c r="S877" s="7"/>
      <c r="T877" s="7"/>
    </row>
    <row r="878" spans="1:20" ht="14.25" customHeight="1">
      <c r="A878" s="22">
        <v>984</v>
      </c>
      <c r="B878" s="36">
        <v>14525</v>
      </c>
      <c r="C878" s="22" t="str">
        <f>IFERROR(VLOOKUP(B878,Colaboradores!A:D,2,),"")</f>
        <v>IANKA PRAZERES CUNHA</v>
      </c>
      <c r="D878" s="22" t="str">
        <f>IFERROR(VLOOKUP(B878,Colaboradores!A:D,3,),"")</f>
        <v>GESTÃO INTEGRADA</v>
      </c>
      <c r="E878" s="22" t="str">
        <f>IFERROR(VLOOKUP(B878,Colaboradores!A:D,4,),"")</f>
        <v>ANALISTA DE GESTÃO INTEGRADA</v>
      </c>
      <c r="F878" s="22" t="s">
        <v>48</v>
      </c>
      <c r="G878" s="24" t="str">
        <f>IFERROR(VLOOKUP(F878,Procedimentos!A:C,2,),"")</f>
        <v>POLÍTICA MEIO AMBIENTE EMSERH</v>
      </c>
      <c r="H878" s="42"/>
      <c r="I878" s="44">
        <v>45700</v>
      </c>
      <c r="J878" s="22">
        <v>12</v>
      </c>
      <c r="K878" s="25">
        <f t="shared" si="45"/>
        <v>46065</v>
      </c>
      <c r="L878" s="28" t="str">
        <f t="shared" ca="1" si="44"/>
        <v>Vencido</v>
      </c>
      <c r="M878" s="33" t="s">
        <v>70</v>
      </c>
      <c r="N878" s="28" t="s">
        <v>21</v>
      </c>
      <c r="O878" s="22" t="s">
        <v>28</v>
      </c>
      <c r="P878" s="25">
        <f t="shared" si="46"/>
        <v>45789</v>
      </c>
      <c r="Q878" s="25"/>
      <c r="R878" s="25"/>
      <c r="S878" s="7"/>
      <c r="T878" s="7"/>
    </row>
    <row r="879" spans="1:20" ht="14.25" customHeight="1">
      <c r="A879" s="22">
        <v>985</v>
      </c>
      <c r="B879" s="36">
        <v>13750</v>
      </c>
      <c r="C879" s="22" t="str">
        <f>IFERROR(VLOOKUP(B879,Colaboradores!A:D,2,),"")</f>
        <v>JOSE ANTONIO ALVES MAGALHAES</v>
      </c>
      <c r="D879" s="22" t="str">
        <f>IFERROR(VLOOKUP(B879,Colaboradores!A:D,3,),"")</f>
        <v>GESTÃO INTEGRADA</v>
      </c>
      <c r="E879" s="22" t="str">
        <f>IFERROR(VLOOKUP(B879,Colaboradores!A:D,4,),"")</f>
        <v>GERENTE DE GESTÃO INTEGRADA</v>
      </c>
      <c r="F879" s="22" t="s">
        <v>48</v>
      </c>
      <c r="G879" s="24" t="str">
        <f>IFERROR(VLOOKUP(F879,Procedimentos!A:C,2,),"")</f>
        <v>POLÍTICA MEIO AMBIENTE EMSERH</v>
      </c>
      <c r="H879" s="42"/>
      <c r="I879" s="44">
        <v>45692</v>
      </c>
      <c r="J879" s="22">
        <v>12</v>
      </c>
      <c r="K879" s="25">
        <f t="shared" si="45"/>
        <v>46057</v>
      </c>
      <c r="L879" s="28" t="str">
        <f t="shared" ca="1" si="44"/>
        <v>Vencido</v>
      </c>
      <c r="M879" s="33" t="s">
        <v>70</v>
      </c>
      <c r="N879" s="28" t="s">
        <v>21</v>
      </c>
      <c r="O879" s="22" t="s">
        <v>28</v>
      </c>
      <c r="P879" s="25">
        <f t="shared" si="46"/>
        <v>45781</v>
      </c>
      <c r="Q879" s="25"/>
      <c r="R879" s="25"/>
      <c r="S879" s="7"/>
      <c r="T879" s="7"/>
    </row>
    <row r="880" spans="1:20" ht="14.25" customHeight="1">
      <c r="A880" s="22">
        <v>986</v>
      </c>
      <c r="B880" s="36">
        <v>12712</v>
      </c>
      <c r="C880" s="22" t="str">
        <f>IFERROR(VLOOKUP(B880,Colaboradores!A:D,2,),"")</f>
        <v>JOYCE CLEIA MIRANDA BARROS</v>
      </c>
      <c r="D880" s="22" t="str">
        <f>IFERROR(VLOOKUP(B880,Colaboradores!A:D,3,),"")</f>
        <v>GESTÃO INTEGRADA</v>
      </c>
      <c r="E880" s="22" t="str">
        <f>IFERROR(VLOOKUP(B880,Colaboradores!A:D,4,),"")</f>
        <v>ANALISTA DE GESTÃO INTEGRADA</v>
      </c>
      <c r="F880" s="22" t="s">
        <v>48</v>
      </c>
      <c r="G880" s="24" t="str">
        <f>IFERROR(VLOOKUP(F880,Procedimentos!A:C,2,),"")</f>
        <v>POLÍTICA MEIO AMBIENTE EMSERH</v>
      </c>
      <c r="H880" s="25"/>
      <c r="I880" s="44">
        <v>45692</v>
      </c>
      <c r="J880" s="22">
        <v>12</v>
      </c>
      <c r="K880" s="25">
        <f t="shared" si="45"/>
        <v>46057</v>
      </c>
      <c r="L880" s="28" t="str">
        <f t="shared" ca="1" si="44"/>
        <v>Vencido</v>
      </c>
      <c r="M880" s="33" t="s">
        <v>70</v>
      </c>
      <c r="N880" s="28" t="s">
        <v>21</v>
      </c>
      <c r="O880" s="22" t="s">
        <v>28</v>
      </c>
      <c r="P880" s="25">
        <f t="shared" si="46"/>
        <v>45781</v>
      </c>
      <c r="Q880" s="25"/>
      <c r="R880" s="25"/>
      <c r="S880" s="7"/>
      <c r="T880" s="7"/>
    </row>
    <row r="881" spans="1:20" ht="14.25" customHeight="1">
      <c r="A881" s="22">
        <v>987</v>
      </c>
      <c r="B881" s="36">
        <v>13787</v>
      </c>
      <c r="C881" s="22" t="str">
        <f>IFERROR(VLOOKUP(B881,Colaboradores!A:D,2,),"")</f>
        <v>KELLE SOCORRO MENDES GUIGNONI</v>
      </c>
      <c r="D881" s="22" t="str">
        <f>IFERROR(VLOOKUP(B881,Colaboradores!A:D,3,),"")</f>
        <v>GESTÃO INTEGRADA</v>
      </c>
      <c r="E881" s="22" t="str">
        <f>IFERROR(VLOOKUP(B881,Colaboradores!A:D,4,),"")</f>
        <v>ANALISTA DE GESTÃO INTEGRADA</v>
      </c>
      <c r="F881" s="22" t="s">
        <v>48</v>
      </c>
      <c r="G881" s="24" t="str">
        <f>IFERROR(VLOOKUP(F881,Procedimentos!A:C,2,),"")</f>
        <v>POLÍTICA MEIO AMBIENTE EMSERH</v>
      </c>
      <c r="H881" s="42"/>
      <c r="I881" s="44">
        <v>45692</v>
      </c>
      <c r="J881" s="22">
        <v>12</v>
      </c>
      <c r="K881" s="25">
        <f t="shared" si="45"/>
        <v>46057</v>
      </c>
      <c r="L881" s="28" t="str">
        <f t="shared" ca="1" si="44"/>
        <v>Vencido</v>
      </c>
      <c r="M881" s="33" t="s">
        <v>70</v>
      </c>
      <c r="N881" s="28" t="s">
        <v>21</v>
      </c>
      <c r="O881" s="22" t="s">
        <v>28</v>
      </c>
      <c r="P881" s="25">
        <f t="shared" si="46"/>
        <v>45781</v>
      </c>
      <c r="Q881" s="25"/>
      <c r="R881" s="25"/>
      <c r="S881" s="7"/>
      <c r="T881" s="7"/>
    </row>
    <row r="882" spans="1:20" ht="14.25" customHeight="1">
      <c r="A882" s="22">
        <v>988</v>
      </c>
      <c r="B882" s="36">
        <v>12685</v>
      </c>
      <c r="C882" s="22" t="str">
        <f>IFERROR(VLOOKUP(B882,Colaboradores!A:D,2,),"")</f>
        <v>LIDIANA CRISTINA MIRANDA FERREIRA</v>
      </c>
      <c r="D882" s="22" t="str">
        <f>IFERROR(VLOOKUP(B882,Colaboradores!A:D,3,),"")</f>
        <v>GESTÃO INTEGRADA</v>
      </c>
      <c r="E882" s="22" t="str">
        <f>IFERROR(VLOOKUP(B882,Colaboradores!A:D,4,),"")</f>
        <v>COORDENADOR DE GESTÃO INTEGRADA</v>
      </c>
      <c r="F882" s="22" t="s">
        <v>48</v>
      </c>
      <c r="G882" s="24" t="str">
        <f>IFERROR(VLOOKUP(F882,Procedimentos!A:C,2,),"")</f>
        <v>POLÍTICA MEIO AMBIENTE EMSERH</v>
      </c>
      <c r="H882" s="42"/>
      <c r="I882" s="44">
        <v>45692</v>
      </c>
      <c r="J882" s="22">
        <v>12</v>
      </c>
      <c r="K882" s="25">
        <f t="shared" si="45"/>
        <v>46057</v>
      </c>
      <c r="L882" s="28" t="str">
        <f t="shared" ca="1" si="44"/>
        <v>Vencido</v>
      </c>
      <c r="M882" s="33" t="s">
        <v>70</v>
      </c>
      <c r="N882" s="28" t="s">
        <v>21</v>
      </c>
      <c r="O882" s="22" t="s">
        <v>28</v>
      </c>
      <c r="P882" s="25">
        <f t="shared" si="46"/>
        <v>45781</v>
      </c>
      <c r="Q882" s="25"/>
      <c r="R882" s="25"/>
      <c r="S882" s="7"/>
      <c r="T882" s="7"/>
    </row>
    <row r="883" spans="1:20" ht="14.25" customHeight="1">
      <c r="A883" s="22">
        <v>989</v>
      </c>
      <c r="B883" s="36">
        <v>15068</v>
      </c>
      <c r="C883" s="22" t="str">
        <f>IFERROR(VLOOKUP(B883,Colaboradores!A:D,2,),"")</f>
        <v>TASSO CHAVES DE OLIVEIRA</v>
      </c>
      <c r="D883" s="22" t="str">
        <f>IFERROR(VLOOKUP(B883,Colaboradores!A:D,3,),"")</f>
        <v>GESTÃO INTEGRADA</v>
      </c>
      <c r="E883" s="22" t="str">
        <f>IFERROR(VLOOKUP(B883,Colaboradores!A:D,4,),"")</f>
        <v>ASSESSOR DE GESTÃO INTEGRADA</v>
      </c>
      <c r="F883" s="22" t="s">
        <v>48</v>
      </c>
      <c r="G883" s="24" t="str">
        <f>IFERROR(VLOOKUP(F883,Procedimentos!A:C,2,),"")</f>
        <v>POLÍTICA MEIO AMBIENTE EMSERH</v>
      </c>
      <c r="H883" s="42"/>
      <c r="I883" s="44">
        <v>45889</v>
      </c>
      <c r="J883" s="22">
        <v>12</v>
      </c>
      <c r="K883" s="25">
        <f t="shared" si="45"/>
        <v>46254</v>
      </c>
      <c r="L883" s="28" t="str">
        <f t="shared" ca="1" si="44"/>
        <v>Em dia</v>
      </c>
      <c r="M883" s="33" t="s">
        <v>70</v>
      </c>
      <c r="N883" s="28" t="s">
        <v>21</v>
      </c>
      <c r="O883" s="22" t="s">
        <v>28</v>
      </c>
      <c r="P883" s="25">
        <f t="shared" si="46"/>
        <v>45981</v>
      </c>
      <c r="Q883" s="25"/>
      <c r="R883" s="25"/>
      <c r="S883" s="7"/>
      <c r="T883" s="7"/>
    </row>
    <row r="884" spans="1:20" ht="14.25" customHeight="1">
      <c r="A884" s="22">
        <v>991</v>
      </c>
      <c r="B884" s="36">
        <v>12486</v>
      </c>
      <c r="C884" s="22" t="str">
        <f>IFERROR(VLOOKUP(B884,Colaboradores!A:D,2,),"")</f>
        <v>ENEAS GALVAO MAGALHAES BRITO</v>
      </c>
      <c r="D884" s="22" t="str">
        <f>IFERROR(VLOOKUP(B884,Colaboradores!A:D,3,),"")</f>
        <v>MEIO AMBIENTE</v>
      </c>
      <c r="E884" s="22" t="str">
        <f>IFERROR(VLOOKUP(B884,Colaboradores!A:D,4,),"")</f>
        <v>ENGENHEIRO DE MEIO AMBIENTE</v>
      </c>
      <c r="F884" s="22" t="s">
        <v>48</v>
      </c>
      <c r="G884" s="24" t="str">
        <f>IFERROR(VLOOKUP(F884,Procedimentos!A:C,2,),"")</f>
        <v>POLÍTICA MEIO AMBIENTE EMSERH</v>
      </c>
      <c r="H884" s="42"/>
      <c r="I884" s="44">
        <v>45692</v>
      </c>
      <c r="J884" s="22">
        <v>12</v>
      </c>
      <c r="K884" s="25">
        <f t="shared" si="45"/>
        <v>46057</v>
      </c>
      <c r="L884" s="28" t="str">
        <f t="shared" ca="1" si="44"/>
        <v>Vencido</v>
      </c>
      <c r="M884" s="33" t="s">
        <v>70</v>
      </c>
      <c r="N884" s="28" t="s">
        <v>21</v>
      </c>
      <c r="O884" s="22" t="s">
        <v>28</v>
      </c>
      <c r="P884" s="25">
        <f t="shared" si="46"/>
        <v>45781</v>
      </c>
      <c r="Q884" s="25"/>
      <c r="R884" s="25"/>
      <c r="S884" s="7"/>
      <c r="T884" s="7"/>
    </row>
    <row r="885" spans="1:20" ht="14.25" customHeight="1">
      <c r="A885" s="22">
        <v>992</v>
      </c>
      <c r="B885" s="36">
        <v>14013</v>
      </c>
      <c r="C885" s="22" t="str">
        <f>IFERROR(VLOOKUP(B885,Colaboradores!A:D,2,),"")</f>
        <v>IGOR WARWICK SANTOS DE CASTRO</v>
      </c>
      <c r="D885" s="22" t="str">
        <f>IFERROR(VLOOKUP(B885,Colaboradores!A:D,3,),"")</f>
        <v>MEIO AMBIENTE</v>
      </c>
      <c r="E885" s="22" t="str">
        <f>IFERROR(VLOOKUP(B885,Colaboradores!A:D,4,),"")</f>
        <v>ASSISTENTE ADMINISTRATIVO</v>
      </c>
      <c r="F885" s="22" t="s">
        <v>48</v>
      </c>
      <c r="G885" s="24" t="str">
        <f>IFERROR(VLOOKUP(F885,Procedimentos!A:C,2,),"")</f>
        <v>POLÍTICA MEIO AMBIENTE EMSERH</v>
      </c>
      <c r="H885" s="42"/>
      <c r="I885" s="44">
        <v>45692</v>
      </c>
      <c r="J885" s="22">
        <v>12</v>
      </c>
      <c r="K885" s="25">
        <f t="shared" si="45"/>
        <v>46057</v>
      </c>
      <c r="L885" s="28" t="str">
        <f t="shared" ca="1" si="44"/>
        <v>Vencido</v>
      </c>
      <c r="M885" s="33" t="s">
        <v>70</v>
      </c>
      <c r="N885" s="28" t="s">
        <v>21</v>
      </c>
      <c r="O885" s="22" t="s">
        <v>28</v>
      </c>
      <c r="P885" s="25">
        <f t="shared" si="46"/>
        <v>45781</v>
      </c>
      <c r="Q885" s="25"/>
      <c r="R885" s="25"/>
      <c r="S885" s="7"/>
      <c r="T885" s="7"/>
    </row>
    <row r="886" spans="1:20" ht="14.25" customHeight="1">
      <c r="A886" s="22">
        <v>993</v>
      </c>
      <c r="B886" s="36">
        <v>12684</v>
      </c>
      <c r="C886" s="22" t="str">
        <f>IFERROR(VLOOKUP(B886,Colaboradores!A:D,2,),"")</f>
        <v>JACIARA VIEIRA DA CRUZ DE AGUIAR</v>
      </c>
      <c r="D886" s="22" t="str">
        <f>IFERROR(VLOOKUP(B886,Colaboradores!A:D,3,),"")</f>
        <v>MEIO AMBIENTE</v>
      </c>
      <c r="E886" s="22" t="str">
        <f>IFERROR(VLOOKUP(B886,Colaboradores!A:D,4,),"")</f>
        <v>GERENTE DE MEIO AMBIENTE</v>
      </c>
      <c r="F886" s="22" t="s">
        <v>48</v>
      </c>
      <c r="G886" s="24" t="str">
        <f>IFERROR(VLOOKUP(F886,Procedimentos!A:C,2,),"")</f>
        <v>POLÍTICA MEIO AMBIENTE EMSERH</v>
      </c>
      <c r="H886" s="22" t="s">
        <v>7</v>
      </c>
      <c r="I886" s="44"/>
      <c r="J886" s="22">
        <v>12</v>
      </c>
      <c r="K886" s="25" t="str">
        <f t="shared" si="45"/>
        <v/>
      </c>
      <c r="L886" s="28" t="str">
        <f t="shared" ca="1" si="44"/>
        <v/>
      </c>
      <c r="M886" s="33"/>
      <c r="N886" s="28" t="s">
        <v>21</v>
      </c>
      <c r="O886" s="22" t="s">
        <v>28</v>
      </c>
      <c r="P886" s="25"/>
      <c r="Q886" s="25"/>
      <c r="R886" s="25"/>
      <c r="S886" s="7"/>
      <c r="T886" s="7"/>
    </row>
    <row r="887" spans="1:20" ht="14.25" customHeight="1">
      <c r="A887" s="22">
        <v>994</v>
      </c>
      <c r="B887" s="36">
        <v>13741</v>
      </c>
      <c r="C887" s="22" t="str">
        <f>IFERROR(VLOOKUP(B887,Colaboradores!A:D,2,),"")</f>
        <v>LUCAS LOPES VIEIRA</v>
      </c>
      <c r="D887" s="22" t="str">
        <f>IFERROR(VLOOKUP(B887,Colaboradores!A:D,3,),"")</f>
        <v>MEIO AMBIENTE</v>
      </c>
      <c r="E887" s="22" t="str">
        <f>IFERROR(VLOOKUP(B887,Colaboradores!A:D,4,),"")</f>
        <v>ENGENHEIRO DE MEIO AMBIENTE</v>
      </c>
      <c r="F887" s="22" t="s">
        <v>48</v>
      </c>
      <c r="G887" s="24" t="str">
        <f>IFERROR(VLOOKUP(F887,Procedimentos!A:C,2,),"")</f>
        <v>POLÍTICA MEIO AMBIENTE EMSERH</v>
      </c>
      <c r="H887" s="42"/>
      <c r="I887" s="44">
        <v>45692</v>
      </c>
      <c r="J887" s="22">
        <v>12</v>
      </c>
      <c r="K887" s="25">
        <f t="shared" si="45"/>
        <v>46057</v>
      </c>
      <c r="L887" s="28" t="str">
        <f t="shared" ca="1" si="44"/>
        <v>Vencido</v>
      </c>
      <c r="M887" s="33" t="s">
        <v>70</v>
      </c>
      <c r="N887" s="28" t="s">
        <v>21</v>
      </c>
      <c r="O887" s="22" t="s">
        <v>28</v>
      </c>
      <c r="P887" s="25">
        <f t="shared" ref="P887:P985" si="47">EDATE(I887,3)</f>
        <v>45781</v>
      </c>
      <c r="Q887" s="25"/>
      <c r="R887" s="25"/>
      <c r="S887" s="7"/>
      <c r="T887" s="7"/>
    </row>
    <row r="888" spans="1:20" ht="14.25" customHeight="1">
      <c r="A888" s="22">
        <v>995</v>
      </c>
      <c r="B888" s="36">
        <v>14246</v>
      </c>
      <c r="C888" s="22" t="str">
        <f>IFERROR(VLOOKUP(B888,Colaboradores!A:D,2,),"")</f>
        <v>THIALISSON SILVA MORAES</v>
      </c>
      <c r="D888" s="22" t="str">
        <f>IFERROR(VLOOKUP(B888,Colaboradores!A:D,3,),"")</f>
        <v>MEIO AMBIENTE</v>
      </c>
      <c r="E888" s="22" t="str">
        <f>IFERROR(VLOOKUP(B888,Colaboradores!A:D,4,),"")</f>
        <v>ANALISTA DE MEIO AMBIENTE</v>
      </c>
      <c r="F888" s="22" t="s">
        <v>48</v>
      </c>
      <c r="G888" s="24" t="str">
        <f>IFERROR(VLOOKUP(F888,Procedimentos!A:C,2,),"")</f>
        <v>POLÍTICA MEIO AMBIENTE EMSERH</v>
      </c>
      <c r="H888" s="42"/>
      <c r="I888" s="44">
        <v>45692</v>
      </c>
      <c r="J888" s="22">
        <v>12</v>
      </c>
      <c r="K888" s="25">
        <f t="shared" si="45"/>
        <v>46057</v>
      </c>
      <c r="L888" s="28" t="str">
        <f t="shared" ca="1" si="44"/>
        <v>Vencido</v>
      </c>
      <c r="M888" s="33" t="s">
        <v>70</v>
      </c>
      <c r="N888" s="28" t="s">
        <v>21</v>
      </c>
      <c r="O888" s="22" t="s">
        <v>28</v>
      </c>
      <c r="P888" s="25">
        <f t="shared" si="47"/>
        <v>45781</v>
      </c>
      <c r="Q888" s="25"/>
      <c r="R888" s="25"/>
      <c r="S888" s="7"/>
      <c r="T888" s="7"/>
    </row>
    <row r="889" spans="1:20" ht="14.25" customHeight="1">
      <c r="A889" s="22">
        <v>996</v>
      </c>
      <c r="B889" s="36">
        <v>14526</v>
      </c>
      <c r="C889" s="22" t="str">
        <f>IFERROR(VLOOKUP(B889,Colaboradores!A:D,2,),"")</f>
        <v>VINNICYUS ANTONIO DE CARVALHO RIBEIRO</v>
      </c>
      <c r="D889" s="22" t="str">
        <f>IFERROR(VLOOKUP(B889,Colaboradores!A:D,3,),"")</f>
        <v>MEIO AMBIENTE</v>
      </c>
      <c r="E889" s="22" t="str">
        <f>IFERROR(VLOOKUP(B889,Colaboradores!A:D,4,),"")</f>
        <v>ENGENHEIRO DE MEIO AMBIENTE</v>
      </c>
      <c r="F889" s="22" t="s">
        <v>48</v>
      </c>
      <c r="G889" s="24" t="str">
        <f>IFERROR(VLOOKUP(F889,Procedimentos!A:C,2,),"")</f>
        <v>POLÍTICA MEIO AMBIENTE EMSERH</v>
      </c>
      <c r="H889" s="42"/>
      <c r="I889" s="44">
        <v>45692</v>
      </c>
      <c r="J889" s="22">
        <v>12</v>
      </c>
      <c r="K889" s="25">
        <f t="shared" si="45"/>
        <v>46057</v>
      </c>
      <c r="L889" s="28" t="str">
        <f t="shared" ca="1" si="44"/>
        <v>Vencido</v>
      </c>
      <c r="M889" s="33" t="s">
        <v>70</v>
      </c>
      <c r="N889" s="28" t="s">
        <v>21</v>
      </c>
      <c r="O889" s="22" t="s">
        <v>28</v>
      </c>
      <c r="P889" s="25">
        <f t="shared" si="47"/>
        <v>45781</v>
      </c>
      <c r="Q889" s="25"/>
      <c r="R889" s="25"/>
      <c r="S889" s="7"/>
      <c r="T889" s="7"/>
    </row>
    <row r="890" spans="1:20" ht="14.25" customHeight="1">
      <c r="A890" s="22">
        <v>997</v>
      </c>
      <c r="B890" s="36">
        <v>12330</v>
      </c>
      <c r="C890" s="22" t="str">
        <f>IFERROR(VLOOKUP(B890,Colaboradores!A:D,2,),"")</f>
        <v>BIANCA GUEDES SILVA ALMEIDA</v>
      </c>
      <c r="D890" s="22" t="str">
        <f>IFERROR(VLOOKUP(B890,Colaboradores!A:D,3,),"")</f>
        <v>SAÚDE OCUPACIONAL</v>
      </c>
      <c r="E890" s="22" t="str">
        <f>IFERROR(VLOOKUP(B890,Colaboradores!A:D,4,),"")</f>
        <v>NUTRICIONISTA</v>
      </c>
      <c r="F890" s="22" t="s">
        <v>48</v>
      </c>
      <c r="G890" s="24" t="str">
        <f>IFERROR(VLOOKUP(F890,Procedimentos!A:C,2,),"")</f>
        <v>POLÍTICA MEIO AMBIENTE EMSERH</v>
      </c>
      <c r="H890" s="42"/>
      <c r="I890" s="44">
        <v>45728</v>
      </c>
      <c r="J890" s="22">
        <v>12</v>
      </c>
      <c r="K890" s="25">
        <f t="shared" si="45"/>
        <v>46093</v>
      </c>
      <c r="L890" s="28" t="str">
        <f t="shared" ca="1" si="44"/>
        <v>A vencer</v>
      </c>
      <c r="M890" s="33" t="s">
        <v>70</v>
      </c>
      <c r="N890" s="28" t="s">
        <v>21</v>
      </c>
      <c r="O890" s="22" t="s">
        <v>28</v>
      </c>
      <c r="P890" s="25">
        <f t="shared" si="47"/>
        <v>45820</v>
      </c>
      <c r="Q890" s="25"/>
      <c r="R890" s="25"/>
      <c r="S890" s="7"/>
      <c r="T890" s="7"/>
    </row>
    <row r="891" spans="1:20" ht="14.25" customHeight="1">
      <c r="A891" s="22">
        <v>998</v>
      </c>
      <c r="B891" s="36">
        <v>3109</v>
      </c>
      <c r="C891" s="22" t="str">
        <f>IFERROR(VLOOKUP(B891,Colaboradores!A:D,2,),"")</f>
        <v>BRUNO ARRUDA DE AMORIM OLIVEIRA</v>
      </c>
      <c r="D891" s="22" t="str">
        <f>IFERROR(VLOOKUP(B891,Colaboradores!A:D,3,),"")</f>
        <v>SAÚDE OCUPACIONAL</v>
      </c>
      <c r="E891" s="22" t="str">
        <f>IFERROR(VLOOKUP(B891,Colaboradores!A:D,4,),"")</f>
        <v>MÉDICO DO TRABALHO</v>
      </c>
      <c r="F891" s="22" t="s">
        <v>48</v>
      </c>
      <c r="G891" s="24" t="str">
        <f>IFERROR(VLOOKUP(F891,Procedimentos!A:C,2,),"")</f>
        <v>POLÍTICA MEIO AMBIENTE EMSERH</v>
      </c>
      <c r="H891" s="42"/>
      <c r="I891" s="44">
        <v>45728</v>
      </c>
      <c r="J891" s="22">
        <v>12</v>
      </c>
      <c r="K891" s="25">
        <f t="shared" si="45"/>
        <v>46093</v>
      </c>
      <c r="L891" s="28" t="str">
        <f t="shared" ca="1" si="44"/>
        <v>A vencer</v>
      </c>
      <c r="M891" s="33" t="s">
        <v>70</v>
      </c>
      <c r="N891" s="28" t="s">
        <v>21</v>
      </c>
      <c r="O891" s="22" t="s">
        <v>28</v>
      </c>
      <c r="P891" s="25">
        <f t="shared" si="47"/>
        <v>45820</v>
      </c>
      <c r="Q891" s="25"/>
      <c r="R891" s="25"/>
      <c r="S891" s="7"/>
      <c r="T891" s="7"/>
    </row>
    <row r="892" spans="1:20" ht="14.25" customHeight="1">
      <c r="A892" s="22">
        <v>999</v>
      </c>
      <c r="B892" s="36">
        <v>7590</v>
      </c>
      <c r="C892" s="22" t="str">
        <f>IFERROR(VLOOKUP(B892,Colaboradores!A:D,2,),"")</f>
        <v>FABIOLA SOUSA MOURA BORGES</v>
      </c>
      <c r="D892" s="22" t="str">
        <f>IFERROR(VLOOKUP(B892,Colaboradores!A:D,3,),"")</f>
        <v>SAÚDE OCUPACIONAL</v>
      </c>
      <c r="E892" s="22" t="str">
        <f>IFERROR(VLOOKUP(B892,Colaboradores!A:D,4,),"")</f>
        <v>GERENTE DE SAÚDE OCUPACIONAL</v>
      </c>
      <c r="F892" s="22" t="s">
        <v>48</v>
      </c>
      <c r="G892" s="24" t="str">
        <f>IFERROR(VLOOKUP(F892,Procedimentos!A:C,2,),"")</f>
        <v>POLÍTICA MEIO AMBIENTE EMSERH</v>
      </c>
      <c r="H892" s="22"/>
      <c r="I892" s="44">
        <v>45728</v>
      </c>
      <c r="J892" s="22">
        <v>12</v>
      </c>
      <c r="K892" s="25">
        <f t="shared" si="45"/>
        <v>46093</v>
      </c>
      <c r="L892" s="28" t="str">
        <f t="shared" ca="1" si="44"/>
        <v>A vencer</v>
      </c>
      <c r="M892" s="33" t="s">
        <v>70</v>
      </c>
      <c r="N892" s="28" t="s">
        <v>21</v>
      </c>
      <c r="O892" s="22" t="s">
        <v>28</v>
      </c>
      <c r="P892" s="25">
        <f t="shared" si="47"/>
        <v>45820</v>
      </c>
      <c r="Q892" s="25"/>
      <c r="R892" s="25"/>
      <c r="S892" s="7"/>
      <c r="T892" s="7"/>
    </row>
    <row r="893" spans="1:20" ht="14.25" customHeight="1">
      <c r="A893" s="22">
        <v>1000</v>
      </c>
      <c r="B893" s="36">
        <v>1866</v>
      </c>
      <c r="C893" s="22" t="str">
        <f>IFERROR(VLOOKUP(B893,Colaboradores!A:D,2,),"")</f>
        <v>FLAVIA AROUCHE GAMA</v>
      </c>
      <c r="D893" s="22" t="str">
        <f>IFERROR(VLOOKUP(B893,Colaboradores!A:D,3,),"")</f>
        <v>SAÚDE OCUPACIONAL</v>
      </c>
      <c r="E893" s="22" t="str">
        <f>IFERROR(VLOOKUP(B893,Colaboradores!A:D,4,),"")</f>
        <v>MÉDICO DO TRABALHO</v>
      </c>
      <c r="F893" s="22" t="s">
        <v>48</v>
      </c>
      <c r="G893" s="24" t="str">
        <f>IFERROR(VLOOKUP(F893,Procedimentos!A:C,2,),"")</f>
        <v>POLÍTICA MEIO AMBIENTE EMSERH</v>
      </c>
      <c r="H893" s="42"/>
      <c r="I893" s="44">
        <v>45728</v>
      </c>
      <c r="J893" s="22">
        <v>12</v>
      </c>
      <c r="K893" s="25">
        <f t="shared" si="45"/>
        <v>46093</v>
      </c>
      <c r="L893" s="28" t="str">
        <f t="shared" ca="1" si="44"/>
        <v>A vencer</v>
      </c>
      <c r="M893" s="33" t="s">
        <v>70</v>
      </c>
      <c r="N893" s="28" t="s">
        <v>21</v>
      </c>
      <c r="O893" s="22" t="s">
        <v>28</v>
      </c>
      <c r="P893" s="25">
        <f t="shared" si="47"/>
        <v>45820</v>
      </c>
      <c r="Q893" s="25"/>
      <c r="R893" s="25"/>
      <c r="S893" s="7"/>
      <c r="T893" s="7"/>
    </row>
    <row r="894" spans="1:20" ht="14.25" customHeight="1">
      <c r="A894" s="22">
        <v>1001</v>
      </c>
      <c r="B894" s="36">
        <v>14508</v>
      </c>
      <c r="C894" s="22" t="str">
        <f>IFERROR(VLOOKUP(B894,Colaboradores!A:D,2,),"")</f>
        <v>FYAMA SANTOS SILVA</v>
      </c>
      <c r="D894" s="22" t="str">
        <f>IFERROR(VLOOKUP(B894,Colaboradores!A:D,3,),"")</f>
        <v>SAÚDE OCUPACIONAL</v>
      </c>
      <c r="E894" s="22" t="str">
        <f>IFERROR(VLOOKUP(B894,Colaboradores!A:D,4,),"")</f>
        <v>ASSISTENTE ADMINISTRATIVO</v>
      </c>
      <c r="F894" s="22" t="s">
        <v>48</v>
      </c>
      <c r="G894" s="24" t="str">
        <f>IFERROR(VLOOKUP(F894,Procedimentos!A:C,2,),"")</f>
        <v>POLÍTICA MEIO AMBIENTE EMSERH</v>
      </c>
      <c r="H894" s="42"/>
      <c r="I894" s="44">
        <v>45728</v>
      </c>
      <c r="J894" s="22">
        <v>12</v>
      </c>
      <c r="K894" s="25">
        <f t="shared" si="45"/>
        <v>46093</v>
      </c>
      <c r="L894" s="28" t="str">
        <f t="shared" ca="1" si="44"/>
        <v>A vencer</v>
      </c>
      <c r="M894" s="33" t="s">
        <v>70</v>
      </c>
      <c r="N894" s="28" t="s">
        <v>21</v>
      </c>
      <c r="O894" s="22" t="s">
        <v>28</v>
      </c>
      <c r="P894" s="25">
        <f t="shared" si="47"/>
        <v>45820</v>
      </c>
      <c r="Q894" s="25"/>
      <c r="R894" s="25"/>
      <c r="S894" s="7"/>
      <c r="T894" s="7"/>
    </row>
    <row r="895" spans="1:20" ht="14.25" customHeight="1">
      <c r="A895" s="22">
        <v>1002</v>
      </c>
      <c r="B895" s="36">
        <v>14866</v>
      </c>
      <c r="C895" s="22" t="str">
        <f>IFERROR(VLOOKUP(B895,Colaboradores!A:D,2,),"")</f>
        <v>GERUSA LOURDES CHAVES ALVES DA SILVA</v>
      </c>
      <c r="D895" s="22" t="str">
        <f>IFERROR(VLOOKUP(B895,Colaboradores!A:D,3,),"")</f>
        <v>SAÚDE OCUPACIONAL</v>
      </c>
      <c r="E895" s="22" t="str">
        <f>IFERROR(VLOOKUP(B895,Colaboradores!A:D,4,),"")</f>
        <v>ASSESSOR CLINICO(A)</v>
      </c>
      <c r="F895" s="22" t="s">
        <v>48</v>
      </c>
      <c r="G895" s="24" t="str">
        <f>IFERROR(VLOOKUP(F895,Procedimentos!A:C,2,),"")</f>
        <v>POLÍTICA MEIO AMBIENTE EMSERH</v>
      </c>
      <c r="H895" s="42"/>
      <c r="I895" s="44">
        <v>45728</v>
      </c>
      <c r="J895" s="22">
        <v>12</v>
      </c>
      <c r="K895" s="25">
        <f t="shared" si="45"/>
        <v>46093</v>
      </c>
      <c r="L895" s="28" t="str">
        <f t="shared" ca="1" si="44"/>
        <v>A vencer</v>
      </c>
      <c r="M895" s="33" t="s">
        <v>70</v>
      </c>
      <c r="N895" s="28" t="s">
        <v>21</v>
      </c>
      <c r="O895" s="22" t="s">
        <v>28</v>
      </c>
      <c r="P895" s="25">
        <f t="shared" si="47"/>
        <v>45820</v>
      </c>
      <c r="Q895" s="25"/>
      <c r="R895" s="25"/>
      <c r="S895" s="7"/>
      <c r="T895" s="7"/>
    </row>
    <row r="896" spans="1:20" ht="14.25" customHeight="1">
      <c r="A896" s="22">
        <v>1003</v>
      </c>
      <c r="B896" s="36">
        <v>15059</v>
      </c>
      <c r="C896" s="22" t="str">
        <f>IFERROR(VLOOKUP(B896,Colaboradores!A:D,2,),"")</f>
        <v>GUILHERME LEÃO DOS SANTOS</v>
      </c>
      <c r="D896" s="22" t="str">
        <f>IFERROR(VLOOKUP(B896,Colaboradores!A:D,3,),"")</f>
        <v>SAÚDE OCUPACIONAL</v>
      </c>
      <c r="E896" s="22" t="str">
        <f>IFERROR(VLOOKUP(B896,Colaboradores!A:D,4,),"")</f>
        <v>ASSISTENTE ADMINISTRATIVO</v>
      </c>
      <c r="F896" s="22" t="s">
        <v>48</v>
      </c>
      <c r="G896" s="24" t="str">
        <f>IFERROR(VLOOKUP(F896,Procedimentos!A:C,2,),"")</f>
        <v>POLÍTICA MEIO AMBIENTE EMSERH</v>
      </c>
      <c r="H896" s="42"/>
      <c r="I896" s="44">
        <v>45728</v>
      </c>
      <c r="J896" s="22">
        <v>12</v>
      </c>
      <c r="K896" s="25">
        <f t="shared" si="45"/>
        <v>46093</v>
      </c>
      <c r="L896" s="28" t="str">
        <f t="shared" ca="1" si="44"/>
        <v>A vencer</v>
      </c>
      <c r="M896" s="33" t="s">
        <v>70</v>
      </c>
      <c r="N896" s="28" t="s">
        <v>21</v>
      </c>
      <c r="O896" s="22" t="s">
        <v>28</v>
      </c>
      <c r="P896" s="25">
        <f t="shared" si="47"/>
        <v>45820</v>
      </c>
      <c r="Q896" s="25"/>
      <c r="R896" s="25"/>
      <c r="S896" s="7"/>
      <c r="T896" s="7"/>
    </row>
    <row r="897" spans="1:20" ht="14.25" customHeight="1">
      <c r="A897" s="22">
        <v>1004</v>
      </c>
      <c r="B897" s="36">
        <v>13778</v>
      </c>
      <c r="C897" s="22" t="str">
        <f>IFERROR(VLOOKUP(B897,Colaboradores!A:D,2,),"")</f>
        <v>LAIS FERREIRA CAMPOS MINEIRO</v>
      </c>
      <c r="D897" s="22" t="str">
        <f>IFERROR(VLOOKUP(B897,Colaboradores!A:D,3,),"")</f>
        <v>SAÚDE OCUPACIONAL</v>
      </c>
      <c r="E897" s="22" t="str">
        <f>IFERROR(VLOOKUP(B897,Colaboradores!A:D,4,),"")</f>
        <v>FISIOTERAPEUTA</v>
      </c>
      <c r="F897" s="22" t="s">
        <v>48</v>
      </c>
      <c r="G897" s="24" t="str">
        <f>IFERROR(VLOOKUP(F897,Procedimentos!A:C,2,),"")</f>
        <v>POLÍTICA MEIO AMBIENTE EMSERH</v>
      </c>
      <c r="H897" s="42"/>
      <c r="I897" s="44">
        <v>45728</v>
      </c>
      <c r="J897" s="22">
        <v>12</v>
      </c>
      <c r="K897" s="25">
        <f t="shared" si="45"/>
        <v>46093</v>
      </c>
      <c r="L897" s="28" t="str">
        <f t="shared" ref="L897:L960" ca="1" si="48">IF(K897="","",IF(K897&lt;TODAY(),"Vencido",IF(K897&lt;=TODAY()+30,"A vencer","Em dia")))</f>
        <v>A vencer</v>
      </c>
      <c r="M897" s="33" t="s">
        <v>70</v>
      </c>
      <c r="N897" s="28" t="s">
        <v>21</v>
      </c>
      <c r="O897" s="22" t="s">
        <v>28</v>
      </c>
      <c r="P897" s="25">
        <f t="shared" si="47"/>
        <v>45820</v>
      </c>
      <c r="Q897" s="25"/>
      <c r="R897" s="25"/>
      <c r="S897" s="7"/>
      <c r="T897" s="7"/>
    </row>
    <row r="898" spans="1:20" ht="14.25" customHeight="1">
      <c r="A898" s="22">
        <v>1005</v>
      </c>
      <c r="B898" s="36">
        <v>7147</v>
      </c>
      <c r="C898" s="22" t="str">
        <f>IFERROR(VLOOKUP(B898,Colaboradores!A:D,2,),"")</f>
        <v>MAIARA MONTEIRO MARQUES CASTELO BRANCO</v>
      </c>
      <c r="D898" s="22" t="str">
        <f>IFERROR(VLOOKUP(B898,Colaboradores!A:D,3,),"")</f>
        <v>SAÚDE OCUPACIONAL</v>
      </c>
      <c r="E898" s="22" t="str">
        <f>IFERROR(VLOOKUP(B898,Colaboradores!A:D,4,),"")</f>
        <v>PSICÓLOGA</v>
      </c>
      <c r="F898" s="22" t="s">
        <v>48</v>
      </c>
      <c r="G898" s="24" t="str">
        <f>IFERROR(VLOOKUP(F898,Procedimentos!A:C,2,),"")</f>
        <v>POLÍTICA MEIO AMBIENTE EMSERH</v>
      </c>
      <c r="H898" s="42"/>
      <c r="I898" s="44">
        <v>45728</v>
      </c>
      <c r="J898" s="22">
        <v>12</v>
      </c>
      <c r="K898" s="25">
        <f t="shared" si="45"/>
        <v>46093</v>
      </c>
      <c r="L898" s="28" t="str">
        <f t="shared" ca="1" si="48"/>
        <v>A vencer</v>
      </c>
      <c r="M898" s="33" t="s">
        <v>70</v>
      </c>
      <c r="N898" s="28" t="s">
        <v>21</v>
      </c>
      <c r="O898" s="22" t="s">
        <v>28</v>
      </c>
      <c r="P898" s="25">
        <f t="shared" si="47"/>
        <v>45820</v>
      </c>
      <c r="Q898" s="25"/>
      <c r="R898" s="25"/>
      <c r="S898" s="7"/>
      <c r="T898" s="7"/>
    </row>
    <row r="899" spans="1:20" ht="14.25" customHeight="1">
      <c r="A899" s="22">
        <v>1006</v>
      </c>
      <c r="B899" s="36">
        <v>7601</v>
      </c>
      <c r="C899" s="22" t="str">
        <f>IFERROR(VLOOKUP(B899,Colaboradores!A:D,2,),"")</f>
        <v>RAYANE BEZERRA DE JESUS</v>
      </c>
      <c r="D899" s="22" t="str">
        <f>IFERROR(VLOOKUP(B899,Colaboradores!A:D,3,),"")</f>
        <v>SAÚDE OCUPACIONAL</v>
      </c>
      <c r="E899" s="22" t="str">
        <f>IFERROR(VLOOKUP(B899,Colaboradores!A:D,4,),"")</f>
        <v>TÉCNICO DE ENFERMAGEM DO TRABALHO</v>
      </c>
      <c r="F899" s="22" t="s">
        <v>48</v>
      </c>
      <c r="G899" s="24" t="str">
        <f>IFERROR(VLOOKUP(F899,Procedimentos!A:C,2,),"")</f>
        <v>POLÍTICA MEIO AMBIENTE EMSERH</v>
      </c>
      <c r="H899" s="42"/>
      <c r="I899" s="44">
        <v>45728</v>
      </c>
      <c r="J899" s="22">
        <v>12</v>
      </c>
      <c r="K899" s="25">
        <f t="shared" ref="K899:K962" si="49">IF(AND(I899&lt;&gt;"",J899&lt;&gt;""),DATE(YEAR(I899),MONTH(I899)+J899,DAY(I899)),"")</f>
        <v>46093</v>
      </c>
      <c r="L899" s="28" t="str">
        <f t="shared" ca="1" si="48"/>
        <v>A vencer</v>
      </c>
      <c r="M899" s="33" t="s">
        <v>70</v>
      </c>
      <c r="N899" s="28" t="s">
        <v>21</v>
      </c>
      <c r="O899" s="22" t="s">
        <v>28</v>
      </c>
      <c r="P899" s="25">
        <f t="shared" si="47"/>
        <v>45820</v>
      </c>
      <c r="Q899" s="25"/>
      <c r="R899" s="25"/>
      <c r="S899" s="7"/>
      <c r="T899" s="7"/>
    </row>
    <row r="900" spans="1:20" ht="14.25" customHeight="1">
      <c r="A900" s="22">
        <v>1007</v>
      </c>
      <c r="B900" s="36">
        <v>14499</v>
      </c>
      <c r="C900" s="22" t="str">
        <f>IFERROR(VLOOKUP(B900,Colaboradores!A:D,2,),"")</f>
        <v>SAMIRIS COSTA DA SILVA</v>
      </c>
      <c r="D900" s="22" t="str">
        <f>IFERROR(VLOOKUP(B900,Colaboradores!A:D,3,),"")</f>
        <v>SAÚDE OCUPACIONAL</v>
      </c>
      <c r="E900" s="22" t="str">
        <f>IFERROR(VLOOKUP(B900,Colaboradores!A:D,4,),"")</f>
        <v>PSICÓLOGA</v>
      </c>
      <c r="F900" s="22" t="s">
        <v>48</v>
      </c>
      <c r="G900" s="24" t="str">
        <f>IFERROR(VLOOKUP(F900,Procedimentos!A:C,2,),"")</f>
        <v>POLÍTICA MEIO AMBIENTE EMSERH</v>
      </c>
      <c r="H900" s="42"/>
      <c r="I900" s="44">
        <v>45728</v>
      </c>
      <c r="J900" s="22">
        <v>12</v>
      </c>
      <c r="K900" s="25">
        <f t="shared" si="49"/>
        <v>46093</v>
      </c>
      <c r="L900" s="28" t="str">
        <f t="shared" ca="1" si="48"/>
        <v>A vencer</v>
      </c>
      <c r="M900" s="33" t="s">
        <v>70</v>
      </c>
      <c r="N900" s="28" t="s">
        <v>21</v>
      </c>
      <c r="O900" s="22" t="s">
        <v>28</v>
      </c>
      <c r="P900" s="25">
        <f t="shared" si="47"/>
        <v>45820</v>
      </c>
      <c r="Q900" s="25"/>
      <c r="R900" s="25"/>
      <c r="S900" s="7"/>
      <c r="T900" s="7"/>
    </row>
    <row r="901" spans="1:20" ht="14.25" customHeight="1">
      <c r="A901" s="22">
        <v>1008</v>
      </c>
      <c r="B901" s="36">
        <v>14083</v>
      </c>
      <c r="C901" s="22" t="str">
        <f>IFERROR(VLOOKUP(B901,Colaboradores!A:D,2,),"")</f>
        <v>TAHYNAN FREITAS SILVA COSTA</v>
      </c>
      <c r="D901" s="22" t="str">
        <f>IFERROR(VLOOKUP(B901,Colaboradores!A:D,3,),"")</f>
        <v>SAÚDE OCUPACIONAL</v>
      </c>
      <c r="E901" s="22" t="str">
        <f>IFERROR(VLOOKUP(B901,Colaboradores!A:D,4,),"")</f>
        <v>TÉCNICO DE ENFERMAGEM DO TRABALHO</v>
      </c>
      <c r="F901" s="22" t="s">
        <v>48</v>
      </c>
      <c r="G901" s="24" t="str">
        <f>IFERROR(VLOOKUP(F901,Procedimentos!A:C,2,),"")</f>
        <v>POLÍTICA MEIO AMBIENTE EMSERH</v>
      </c>
      <c r="H901" s="42"/>
      <c r="I901" s="44">
        <v>45728</v>
      </c>
      <c r="J901" s="22">
        <v>12</v>
      </c>
      <c r="K901" s="25">
        <f t="shared" si="49"/>
        <v>46093</v>
      </c>
      <c r="L901" s="28" t="str">
        <f t="shared" ca="1" si="48"/>
        <v>A vencer</v>
      </c>
      <c r="M901" s="33" t="s">
        <v>70</v>
      </c>
      <c r="N901" s="28" t="s">
        <v>21</v>
      </c>
      <c r="O901" s="22" t="s">
        <v>28</v>
      </c>
      <c r="P901" s="25">
        <f t="shared" si="47"/>
        <v>45820</v>
      </c>
      <c r="Q901" s="25"/>
      <c r="R901" s="25"/>
      <c r="S901" s="7"/>
      <c r="T901" s="7"/>
    </row>
    <row r="902" spans="1:20" ht="14.25" customHeight="1">
      <c r="A902" s="22">
        <v>1010</v>
      </c>
      <c r="B902" s="36">
        <v>14565</v>
      </c>
      <c r="C902" s="22" t="str">
        <f>IFERROR(VLOOKUP(B902,Colaboradores!A:D,2,),"")</f>
        <v>CAMILA RODRIGUES GOMES</v>
      </c>
      <c r="D902" s="22" t="str">
        <f>IFERROR(VLOOKUP(B902,Colaboradores!A:D,3,),"")</f>
        <v>SEGURANÇA DO TRABALHO</v>
      </c>
      <c r="E902" s="22" t="str">
        <f>IFERROR(VLOOKUP(B902,Colaboradores!A:D,4,),"")</f>
        <v>TÉCNICO DE SEGURANÇA DO TRABALHO</v>
      </c>
      <c r="F902" s="22" t="s">
        <v>48</v>
      </c>
      <c r="G902" s="24" t="str">
        <f>IFERROR(VLOOKUP(F902,Procedimentos!A:C,2,),"")</f>
        <v>POLÍTICA MEIO AMBIENTE EMSERH</v>
      </c>
      <c r="H902" s="42"/>
      <c r="I902" s="44">
        <v>45692</v>
      </c>
      <c r="J902" s="22">
        <v>12</v>
      </c>
      <c r="K902" s="25">
        <f t="shared" si="49"/>
        <v>46057</v>
      </c>
      <c r="L902" s="28" t="str">
        <f t="shared" ca="1" si="48"/>
        <v>Vencido</v>
      </c>
      <c r="M902" s="33" t="s">
        <v>70</v>
      </c>
      <c r="N902" s="28" t="s">
        <v>21</v>
      </c>
      <c r="O902" s="22" t="s">
        <v>28</v>
      </c>
      <c r="P902" s="25">
        <f t="shared" si="47"/>
        <v>45781</v>
      </c>
      <c r="Q902" s="25"/>
      <c r="R902" s="25"/>
      <c r="S902" s="7"/>
      <c r="T902" s="7"/>
    </row>
    <row r="903" spans="1:20" ht="14.25" customHeight="1">
      <c r="A903" s="22">
        <v>1013</v>
      </c>
      <c r="B903" s="36">
        <v>13524</v>
      </c>
      <c r="C903" s="22" t="str">
        <f>IFERROR(VLOOKUP(B903,Colaboradores!A:D,2,),"")</f>
        <v>JOAO WILKER RIBEIRO BARROS LIMA</v>
      </c>
      <c r="D903" s="22" t="str">
        <f>IFERROR(VLOOKUP(B903,Colaboradores!A:D,3,),"")</f>
        <v>SEGURANÇA DO TRABALHO</v>
      </c>
      <c r="E903" s="22" t="str">
        <f>IFERROR(VLOOKUP(B903,Colaboradores!A:D,4,),"")</f>
        <v>COORDENADOR DE SEGURANÇA DO TRABALHO</v>
      </c>
      <c r="F903" s="22" t="s">
        <v>48</v>
      </c>
      <c r="G903" s="24" t="str">
        <f>IFERROR(VLOOKUP(F903,Procedimentos!A:C,2,),"")</f>
        <v>POLÍTICA MEIO AMBIENTE EMSERH</v>
      </c>
      <c r="H903" s="42"/>
      <c r="I903" s="44">
        <v>45700</v>
      </c>
      <c r="J903" s="22">
        <v>12</v>
      </c>
      <c r="K903" s="25">
        <f t="shared" si="49"/>
        <v>46065</v>
      </c>
      <c r="L903" s="28" t="str">
        <f t="shared" ca="1" si="48"/>
        <v>Vencido</v>
      </c>
      <c r="M903" s="33" t="s">
        <v>70</v>
      </c>
      <c r="N903" s="28" t="s">
        <v>21</v>
      </c>
      <c r="O903" s="22" t="s">
        <v>28</v>
      </c>
      <c r="P903" s="25">
        <f t="shared" si="47"/>
        <v>45789</v>
      </c>
      <c r="Q903" s="25"/>
      <c r="R903" s="25"/>
      <c r="S903" s="7"/>
      <c r="T903" s="7"/>
    </row>
    <row r="904" spans="1:20" ht="14.25" customHeight="1">
      <c r="A904" s="22">
        <v>1014</v>
      </c>
      <c r="B904" s="36">
        <v>2740</v>
      </c>
      <c r="C904" s="22" t="str">
        <f>IFERROR(VLOOKUP(B904,Colaboradores!A:D,2,),"")</f>
        <v>LUCIANA BARBOSA SODRE</v>
      </c>
      <c r="D904" s="22" t="str">
        <f>IFERROR(VLOOKUP(B904,Colaboradores!A:D,3,),"")</f>
        <v>SEGURANÇA DO TRABALHO</v>
      </c>
      <c r="E904" s="22" t="str">
        <f>IFERROR(VLOOKUP(B904,Colaboradores!A:D,4,),"")</f>
        <v>TÉCNICO DE SEGURANÇA DO TRABALHO</v>
      </c>
      <c r="F904" s="22" t="s">
        <v>48</v>
      </c>
      <c r="G904" s="24" t="str">
        <f>IFERROR(VLOOKUP(F904,Procedimentos!A:C,2,),"")</f>
        <v>POLÍTICA MEIO AMBIENTE EMSERH</v>
      </c>
      <c r="H904" s="42"/>
      <c r="I904" s="44">
        <v>45692</v>
      </c>
      <c r="J904" s="22">
        <v>12</v>
      </c>
      <c r="K904" s="25">
        <f t="shared" si="49"/>
        <v>46057</v>
      </c>
      <c r="L904" s="28" t="str">
        <f t="shared" ca="1" si="48"/>
        <v>Vencido</v>
      </c>
      <c r="M904" s="33" t="s">
        <v>70</v>
      </c>
      <c r="N904" s="28" t="s">
        <v>21</v>
      </c>
      <c r="O904" s="22" t="s">
        <v>28</v>
      </c>
      <c r="P904" s="25">
        <f t="shared" si="47"/>
        <v>45781</v>
      </c>
      <c r="Q904" s="25"/>
      <c r="R904" s="25"/>
      <c r="S904" s="7"/>
      <c r="T904" s="7"/>
    </row>
    <row r="905" spans="1:20" ht="14.25" customHeight="1">
      <c r="A905" s="22">
        <v>1015</v>
      </c>
      <c r="B905" s="36">
        <v>7580</v>
      </c>
      <c r="C905" s="22" t="str">
        <f>IFERROR(VLOOKUP(B905,Colaboradores!A:D,2,),"")</f>
        <v>LUCIO JOSE DA COSTA LOPES</v>
      </c>
      <c r="D905" s="22" t="str">
        <f>IFERROR(VLOOKUP(B905,Colaboradores!A:D,3,),"")</f>
        <v>SEGURANÇA DO TRABALHO</v>
      </c>
      <c r="E905" s="22" t="str">
        <f>IFERROR(VLOOKUP(B905,Colaboradores!A:D,4,),"")</f>
        <v>TÉCNICO DE SEGURANÇA DO TRABALHO</v>
      </c>
      <c r="F905" s="22" t="s">
        <v>48</v>
      </c>
      <c r="G905" s="24" t="str">
        <f>IFERROR(VLOOKUP(F905,Procedimentos!A:C,2,),"")</f>
        <v>POLÍTICA MEIO AMBIENTE EMSERH</v>
      </c>
      <c r="H905" s="42"/>
      <c r="I905" s="44">
        <v>45692</v>
      </c>
      <c r="J905" s="22">
        <v>12</v>
      </c>
      <c r="K905" s="25">
        <f t="shared" si="49"/>
        <v>46057</v>
      </c>
      <c r="L905" s="28" t="str">
        <f t="shared" ca="1" si="48"/>
        <v>Vencido</v>
      </c>
      <c r="M905" s="33" t="s">
        <v>70</v>
      </c>
      <c r="N905" s="28" t="s">
        <v>21</v>
      </c>
      <c r="O905" s="22" t="s">
        <v>28</v>
      </c>
      <c r="P905" s="25">
        <f t="shared" si="47"/>
        <v>45781</v>
      </c>
      <c r="Q905" s="25"/>
      <c r="R905" s="25"/>
      <c r="S905" s="7"/>
      <c r="T905" s="7"/>
    </row>
    <row r="906" spans="1:20" ht="14.25" customHeight="1">
      <c r="A906" s="22">
        <v>1016</v>
      </c>
      <c r="B906" s="36">
        <v>13727</v>
      </c>
      <c r="C906" s="22" t="str">
        <f>IFERROR(VLOOKUP(B906,Colaboradores!A:D,2,),"")</f>
        <v>THIAGO MARIO LIMA GLERIA</v>
      </c>
      <c r="D906" s="22" t="str">
        <f>IFERROR(VLOOKUP(B906,Colaboradores!A:D,3,),"")</f>
        <v>SEGURANÇA DO TRABALHO</v>
      </c>
      <c r="E906" s="22" t="str">
        <f>IFERROR(VLOOKUP(B906,Colaboradores!A:D,4,),"")</f>
        <v>GERENTE DE SEGURANÇA DO TRABALHO</v>
      </c>
      <c r="F906" s="22" t="s">
        <v>48</v>
      </c>
      <c r="G906" s="24" t="str">
        <f>IFERROR(VLOOKUP(F906,Procedimentos!A:C,2,),"")</f>
        <v>POLÍTICA MEIO AMBIENTE EMSERH</v>
      </c>
      <c r="H906" s="42"/>
      <c r="I906" s="44">
        <v>45692</v>
      </c>
      <c r="J906" s="22">
        <v>12</v>
      </c>
      <c r="K906" s="25">
        <f t="shared" si="49"/>
        <v>46057</v>
      </c>
      <c r="L906" s="28" t="str">
        <f t="shared" ca="1" si="48"/>
        <v>Vencido</v>
      </c>
      <c r="M906" s="33" t="s">
        <v>70</v>
      </c>
      <c r="N906" s="28" t="s">
        <v>21</v>
      </c>
      <c r="O906" s="22" t="s">
        <v>28</v>
      </c>
      <c r="P906" s="25">
        <f t="shared" si="47"/>
        <v>45781</v>
      </c>
      <c r="Q906" s="25"/>
      <c r="R906" s="25"/>
      <c r="S906" s="7"/>
      <c r="T906" s="7"/>
    </row>
    <row r="907" spans="1:20" ht="14.25" customHeight="1">
      <c r="A907" s="22">
        <v>1017</v>
      </c>
      <c r="B907" s="36">
        <v>14354</v>
      </c>
      <c r="C907" s="22" t="str">
        <f>IFERROR(VLOOKUP(B907,Colaboradores!A:D,2,),"")</f>
        <v>JOSE CLEITON SILVA DE OLIVEIRA</v>
      </c>
      <c r="D907" s="22" t="str">
        <f>IFERROR(VLOOKUP(B907,Colaboradores!A:D,3,),"")</f>
        <v>REGIONAL CENTRAL</v>
      </c>
      <c r="E907" s="22" t="str">
        <f>IFERROR(VLOOKUP(B907,Colaboradores!A:D,4,),"")</f>
        <v>TÉCNICO DE SEGURANÇA DO TRABALHO</v>
      </c>
      <c r="F907" s="22" t="s">
        <v>48</v>
      </c>
      <c r="G907" s="24" t="str">
        <f>IFERROR(VLOOKUP(F907,Procedimentos!A:C,2,),"")</f>
        <v>POLÍTICA MEIO AMBIENTE EMSERH</v>
      </c>
      <c r="H907" s="42"/>
      <c r="I907" s="44">
        <v>45700</v>
      </c>
      <c r="J907" s="22">
        <v>12</v>
      </c>
      <c r="K907" s="25">
        <f t="shared" si="49"/>
        <v>46065</v>
      </c>
      <c r="L907" s="28" t="str">
        <f t="shared" ca="1" si="48"/>
        <v>Vencido</v>
      </c>
      <c r="M907" s="33" t="s">
        <v>70</v>
      </c>
      <c r="N907" s="28" t="s">
        <v>21</v>
      </c>
      <c r="O907" s="22" t="s">
        <v>28</v>
      </c>
      <c r="P907" s="25">
        <f t="shared" si="47"/>
        <v>45789</v>
      </c>
      <c r="Q907" s="25"/>
      <c r="R907" s="25"/>
      <c r="S907" s="7"/>
      <c r="T907" s="7"/>
    </row>
    <row r="908" spans="1:20" ht="14.25" customHeight="1">
      <c r="A908" s="22">
        <v>1018</v>
      </c>
      <c r="B908" s="36">
        <v>13822</v>
      </c>
      <c r="C908" s="22" t="str">
        <f>IFERROR(VLOOKUP(B908,Colaboradores!A:D,2,),"")</f>
        <v>JULIANA DE CASTRO ALMEIDA</v>
      </c>
      <c r="D908" s="22" t="str">
        <f>IFERROR(VLOOKUP(B908,Colaboradores!A:D,3,),"")</f>
        <v>REGIONAL CENTRAL</v>
      </c>
      <c r="E908" s="22" t="str">
        <f>IFERROR(VLOOKUP(B908,Colaboradores!A:D,4,),"")</f>
        <v>COORDENADOR DE SSMA</v>
      </c>
      <c r="F908" s="22" t="s">
        <v>48</v>
      </c>
      <c r="G908" s="24" t="str">
        <f>IFERROR(VLOOKUP(F908,Procedimentos!A:C,2,),"")</f>
        <v>POLÍTICA MEIO AMBIENTE EMSERH</v>
      </c>
      <c r="H908" s="42"/>
      <c r="I908" s="44">
        <v>45700</v>
      </c>
      <c r="J908" s="22">
        <v>12</v>
      </c>
      <c r="K908" s="25">
        <f t="shared" si="49"/>
        <v>46065</v>
      </c>
      <c r="L908" s="28" t="str">
        <f t="shared" ca="1" si="48"/>
        <v>Vencido</v>
      </c>
      <c r="M908" s="33" t="s">
        <v>70</v>
      </c>
      <c r="N908" s="28" t="s">
        <v>21</v>
      </c>
      <c r="O908" s="22" t="s">
        <v>28</v>
      </c>
      <c r="P908" s="25">
        <f t="shared" si="47"/>
        <v>45789</v>
      </c>
      <c r="Q908" s="25"/>
      <c r="R908" s="25"/>
      <c r="S908" s="7"/>
      <c r="T908" s="7"/>
    </row>
    <row r="909" spans="1:20" ht="14.25" customHeight="1">
      <c r="A909" s="22">
        <v>1019</v>
      </c>
      <c r="B909" s="36">
        <v>14700</v>
      </c>
      <c r="C909" s="22" t="str">
        <f>IFERROR(VLOOKUP(B909,Colaboradores!A:D,2,),"")</f>
        <v>LEANNDRO JOSE SOUSA DA SILVA</v>
      </c>
      <c r="D909" s="22" t="str">
        <f>IFERROR(VLOOKUP(B909,Colaboradores!A:D,3,),"")</f>
        <v>REGIONAL CENTRAL</v>
      </c>
      <c r="E909" s="22" t="str">
        <f>IFERROR(VLOOKUP(B909,Colaboradores!A:D,4,),"")</f>
        <v>MÉDICO DO TRABALHO</v>
      </c>
      <c r="F909" s="22" t="s">
        <v>48</v>
      </c>
      <c r="G909" s="24" t="str">
        <f>IFERROR(VLOOKUP(F909,Procedimentos!A:C,2,),"")</f>
        <v>POLÍTICA MEIO AMBIENTE EMSERH</v>
      </c>
      <c r="H909" s="42"/>
      <c r="I909" s="45">
        <v>45700</v>
      </c>
      <c r="J909" s="22">
        <v>12</v>
      </c>
      <c r="K909" s="25">
        <f t="shared" si="49"/>
        <v>46065</v>
      </c>
      <c r="L909" s="28" t="str">
        <f t="shared" ca="1" si="48"/>
        <v>Vencido</v>
      </c>
      <c r="M909" s="33" t="s">
        <v>70</v>
      </c>
      <c r="N909" s="28" t="s">
        <v>21</v>
      </c>
      <c r="O909" s="22" t="s">
        <v>28</v>
      </c>
      <c r="P909" s="25">
        <f t="shared" si="47"/>
        <v>45789</v>
      </c>
      <c r="Q909" s="25"/>
      <c r="R909" s="25"/>
      <c r="S909" s="7"/>
      <c r="T909" s="7"/>
    </row>
    <row r="910" spans="1:20" ht="14.25" customHeight="1">
      <c r="A910" s="22">
        <v>1021</v>
      </c>
      <c r="B910" s="36">
        <v>14785</v>
      </c>
      <c r="C910" s="22" t="str">
        <f>IFERROR(VLOOKUP(B910,Colaboradores!A:D,2,),"")</f>
        <v>ROSEANE CUSTODIO LIMA</v>
      </c>
      <c r="D910" s="22" t="str">
        <f>IFERROR(VLOOKUP(B910,Colaboradores!A:D,3,),"")</f>
        <v>REGIONAL CENTRAL</v>
      </c>
      <c r="E910" s="22" t="str">
        <f>IFERROR(VLOOKUP(B910,Colaboradores!A:D,4,),"")</f>
        <v>ASSISTENTE DE MEIO AMBIENTE</v>
      </c>
      <c r="F910" s="22" t="s">
        <v>48</v>
      </c>
      <c r="G910" s="24" t="str">
        <f>IFERROR(VLOOKUP(F910,Procedimentos!A:C,2,),"")</f>
        <v>POLÍTICA MEIO AMBIENTE EMSERH</v>
      </c>
      <c r="H910" s="42"/>
      <c r="I910" s="44">
        <v>45700</v>
      </c>
      <c r="J910" s="22">
        <v>12</v>
      </c>
      <c r="K910" s="25">
        <f t="shared" si="49"/>
        <v>46065</v>
      </c>
      <c r="L910" s="28" t="str">
        <f t="shared" ca="1" si="48"/>
        <v>Vencido</v>
      </c>
      <c r="M910" s="33" t="s">
        <v>70</v>
      </c>
      <c r="N910" s="28" t="s">
        <v>21</v>
      </c>
      <c r="O910" s="22" t="s">
        <v>28</v>
      </c>
      <c r="P910" s="25">
        <f t="shared" si="47"/>
        <v>45789</v>
      </c>
      <c r="Q910" s="25"/>
      <c r="R910" s="25"/>
      <c r="S910" s="7"/>
      <c r="T910" s="7"/>
    </row>
    <row r="911" spans="1:20" ht="14.25" customHeight="1">
      <c r="A911" s="22">
        <v>1022</v>
      </c>
      <c r="B911" s="36">
        <v>13584</v>
      </c>
      <c r="C911" s="22" t="str">
        <f>IFERROR(VLOOKUP(B911,Colaboradores!A:D,2,),"")</f>
        <v>ALANA RODRIGUES FERREIRA</v>
      </c>
      <c r="D911" s="22" t="str">
        <f>IFERROR(VLOOKUP(B911,Colaboradores!A:D,3,),"")</f>
        <v>REGIONAL LESTE</v>
      </c>
      <c r="E911" s="22" t="str">
        <f>IFERROR(VLOOKUP(B911,Colaboradores!A:D,4,),"")</f>
        <v>COORDENADOR DE SSMA</v>
      </c>
      <c r="F911" s="22" t="s">
        <v>48</v>
      </c>
      <c r="G911" s="24" t="str">
        <f>IFERROR(VLOOKUP(F911,Procedimentos!A:C,2,),"")</f>
        <v>POLÍTICA MEIO AMBIENTE EMSERH</v>
      </c>
      <c r="H911" s="42"/>
      <c r="I911" s="44">
        <v>45700</v>
      </c>
      <c r="J911" s="22">
        <v>12</v>
      </c>
      <c r="K911" s="25">
        <f t="shared" si="49"/>
        <v>46065</v>
      </c>
      <c r="L911" s="28" t="str">
        <f t="shared" ca="1" si="48"/>
        <v>Vencido</v>
      </c>
      <c r="M911" s="33" t="s">
        <v>70</v>
      </c>
      <c r="N911" s="28" t="s">
        <v>21</v>
      </c>
      <c r="O911" s="22" t="s">
        <v>28</v>
      </c>
      <c r="P911" s="25">
        <f t="shared" si="47"/>
        <v>45789</v>
      </c>
      <c r="Q911" s="25"/>
      <c r="R911" s="25"/>
      <c r="S911" s="7"/>
      <c r="T911" s="7"/>
    </row>
    <row r="912" spans="1:20" ht="14.25" customHeight="1">
      <c r="A912" s="22">
        <v>1023</v>
      </c>
      <c r="B912" s="36">
        <v>13794</v>
      </c>
      <c r="C912" s="22" t="str">
        <f>IFERROR(VLOOKUP(B912,Colaboradores!A:D,2,),"")</f>
        <v>ERMANDO VIEIRA DE MOURA NETO</v>
      </c>
      <c r="D912" s="22" t="str">
        <f>IFERROR(VLOOKUP(B912,Colaboradores!A:D,3,),"")</f>
        <v>REGIONAL LESTE</v>
      </c>
      <c r="E912" s="22" t="str">
        <f>IFERROR(VLOOKUP(B912,Colaboradores!A:D,4,),"")</f>
        <v>MÉDICO DO TRABALHO</v>
      </c>
      <c r="F912" s="22" t="s">
        <v>48</v>
      </c>
      <c r="G912" s="24" t="str">
        <f>IFERROR(VLOOKUP(F912,Procedimentos!A:C,2,),"")</f>
        <v>POLÍTICA MEIO AMBIENTE EMSERH</v>
      </c>
      <c r="H912" s="42"/>
      <c r="I912" s="44">
        <v>45743</v>
      </c>
      <c r="J912" s="22">
        <v>12</v>
      </c>
      <c r="K912" s="25">
        <f t="shared" si="49"/>
        <v>46108</v>
      </c>
      <c r="L912" s="28" t="str">
        <f t="shared" ca="1" si="48"/>
        <v>A vencer</v>
      </c>
      <c r="M912" s="33" t="s">
        <v>70</v>
      </c>
      <c r="N912" s="28" t="s">
        <v>21</v>
      </c>
      <c r="O912" s="22" t="s">
        <v>28</v>
      </c>
      <c r="P912" s="25">
        <f t="shared" si="47"/>
        <v>45835</v>
      </c>
      <c r="Q912" s="25"/>
      <c r="R912" s="25"/>
      <c r="S912" s="7"/>
      <c r="T912" s="7"/>
    </row>
    <row r="913" spans="1:20" ht="14.25" customHeight="1">
      <c r="A913" s="22">
        <v>1024</v>
      </c>
      <c r="B913" s="36">
        <v>14356</v>
      </c>
      <c r="C913" s="22" t="str">
        <f>IFERROR(VLOOKUP(B913,Colaboradores!A:D,2,),"")</f>
        <v>JACILENE BELO LIMA</v>
      </c>
      <c r="D913" s="22" t="str">
        <f>IFERROR(VLOOKUP(B913,Colaboradores!A:D,3,),"")</f>
        <v>REGIONAL LESTE</v>
      </c>
      <c r="E913" s="22" t="str">
        <f>IFERROR(VLOOKUP(B913,Colaboradores!A:D,4,),"")</f>
        <v>ASSISTENTE ADMINISTRATIVO</v>
      </c>
      <c r="F913" s="22" t="s">
        <v>48</v>
      </c>
      <c r="G913" s="24" t="str">
        <f>IFERROR(VLOOKUP(F913,Procedimentos!A:C,2,),"")</f>
        <v>POLÍTICA MEIO AMBIENTE EMSERH</v>
      </c>
      <c r="H913" s="42"/>
      <c r="I913" s="44">
        <v>45889</v>
      </c>
      <c r="J913" s="22">
        <v>12</v>
      </c>
      <c r="K913" s="25">
        <f t="shared" si="49"/>
        <v>46254</v>
      </c>
      <c r="L913" s="28" t="str">
        <f t="shared" ca="1" si="48"/>
        <v>Em dia</v>
      </c>
      <c r="M913" s="33" t="s">
        <v>70</v>
      </c>
      <c r="N913" s="28" t="s">
        <v>21</v>
      </c>
      <c r="O913" s="22" t="s">
        <v>28</v>
      </c>
      <c r="P913" s="25">
        <f t="shared" si="47"/>
        <v>45981</v>
      </c>
      <c r="Q913" s="25"/>
      <c r="R913" s="25"/>
      <c r="S913" s="7"/>
      <c r="T913" s="7"/>
    </row>
    <row r="914" spans="1:20" ht="14.25" customHeight="1">
      <c r="A914" s="22">
        <v>1025</v>
      </c>
      <c r="B914" s="36">
        <v>14356</v>
      </c>
      <c r="C914" s="22" t="str">
        <f>IFERROR(VLOOKUP(B914,Colaboradores!A:D,2,),"")</f>
        <v>JACILENE BELO LIMA</v>
      </c>
      <c r="D914" s="22" t="str">
        <f>IFERROR(VLOOKUP(B914,Colaboradores!A:D,3,),"")</f>
        <v>REGIONAL LESTE</v>
      </c>
      <c r="E914" s="22" t="str">
        <f>IFERROR(VLOOKUP(B914,Colaboradores!A:D,4,),"")</f>
        <v>ASSISTENTE ADMINISTRATIVO</v>
      </c>
      <c r="F914" s="22" t="s">
        <v>48</v>
      </c>
      <c r="G914" s="24" t="str">
        <f>IFERROR(VLOOKUP(F914,Procedimentos!A:C,2,),"")</f>
        <v>POLÍTICA MEIO AMBIENTE EMSERH</v>
      </c>
      <c r="H914" s="42"/>
      <c r="I914" s="44">
        <v>45700</v>
      </c>
      <c r="J914" s="22">
        <v>12</v>
      </c>
      <c r="K914" s="25">
        <f t="shared" si="49"/>
        <v>46065</v>
      </c>
      <c r="L914" s="28" t="str">
        <f t="shared" ca="1" si="48"/>
        <v>Vencido</v>
      </c>
      <c r="M914" s="33" t="s">
        <v>70</v>
      </c>
      <c r="N914" s="28" t="s">
        <v>21</v>
      </c>
      <c r="O914" s="22" t="s">
        <v>28</v>
      </c>
      <c r="P914" s="25">
        <f t="shared" si="47"/>
        <v>45789</v>
      </c>
      <c r="Q914" s="25"/>
      <c r="R914" s="25"/>
      <c r="S914" s="7"/>
      <c r="T914" s="7"/>
    </row>
    <row r="915" spans="1:20" ht="14.25" customHeight="1">
      <c r="A915" s="22">
        <v>1026</v>
      </c>
      <c r="B915" s="36">
        <v>14420</v>
      </c>
      <c r="C915" s="22" t="str">
        <f>IFERROR(VLOOKUP(B915,Colaboradores!A:D,2,),"")</f>
        <v>LAYLLA EMANUELLY DA SILVA ARAUJO</v>
      </c>
      <c r="D915" s="22" t="str">
        <f>IFERROR(VLOOKUP(B915,Colaboradores!A:D,3,),"")</f>
        <v>REGIONAL LESTE</v>
      </c>
      <c r="E915" s="22" t="str">
        <f>IFERROR(VLOOKUP(B915,Colaboradores!A:D,4,),"")</f>
        <v>ASSISTENTE ADMINISTRATIVO</v>
      </c>
      <c r="F915" s="22" t="s">
        <v>48</v>
      </c>
      <c r="G915" s="24" t="str">
        <f>IFERROR(VLOOKUP(F915,Procedimentos!A:C,2,),"")</f>
        <v>POLÍTICA MEIO AMBIENTE EMSERH</v>
      </c>
      <c r="H915" s="42"/>
      <c r="I915" s="44">
        <v>45700</v>
      </c>
      <c r="J915" s="22">
        <v>12</v>
      </c>
      <c r="K915" s="25">
        <f t="shared" si="49"/>
        <v>46065</v>
      </c>
      <c r="L915" s="28" t="str">
        <f t="shared" ca="1" si="48"/>
        <v>Vencido</v>
      </c>
      <c r="M915" s="33" t="s">
        <v>70</v>
      </c>
      <c r="N915" s="28" t="s">
        <v>21</v>
      </c>
      <c r="O915" s="22" t="s">
        <v>28</v>
      </c>
      <c r="P915" s="25">
        <f t="shared" si="47"/>
        <v>45789</v>
      </c>
      <c r="Q915" s="25"/>
      <c r="R915" s="25"/>
      <c r="S915" s="7"/>
      <c r="T915" s="7"/>
    </row>
    <row r="916" spans="1:20" ht="14.25" customHeight="1">
      <c r="A916" s="22">
        <v>1027</v>
      </c>
      <c r="B916" s="36">
        <v>14815</v>
      </c>
      <c r="C916" s="22" t="str">
        <f>IFERROR(VLOOKUP(B916,Colaboradores!A:D,2,),"")</f>
        <v>NATHALIA CRISTINA DOS SANTOS RODRIGUES</v>
      </c>
      <c r="D916" s="22" t="str">
        <f>IFERROR(VLOOKUP(B916,Colaboradores!A:D,3,),"")</f>
        <v>REGIONAL LESTE</v>
      </c>
      <c r="E916" s="22" t="str">
        <f>IFERROR(VLOOKUP(B916,Colaboradores!A:D,4,),"")</f>
        <v>ASSISTENTE DE MEIO AMBIENTE</v>
      </c>
      <c r="F916" s="22" t="s">
        <v>48</v>
      </c>
      <c r="G916" s="24" t="str">
        <f>IFERROR(VLOOKUP(F916,Procedimentos!A:C,2,),"")</f>
        <v>POLÍTICA MEIO AMBIENTE EMSERH</v>
      </c>
      <c r="H916" s="42"/>
      <c r="I916" s="44">
        <v>45700</v>
      </c>
      <c r="J916" s="22">
        <v>12</v>
      </c>
      <c r="K916" s="25">
        <f t="shared" si="49"/>
        <v>46065</v>
      </c>
      <c r="L916" s="28" t="str">
        <f t="shared" ca="1" si="48"/>
        <v>Vencido</v>
      </c>
      <c r="M916" s="33" t="s">
        <v>70</v>
      </c>
      <c r="N916" s="28" t="s">
        <v>21</v>
      </c>
      <c r="O916" s="22" t="s">
        <v>28</v>
      </c>
      <c r="P916" s="25">
        <f t="shared" si="47"/>
        <v>45789</v>
      </c>
      <c r="Q916" s="25"/>
      <c r="R916" s="25"/>
      <c r="S916" s="7"/>
      <c r="T916" s="7"/>
    </row>
    <row r="917" spans="1:20" ht="14.25" customHeight="1">
      <c r="A917" s="22">
        <v>1028</v>
      </c>
      <c r="B917" s="36">
        <v>14721</v>
      </c>
      <c r="C917" s="22" t="str">
        <f>IFERROR(VLOOKUP(B917,Colaboradores!A:D,2,),"")</f>
        <v>RONILSON FERREIRA OLIVEIRA</v>
      </c>
      <c r="D917" s="22" t="str">
        <f>IFERROR(VLOOKUP(B917,Colaboradores!A:D,3,),"")</f>
        <v>REGIONAL LESTE</v>
      </c>
      <c r="E917" s="22" t="str">
        <f>IFERROR(VLOOKUP(B917,Colaboradores!A:D,4,),"")</f>
        <v>TÉCNICO DE SEGURANÇA DO TRABALHO</v>
      </c>
      <c r="F917" s="22" t="s">
        <v>48</v>
      </c>
      <c r="G917" s="24" t="str">
        <f>IFERROR(VLOOKUP(F917,Procedimentos!A:C,2,),"")</f>
        <v>POLÍTICA MEIO AMBIENTE EMSERH</v>
      </c>
      <c r="H917" s="42"/>
      <c r="I917" s="44">
        <v>45700</v>
      </c>
      <c r="J917" s="22">
        <v>12</v>
      </c>
      <c r="K917" s="25">
        <f t="shared" si="49"/>
        <v>46065</v>
      </c>
      <c r="L917" s="28" t="str">
        <f t="shared" ca="1" si="48"/>
        <v>Vencido</v>
      </c>
      <c r="M917" s="33" t="s">
        <v>70</v>
      </c>
      <c r="N917" s="28" t="s">
        <v>21</v>
      </c>
      <c r="O917" s="22" t="s">
        <v>28</v>
      </c>
      <c r="P917" s="25">
        <f t="shared" si="47"/>
        <v>45789</v>
      </c>
      <c r="Q917" s="25"/>
      <c r="R917" s="25"/>
      <c r="S917" s="7"/>
      <c r="T917" s="7"/>
    </row>
    <row r="918" spans="1:20" ht="14.25" customHeight="1">
      <c r="A918" s="22">
        <v>1029</v>
      </c>
      <c r="B918" s="36">
        <v>14767</v>
      </c>
      <c r="C918" s="22" t="str">
        <f>IFERROR(VLOOKUP(B918,Colaboradores!A:D,2,),"")</f>
        <v>CAIO VINICIUS PEREIRA DO NASCIMENTO</v>
      </c>
      <c r="D918" s="22" t="str">
        <f>IFERROR(VLOOKUP(B918,Colaboradores!A:D,3,),"")</f>
        <v>REGIONAL SUL</v>
      </c>
      <c r="E918" s="22" t="str">
        <f>IFERROR(VLOOKUP(B918,Colaboradores!A:D,4,),"")</f>
        <v>TÉCNICO DE MEIO AMBIENTE</v>
      </c>
      <c r="F918" s="22" t="s">
        <v>48</v>
      </c>
      <c r="G918" s="24" t="str">
        <f>IFERROR(VLOOKUP(F918,Procedimentos!A:C,2,),"")</f>
        <v>POLÍTICA MEIO AMBIENTE EMSERH</v>
      </c>
      <c r="H918" s="42"/>
      <c r="I918" s="44">
        <v>45700</v>
      </c>
      <c r="J918" s="22">
        <v>12</v>
      </c>
      <c r="K918" s="25">
        <f t="shared" si="49"/>
        <v>46065</v>
      </c>
      <c r="L918" s="28" t="str">
        <f t="shared" ca="1" si="48"/>
        <v>Vencido</v>
      </c>
      <c r="M918" s="33" t="s">
        <v>70</v>
      </c>
      <c r="N918" s="28" t="s">
        <v>21</v>
      </c>
      <c r="O918" s="22" t="s">
        <v>28</v>
      </c>
      <c r="P918" s="25">
        <f t="shared" si="47"/>
        <v>45789</v>
      </c>
      <c r="Q918" s="25"/>
      <c r="R918" s="25"/>
      <c r="S918" s="7"/>
      <c r="T918" s="7"/>
    </row>
    <row r="919" spans="1:20" ht="14.25" customHeight="1">
      <c r="A919" s="22">
        <v>1030</v>
      </c>
      <c r="B919" s="36">
        <v>13964</v>
      </c>
      <c r="C919" s="22" t="str">
        <f>IFERROR(VLOOKUP(B919,Colaboradores!A:D,2,),"")</f>
        <v>ESTER MOREIRA AMBROSIO DE CARVALHO</v>
      </c>
      <c r="D919" s="22" t="str">
        <f>IFERROR(VLOOKUP(B919,Colaboradores!A:D,3,),"")</f>
        <v>REGIONAL SUL</v>
      </c>
      <c r="E919" s="22" t="str">
        <f>IFERROR(VLOOKUP(B919,Colaboradores!A:D,4,),"")</f>
        <v>ENFERMEIRO DO TRABALHO</v>
      </c>
      <c r="F919" s="22" t="s">
        <v>48</v>
      </c>
      <c r="G919" s="24" t="str">
        <f>IFERROR(VLOOKUP(F919,Procedimentos!A:C,2,),"")</f>
        <v>POLÍTICA MEIO AMBIENTE EMSERH</v>
      </c>
      <c r="H919" s="42"/>
      <c r="I919" s="44">
        <v>45700</v>
      </c>
      <c r="J919" s="22">
        <v>12</v>
      </c>
      <c r="K919" s="25">
        <f t="shared" si="49"/>
        <v>46065</v>
      </c>
      <c r="L919" s="28" t="str">
        <f t="shared" ca="1" si="48"/>
        <v>Vencido</v>
      </c>
      <c r="M919" s="33" t="s">
        <v>70</v>
      </c>
      <c r="N919" s="28" t="s">
        <v>21</v>
      </c>
      <c r="O919" s="22" t="s">
        <v>28</v>
      </c>
      <c r="P919" s="25">
        <f t="shared" si="47"/>
        <v>45789</v>
      </c>
      <c r="Q919" s="25"/>
      <c r="R919" s="25"/>
      <c r="S919" s="7"/>
      <c r="T919" s="7"/>
    </row>
    <row r="920" spans="1:20" ht="14.25" customHeight="1">
      <c r="A920" s="22">
        <v>1031</v>
      </c>
      <c r="B920" s="36">
        <v>14321</v>
      </c>
      <c r="C920" s="22" t="str">
        <f>IFERROR(VLOOKUP(B920,Colaboradores!A:D,2,),"")</f>
        <v>LAYANA KARINE SILVA BARBOSA</v>
      </c>
      <c r="D920" s="22" t="str">
        <f>IFERROR(VLOOKUP(B920,Colaboradores!A:D,3,),"")</f>
        <v>REGIONAL SUL</v>
      </c>
      <c r="E920" s="22" t="str">
        <f>IFERROR(VLOOKUP(B920,Colaboradores!A:D,4,),"")</f>
        <v>ASSISTENTE ADMINISTRATIVO</v>
      </c>
      <c r="F920" s="22" t="s">
        <v>48</v>
      </c>
      <c r="G920" s="24" t="str">
        <f>IFERROR(VLOOKUP(F920,Procedimentos!A:C,2,),"")</f>
        <v>POLÍTICA MEIO AMBIENTE EMSERH</v>
      </c>
      <c r="H920" s="42"/>
      <c r="I920" s="44">
        <v>45700</v>
      </c>
      <c r="J920" s="22">
        <v>12</v>
      </c>
      <c r="K920" s="25">
        <f t="shared" si="49"/>
        <v>46065</v>
      </c>
      <c r="L920" s="28" t="str">
        <f t="shared" ca="1" si="48"/>
        <v>Vencido</v>
      </c>
      <c r="M920" s="33" t="s">
        <v>70</v>
      </c>
      <c r="N920" s="28" t="s">
        <v>21</v>
      </c>
      <c r="O920" s="22" t="s">
        <v>28</v>
      </c>
      <c r="P920" s="25">
        <f t="shared" si="47"/>
        <v>45789</v>
      </c>
      <c r="Q920" s="25"/>
      <c r="R920" s="25"/>
      <c r="S920" s="7"/>
      <c r="T920" s="7"/>
    </row>
    <row r="921" spans="1:20" ht="14.25" customHeight="1">
      <c r="A921" s="22">
        <v>1032</v>
      </c>
      <c r="B921" s="36">
        <v>11149</v>
      </c>
      <c r="C921" s="22" t="str">
        <f>IFERROR(VLOOKUP(B921,Colaboradores!A:D,2,),"")</f>
        <v>CAMYLA CRYSTYNE RABELO LIMA</v>
      </c>
      <c r="D921" s="22" t="str">
        <f>IFERROR(VLOOKUP(B921,Colaboradores!A:D,3,),"")</f>
        <v>COORDENAÇÃO ADMINISTRATIVA</v>
      </c>
      <c r="E921" s="22" t="str">
        <f>IFERROR(VLOOKUP(B921,Colaboradores!A:D,4,),"")</f>
        <v>ANALISTA ADMINISTRATIVO</v>
      </c>
      <c r="F921" s="22" t="s">
        <v>46</v>
      </c>
      <c r="G921" s="24" t="str">
        <f>IFERROR(VLOOKUP(F921,Procedimentos!A:C,2,),"")</f>
        <v>POLÍTICA DE SAÚDE E SEGURANÇA DO TRABALHO EMSERH</v>
      </c>
      <c r="H921" s="42"/>
      <c r="I921" s="44">
        <v>45666</v>
      </c>
      <c r="J921" s="22">
        <v>12</v>
      </c>
      <c r="K921" s="25">
        <f t="shared" si="49"/>
        <v>46031</v>
      </c>
      <c r="L921" s="28" t="str">
        <f t="shared" ca="1" si="48"/>
        <v>Vencido</v>
      </c>
      <c r="M921" s="33" t="s">
        <v>71</v>
      </c>
      <c r="N921" s="28" t="s">
        <v>21</v>
      </c>
      <c r="O921" s="22" t="s">
        <v>28</v>
      </c>
      <c r="P921" s="25">
        <f t="shared" si="47"/>
        <v>45756</v>
      </c>
      <c r="Q921" s="25"/>
      <c r="R921" s="25"/>
      <c r="S921" s="7"/>
      <c r="T921" s="7"/>
    </row>
    <row r="922" spans="1:20" ht="14.25" customHeight="1">
      <c r="A922" s="22">
        <v>1033</v>
      </c>
      <c r="B922" s="36">
        <v>14824</v>
      </c>
      <c r="C922" s="22" t="str">
        <f>IFERROR(VLOOKUP(B922,Colaboradores!A:D,2,),"")</f>
        <v>DENISE DE SOUSA RIBEIRO SANTOS</v>
      </c>
      <c r="D922" s="22" t="str">
        <f>IFERROR(VLOOKUP(B922,Colaboradores!A:D,3,),"")</f>
        <v>COORDENAÇÃO ADMINISTRATIVA</v>
      </c>
      <c r="E922" s="22" t="str">
        <f>IFERROR(VLOOKUP(B922,Colaboradores!A:D,4,),"")</f>
        <v>ASSISTENTE ADMINISTRATIVO</v>
      </c>
      <c r="F922" s="22" t="s">
        <v>46</v>
      </c>
      <c r="G922" s="24" t="str">
        <f>IFERROR(VLOOKUP(F922,Procedimentos!A:C,2,),"")</f>
        <v>POLÍTICA DE SAÚDE E SEGURANÇA DO TRABALHO EMSERH</v>
      </c>
      <c r="H922" s="42"/>
      <c r="I922" s="44">
        <v>45632</v>
      </c>
      <c r="J922" s="22">
        <v>12</v>
      </c>
      <c r="K922" s="25">
        <f t="shared" si="49"/>
        <v>45997</v>
      </c>
      <c r="L922" s="28" t="str">
        <f t="shared" ca="1" si="48"/>
        <v>Vencido</v>
      </c>
      <c r="M922" s="33" t="s">
        <v>71</v>
      </c>
      <c r="N922" s="28" t="s">
        <v>21</v>
      </c>
      <c r="O922" s="22" t="s">
        <v>28</v>
      </c>
      <c r="P922" s="25">
        <f t="shared" si="47"/>
        <v>45722</v>
      </c>
      <c r="Q922" s="25"/>
      <c r="R922" s="25"/>
      <c r="S922" s="7"/>
      <c r="T922" s="7"/>
    </row>
    <row r="923" spans="1:20" ht="14.25" customHeight="1">
      <c r="A923" s="22">
        <v>1034</v>
      </c>
      <c r="B923" s="36">
        <v>12748</v>
      </c>
      <c r="C923" s="22" t="str">
        <f>IFERROR(VLOOKUP(B923,Colaboradores!A:D,2,),"")</f>
        <v>KARINY DE SOUZA COSTA</v>
      </c>
      <c r="D923" s="22" t="str">
        <f>IFERROR(VLOOKUP(B923,Colaboradores!A:D,3,),"")</f>
        <v>COORDENAÇÃO ADMINISTRATIVA</v>
      </c>
      <c r="E923" s="22" t="str">
        <f>IFERROR(VLOOKUP(B923,Colaboradores!A:D,4,),"")</f>
        <v>ASSISTENTE ADMINISTRATIVO</v>
      </c>
      <c r="F923" s="22" t="s">
        <v>46</v>
      </c>
      <c r="G923" s="24" t="str">
        <f>IFERROR(VLOOKUP(F923,Procedimentos!A:C,2,),"")</f>
        <v>POLÍTICA DE SAÚDE E SEGURANÇA DO TRABALHO EMSERH</v>
      </c>
      <c r="H923" s="42"/>
      <c r="I923" s="44">
        <v>45666</v>
      </c>
      <c r="J923" s="22">
        <v>12</v>
      </c>
      <c r="K923" s="25">
        <f t="shared" si="49"/>
        <v>46031</v>
      </c>
      <c r="L923" s="28" t="str">
        <f t="shared" ca="1" si="48"/>
        <v>Vencido</v>
      </c>
      <c r="M923" s="33" t="s">
        <v>71</v>
      </c>
      <c r="N923" s="28" t="s">
        <v>21</v>
      </c>
      <c r="O923" s="22" t="s">
        <v>28</v>
      </c>
      <c r="P923" s="25">
        <f t="shared" si="47"/>
        <v>45756</v>
      </c>
      <c r="Q923" s="25"/>
      <c r="R923" s="25"/>
      <c r="S923" s="7"/>
      <c r="T923" s="7"/>
    </row>
    <row r="924" spans="1:20" ht="14.25" customHeight="1">
      <c r="A924" s="22">
        <v>1035</v>
      </c>
      <c r="B924" s="36">
        <v>12555</v>
      </c>
      <c r="C924" s="22" t="str">
        <f>IFERROR(VLOOKUP(B924,Colaboradores!A:D,2,),"")</f>
        <v>HWGO AUGUSTO ALMEIDA</v>
      </c>
      <c r="D924" s="22" t="str">
        <f>IFERROR(VLOOKUP(B924,Colaboradores!A:D,3,),"")</f>
        <v>COORDENAÇÃO ADMINISTRATIVA</v>
      </c>
      <c r="E924" s="22" t="str">
        <f>IFERROR(VLOOKUP(B924,Colaboradores!A:D,4,),"")</f>
        <v>ANALISTA ADMINISTRATIVO</v>
      </c>
      <c r="F924" s="22" t="s">
        <v>46</v>
      </c>
      <c r="G924" s="24" t="str">
        <f>IFERROR(VLOOKUP(F924,Procedimentos!A:C,2,),"")</f>
        <v>POLÍTICA DE SAÚDE E SEGURANÇA DO TRABALHO EMSERH</v>
      </c>
      <c r="H924" s="42"/>
      <c r="I924" s="44">
        <v>45666</v>
      </c>
      <c r="J924" s="22">
        <v>12</v>
      </c>
      <c r="K924" s="25">
        <f t="shared" si="49"/>
        <v>46031</v>
      </c>
      <c r="L924" s="28" t="str">
        <f t="shared" ca="1" si="48"/>
        <v>Vencido</v>
      </c>
      <c r="M924" s="33" t="s">
        <v>71</v>
      </c>
      <c r="N924" s="28" t="s">
        <v>21</v>
      </c>
      <c r="O924" s="22" t="s">
        <v>28</v>
      </c>
      <c r="P924" s="25">
        <f t="shared" si="47"/>
        <v>45756</v>
      </c>
      <c r="Q924" s="25"/>
      <c r="R924" s="25"/>
      <c r="S924" s="7"/>
      <c r="T924" s="7"/>
    </row>
    <row r="925" spans="1:20" ht="14.25" customHeight="1">
      <c r="A925" s="22">
        <v>1036</v>
      </c>
      <c r="B925" s="36">
        <v>13766</v>
      </c>
      <c r="C925" s="22" t="str">
        <f>IFERROR(VLOOKUP(B925,Colaboradores!A:D,2,),"")</f>
        <v>RAIMUNDO TAVARES PESSOA</v>
      </c>
      <c r="D925" s="22" t="str">
        <f>IFERROR(VLOOKUP(B925,Colaboradores!A:D,3,),"")</f>
        <v>COORDENAÇÃO ADMINISTRATIVA</v>
      </c>
      <c r="E925" s="22" t="str">
        <f>IFERROR(VLOOKUP(B925,Colaboradores!A:D,4,),"")</f>
        <v>ANALISTA ADMINISTRATIVO</v>
      </c>
      <c r="F925" s="22" t="s">
        <v>46</v>
      </c>
      <c r="G925" s="24" t="str">
        <f>IFERROR(VLOOKUP(F925,Procedimentos!A:C,2,),"")</f>
        <v>POLÍTICA DE SAÚDE E SEGURANÇA DO TRABALHO EMSERH</v>
      </c>
      <c r="H925" s="42"/>
      <c r="I925" s="44">
        <v>45700</v>
      </c>
      <c r="J925" s="22">
        <v>12</v>
      </c>
      <c r="K925" s="25">
        <f t="shared" si="49"/>
        <v>46065</v>
      </c>
      <c r="L925" s="28" t="str">
        <f t="shared" ca="1" si="48"/>
        <v>Vencido</v>
      </c>
      <c r="M925" s="33" t="s">
        <v>71</v>
      </c>
      <c r="N925" s="28" t="s">
        <v>21</v>
      </c>
      <c r="O925" s="22" t="s">
        <v>28</v>
      </c>
      <c r="P925" s="25">
        <f t="shared" si="47"/>
        <v>45789</v>
      </c>
      <c r="Q925" s="25"/>
      <c r="R925" s="25"/>
      <c r="S925" s="7"/>
      <c r="T925" s="7"/>
    </row>
    <row r="926" spans="1:20" ht="14.25" customHeight="1">
      <c r="A926" s="22">
        <v>1037</v>
      </c>
      <c r="B926" s="36">
        <v>15023</v>
      </c>
      <c r="C926" s="22" t="str">
        <f>IFERROR(VLOOKUP(B926,Colaboradores!A:D,2,),"")</f>
        <v>DANIEL ELISON GUSMÃO PEREIRA</v>
      </c>
      <c r="D926" s="22" t="str">
        <f>IFERROR(VLOOKUP(B926,Colaboradores!A:D,3,),"")</f>
        <v>GESTÃO INTEGRADA</v>
      </c>
      <c r="E926" s="22" t="str">
        <f>IFERROR(VLOOKUP(B926,Colaboradores!A:D,4,),"")</f>
        <v>ASSISTENTE ADMINISTRATIVO</v>
      </c>
      <c r="F926" s="22" t="s">
        <v>46</v>
      </c>
      <c r="G926" s="24" t="str">
        <f>IFERROR(VLOOKUP(F926,Procedimentos!A:C,2,),"")</f>
        <v>POLÍTICA DE SAÚDE E SEGURANÇA DO TRABALHO EMSERH</v>
      </c>
      <c r="H926" s="42"/>
      <c r="I926" s="44">
        <v>45888</v>
      </c>
      <c r="J926" s="22">
        <v>12</v>
      </c>
      <c r="K926" s="25">
        <f t="shared" si="49"/>
        <v>46253</v>
      </c>
      <c r="L926" s="28" t="str">
        <f t="shared" ca="1" si="48"/>
        <v>Em dia</v>
      </c>
      <c r="M926" s="33" t="s">
        <v>71</v>
      </c>
      <c r="N926" s="28" t="s">
        <v>21</v>
      </c>
      <c r="O926" s="22" t="s">
        <v>28</v>
      </c>
      <c r="P926" s="25">
        <f t="shared" si="47"/>
        <v>45980</v>
      </c>
      <c r="Q926" s="25"/>
      <c r="R926" s="25"/>
      <c r="S926" s="7"/>
      <c r="T926" s="7"/>
    </row>
    <row r="927" spans="1:20" ht="14.25" customHeight="1">
      <c r="A927" s="22">
        <v>1038</v>
      </c>
      <c r="B927" s="36">
        <v>14525</v>
      </c>
      <c r="C927" s="22" t="str">
        <f>IFERROR(VLOOKUP(B927,Colaboradores!A:D,2,),"")</f>
        <v>IANKA PRAZERES CUNHA</v>
      </c>
      <c r="D927" s="22" t="str">
        <f>IFERROR(VLOOKUP(B927,Colaboradores!A:D,3,),"")</f>
        <v>GESTÃO INTEGRADA</v>
      </c>
      <c r="E927" s="22" t="str">
        <f>IFERROR(VLOOKUP(B927,Colaboradores!A:D,4,),"")</f>
        <v>ANALISTA DE GESTÃO INTEGRADA</v>
      </c>
      <c r="F927" s="22" t="s">
        <v>46</v>
      </c>
      <c r="G927" s="24" t="str">
        <f>IFERROR(VLOOKUP(F927,Procedimentos!A:C,2,),"")</f>
        <v>POLÍTICA DE SAÚDE E SEGURANÇA DO TRABALHO EMSERH</v>
      </c>
      <c r="H927" s="42"/>
      <c r="I927" s="44">
        <v>45666</v>
      </c>
      <c r="J927" s="22">
        <v>12</v>
      </c>
      <c r="K927" s="25">
        <f t="shared" si="49"/>
        <v>46031</v>
      </c>
      <c r="L927" s="28" t="str">
        <f t="shared" ca="1" si="48"/>
        <v>Vencido</v>
      </c>
      <c r="M927" s="33" t="s">
        <v>71</v>
      </c>
      <c r="N927" s="28" t="s">
        <v>21</v>
      </c>
      <c r="O927" s="22" t="s">
        <v>28</v>
      </c>
      <c r="P927" s="25">
        <f t="shared" si="47"/>
        <v>45756</v>
      </c>
      <c r="Q927" s="25"/>
      <c r="R927" s="25"/>
      <c r="S927" s="7"/>
      <c r="T927" s="7"/>
    </row>
    <row r="928" spans="1:20" ht="14.25" customHeight="1">
      <c r="A928" s="22">
        <v>1039</v>
      </c>
      <c r="B928" s="36">
        <v>13750</v>
      </c>
      <c r="C928" s="22" t="str">
        <f>IFERROR(VLOOKUP(B928,Colaboradores!A:D,2,),"")</f>
        <v>JOSE ANTONIO ALVES MAGALHAES</v>
      </c>
      <c r="D928" s="22" t="str">
        <f>IFERROR(VLOOKUP(B928,Colaboradores!A:D,3,),"")</f>
        <v>GESTÃO INTEGRADA</v>
      </c>
      <c r="E928" s="22" t="str">
        <f>IFERROR(VLOOKUP(B928,Colaboradores!A:D,4,),"")</f>
        <v>GERENTE DE GESTÃO INTEGRADA</v>
      </c>
      <c r="F928" s="22" t="s">
        <v>46</v>
      </c>
      <c r="G928" s="24" t="str">
        <f>IFERROR(VLOOKUP(F928,Procedimentos!A:C,2,),"")</f>
        <v>POLÍTICA DE SAÚDE E SEGURANÇA DO TRABALHO EMSERH</v>
      </c>
      <c r="H928" s="42"/>
      <c r="I928" s="44">
        <v>45666</v>
      </c>
      <c r="J928" s="22">
        <v>12</v>
      </c>
      <c r="K928" s="25">
        <f t="shared" si="49"/>
        <v>46031</v>
      </c>
      <c r="L928" s="28" t="str">
        <f t="shared" ca="1" si="48"/>
        <v>Vencido</v>
      </c>
      <c r="M928" s="33" t="s">
        <v>71</v>
      </c>
      <c r="N928" s="28" t="s">
        <v>21</v>
      </c>
      <c r="O928" s="22" t="s">
        <v>28</v>
      </c>
      <c r="P928" s="25">
        <f t="shared" si="47"/>
        <v>45756</v>
      </c>
      <c r="Q928" s="25"/>
      <c r="R928" s="25"/>
      <c r="S928" s="7"/>
      <c r="T928" s="7"/>
    </row>
    <row r="929" spans="1:20" ht="14.25" customHeight="1">
      <c r="A929" s="22">
        <v>1040</v>
      </c>
      <c r="B929" s="36">
        <v>12712</v>
      </c>
      <c r="C929" s="22" t="str">
        <f>IFERROR(VLOOKUP(B929,Colaboradores!A:D,2,),"")</f>
        <v>JOYCE CLEIA MIRANDA BARROS</v>
      </c>
      <c r="D929" s="22" t="str">
        <f>IFERROR(VLOOKUP(B929,Colaboradores!A:D,3,),"")</f>
        <v>GESTÃO INTEGRADA</v>
      </c>
      <c r="E929" s="22" t="str">
        <f>IFERROR(VLOOKUP(B929,Colaboradores!A:D,4,),"")</f>
        <v>ANALISTA DE GESTÃO INTEGRADA</v>
      </c>
      <c r="F929" s="22" t="s">
        <v>46</v>
      </c>
      <c r="G929" s="24" t="str">
        <f>IFERROR(VLOOKUP(F929,Procedimentos!A:C,2,),"")</f>
        <v>POLÍTICA DE SAÚDE E SEGURANÇA DO TRABALHO EMSERH</v>
      </c>
      <c r="H929" s="25"/>
      <c r="I929" s="44">
        <v>45666</v>
      </c>
      <c r="J929" s="22">
        <v>12</v>
      </c>
      <c r="K929" s="25">
        <f t="shared" si="49"/>
        <v>46031</v>
      </c>
      <c r="L929" s="28" t="str">
        <f t="shared" ca="1" si="48"/>
        <v>Vencido</v>
      </c>
      <c r="M929" s="33" t="s">
        <v>71</v>
      </c>
      <c r="N929" s="28" t="s">
        <v>21</v>
      </c>
      <c r="O929" s="22" t="s">
        <v>28</v>
      </c>
      <c r="P929" s="25">
        <f t="shared" si="47"/>
        <v>45756</v>
      </c>
      <c r="Q929" s="25"/>
      <c r="R929" s="25"/>
      <c r="S929" s="7"/>
      <c r="T929" s="7"/>
    </row>
    <row r="930" spans="1:20" ht="14.25" customHeight="1">
      <c r="A930" s="22">
        <v>1041</v>
      </c>
      <c r="B930" s="36">
        <v>13787</v>
      </c>
      <c r="C930" s="22" t="str">
        <f>IFERROR(VLOOKUP(B930,Colaboradores!A:D,2,),"")</f>
        <v>KELLE SOCORRO MENDES GUIGNONI</v>
      </c>
      <c r="D930" s="22" t="str">
        <f>IFERROR(VLOOKUP(B930,Colaboradores!A:D,3,),"")</f>
        <v>GESTÃO INTEGRADA</v>
      </c>
      <c r="E930" s="22" t="str">
        <f>IFERROR(VLOOKUP(B930,Colaboradores!A:D,4,),"")</f>
        <v>ANALISTA DE GESTÃO INTEGRADA</v>
      </c>
      <c r="F930" s="22" t="s">
        <v>46</v>
      </c>
      <c r="G930" s="24" t="str">
        <f>IFERROR(VLOOKUP(F930,Procedimentos!A:C,2,),"")</f>
        <v>POLÍTICA DE SAÚDE E SEGURANÇA DO TRABALHO EMSERH</v>
      </c>
      <c r="H930" s="42"/>
      <c r="I930" s="44">
        <v>45666</v>
      </c>
      <c r="J930" s="22">
        <v>12</v>
      </c>
      <c r="K930" s="25">
        <f t="shared" si="49"/>
        <v>46031</v>
      </c>
      <c r="L930" s="28" t="str">
        <f t="shared" ca="1" si="48"/>
        <v>Vencido</v>
      </c>
      <c r="M930" s="33" t="s">
        <v>71</v>
      </c>
      <c r="N930" s="28" t="s">
        <v>21</v>
      </c>
      <c r="O930" s="22" t="s">
        <v>28</v>
      </c>
      <c r="P930" s="25">
        <f t="shared" si="47"/>
        <v>45756</v>
      </c>
      <c r="Q930" s="25"/>
      <c r="R930" s="25"/>
      <c r="S930" s="7"/>
      <c r="T930" s="7"/>
    </row>
    <row r="931" spans="1:20" ht="14.25" customHeight="1">
      <c r="A931" s="22">
        <v>1042</v>
      </c>
      <c r="B931" s="36">
        <v>12685</v>
      </c>
      <c r="C931" s="22" t="str">
        <f>IFERROR(VLOOKUP(B931,Colaboradores!A:D,2,),"")</f>
        <v>LIDIANA CRISTINA MIRANDA FERREIRA</v>
      </c>
      <c r="D931" s="22" t="str">
        <f>IFERROR(VLOOKUP(B931,Colaboradores!A:D,3,),"")</f>
        <v>GESTÃO INTEGRADA</v>
      </c>
      <c r="E931" s="22" t="str">
        <f>IFERROR(VLOOKUP(B931,Colaboradores!A:D,4,),"")</f>
        <v>COORDENADOR DE GESTÃO INTEGRADA</v>
      </c>
      <c r="F931" s="22" t="s">
        <v>46</v>
      </c>
      <c r="G931" s="24" t="str">
        <f>IFERROR(VLOOKUP(F931,Procedimentos!A:C,2,),"")</f>
        <v>POLÍTICA DE SAÚDE E SEGURANÇA DO TRABALHO EMSERH</v>
      </c>
      <c r="H931" s="42"/>
      <c r="I931" s="44">
        <v>45666</v>
      </c>
      <c r="J931" s="22">
        <v>12</v>
      </c>
      <c r="K931" s="25">
        <f t="shared" si="49"/>
        <v>46031</v>
      </c>
      <c r="L931" s="28" t="str">
        <f t="shared" ca="1" si="48"/>
        <v>Vencido</v>
      </c>
      <c r="M931" s="33" t="s">
        <v>71</v>
      </c>
      <c r="N931" s="28" t="s">
        <v>21</v>
      </c>
      <c r="O931" s="22" t="s">
        <v>28</v>
      </c>
      <c r="P931" s="25">
        <f t="shared" si="47"/>
        <v>45756</v>
      </c>
      <c r="Q931" s="25"/>
      <c r="R931" s="25"/>
      <c r="S931" s="7"/>
      <c r="T931" s="7"/>
    </row>
    <row r="932" spans="1:20" ht="14.25" customHeight="1">
      <c r="A932" s="22">
        <v>1043</v>
      </c>
      <c r="B932" s="36">
        <v>15068</v>
      </c>
      <c r="C932" s="22" t="str">
        <f>IFERROR(VLOOKUP(B932,Colaboradores!A:D,2,),"")</f>
        <v>TASSO CHAVES DE OLIVEIRA</v>
      </c>
      <c r="D932" s="22" t="str">
        <f>IFERROR(VLOOKUP(B932,Colaboradores!A:D,3,),"")</f>
        <v>GESTÃO INTEGRADA</v>
      </c>
      <c r="E932" s="22" t="str">
        <f>IFERROR(VLOOKUP(B932,Colaboradores!A:D,4,),"")</f>
        <v>ASSESSOR DE GESTÃO INTEGRADA</v>
      </c>
      <c r="F932" s="22" t="s">
        <v>46</v>
      </c>
      <c r="G932" s="24" t="str">
        <f>IFERROR(VLOOKUP(F932,Procedimentos!A:C,2,),"")</f>
        <v>POLÍTICA DE SAÚDE E SEGURANÇA DO TRABALHO EMSERH</v>
      </c>
      <c r="H932" s="42"/>
      <c r="I932" s="44">
        <v>45888</v>
      </c>
      <c r="J932" s="22">
        <v>12</v>
      </c>
      <c r="K932" s="25">
        <f t="shared" si="49"/>
        <v>46253</v>
      </c>
      <c r="L932" s="28" t="str">
        <f t="shared" ca="1" si="48"/>
        <v>Em dia</v>
      </c>
      <c r="M932" s="46" t="s">
        <v>71</v>
      </c>
      <c r="N932" s="28" t="s">
        <v>21</v>
      </c>
      <c r="O932" s="22" t="s">
        <v>28</v>
      </c>
      <c r="P932" s="25">
        <f t="shared" si="47"/>
        <v>45980</v>
      </c>
      <c r="Q932" s="25"/>
      <c r="R932" s="25"/>
      <c r="S932" s="7"/>
      <c r="T932" s="7"/>
    </row>
    <row r="933" spans="1:20" ht="14.25" customHeight="1">
      <c r="A933" s="22">
        <v>1045</v>
      </c>
      <c r="B933" s="36">
        <v>12486</v>
      </c>
      <c r="C933" s="22" t="str">
        <f>IFERROR(VLOOKUP(B933,Colaboradores!A:D,2,),"")</f>
        <v>ENEAS GALVAO MAGALHAES BRITO</v>
      </c>
      <c r="D933" s="22" t="str">
        <f>IFERROR(VLOOKUP(B933,Colaboradores!A:D,3,),"")</f>
        <v>MEIO AMBIENTE</v>
      </c>
      <c r="E933" s="22" t="str">
        <f>IFERROR(VLOOKUP(B933,Colaboradores!A:D,4,),"")</f>
        <v>ENGENHEIRO DE MEIO AMBIENTE</v>
      </c>
      <c r="F933" s="22" t="s">
        <v>46</v>
      </c>
      <c r="G933" s="24" t="str">
        <f>IFERROR(VLOOKUP(F933,Procedimentos!A:C,2,),"")</f>
        <v>POLÍTICA DE SAÚDE E SEGURANÇA DO TRABALHO EMSERH</v>
      </c>
      <c r="H933" s="42"/>
      <c r="I933" s="44">
        <v>45700</v>
      </c>
      <c r="J933" s="22">
        <v>12</v>
      </c>
      <c r="K933" s="25">
        <f t="shared" si="49"/>
        <v>46065</v>
      </c>
      <c r="L933" s="28" t="str">
        <f t="shared" ca="1" si="48"/>
        <v>Vencido</v>
      </c>
      <c r="M933" s="33" t="s">
        <v>71</v>
      </c>
      <c r="N933" s="28" t="s">
        <v>21</v>
      </c>
      <c r="O933" s="22" t="s">
        <v>28</v>
      </c>
      <c r="P933" s="25">
        <f t="shared" si="47"/>
        <v>45789</v>
      </c>
      <c r="Q933" s="25"/>
      <c r="R933" s="25"/>
      <c r="S933" s="7"/>
      <c r="T933" s="7"/>
    </row>
    <row r="934" spans="1:20" ht="14.25" customHeight="1">
      <c r="A934" s="22">
        <v>1046</v>
      </c>
      <c r="B934" s="36">
        <v>14013</v>
      </c>
      <c r="C934" s="22" t="str">
        <f>IFERROR(VLOOKUP(B934,Colaboradores!A:D,2,),"")</f>
        <v>IGOR WARWICK SANTOS DE CASTRO</v>
      </c>
      <c r="D934" s="22" t="str">
        <f>IFERROR(VLOOKUP(B934,Colaboradores!A:D,3,),"")</f>
        <v>MEIO AMBIENTE</v>
      </c>
      <c r="E934" s="22" t="str">
        <f>IFERROR(VLOOKUP(B934,Colaboradores!A:D,4,),"")</f>
        <v>ASSISTENTE ADMINISTRATIVO</v>
      </c>
      <c r="F934" s="22" t="s">
        <v>46</v>
      </c>
      <c r="G934" s="24" t="str">
        <f>IFERROR(VLOOKUP(F934,Procedimentos!A:C,2,),"")</f>
        <v>POLÍTICA DE SAÚDE E SEGURANÇA DO TRABALHO EMSERH</v>
      </c>
      <c r="H934" s="42"/>
      <c r="I934" s="44">
        <v>45666</v>
      </c>
      <c r="J934" s="22">
        <v>12</v>
      </c>
      <c r="K934" s="25">
        <f t="shared" si="49"/>
        <v>46031</v>
      </c>
      <c r="L934" s="28" t="str">
        <f t="shared" ca="1" si="48"/>
        <v>Vencido</v>
      </c>
      <c r="M934" s="33" t="s">
        <v>71</v>
      </c>
      <c r="N934" s="28" t="s">
        <v>21</v>
      </c>
      <c r="O934" s="22" t="s">
        <v>28</v>
      </c>
      <c r="P934" s="25">
        <f t="shared" si="47"/>
        <v>45756</v>
      </c>
      <c r="Q934" s="25"/>
      <c r="R934" s="25"/>
      <c r="S934" s="7"/>
      <c r="T934" s="7"/>
    </row>
    <row r="935" spans="1:20" ht="14.25" customHeight="1">
      <c r="A935" s="22">
        <v>1047</v>
      </c>
      <c r="B935" s="36">
        <v>12684</v>
      </c>
      <c r="C935" s="22" t="str">
        <f>IFERROR(VLOOKUP(B935,Colaboradores!A:D,2,),"")</f>
        <v>JACIARA VIEIRA DA CRUZ DE AGUIAR</v>
      </c>
      <c r="D935" s="22" t="str">
        <f>IFERROR(VLOOKUP(B935,Colaboradores!A:D,3,),"")</f>
        <v>MEIO AMBIENTE</v>
      </c>
      <c r="E935" s="22" t="str">
        <f>IFERROR(VLOOKUP(B935,Colaboradores!A:D,4,),"")</f>
        <v>GERENTE DE MEIO AMBIENTE</v>
      </c>
      <c r="F935" s="22" t="s">
        <v>46</v>
      </c>
      <c r="G935" s="24" t="str">
        <f>IFERROR(VLOOKUP(F935,Procedimentos!A:C,2,),"")</f>
        <v>POLÍTICA DE SAÚDE E SEGURANÇA DO TRABALHO EMSERH</v>
      </c>
      <c r="H935" s="42"/>
      <c r="I935" s="44">
        <v>45666</v>
      </c>
      <c r="J935" s="22">
        <v>12</v>
      </c>
      <c r="K935" s="25">
        <f t="shared" si="49"/>
        <v>46031</v>
      </c>
      <c r="L935" s="28" t="str">
        <f t="shared" ca="1" si="48"/>
        <v>Vencido</v>
      </c>
      <c r="M935" s="33" t="s">
        <v>71</v>
      </c>
      <c r="N935" s="28" t="s">
        <v>21</v>
      </c>
      <c r="O935" s="22" t="s">
        <v>28</v>
      </c>
      <c r="P935" s="25">
        <f t="shared" si="47"/>
        <v>45756</v>
      </c>
      <c r="Q935" s="25"/>
      <c r="R935" s="25"/>
      <c r="S935" s="7"/>
      <c r="T935" s="7"/>
    </row>
    <row r="936" spans="1:20" ht="14.25" customHeight="1">
      <c r="A936" s="22">
        <v>1048</v>
      </c>
      <c r="B936" s="36">
        <v>13741</v>
      </c>
      <c r="C936" s="22" t="str">
        <f>IFERROR(VLOOKUP(B936,Colaboradores!A:D,2,),"")</f>
        <v>LUCAS LOPES VIEIRA</v>
      </c>
      <c r="D936" s="22" t="str">
        <f>IFERROR(VLOOKUP(B936,Colaboradores!A:D,3,),"")</f>
        <v>MEIO AMBIENTE</v>
      </c>
      <c r="E936" s="22" t="str">
        <f>IFERROR(VLOOKUP(B936,Colaboradores!A:D,4,),"")</f>
        <v>ENGENHEIRO DE MEIO AMBIENTE</v>
      </c>
      <c r="F936" s="22" t="s">
        <v>46</v>
      </c>
      <c r="G936" s="24" t="str">
        <f>IFERROR(VLOOKUP(F936,Procedimentos!A:C,2,),"")</f>
        <v>POLÍTICA DE SAÚDE E SEGURANÇA DO TRABALHO EMSERH</v>
      </c>
      <c r="H936" s="42"/>
      <c r="I936" s="44">
        <v>45666</v>
      </c>
      <c r="J936" s="22">
        <v>12</v>
      </c>
      <c r="K936" s="25">
        <f t="shared" si="49"/>
        <v>46031</v>
      </c>
      <c r="L936" s="28" t="str">
        <f t="shared" ca="1" si="48"/>
        <v>Vencido</v>
      </c>
      <c r="M936" s="33" t="s">
        <v>71</v>
      </c>
      <c r="N936" s="28" t="s">
        <v>21</v>
      </c>
      <c r="O936" s="47" t="s">
        <v>28</v>
      </c>
      <c r="P936" s="25">
        <f t="shared" si="47"/>
        <v>45756</v>
      </c>
      <c r="Q936" s="25"/>
      <c r="R936" s="25"/>
      <c r="S936" s="7"/>
      <c r="T936" s="7"/>
    </row>
    <row r="937" spans="1:20" ht="14.25" customHeight="1">
      <c r="A937" s="22">
        <v>1049</v>
      </c>
      <c r="B937" s="36">
        <v>14246</v>
      </c>
      <c r="C937" s="22" t="str">
        <f>IFERROR(VLOOKUP(B937,Colaboradores!A:D,2,),"")</f>
        <v>THIALISSON SILVA MORAES</v>
      </c>
      <c r="D937" s="22" t="str">
        <f>IFERROR(VLOOKUP(B937,Colaboradores!A:D,3,),"")</f>
        <v>MEIO AMBIENTE</v>
      </c>
      <c r="E937" s="22" t="str">
        <f>IFERROR(VLOOKUP(B937,Colaboradores!A:D,4,),"")</f>
        <v>ANALISTA DE MEIO AMBIENTE</v>
      </c>
      <c r="F937" s="22" t="s">
        <v>46</v>
      </c>
      <c r="G937" s="24" t="str">
        <f>IFERROR(VLOOKUP(F937,Procedimentos!A:C,2,),"")</f>
        <v>POLÍTICA DE SAÚDE E SEGURANÇA DO TRABALHO EMSERH</v>
      </c>
      <c r="H937" s="42"/>
      <c r="I937" s="44">
        <v>45666</v>
      </c>
      <c r="J937" s="22">
        <v>12</v>
      </c>
      <c r="K937" s="25">
        <f t="shared" si="49"/>
        <v>46031</v>
      </c>
      <c r="L937" s="28" t="str">
        <f t="shared" ca="1" si="48"/>
        <v>Vencido</v>
      </c>
      <c r="M937" s="33" t="s">
        <v>71</v>
      </c>
      <c r="N937" s="28" t="s">
        <v>21</v>
      </c>
      <c r="O937" s="22" t="s">
        <v>28</v>
      </c>
      <c r="P937" s="25">
        <f t="shared" si="47"/>
        <v>45756</v>
      </c>
      <c r="Q937" s="25"/>
      <c r="R937" s="25"/>
      <c r="S937" s="7"/>
      <c r="T937" s="7"/>
    </row>
    <row r="938" spans="1:20" ht="14.25" customHeight="1">
      <c r="A938" s="22">
        <v>1050</v>
      </c>
      <c r="B938" s="36">
        <v>14526</v>
      </c>
      <c r="C938" s="22" t="str">
        <f>IFERROR(VLOOKUP(B938,Colaboradores!A:D,2,),"")</f>
        <v>VINNICYUS ANTONIO DE CARVALHO RIBEIRO</v>
      </c>
      <c r="D938" s="22" t="str">
        <f>IFERROR(VLOOKUP(B938,Colaboradores!A:D,3,),"")</f>
        <v>MEIO AMBIENTE</v>
      </c>
      <c r="E938" s="22" t="str">
        <f>IFERROR(VLOOKUP(B938,Colaboradores!A:D,4,),"")</f>
        <v>ENGENHEIRO DE MEIO AMBIENTE</v>
      </c>
      <c r="F938" s="22" t="s">
        <v>46</v>
      </c>
      <c r="G938" s="24" t="str">
        <f>IFERROR(VLOOKUP(F938,Procedimentos!A:C,2,),"")</f>
        <v>POLÍTICA DE SAÚDE E SEGURANÇA DO TRABALHO EMSERH</v>
      </c>
      <c r="H938" s="42"/>
      <c r="I938" s="44">
        <v>45666</v>
      </c>
      <c r="J938" s="22">
        <v>12</v>
      </c>
      <c r="K938" s="25">
        <f t="shared" si="49"/>
        <v>46031</v>
      </c>
      <c r="L938" s="28" t="str">
        <f t="shared" ca="1" si="48"/>
        <v>Vencido</v>
      </c>
      <c r="M938" s="33" t="s">
        <v>71</v>
      </c>
      <c r="N938" s="28" t="s">
        <v>21</v>
      </c>
      <c r="O938" s="22" t="s">
        <v>28</v>
      </c>
      <c r="P938" s="25">
        <f t="shared" si="47"/>
        <v>45756</v>
      </c>
      <c r="Q938" s="25"/>
      <c r="R938" s="25"/>
      <c r="S938" s="7"/>
      <c r="T938" s="7"/>
    </row>
    <row r="939" spans="1:20" ht="14.25" customHeight="1">
      <c r="A939" s="22">
        <v>1051</v>
      </c>
      <c r="B939" s="36">
        <v>12330</v>
      </c>
      <c r="C939" s="22" t="str">
        <f>IFERROR(VLOOKUP(B939,Colaboradores!A:D,2,),"")</f>
        <v>BIANCA GUEDES SILVA ALMEIDA</v>
      </c>
      <c r="D939" s="22" t="str">
        <f>IFERROR(VLOOKUP(B939,Colaboradores!A:D,3,),"")</f>
        <v>SAÚDE OCUPACIONAL</v>
      </c>
      <c r="E939" s="22" t="str">
        <f>IFERROR(VLOOKUP(B939,Colaboradores!A:D,4,),"")</f>
        <v>NUTRICIONISTA</v>
      </c>
      <c r="F939" s="22" t="s">
        <v>46</v>
      </c>
      <c r="G939" s="24" t="str">
        <f>IFERROR(VLOOKUP(F939,Procedimentos!A:C,2,),"")</f>
        <v>POLÍTICA DE SAÚDE E SEGURANÇA DO TRABALHO EMSERH</v>
      </c>
      <c r="H939" s="42"/>
      <c r="I939" s="44">
        <v>45728</v>
      </c>
      <c r="J939" s="22">
        <v>12</v>
      </c>
      <c r="K939" s="25">
        <f t="shared" si="49"/>
        <v>46093</v>
      </c>
      <c r="L939" s="28" t="str">
        <f t="shared" ca="1" si="48"/>
        <v>A vencer</v>
      </c>
      <c r="M939" s="33" t="s">
        <v>71</v>
      </c>
      <c r="N939" s="28" t="s">
        <v>21</v>
      </c>
      <c r="O939" s="22" t="s">
        <v>28</v>
      </c>
      <c r="P939" s="25">
        <f t="shared" si="47"/>
        <v>45820</v>
      </c>
      <c r="Q939" s="25"/>
      <c r="R939" s="25"/>
      <c r="S939" s="7"/>
      <c r="T939" s="7"/>
    </row>
    <row r="940" spans="1:20" ht="14.25" customHeight="1">
      <c r="A940" s="22">
        <v>1052</v>
      </c>
      <c r="B940" s="36">
        <v>3109</v>
      </c>
      <c r="C940" s="22" t="str">
        <f>IFERROR(VLOOKUP(B940,Colaboradores!A:D,2,),"")</f>
        <v>BRUNO ARRUDA DE AMORIM OLIVEIRA</v>
      </c>
      <c r="D940" s="22" t="str">
        <f>IFERROR(VLOOKUP(B940,Colaboradores!A:D,3,),"")</f>
        <v>SAÚDE OCUPACIONAL</v>
      </c>
      <c r="E940" s="22" t="str">
        <f>IFERROR(VLOOKUP(B940,Colaboradores!A:D,4,),"")</f>
        <v>MÉDICO DO TRABALHO</v>
      </c>
      <c r="F940" s="22" t="s">
        <v>46</v>
      </c>
      <c r="G940" s="24" t="str">
        <f>IFERROR(VLOOKUP(F940,Procedimentos!A:C,2,),"")</f>
        <v>POLÍTICA DE SAÚDE E SEGURANÇA DO TRABALHO EMSERH</v>
      </c>
      <c r="H940" s="42"/>
      <c r="I940" s="44">
        <v>45728</v>
      </c>
      <c r="J940" s="22">
        <v>12</v>
      </c>
      <c r="K940" s="25">
        <f t="shared" si="49"/>
        <v>46093</v>
      </c>
      <c r="L940" s="28" t="str">
        <f t="shared" ca="1" si="48"/>
        <v>A vencer</v>
      </c>
      <c r="M940" s="33" t="s">
        <v>71</v>
      </c>
      <c r="N940" s="28" t="s">
        <v>21</v>
      </c>
      <c r="O940" s="22" t="s">
        <v>28</v>
      </c>
      <c r="P940" s="25">
        <f t="shared" si="47"/>
        <v>45820</v>
      </c>
      <c r="Q940" s="25"/>
      <c r="R940" s="25"/>
      <c r="S940" s="7"/>
      <c r="T940" s="7"/>
    </row>
    <row r="941" spans="1:20" ht="14.25" customHeight="1">
      <c r="A941" s="22">
        <v>1053</v>
      </c>
      <c r="B941" s="36">
        <v>7590</v>
      </c>
      <c r="C941" s="22" t="str">
        <f>IFERROR(VLOOKUP(B941,Colaboradores!A:D,2,),"")</f>
        <v>FABIOLA SOUSA MOURA BORGES</v>
      </c>
      <c r="D941" s="22" t="str">
        <f>IFERROR(VLOOKUP(B941,Colaboradores!A:D,3,),"")</f>
        <v>SAÚDE OCUPACIONAL</v>
      </c>
      <c r="E941" s="22" t="str">
        <f>IFERROR(VLOOKUP(B941,Colaboradores!A:D,4,),"")</f>
        <v>GERENTE DE SAÚDE OCUPACIONAL</v>
      </c>
      <c r="F941" s="22" t="s">
        <v>46</v>
      </c>
      <c r="G941" s="24" t="str">
        <f>IFERROR(VLOOKUP(F941,Procedimentos!A:C,2,),"")</f>
        <v>POLÍTICA DE SAÚDE E SEGURANÇA DO TRABALHO EMSERH</v>
      </c>
      <c r="H941" s="22"/>
      <c r="I941" s="44">
        <v>45728</v>
      </c>
      <c r="J941" s="22">
        <v>12</v>
      </c>
      <c r="K941" s="25">
        <f t="shared" si="49"/>
        <v>46093</v>
      </c>
      <c r="L941" s="28" t="str">
        <f t="shared" ca="1" si="48"/>
        <v>A vencer</v>
      </c>
      <c r="M941" s="33" t="s">
        <v>71</v>
      </c>
      <c r="N941" s="28" t="s">
        <v>21</v>
      </c>
      <c r="O941" s="22" t="s">
        <v>28</v>
      </c>
      <c r="P941" s="25">
        <f t="shared" si="47"/>
        <v>45820</v>
      </c>
      <c r="Q941" s="25"/>
      <c r="R941" s="25"/>
      <c r="S941" s="7"/>
      <c r="T941" s="7"/>
    </row>
    <row r="942" spans="1:20" ht="14.25" customHeight="1">
      <c r="A942" s="22">
        <v>1054</v>
      </c>
      <c r="B942" s="36">
        <v>1866</v>
      </c>
      <c r="C942" s="22" t="str">
        <f>IFERROR(VLOOKUP(B942,Colaboradores!A:D,2,),"")</f>
        <v>FLAVIA AROUCHE GAMA</v>
      </c>
      <c r="D942" s="22" t="str">
        <f>IFERROR(VLOOKUP(B942,Colaboradores!A:D,3,),"")</f>
        <v>SAÚDE OCUPACIONAL</v>
      </c>
      <c r="E942" s="22" t="str">
        <f>IFERROR(VLOOKUP(B942,Colaboradores!A:D,4,),"")</f>
        <v>MÉDICO DO TRABALHO</v>
      </c>
      <c r="F942" s="22" t="s">
        <v>46</v>
      </c>
      <c r="G942" s="24" t="str">
        <f>IFERROR(VLOOKUP(F942,Procedimentos!A:C,2,),"")</f>
        <v>POLÍTICA DE SAÚDE E SEGURANÇA DO TRABALHO EMSERH</v>
      </c>
      <c r="H942" s="42"/>
      <c r="I942" s="44">
        <v>45728</v>
      </c>
      <c r="J942" s="22">
        <v>12</v>
      </c>
      <c r="K942" s="25">
        <f t="shared" si="49"/>
        <v>46093</v>
      </c>
      <c r="L942" s="28" t="str">
        <f t="shared" ca="1" si="48"/>
        <v>A vencer</v>
      </c>
      <c r="M942" s="33" t="s">
        <v>71</v>
      </c>
      <c r="N942" s="28" t="s">
        <v>21</v>
      </c>
      <c r="O942" s="22" t="s">
        <v>28</v>
      </c>
      <c r="P942" s="25">
        <f t="shared" si="47"/>
        <v>45820</v>
      </c>
      <c r="Q942" s="25"/>
      <c r="R942" s="25"/>
      <c r="S942" s="7"/>
      <c r="T942" s="7"/>
    </row>
    <row r="943" spans="1:20" ht="14.25" customHeight="1">
      <c r="A943" s="22">
        <v>1055</v>
      </c>
      <c r="B943" s="36">
        <v>14508</v>
      </c>
      <c r="C943" s="22" t="str">
        <f>IFERROR(VLOOKUP(B943,Colaboradores!A:D,2,),"")</f>
        <v>FYAMA SANTOS SILVA</v>
      </c>
      <c r="D943" s="22" t="str">
        <f>IFERROR(VLOOKUP(B943,Colaboradores!A:D,3,),"")</f>
        <v>SAÚDE OCUPACIONAL</v>
      </c>
      <c r="E943" s="22" t="str">
        <f>IFERROR(VLOOKUP(B943,Colaboradores!A:D,4,),"")</f>
        <v>ASSISTENTE ADMINISTRATIVO</v>
      </c>
      <c r="F943" s="22" t="s">
        <v>46</v>
      </c>
      <c r="G943" s="24" t="str">
        <f>IFERROR(VLOOKUP(F943,Procedimentos!A:C,2,),"")</f>
        <v>POLÍTICA DE SAÚDE E SEGURANÇA DO TRABALHO EMSERH</v>
      </c>
      <c r="H943" s="42"/>
      <c r="I943" s="44">
        <v>45728</v>
      </c>
      <c r="J943" s="22">
        <v>12</v>
      </c>
      <c r="K943" s="25">
        <f t="shared" si="49"/>
        <v>46093</v>
      </c>
      <c r="L943" s="28" t="str">
        <f t="shared" ca="1" si="48"/>
        <v>A vencer</v>
      </c>
      <c r="M943" s="33" t="s">
        <v>71</v>
      </c>
      <c r="N943" s="28" t="s">
        <v>21</v>
      </c>
      <c r="O943" s="22" t="s">
        <v>28</v>
      </c>
      <c r="P943" s="25">
        <f t="shared" si="47"/>
        <v>45820</v>
      </c>
      <c r="Q943" s="25"/>
      <c r="R943" s="25"/>
      <c r="S943" s="7"/>
      <c r="T943" s="7"/>
    </row>
    <row r="944" spans="1:20" ht="14.25" customHeight="1">
      <c r="A944" s="22">
        <v>1056</v>
      </c>
      <c r="B944" s="36">
        <v>14866</v>
      </c>
      <c r="C944" s="22" t="str">
        <f>IFERROR(VLOOKUP(B944,Colaboradores!A:D,2,),"")</f>
        <v>GERUSA LOURDES CHAVES ALVES DA SILVA</v>
      </c>
      <c r="D944" s="22" t="str">
        <f>IFERROR(VLOOKUP(B944,Colaboradores!A:D,3,),"")</f>
        <v>SAÚDE OCUPACIONAL</v>
      </c>
      <c r="E944" s="22" t="str">
        <f>IFERROR(VLOOKUP(B944,Colaboradores!A:D,4,),"")</f>
        <v>ASSESSOR CLINICO(A)</v>
      </c>
      <c r="F944" s="22" t="s">
        <v>46</v>
      </c>
      <c r="G944" s="24" t="str">
        <f>IFERROR(VLOOKUP(F944,Procedimentos!A:C,2,),"")</f>
        <v>POLÍTICA DE SAÚDE E SEGURANÇA DO TRABALHO EMSERH</v>
      </c>
      <c r="H944" s="42"/>
      <c r="I944" s="44">
        <v>45728</v>
      </c>
      <c r="J944" s="22">
        <v>12</v>
      </c>
      <c r="K944" s="25">
        <f t="shared" si="49"/>
        <v>46093</v>
      </c>
      <c r="L944" s="28" t="str">
        <f t="shared" ca="1" si="48"/>
        <v>A vencer</v>
      </c>
      <c r="M944" s="33" t="s">
        <v>71</v>
      </c>
      <c r="N944" s="28" t="s">
        <v>21</v>
      </c>
      <c r="O944" s="22" t="s">
        <v>28</v>
      </c>
      <c r="P944" s="25">
        <f t="shared" si="47"/>
        <v>45820</v>
      </c>
      <c r="Q944" s="25"/>
      <c r="R944" s="25"/>
      <c r="S944" s="7"/>
      <c r="T944" s="7"/>
    </row>
    <row r="945" spans="1:20" ht="14.25" customHeight="1">
      <c r="A945" s="22">
        <v>1057</v>
      </c>
      <c r="B945" s="36">
        <v>15059</v>
      </c>
      <c r="C945" s="22" t="str">
        <f>IFERROR(VLOOKUP(B945,Colaboradores!A:D,2,),"")</f>
        <v>GUILHERME LEÃO DOS SANTOS</v>
      </c>
      <c r="D945" s="22" t="str">
        <f>IFERROR(VLOOKUP(B945,Colaboradores!A:D,3,),"")</f>
        <v>SAÚDE OCUPACIONAL</v>
      </c>
      <c r="E945" s="22" t="str">
        <f>IFERROR(VLOOKUP(B945,Colaboradores!A:D,4,),"")</f>
        <v>ASSISTENTE ADMINISTRATIVO</v>
      </c>
      <c r="F945" s="22" t="s">
        <v>46</v>
      </c>
      <c r="G945" s="24" t="str">
        <f>IFERROR(VLOOKUP(F945,Procedimentos!A:C,2,),"")</f>
        <v>POLÍTICA DE SAÚDE E SEGURANÇA DO TRABALHO EMSERH</v>
      </c>
      <c r="H945" s="42"/>
      <c r="I945" s="44">
        <v>45728</v>
      </c>
      <c r="J945" s="22">
        <v>12</v>
      </c>
      <c r="K945" s="25">
        <f t="shared" si="49"/>
        <v>46093</v>
      </c>
      <c r="L945" s="28" t="str">
        <f t="shared" ca="1" si="48"/>
        <v>A vencer</v>
      </c>
      <c r="M945" s="33" t="s">
        <v>71</v>
      </c>
      <c r="N945" s="28" t="s">
        <v>21</v>
      </c>
      <c r="O945" s="22" t="s">
        <v>28</v>
      </c>
      <c r="P945" s="25">
        <f t="shared" si="47"/>
        <v>45820</v>
      </c>
      <c r="Q945" s="25"/>
      <c r="R945" s="25"/>
      <c r="S945" s="7"/>
      <c r="T945" s="7"/>
    </row>
    <row r="946" spans="1:20" ht="14.25" customHeight="1">
      <c r="A946" s="22">
        <v>1058</v>
      </c>
      <c r="B946" s="36">
        <v>13778</v>
      </c>
      <c r="C946" s="22" t="str">
        <f>IFERROR(VLOOKUP(B946,Colaboradores!A:D,2,),"")</f>
        <v>LAIS FERREIRA CAMPOS MINEIRO</v>
      </c>
      <c r="D946" s="22" t="str">
        <f>IFERROR(VLOOKUP(B946,Colaboradores!A:D,3,),"")</f>
        <v>SAÚDE OCUPACIONAL</v>
      </c>
      <c r="E946" s="22" t="str">
        <f>IFERROR(VLOOKUP(B946,Colaboradores!A:D,4,),"")</f>
        <v>FISIOTERAPEUTA</v>
      </c>
      <c r="F946" s="22" t="s">
        <v>46</v>
      </c>
      <c r="G946" s="24" t="str">
        <f>IFERROR(VLOOKUP(F946,Procedimentos!A:C,2,),"")</f>
        <v>POLÍTICA DE SAÚDE E SEGURANÇA DO TRABALHO EMSERH</v>
      </c>
      <c r="H946" s="42"/>
      <c r="I946" s="44">
        <v>45728</v>
      </c>
      <c r="J946" s="22">
        <v>12</v>
      </c>
      <c r="K946" s="25">
        <f t="shared" si="49"/>
        <v>46093</v>
      </c>
      <c r="L946" s="28" t="str">
        <f t="shared" ca="1" si="48"/>
        <v>A vencer</v>
      </c>
      <c r="M946" s="33" t="s">
        <v>71</v>
      </c>
      <c r="N946" s="28" t="s">
        <v>21</v>
      </c>
      <c r="O946" s="22" t="s">
        <v>28</v>
      </c>
      <c r="P946" s="25">
        <f t="shared" si="47"/>
        <v>45820</v>
      </c>
      <c r="Q946" s="25"/>
      <c r="R946" s="25"/>
      <c r="S946" s="7"/>
      <c r="T946" s="7"/>
    </row>
    <row r="947" spans="1:20" ht="14.25" customHeight="1">
      <c r="A947" s="22">
        <v>1059</v>
      </c>
      <c r="B947" s="36">
        <v>7147</v>
      </c>
      <c r="C947" s="22" t="str">
        <f>IFERROR(VLOOKUP(B947,Colaboradores!A:D,2,),"")</f>
        <v>MAIARA MONTEIRO MARQUES CASTELO BRANCO</v>
      </c>
      <c r="D947" s="22" t="str">
        <f>IFERROR(VLOOKUP(B947,Colaboradores!A:D,3,),"")</f>
        <v>SAÚDE OCUPACIONAL</v>
      </c>
      <c r="E947" s="22" t="str">
        <f>IFERROR(VLOOKUP(B947,Colaboradores!A:D,4,),"")</f>
        <v>PSICÓLOGA</v>
      </c>
      <c r="F947" s="22" t="s">
        <v>46</v>
      </c>
      <c r="G947" s="24" t="str">
        <f>IFERROR(VLOOKUP(F947,Procedimentos!A:C,2,),"")</f>
        <v>POLÍTICA DE SAÚDE E SEGURANÇA DO TRABALHO EMSERH</v>
      </c>
      <c r="H947" s="42"/>
      <c r="I947" s="44">
        <v>45728</v>
      </c>
      <c r="J947" s="22">
        <v>12</v>
      </c>
      <c r="K947" s="25">
        <f t="shared" si="49"/>
        <v>46093</v>
      </c>
      <c r="L947" s="28" t="str">
        <f t="shared" ca="1" si="48"/>
        <v>A vencer</v>
      </c>
      <c r="M947" s="33" t="s">
        <v>71</v>
      </c>
      <c r="N947" s="28" t="s">
        <v>21</v>
      </c>
      <c r="O947" s="22" t="s">
        <v>28</v>
      </c>
      <c r="P947" s="25">
        <f t="shared" si="47"/>
        <v>45820</v>
      </c>
      <c r="Q947" s="25"/>
      <c r="R947" s="25"/>
      <c r="S947" s="7"/>
      <c r="T947" s="7"/>
    </row>
    <row r="948" spans="1:20" ht="14.25" customHeight="1">
      <c r="A948" s="22">
        <v>1060</v>
      </c>
      <c r="B948" s="36">
        <v>7601</v>
      </c>
      <c r="C948" s="22" t="str">
        <f>IFERROR(VLOOKUP(B948,Colaboradores!A:D,2,),"")</f>
        <v>RAYANE BEZERRA DE JESUS</v>
      </c>
      <c r="D948" s="22" t="str">
        <f>IFERROR(VLOOKUP(B948,Colaboradores!A:D,3,),"")</f>
        <v>SAÚDE OCUPACIONAL</v>
      </c>
      <c r="E948" s="22" t="str">
        <f>IFERROR(VLOOKUP(B948,Colaboradores!A:D,4,),"")</f>
        <v>TÉCNICO DE ENFERMAGEM DO TRABALHO</v>
      </c>
      <c r="F948" s="22" t="s">
        <v>46</v>
      </c>
      <c r="G948" s="24" t="str">
        <f>IFERROR(VLOOKUP(F948,Procedimentos!A:C,2,),"")</f>
        <v>POLÍTICA DE SAÚDE E SEGURANÇA DO TRABALHO EMSERH</v>
      </c>
      <c r="H948" s="42"/>
      <c r="I948" s="44">
        <v>45728</v>
      </c>
      <c r="J948" s="22">
        <v>12</v>
      </c>
      <c r="K948" s="25">
        <f t="shared" si="49"/>
        <v>46093</v>
      </c>
      <c r="L948" s="28" t="str">
        <f t="shared" ca="1" si="48"/>
        <v>A vencer</v>
      </c>
      <c r="M948" s="33" t="s">
        <v>71</v>
      </c>
      <c r="N948" s="28" t="s">
        <v>21</v>
      </c>
      <c r="O948" s="22" t="s">
        <v>28</v>
      </c>
      <c r="P948" s="25">
        <f t="shared" si="47"/>
        <v>45820</v>
      </c>
      <c r="Q948" s="25"/>
      <c r="R948" s="25"/>
      <c r="S948" s="7"/>
      <c r="T948" s="7"/>
    </row>
    <row r="949" spans="1:20" ht="14.25" customHeight="1">
      <c r="A949" s="22">
        <v>1061</v>
      </c>
      <c r="B949" s="36">
        <v>14499</v>
      </c>
      <c r="C949" s="22" t="str">
        <f>IFERROR(VLOOKUP(B949,Colaboradores!A:D,2,),"")</f>
        <v>SAMIRIS COSTA DA SILVA</v>
      </c>
      <c r="D949" s="22" t="str">
        <f>IFERROR(VLOOKUP(B949,Colaboradores!A:D,3,),"")</f>
        <v>SAÚDE OCUPACIONAL</v>
      </c>
      <c r="E949" s="22" t="str">
        <f>IFERROR(VLOOKUP(B949,Colaboradores!A:D,4,),"")</f>
        <v>PSICÓLOGA</v>
      </c>
      <c r="F949" s="22" t="s">
        <v>46</v>
      </c>
      <c r="G949" s="24" t="str">
        <f>IFERROR(VLOOKUP(F949,Procedimentos!A:C,2,),"")</f>
        <v>POLÍTICA DE SAÚDE E SEGURANÇA DO TRABALHO EMSERH</v>
      </c>
      <c r="H949" s="42"/>
      <c r="I949" s="44">
        <v>45728</v>
      </c>
      <c r="J949" s="22">
        <v>12</v>
      </c>
      <c r="K949" s="25">
        <f t="shared" si="49"/>
        <v>46093</v>
      </c>
      <c r="L949" s="28" t="str">
        <f t="shared" ca="1" si="48"/>
        <v>A vencer</v>
      </c>
      <c r="M949" s="33" t="s">
        <v>71</v>
      </c>
      <c r="N949" s="28" t="s">
        <v>21</v>
      </c>
      <c r="O949" s="22" t="s">
        <v>28</v>
      </c>
      <c r="P949" s="25">
        <f t="shared" si="47"/>
        <v>45820</v>
      </c>
      <c r="Q949" s="25"/>
      <c r="R949" s="25"/>
      <c r="S949" s="7"/>
      <c r="T949" s="7"/>
    </row>
    <row r="950" spans="1:20" ht="14.25" customHeight="1">
      <c r="A950" s="22">
        <v>1062</v>
      </c>
      <c r="B950" s="36">
        <v>14083</v>
      </c>
      <c r="C950" s="22" t="str">
        <f>IFERROR(VLOOKUP(B950,Colaboradores!A:D,2,),"")</f>
        <v>TAHYNAN FREITAS SILVA COSTA</v>
      </c>
      <c r="D950" s="22" t="str">
        <f>IFERROR(VLOOKUP(B950,Colaboradores!A:D,3,),"")</f>
        <v>SAÚDE OCUPACIONAL</v>
      </c>
      <c r="E950" s="22" t="str">
        <f>IFERROR(VLOOKUP(B950,Colaboradores!A:D,4,),"")</f>
        <v>TÉCNICO DE ENFERMAGEM DO TRABALHO</v>
      </c>
      <c r="F950" s="22" t="s">
        <v>46</v>
      </c>
      <c r="G950" s="24" t="str">
        <f>IFERROR(VLOOKUP(F950,Procedimentos!A:C,2,),"")</f>
        <v>POLÍTICA DE SAÚDE E SEGURANÇA DO TRABALHO EMSERH</v>
      </c>
      <c r="H950" s="42"/>
      <c r="I950" s="44">
        <v>45728</v>
      </c>
      <c r="J950" s="22">
        <v>12</v>
      </c>
      <c r="K950" s="25">
        <f t="shared" si="49"/>
        <v>46093</v>
      </c>
      <c r="L950" s="28" t="str">
        <f t="shared" ca="1" si="48"/>
        <v>A vencer</v>
      </c>
      <c r="M950" s="33" t="s">
        <v>71</v>
      </c>
      <c r="N950" s="28" t="s">
        <v>21</v>
      </c>
      <c r="O950" s="22" t="s">
        <v>28</v>
      </c>
      <c r="P950" s="25">
        <f t="shared" si="47"/>
        <v>45820</v>
      </c>
      <c r="Q950" s="25"/>
      <c r="R950" s="25"/>
      <c r="S950" s="7"/>
      <c r="T950" s="7"/>
    </row>
    <row r="951" spans="1:20" ht="14.25" customHeight="1">
      <c r="A951" s="22">
        <v>1064</v>
      </c>
      <c r="B951" s="36">
        <v>14565</v>
      </c>
      <c r="C951" s="22" t="str">
        <f>IFERROR(VLOOKUP(B951,Colaboradores!A:D,2,),"")</f>
        <v>CAMILA RODRIGUES GOMES</v>
      </c>
      <c r="D951" s="22" t="str">
        <f>IFERROR(VLOOKUP(B951,Colaboradores!A:D,3,),"")</f>
        <v>SEGURANÇA DO TRABALHO</v>
      </c>
      <c r="E951" s="22" t="str">
        <f>IFERROR(VLOOKUP(B951,Colaboradores!A:D,4,),"")</f>
        <v>TÉCNICO DE SEGURANÇA DO TRABALHO</v>
      </c>
      <c r="F951" s="22" t="s">
        <v>46</v>
      </c>
      <c r="G951" s="24" t="str">
        <f>IFERROR(VLOOKUP(F951,Procedimentos!A:C,2,),"")</f>
        <v>POLÍTICA DE SAÚDE E SEGURANÇA DO TRABALHO EMSERH</v>
      </c>
      <c r="H951" s="42"/>
      <c r="I951" s="44">
        <v>45700</v>
      </c>
      <c r="J951" s="22">
        <v>12</v>
      </c>
      <c r="K951" s="25">
        <f t="shared" si="49"/>
        <v>46065</v>
      </c>
      <c r="L951" s="28" t="str">
        <f t="shared" ca="1" si="48"/>
        <v>Vencido</v>
      </c>
      <c r="M951" s="33" t="s">
        <v>71</v>
      </c>
      <c r="N951" s="28" t="s">
        <v>21</v>
      </c>
      <c r="O951" s="22" t="s">
        <v>28</v>
      </c>
      <c r="P951" s="25">
        <f t="shared" si="47"/>
        <v>45789</v>
      </c>
      <c r="Q951" s="25"/>
      <c r="R951" s="25"/>
      <c r="S951" s="7"/>
      <c r="T951" s="7"/>
    </row>
    <row r="952" spans="1:20" ht="14.25" customHeight="1">
      <c r="A952" s="22">
        <v>1067</v>
      </c>
      <c r="B952" s="36">
        <v>13524</v>
      </c>
      <c r="C952" s="22" t="str">
        <f>IFERROR(VLOOKUP(B952,Colaboradores!A:D,2,),"")</f>
        <v>JOAO WILKER RIBEIRO BARROS LIMA</v>
      </c>
      <c r="D952" s="22" t="str">
        <f>IFERROR(VLOOKUP(B952,Colaboradores!A:D,3,),"")</f>
        <v>SEGURANÇA DO TRABALHO</v>
      </c>
      <c r="E952" s="22" t="str">
        <f>IFERROR(VLOOKUP(B952,Colaboradores!A:D,4,),"")</f>
        <v>COORDENADOR DE SEGURANÇA DO TRABALHO</v>
      </c>
      <c r="F952" s="22" t="s">
        <v>46</v>
      </c>
      <c r="G952" s="24" t="str">
        <f>IFERROR(VLOOKUP(F952,Procedimentos!A:C,2,),"")</f>
        <v>POLÍTICA DE SAÚDE E SEGURANÇA DO TRABALHO EMSERH</v>
      </c>
      <c r="H952" s="42"/>
      <c r="I952" s="44">
        <v>45700</v>
      </c>
      <c r="J952" s="22">
        <v>12</v>
      </c>
      <c r="K952" s="25">
        <f t="shared" si="49"/>
        <v>46065</v>
      </c>
      <c r="L952" s="28" t="str">
        <f t="shared" ca="1" si="48"/>
        <v>Vencido</v>
      </c>
      <c r="M952" s="33" t="s">
        <v>71</v>
      </c>
      <c r="N952" s="28" t="s">
        <v>21</v>
      </c>
      <c r="O952" s="22" t="s">
        <v>28</v>
      </c>
      <c r="P952" s="25">
        <f t="shared" si="47"/>
        <v>45789</v>
      </c>
      <c r="Q952" s="25"/>
      <c r="R952" s="25"/>
      <c r="S952" s="7"/>
      <c r="T952" s="7"/>
    </row>
    <row r="953" spans="1:20" ht="14.25" customHeight="1">
      <c r="A953" s="22">
        <v>1068</v>
      </c>
      <c r="B953" s="36">
        <v>2740</v>
      </c>
      <c r="C953" s="22" t="str">
        <f>IFERROR(VLOOKUP(B953,Colaboradores!A:D,2,),"")</f>
        <v>LUCIANA BARBOSA SODRE</v>
      </c>
      <c r="D953" s="22" t="str">
        <f>IFERROR(VLOOKUP(B953,Colaboradores!A:D,3,),"")</f>
        <v>SEGURANÇA DO TRABALHO</v>
      </c>
      <c r="E953" s="22" t="str">
        <f>IFERROR(VLOOKUP(B953,Colaboradores!A:D,4,),"")</f>
        <v>TÉCNICO DE SEGURANÇA DO TRABALHO</v>
      </c>
      <c r="F953" s="22" t="s">
        <v>46</v>
      </c>
      <c r="G953" s="24" t="str">
        <f>IFERROR(VLOOKUP(F953,Procedimentos!A:C,2,),"")</f>
        <v>POLÍTICA DE SAÚDE E SEGURANÇA DO TRABALHO EMSERH</v>
      </c>
      <c r="H953" s="42"/>
      <c r="I953" s="44">
        <v>45712</v>
      </c>
      <c r="J953" s="22">
        <v>12</v>
      </c>
      <c r="K953" s="25">
        <f t="shared" si="49"/>
        <v>46077</v>
      </c>
      <c r="L953" s="28" t="str">
        <f t="shared" ca="1" si="48"/>
        <v>Vencido</v>
      </c>
      <c r="M953" s="33" t="s">
        <v>71</v>
      </c>
      <c r="N953" s="28" t="s">
        <v>21</v>
      </c>
      <c r="O953" s="22" t="s">
        <v>28</v>
      </c>
      <c r="P953" s="25">
        <f t="shared" si="47"/>
        <v>45801</v>
      </c>
      <c r="Q953" s="25"/>
      <c r="R953" s="25"/>
      <c r="S953" s="7"/>
      <c r="T953" s="7"/>
    </row>
    <row r="954" spans="1:20" ht="14.25" customHeight="1">
      <c r="A954" s="22">
        <v>1069</v>
      </c>
      <c r="B954" s="36">
        <v>7580</v>
      </c>
      <c r="C954" s="22" t="str">
        <f>IFERROR(VLOOKUP(B954,Colaboradores!A:D,2,),"")</f>
        <v>LUCIO JOSE DA COSTA LOPES</v>
      </c>
      <c r="D954" s="22" t="str">
        <f>IFERROR(VLOOKUP(B954,Colaboradores!A:D,3,),"")</f>
        <v>SEGURANÇA DO TRABALHO</v>
      </c>
      <c r="E954" s="22" t="str">
        <f>IFERROR(VLOOKUP(B954,Colaboradores!A:D,4,),"")</f>
        <v>TÉCNICO DE SEGURANÇA DO TRABALHO</v>
      </c>
      <c r="F954" s="22" t="s">
        <v>46</v>
      </c>
      <c r="G954" s="24" t="str">
        <f>IFERROR(VLOOKUP(F954,Procedimentos!A:C,2,),"")</f>
        <v>POLÍTICA DE SAÚDE E SEGURANÇA DO TRABALHO EMSERH</v>
      </c>
      <c r="H954" s="42"/>
      <c r="I954" s="44">
        <v>45700</v>
      </c>
      <c r="J954" s="22">
        <v>12</v>
      </c>
      <c r="K954" s="25">
        <f t="shared" si="49"/>
        <v>46065</v>
      </c>
      <c r="L954" s="28" t="str">
        <f t="shared" ca="1" si="48"/>
        <v>Vencido</v>
      </c>
      <c r="M954" s="33" t="s">
        <v>71</v>
      </c>
      <c r="N954" s="28" t="s">
        <v>21</v>
      </c>
      <c r="O954" s="22" t="s">
        <v>28</v>
      </c>
      <c r="P954" s="25">
        <f t="shared" si="47"/>
        <v>45789</v>
      </c>
      <c r="Q954" s="25"/>
      <c r="R954" s="25"/>
      <c r="S954" s="7"/>
      <c r="T954" s="7"/>
    </row>
    <row r="955" spans="1:20" ht="14.25" customHeight="1">
      <c r="A955" s="22">
        <v>1070</v>
      </c>
      <c r="B955" s="36">
        <v>13727</v>
      </c>
      <c r="C955" s="22" t="str">
        <f>IFERROR(VLOOKUP(B955,Colaboradores!A:D,2,),"")</f>
        <v>THIAGO MARIO LIMA GLERIA</v>
      </c>
      <c r="D955" s="22" t="str">
        <f>IFERROR(VLOOKUP(B955,Colaboradores!A:D,3,),"")</f>
        <v>SEGURANÇA DO TRABALHO</v>
      </c>
      <c r="E955" s="22" t="str">
        <f>IFERROR(VLOOKUP(B955,Colaboradores!A:D,4,),"")</f>
        <v>GERENTE DE SEGURANÇA DO TRABALHO</v>
      </c>
      <c r="F955" s="22" t="s">
        <v>46</v>
      </c>
      <c r="G955" s="24" t="str">
        <f>IFERROR(VLOOKUP(F955,Procedimentos!A:C,2,),"")</f>
        <v>POLÍTICA DE SAÚDE E SEGURANÇA DO TRABALHO EMSERH</v>
      </c>
      <c r="H955" s="42"/>
      <c r="I955" s="44">
        <v>45700</v>
      </c>
      <c r="J955" s="22">
        <v>12</v>
      </c>
      <c r="K955" s="25">
        <f t="shared" si="49"/>
        <v>46065</v>
      </c>
      <c r="L955" s="28" t="str">
        <f t="shared" ca="1" si="48"/>
        <v>Vencido</v>
      </c>
      <c r="M955" s="33" t="s">
        <v>71</v>
      </c>
      <c r="N955" s="28" t="s">
        <v>21</v>
      </c>
      <c r="O955" s="22" t="s">
        <v>28</v>
      </c>
      <c r="P955" s="25">
        <f t="shared" si="47"/>
        <v>45789</v>
      </c>
      <c r="Q955" s="25"/>
      <c r="R955" s="25"/>
      <c r="S955" s="7"/>
      <c r="T955" s="7"/>
    </row>
    <row r="956" spans="1:20" ht="14.25" customHeight="1">
      <c r="A956" s="22">
        <v>1071</v>
      </c>
      <c r="B956" s="36">
        <v>15134</v>
      </c>
      <c r="C956" s="22" t="str">
        <f>IFERROR(VLOOKUP(B956,Colaboradores!A:D,2,),"")</f>
        <v>ADRIANE MENDES ROSA</v>
      </c>
      <c r="D956" s="22" t="str">
        <f>IFERROR(VLOOKUP(B956,Colaboradores!A:D,3,),"")</f>
        <v>REGIONAL CENTRAL</v>
      </c>
      <c r="E956" s="22" t="str">
        <f>IFERROR(VLOOKUP(B956,Colaboradores!A:D,4,),"")</f>
        <v>ENFERMEIRA DO TRABALHO</v>
      </c>
      <c r="F956" s="22" t="s">
        <v>46</v>
      </c>
      <c r="G956" s="24" t="str">
        <f>IFERROR(VLOOKUP(F956,Procedimentos!A:C,2,),"")</f>
        <v>POLÍTICA DE SAÚDE E SEGURANÇA DO TRABALHO EMSERH</v>
      </c>
      <c r="H956" s="42"/>
      <c r="I956" s="44">
        <v>45888</v>
      </c>
      <c r="J956" s="22">
        <v>12</v>
      </c>
      <c r="K956" s="25">
        <f t="shared" si="49"/>
        <v>46253</v>
      </c>
      <c r="L956" s="28" t="str">
        <f t="shared" ca="1" si="48"/>
        <v>Em dia</v>
      </c>
      <c r="M956" s="33" t="s">
        <v>71</v>
      </c>
      <c r="N956" s="28" t="s">
        <v>21</v>
      </c>
      <c r="O956" s="22" t="s">
        <v>28</v>
      </c>
      <c r="P956" s="25">
        <f t="shared" si="47"/>
        <v>45980</v>
      </c>
      <c r="Q956" s="25"/>
      <c r="R956" s="25"/>
      <c r="S956" s="7"/>
      <c r="T956" s="7"/>
    </row>
    <row r="957" spans="1:20" ht="14.25" customHeight="1">
      <c r="A957" s="22">
        <v>1072</v>
      </c>
      <c r="B957" s="36">
        <v>14354</v>
      </c>
      <c r="C957" s="22" t="str">
        <f>IFERROR(VLOOKUP(B957,Colaboradores!A:D,2,),"")</f>
        <v>JOSE CLEITON SILVA DE OLIVEIRA</v>
      </c>
      <c r="D957" s="22" t="str">
        <f>IFERROR(VLOOKUP(B957,Colaboradores!A:D,3,),"")</f>
        <v>REGIONAL CENTRAL</v>
      </c>
      <c r="E957" s="22" t="str">
        <f>IFERROR(VLOOKUP(B957,Colaboradores!A:D,4,),"")</f>
        <v>TÉCNICO DE SEGURANÇA DO TRABALHO</v>
      </c>
      <c r="F957" s="22" t="s">
        <v>46</v>
      </c>
      <c r="G957" s="24" t="str">
        <f>IFERROR(VLOOKUP(F957,Procedimentos!A:C,2,),"")</f>
        <v>POLÍTICA DE SAÚDE E SEGURANÇA DO TRABALHO EMSERH</v>
      </c>
      <c r="H957" s="42"/>
      <c r="I957" s="44">
        <v>45700</v>
      </c>
      <c r="J957" s="22">
        <v>12</v>
      </c>
      <c r="K957" s="25">
        <f t="shared" si="49"/>
        <v>46065</v>
      </c>
      <c r="L957" s="28" t="str">
        <f t="shared" ca="1" si="48"/>
        <v>Vencido</v>
      </c>
      <c r="M957" s="33" t="s">
        <v>71</v>
      </c>
      <c r="N957" s="28" t="s">
        <v>21</v>
      </c>
      <c r="O957" s="22" t="s">
        <v>28</v>
      </c>
      <c r="P957" s="25">
        <f t="shared" si="47"/>
        <v>45789</v>
      </c>
      <c r="Q957" s="25"/>
      <c r="R957" s="25"/>
      <c r="S957" s="7"/>
      <c r="T957" s="7"/>
    </row>
    <row r="958" spans="1:20" ht="14.25" customHeight="1">
      <c r="A958" s="22">
        <v>1073</v>
      </c>
      <c r="B958" s="36">
        <v>13822</v>
      </c>
      <c r="C958" s="22" t="str">
        <f>IFERROR(VLOOKUP(B958,Colaboradores!A:D,2,),"")</f>
        <v>JULIANA DE CASTRO ALMEIDA</v>
      </c>
      <c r="D958" s="22" t="str">
        <f>IFERROR(VLOOKUP(B958,Colaboradores!A:D,3,),"")</f>
        <v>REGIONAL CENTRAL</v>
      </c>
      <c r="E958" s="22" t="str">
        <f>IFERROR(VLOOKUP(B958,Colaboradores!A:D,4,),"")</f>
        <v>COORDENADOR DE SSMA</v>
      </c>
      <c r="F958" s="22" t="s">
        <v>46</v>
      </c>
      <c r="G958" s="24" t="str">
        <f>IFERROR(VLOOKUP(F958,Procedimentos!A:C,2,),"")</f>
        <v>POLÍTICA DE SAÚDE E SEGURANÇA DO TRABALHO EMSERH</v>
      </c>
      <c r="H958" s="42"/>
      <c r="I958" s="44">
        <v>45700</v>
      </c>
      <c r="J958" s="22">
        <v>12</v>
      </c>
      <c r="K958" s="25">
        <f t="shared" si="49"/>
        <v>46065</v>
      </c>
      <c r="L958" s="28" t="str">
        <f t="shared" ca="1" si="48"/>
        <v>Vencido</v>
      </c>
      <c r="M958" s="33" t="s">
        <v>71</v>
      </c>
      <c r="N958" s="28" t="s">
        <v>21</v>
      </c>
      <c r="O958" s="22" t="s">
        <v>28</v>
      </c>
      <c r="P958" s="25">
        <f t="shared" si="47"/>
        <v>45789</v>
      </c>
      <c r="Q958" s="25"/>
      <c r="R958" s="25"/>
      <c r="S958" s="7"/>
      <c r="T958" s="7"/>
    </row>
    <row r="959" spans="1:20" ht="14.25" customHeight="1">
      <c r="A959" s="22">
        <v>1074</v>
      </c>
      <c r="B959" s="36">
        <v>14700</v>
      </c>
      <c r="C959" s="22" t="str">
        <f>IFERROR(VLOOKUP(B959,Colaboradores!A:D,2,),"")</f>
        <v>LEANNDRO JOSE SOUSA DA SILVA</v>
      </c>
      <c r="D959" s="22" t="str">
        <f>IFERROR(VLOOKUP(B959,Colaboradores!A:D,3,),"")</f>
        <v>REGIONAL CENTRAL</v>
      </c>
      <c r="E959" s="22" t="str">
        <f>IFERROR(VLOOKUP(B959,Colaboradores!A:D,4,),"")</f>
        <v>MÉDICO DO TRABALHO</v>
      </c>
      <c r="F959" s="22" t="s">
        <v>46</v>
      </c>
      <c r="G959" s="24" t="str">
        <f>IFERROR(VLOOKUP(F959,Procedimentos!A:C,2,),"")</f>
        <v>POLÍTICA DE SAÚDE E SEGURANÇA DO TRABALHO EMSERH</v>
      </c>
      <c r="H959" s="42"/>
      <c r="I959" s="44">
        <v>45700</v>
      </c>
      <c r="J959" s="22">
        <v>12</v>
      </c>
      <c r="K959" s="25">
        <f t="shared" si="49"/>
        <v>46065</v>
      </c>
      <c r="L959" s="28" t="str">
        <f t="shared" ca="1" si="48"/>
        <v>Vencido</v>
      </c>
      <c r="M959" s="33" t="s">
        <v>71</v>
      </c>
      <c r="N959" s="28" t="s">
        <v>21</v>
      </c>
      <c r="O959" s="22" t="s">
        <v>28</v>
      </c>
      <c r="P959" s="25">
        <f t="shared" si="47"/>
        <v>45789</v>
      </c>
      <c r="Q959" s="25"/>
      <c r="R959" s="25"/>
      <c r="S959" s="7"/>
      <c r="T959" s="7"/>
    </row>
    <row r="960" spans="1:20" ht="14.25" customHeight="1">
      <c r="A960" s="22">
        <v>1076</v>
      </c>
      <c r="B960" s="36">
        <v>14785</v>
      </c>
      <c r="C960" s="22" t="str">
        <f>IFERROR(VLOOKUP(B960,Colaboradores!A:D,2,),"")</f>
        <v>ROSEANE CUSTODIO LIMA</v>
      </c>
      <c r="D960" s="22" t="str">
        <f>IFERROR(VLOOKUP(B960,Colaboradores!A:D,3,),"")</f>
        <v>REGIONAL CENTRAL</v>
      </c>
      <c r="E960" s="22" t="str">
        <f>IFERROR(VLOOKUP(B960,Colaboradores!A:D,4,),"")</f>
        <v>ASSISTENTE DE MEIO AMBIENTE</v>
      </c>
      <c r="F960" s="22" t="s">
        <v>46</v>
      </c>
      <c r="G960" s="24" t="str">
        <f>IFERROR(VLOOKUP(F960,Procedimentos!A:C,2,),"")</f>
        <v>POLÍTICA DE SAÚDE E SEGURANÇA DO TRABALHO EMSERH</v>
      </c>
      <c r="H960" s="42"/>
      <c r="I960" s="44">
        <v>45700</v>
      </c>
      <c r="J960" s="22">
        <v>12</v>
      </c>
      <c r="K960" s="25">
        <f t="shared" si="49"/>
        <v>46065</v>
      </c>
      <c r="L960" s="28" t="str">
        <f t="shared" ca="1" si="48"/>
        <v>Vencido</v>
      </c>
      <c r="M960" s="33" t="s">
        <v>71</v>
      </c>
      <c r="N960" s="28" t="s">
        <v>21</v>
      </c>
      <c r="O960" s="22" t="s">
        <v>28</v>
      </c>
      <c r="P960" s="25">
        <f t="shared" si="47"/>
        <v>45789</v>
      </c>
      <c r="Q960" s="25"/>
      <c r="R960" s="25"/>
      <c r="S960" s="7"/>
      <c r="T960" s="7"/>
    </row>
    <row r="961" spans="1:20" ht="14.25" customHeight="1">
      <c r="A961" s="22">
        <v>1077</v>
      </c>
      <c r="B961" s="36">
        <v>13584</v>
      </c>
      <c r="C961" s="22" t="str">
        <f>IFERROR(VLOOKUP(B961,Colaboradores!A:D,2,),"")</f>
        <v>ALANA RODRIGUES FERREIRA</v>
      </c>
      <c r="D961" s="22" t="str">
        <f>IFERROR(VLOOKUP(B961,Colaboradores!A:D,3,),"")</f>
        <v>REGIONAL LESTE</v>
      </c>
      <c r="E961" s="22" t="str">
        <f>IFERROR(VLOOKUP(B961,Colaboradores!A:D,4,),"")</f>
        <v>COORDENADOR DE SSMA</v>
      </c>
      <c r="F961" s="22" t="s">
        <v>46</v>
      </c>
      <c r="G961" s="24" t="str">
        <f>IFERROR(VLOOKUP(F961,Procedimentos!A:C,2,),"")</f>
        <v>POLÍTICA DE SAÚDE E SEGURANÇA DO TRABALHO EMSERH</v>
      </c>
      <c r="H961" s="42"/>
      <c r="I961" s="44">
        <v>45698</v>
      </c>
      <c r="J961" s="22">
        <v>12</v>
      </c>
      <c r="K961" s="25">
        <f t="shared" si="49"/>
        <v>46063</v>
      </c>
      <c r="L961" s="28" t="str">
        <f t="shared" ref="L961:L969" ca="1" si="50">IF(K961="","",IF(K961&lt;TODAY(),"Vencido",IF(K961&lt;=TODAY()+30,"A vencer","Em dia")))</f>
        <v>Vencido</v>
      </c>
      <c r="M961" s="33" t="s">
        <v>71</v>
      </c>
      <c r="N961" s="28" t="s">
        <v>21</v>
      </c>
      <c r="O961" s="22" t="s">
        <v>28</v>
      </c>
      <c r="P961" s="25">
        <f t="shared" si="47"/>
        <v>45787</v>
      </c>
      <c r="Q961" s="25"/>
      <c r="R961" s="25"/>
      <c r="S961" s="7"/>
      <c r="T961" s="7"/>
    </row>
    <row r="962" spans="1:20" ht="14.25" customHeight="1">
      <c r="A962" s="22">
        <v>1078</v>
      </c>
      <c r="B962" s="36">
        <v>13794</v>
      </c>
      <c r="C962" s="22" t="str">
        <f>IFERROR(VLOOKUP(B962,Colaboradores!A:D,2,),"")</f>
        <v>ERMANDO VIEIRA DE MOURA NETO</v>
      </c>
      <c r="D962" s="22" t="str">
        <f>IFERROR(VLOOKUP(B962,Colaboradores!A:D,3,),"")</f>
        <v>REGIONAL LESTE</v>
      </c>
      <c r="E962" s="22" t="str">
        <f>IFERROR(VLOOKUP(B962,Colaboradores!A:D,4,),"")</f>
        <v>MÉDICO DO TRABALHO</v>
      </c>
      <c r="F962" s="22" t="s">
        <v>46</v>
      </c>
      <c r="G962" s="24" t="str">
        <f>IFERROR(VLOOKUP(F962,Procedimentos!A:C,2,),"")</f>
        <v>POLÍTICA DE SAÚDE E SEGURANÇA DO TRABALHO EMSERH</v>
      </c>
      <c r="H962" s="42"/>
      <c r="I962" s="44">
        <v>45743</v>
      </c>
      <c r="J962" s="22">
        <v>12</v>
      </c>
      <c r="K962" s="25">
        <f t="shared" si="49"/>
        <v>46108</v>
      </c>
      <c r="L962" s="28" t="str">
        <f t="shared" ca="1" si="50"/>
        <v>A vencer</v>
      </c>
      <c r="M962" s="33" t="s">
        <v>71</v>
      </c>
      <c r="N962" s="28" t="s">
        <v>21</v>
      </c>
      <c r="O962" s="22" t="s">
        <v>28</v>
      </c>
      <c r="P962" s="25">
        <f t="shared" si="47"/>
        <v>45835</v>
      </c>
      <c r="Q962" s="25"/>
      <c r="R962" s="25"/>
      <c r="S962" s="7"/>
      <c r="T962" s="7"/>
    </row>
    <row r="963" spans="1:20" ht="14.25" customHeight="1">
      <c r="A963" s="22">
        <v>1079</v>
      </c>
      <c r="B963" s="36">
        <v>14356</v>
      </c>
      <c r="C963" s="22" t="str">
        <f>IFERROR(VLOOKUP(B963,Colaboradores!A:D,2,),"")</f>
        <v>JACILENE BELO LIMA</v>
      </c>
      <c r="D963" s="22" t="str">
        <f>IFERROR(VLOOKUP(B963,Colaboradores!A:D,3,),"")</f>
        <v>REGIONAL LESTE</v>
      </c>
      <c r="E963" s="22" t="str">
        <f>IFERROR(VLOOKUP(B963,Colaboradores!A:D,4,),"")</f>
        <v>ASSISTENTE ADMINISTRATIVO</v>
      </c>
      <c r="F963" s="22" t="s">
        <v>46</v>
      </c>
      <c r="G963" s="24" t="str">
        <f>IFERROR(VLOOKUP(F963,Procedimentos!A:C,2,),"")</f>
        <v>POLÍTICA DE SAÚDE E SEGURANÇA DO TRABALHO EMSERH</v>
      </c>
      <c r="H963" s="42"/>
      <c r="I963" s="44">
        <v>45698</v>
      </c>
      <c r="J963" s="22">
        <v>12</v>
      </c>
      <c r="K963" s="25">
        <f t="shared" ref="K963:K1026" si="51">IF(AND(I963&lt;&gt;"",J963&lt;&gt;""),DATE(YEAR(I963),MONTH(I963)+J963,DAY(I963)),"")</f>
        <v>46063</v>
      </c>
      <c r="L963" s="28" t="str">
        <f t="shared" ca="1" si="50"/>
        <v>Vencido</v>
      </c>
      <c r="M963" s="33" t="s">
        <v>71</v>
      </c>
      <c r="N963" s="28" t="s">
        <v>21</v>
      </c>
      <c r="O963" s="22" t="s">
        <v>28</v>
      </c>
      <c r="P963" s="25">
        <f t="shared" si="47"/>
        <v>45787</v>
      </c>
      <c r="Q963" s="25"/>
      <c r="R963" s="25"/>
      <c r="S963" s="7"/>
      <c r="T963" s="7"/>
    </row>
    <row r="964" spans="1:20" ht="14.25" customHeight="1">
      <c r="A964" s="22">
        <v>1080</v>
      </c>
      <c r="B964" s="36">
        <v>14420</v>
      </c>
      <c r="C964" s="22" t="str">
        <f>IFERROR(VLOOKUP(B964,Colaboradores!A:D,2,),"")</f>
        <v>LAYLLA EMANUELLY DA SILVA ARAUJO</v>
      </c>
      <c r="D964" s="22" t="str">
        <f>IFERROR(VLOOKUP(B964,Colaboradores!A:D,3,),"")</f>
        <v>REGIONAL LESTE</v>
      </c>
      <c r="E964" s="22" t="str">
        <f>IFERROR(VLOOKUP(B964,Colaboradores!A:D,4,),"")</f>
        <v>ASSISTENTE ADMINISTRATIVO</v>
      </c>
      <c r="F964" s="22" t="s">
        <v>46</v>
      </c>
      <c r="G964" s="24" t="str">
        <f>IFERROR(VLOOKUP(F964,Procedimentos!A:C,2,),"")</f>
        <v>POLÍTICA DE SAÚDE E SEGURANÇA DO TRABALHO EMSERH</v>
      </c>
      <c r="H964" s="42"/>
      <c r="I964" s="44">
        <v>45698</v>
      </c>
      <c r="J964" s="22">
        <v>12</v>
      </c>
      <c r="K964" s="25">
        <f t="shared" si="51"/>
        <v>46063</v>
      </c>
      <c r="L964" s="28" t="str">
        <f t="shared" ca="1" si="50"/>
        <v>Vencido</v>
      </c>
      <c r="M964" s="33" t="s">
        <v>71</v>
      </c>
      <c r="N964" s="28" t="s">
        <v>21</v>
      </c>
      <c r="O964" s="22" t="s">
        <v>28</v>
      </c>
      <c r="P964" s="25">
        <f t="shared" si="47"/>
        <v>45787</v>
      </c>
      <c r="Q964" s="25"/>
      <c r="R964" s="25"/>
      <c r="S964" s="7"/>
      <c r="T964" s="7"/>
    </row>
    <row r="965" spans="1:20" ht="14.25" customHeight="1">
      <c r="A965" s="22">
        <v>1081</v>
      </c>
      <c r="B965" s="36">
        <v>14815</v>
      </c>
      <c r="C965" s="22" t="str">
        <f>IFERROR(VLOOKUP(B965,Colaboradores!A:D,2,),"")</f>
        <v>NATHALIA CRISTINA DOS SANTOS RODRIGUES</v>
      </c>
      <c r="D965" s="22" t="str">
        <f>IFERROR(VLOOKUP(B965,Colaboradores!A:D,3,),"")</f>
        <v>REGIONAL LESTE</v>
      </c>
      <c r="E965" s="22" t="str">
        <f>IFERROR(VLOOKUP(B965,Colaboradores!A:D,4,),"")</f>
        <v>ASSISTENTE DE MEIO AMBIENTE</v>
      </c>
      <c r="F965" s="22" t="s">
        <v>46</v>
      </c>
      <c r="G965" s="24" t="str">
        <f>IFERROR(VLOOKUP(F965,Procedimentos!A:C,2,),"")</f>
        <v>POLÍTICA DE SAÚDE E SEGURANÇA DO TRABALHO EMSERH</v>
      </c>
      <c r="H965" s="42"/>
      <c r="I965" s="44">
        <v>45698</v>
      </c>
      <c r="J965" s="22">
        <v>12</v>
      </c>
      <c r="K965" s="25">
        <f t="shared" si="51"/>
        <v>46063</v>
      </c>
      <c r="L965" s="28" t="str">
        <f t="shared" ca="1" si="50"/>
        <v>Vencido</v>
      </c>
      <c r="M965" s="33" t="s">
        <v>71</v>
      </c>
      <c r="N965" s="28" t="s">
        <v>21</v>
      </c>
      <c r="O965" s="22" t="s">
        <v>28</v>
      </c>
      <c r="P965" s="25">
        <f t="shared" si="47"/>
        <v>45787</v>
      </c>
      <c r="Q965" s="25"/>
      <c r="R965" s="25"/>
      <c r="S965" s="7"/>
      <c r="T965" s="7"/>
    </row>
    <row r="966" spans="1:20" ht="14.25" customHeight="1">
      <c r="A966" s="22">
        <v>1082</v>
      </c>
      <c r="B966" s="36">
        <v>14721</v>
      </c>
      <c r="C966" s="22" t="str">
        <f>IFERROR(VLOOKUP(B966,Colaboradores!A:D,2,),"")</f>
        <v>RONILSON FERREIRA OLIVEIRA</v>
      </c>
      <c r="D966" s="22" t="str">
        <f>IFERROR(VLOOKUP(B966,Colaboradores!A:D,3,),"")</f>
        <v>REGIONAL LESTE</v>
      </c>
      <c r="E966" s="22" t="str">
        <f>IFERROR(VLOOKUP(B966,Colaboradores!A:D,4,),"")</f>
        <v>TÉCNICO DE SEGURANÇA DO TRABALHO</v>
      </c>
      <c r="F966" s="22" t="s">
        <v>46</v>
      </c>
      <c r="G966" s="24" t="str">
        <f>IFERROR(VLOOKUP(F966,Procedimentos!A:C,2,),"")</f>
        <v>POLÍTICA DE SAÚDE E SEGURANÇA DO TRABALHO EMSERH</v>
      </c>
      <c r="H966" s="42"/>
      <c r="I966" s="44">
        <v>45698</v>
      </c>
      <c r="J966" s="22">
        <v>12</v>
      </c>
      <c r="K966" s="25">
        <f t="shared" si="51"/>
        <v>46063</v>
      </c>
      <c r="L966" s="28" t="str">
        <f t="shared" ca="1" si="50"/>
        <v>Vencido</v>
      </c>
      <c r="M966" s="33" t="s">
        <v>71</v>
      </c>
      <c r="N966" s="28" t="s">
        <v>21</v>
      </c>
      <c r="O966" s="22" t="s">
        <v>28</v>
      </c>
      <c r="P966" s="25">
        <f t="shared" si="47"/>
        <v>45787</v>
      </c>
      <c r="Q966" s="25"/>
      <c r="R966" s="25"/>
      <c r="S966" s="7"/>
      <c r="T966" s="7"/>
    </row>
    <row r="967" spans="1:20" ht="14.25" customHeight="1">
      <c r="A967" s="22">
        <v>1083</v>
      </c>
      <c r="B967" s="36">
        <v>14767</v>
      </c>
      <c r="C967" s="22" t="str">
        <f>IFERROR(VLOOKUP(B967,Colaboradores!A:D,2,),"")</f>
        <v>CAIO VINICIUS PEREIRA DO NASCIMENTO</v>
      </c>
      <c r="D967" s="22" t="str">
        <f>IFERROR(VLOOKUP(B967,Colaboradores!A:D,3,),"")</f>
        <v>REGIONAL SUL</v>
      </c>
      <c r="E967" s="22" t="str">
        <f>IFERROR(VLOOKUP(B967,Colaboradores!A:D,4,),"")</f>
        <v>TÉCNICO DE MEIO AMBIENTE</v>
      </c>
      <c r="F967" s="22" t="s">
        <v>46</v>
      </c>
      <c r="G967" s="24" t="str">
        <f>IFERROR(VLOOKUP(F967,Procedimentos!A:C,2,),"")</f>
        <v>POLÍTICA DE SAÚDE E SEGURANÇA DO TRABALHO EMSERH</v>
      </c>
      <c r="H967" s="42"/>
      <c r="I967" s="45">
        <v>45700</v>
      </c>
      <c r="J967" s="22">
        <v>12</v>
      </c>
      <c r="K967" s="25">
        <f t="shared" si="51"/>
        <v>46065</v>
      </c>
      <c r="L967" s="28" t="str">
        <f t="shared" ca="1" si="50"/>
        <v>Vencido</v>
      </c>
      <c r="M967" s="33" t="s">
        <v>71</v>
      </c>
      <c r="N967" s="28" t="s">
        <v>21</v>
      </c>
      <c r="O967" s="22" t="s">
        <v>28</v>
      </c>
      <c r="P967" s="25">
        <f t="shared" si="47"/>
        <v>45789</v>
      </c>
      <c r="Q967" s="25"/>
      <c r="R967" s="25"/>
      <c r="S967" s="7"/>
      <c r="T967" s="7"/>
    </row>
    <row r="968" spans="1:20" ht="14.25" customHeight="1">
      <c r="A968" s="22">
        <v>1084</v>
      </c>
      <c r="B968" s="36">
        <v>13964</v>
      </c>
      <c r="C968" s="22" t="str">
        <f>IFERROR(VLOOKUP(B968,Colaboradores!A:D,2,),"")</f>
        <v>ESTER MOREIRA AMBROSIO DE CARVALHO</v>
      </c>
      <c r="D968" s="22" t="str">
        <f>IFERROR(VLOOKUP(B968,Colaboradores!A:D,3,),"")</f>
        <v>REGIONAL SUL</v>
      </c>
      <c r="E968" s="22" t="str">
        <f>IFERROR(VLOOKUP(B968,Colaboradores!A:D,4,),"")</f>
        <v>ENFERMEIRO DO TRABALHO</v>
      </c>
      <c r="F968" s="22" t="s">
        <v>46</v>
      </c>
      <c r="G968" s="24" t="str">
        <f>IFERROR(VLOOKUP(F968,Procedimentos!A:C,2,),"")</f>
        <v>POLÍTICA DE SAÚDE E SEGURANÇA DO TRABALHO EMSERH</v>
      </c>
      <c r="H968" s="42"/>
      <c r="I968" s="45">
        <v>45700</v>
      </c>
      <c r="J968" s="22">
        <v>12</v>
      </c>
      <c r="K968" s="25">
        <f t="shared" si="51"/>
        <v>46065</v>
      </c>
      <c r="L968" s="28" t="str">
        <f t="shared" ca="1" si="50"/>
        <v>Vencido</v>
      </c>
      <c r="M968" s="33" t="s">
        <v>71</v>
      </c>
      <c r="N968" s="28" t="s">
        <v>21</v>
      </c>
      <c r="O968" s="22" t="s">
        <v>28</v>
      </c>
      <c r="P968" s="25">
        <f t="shared" si="47"/>
        <v>45789</v>
      </c>
      <c r="Q968" s="25"/>
      <c r="R968" s="25"/>
      <c r="S968" s="7"/>
      <c r="T968" s="7"/>
    </row>
    <row r="969" spans="1:20" ht="14.25" customHeight="1">
      <c r="A969" s="22">
        <v>1085</v>
      </c>
      <c r="B969" s="36">
        <v>14321</v>
      </c>
      <c r="C969" s="22" t="str">
        <f>IFERROR(VLOOKUP(B969,Colaboradores!A:D,2,),"")</f>
        <v>LAYANA KARINE SILVA BARBOSA</v>
      </c>
      <c r="D969" s="22" t="str">
        <f>IFERROR(VLOOKUP(B969,Colaboradores!A:D,3,),"")</f>
        <v>REGIONAL SUL</v>
      </c>
      <c r="E969" s="22" t="str">
        <f>IFERROR(VLOOKUP(B969,Colaboradores!A:D,4,),"")</f>
        <v>ASSISTENTE ADMINISTRATIVO</v>
      </c>
      <c r="F969" s="22" t="s">
        <v>46</v>
      </c>
      <c r="G969" s="24" t="str">
        <f>IFERROR(VLOOKUP(F969,Procedimentos!A:C,2,),"")</f>
        <v>POLÍTICA DE SAÚDE E SEGURANÇA DO TRABALHO EMSERH</v>
      </c>
      <c r="H969" s="42"/>
      <c r="I969" s="45">
        <v>45700</v>
      </c>
      <c r="J969" s="22">
        <v>12</v>
      </c>
      <c r="K969" s="25">
        <f t="shared" si="51"/>
        <v>46065</v>
      </c>
      <c r="L969" s="28" t="str">
        <f t="shared" ca="1" si="50"/>
        <v>Vencido</v>
      </c>
      <c r="M969" s="33" t="s">
        <v>71</v>
      </c>
      <c r="N969" s="28" t="s">
        <v>21</v>
      </c>
      <c r="O969" s="22" t="s">
        <v>28</v>
      </c>
      <c r="P969" s="25">
        <f t="shared" si="47"/>
        <v>45789</v>
      </c>
      <c r="Q969" s="25"/>
      <c r="R969" s="25"/>
      <c r="S969" s="7"/>
      <c r="T969" s="7"/>
    </row>
    <row r="970" spans="1:20" ht="14.25" customHeight="1">
      <c r="A970" s="22">
        <v>1087</v>
      </c>
      <c r="B970" s="36">
        <v>14565</v>
      </c>
      <c r="C970" s="22" t="str">
        <f>IFERROR(VLOOKUP(B970,Colaboradores!A:D,2,),"")</f>
        <v>CAMILA RODRIGUES GOMES</v>
      </c>
      <c r="D970" s="22" t="str">
        <f>IFERROR(VLOOKUP(B970,Colaboradores!A:D,3,),"")</f>
        <v>SEGURANÇA DO TRABALHO</v>
      </c>
      <c r="E970" s="22" t="str">
        <f>IFERROR(VLOOKUP(B970,Colaboradores!A:D,4,),"")</f>
        <v>TÉCNICO DE SEGURANÇA DO TRABALHO</v>
      </c>
      <c r="F970" s="22" t="s">
        <v>36</v>
      </c>
      <c r="G970" s="24" t="str">
        <f>IFERROR(VLOOKUP(F970,Procedimentos!A:C,2,),"")</f>
        <v>GESTÃO DE PRODUTOS QUÍMICOS</v>
      </c>
      <c r="H970" s="41"/>
      <c r="I970" s="43">
        <v>45862</v>
      </c>
      <c r="J970" s="22">
        <v>12</v>
      </c>
      <c r="K970" s="25">
        <f t="shared" si="51"/>
        <v>46227</v>
      </c>
      <c r="L970" s="7"/>
      <c r="M970" s="33" t="s">
        <v>70</v>
      </c>
      <c r="N970" s="7"/>
      <c r="O970" s="22" t="s">
        <v>28</v>
      </c>
      <c r="P970" s="25">
        <f t="shared" si="47"/>
        <v>45954</v>
      </c>
      <c r="Q970" s="25"/>
      <c r="R970" s="25"/>
      <c r="S970" s="7"/>
      <c r="T970" s="7"/>
    </row>
    <row r="971" spans="1:20" ht="14.25" customHeight="1">
      <c r="A971" s="22">
        <v>1088</v>
      </c>
      <c r="B971" s="48">
        <v>13727</v>
      </c>
      <c r="C971" s="22" t="str">
        <f>IFERROR(VLOOKUP(B971,Colaboradores!A:D,2,),"")</f>
        <v>THIAGO MARIO LIMA GLERIA</v>
      </c>
      <c r="D971" s="22" t="str">
        <f>IFERROR(VLOOKUP(B971,Colaboradores!A:D,3,),"")</f>
        <v>SEGURANÇA DO TRABALHO</v>
      </c>
      <c r="E971" s="22" t="str">
        <f>IFERROR(VLOOKUP(B971,Colaboradores!A:D,4,),"")</f>
        <v>GERENTE DE SEGURANÇA DO TRABALHO</v>
      </c>
      <c r="F971" s="22" t="s">
        <v>29</v>
      </c>
      <c r="G971" s="24" t="str">
        <f>IFERROR(VLOOKUP(F971,Procedimentos!A:C,2,),"")</f>
        <v>COLETA SELETIVA DESSMA</v>
      </c>
      <c r="H971" s="41"/>
      <c r="I971" s="43">
        <v>45889</v>
      </c>
      <c r="J971" s="22">
        <v>12</v>
      </c>
      <c r="K971" s="25">
        <f t="shared" si="51"/>
        <v>46254</v>
      </c>
      <c r="L971" s="7"/>
      <c r="M971" s="33" t="s">
        <v>70</v>
      </c>
      <c r="N971" s="7"/>
      <c r="O971" s="22" t="s">
        <v>28</v>
      </c>
      <c r="P971" s="25">
        <f t="shared" si="47"/>
        <v>45981</v>
      </c>
      <c r="Q971" s="25"/>
      <c r="R971" s="25"/>
      <c r="S971" s="7"/>
      <c r="T971" s="7"/>
    </row>
    <row r="972" spans="1:20" ht="14.25" customHeight="1">
      <c r="A972" s="22">
        <v>1089</v>
      </c>
      <c r="B972" s="49">
        <v>13727</v>
      </c>
      <c r="C972" s="22" t="str">
        <f>IFERROR(VLOOKUP(B972,Colaboradores!A:D,2,),"")</f>
        <v>THIAGO MARIO LIMA GLERIA</v>
      </c>
      <c r="D972" s="22" t="str">
        <f>IFERROR(VLOOKUP(B972,Colaboradores!A:D,3,),"")</f>
        <v>SEGURANÇA DO TRABALHO</v>
      </c>
      <c r="E972" s="22" t="str">
        <f>IFERROR(VLOOKUP(B972,Colaboradores!A:D,4,),"")</f>
        <v>GERENTE DE SEGURANÇA DO TRABALHO</v>
      </c>
      <c r="F972" s="22" t="s">
        <v>36</v>
      </c>
      <c r="G972" s="24" t="str">
        <f>IFERROR(VLOOKUP(F972,Procedimentos!A:C,2,),"")</f>
        <v>GESTÃO DE PRODUTOS QUÍMICOS</v>
      </c>
      <c r="H972" s="41"/>
      <c r="I972" s="43">
        <v>45889</v>
      </c>
      <c r="J972" s="22">
        <v>12</v>
      </c>
      <c r="K972" s="25">
        <f t="shared" si="51"/>
        <v>46254</v>
      </c>
      <c r="L972" s="7"/>
      <c r="M972" s="33" t="s">
        <v>70</v>
      </c>
      <c r="N972" s="7"/>
      <c r="O972" s="22" t="s">
        <v>28</v>
      </c>
      <c r="P972" s="25">
        <f t="shared" si="47"/>
        <v>45981</v>
      </c>
      <c r="Q972" s="25"/>
      <c r="R972" s="25"/>
      <c r="S972" s="7"/>
      <c r="T972" s="7"/>
    </row>
    <row r="973" spans="1:20" ht="14.25" customHeight="1">
      <c r="A973" s="22">
        <v>1090</v>
      </c>
      <c r="B973" s="33">
        <v>13727</v>
      </c>
      <c r="C973" s="22" t="str">
        <f>IFERROR(VLOOKUP(B973,Colaboradores!A:D,2,),"")</f>
        <v>THIAGO MARIO LIMA GLERIA</v>
      </c>
      <c r="D973" s="22" t="str">
        <f>IFERROR(VLOOKUP(B973,Colaboradores!A:D,3,),"")</f>
        <v>SEGURANÇA DO TRABALHO</v>
      </c>
      <c r="E973" s="22" t="str">
        <f>IFERROR(VLOOKUP(B973,Colaboradores!A:D,4,),"")</f>
        <v>GERENTE DE SEGURANÇA DO TRABALHO</v>
      </c>
      <c r="F973" s="22" t="s">
        <v>32</v>
      </c>
      <c r="G973" s="24" t="str">
        <f>IFERROR(VLOOKUP(F973,Procedimentos!A:C,2,),"")</f>
        <v>GESTÃO DE LEVANTAMENTO DE ASPECTOS E IMPACTOS AMBIENTAIS</v>
      </c>
      <c r="H973" s="41"/>
      <c r="I973" s="43">
        <v>45889</v>
      </c>
      <c r="J973" s="22">
        <v>12</v>
      </c>
      <c r="K973" s="25">
        <f t="shared" si="51"/>
        <v>46254</v>
      </c>
      <c r="L973" s="7"/>
      <c r="M973" s="33" t="s">
        <v>70</v>
      </c>
      <c r="N973" s="7"/>
      <c r="O973" s="22" t="s">
        <v>28</v>
      </c>
      <c r="P973" s="25">
        <f t="shared" si="47"/>
        <v>45981</v>
      </c>
      <c r="Q973" s="25"/>
      <c r="R973" s="25"/>
      <c r="S973" s="7"/>
      <c r="T973" s="7"/>
    </row>
    <row r="974" spans="1:20" ht="14.25" customHeight="1">
      <c r="A974" s="22">
        <v>1091</v>
      </c>
      <c r="B974" s="33">
        <v>13727</v>
      </c>
      <c r="C974" s="22" t="str">
        <f>IFERROR(VLOOKUP(B974,Colaboradores!A:D,2,),"")</f>
        <v>THIAGO MARIO LIMA GLERIA</v>
      </c>
      <c r="D974" s="22" t="str">
        <f>IFERROR(VLOOKUP(B974,Colaboradores!A:D,3,),"")</f>
        <v>SEGURANÇA DO TRABALHO</v>
      </c>
      <c r="E974" s="22" t="str">
        <f>IFERROR(VLOOKUP(B974,Colaboradores!A:D,4,),"")</f>
        <v>GERENTE DE SEGURANÇA DO TRABALHO</v>
      </c>
      <c r="F974" s="22" t="s">
        <v>31</v>
      </c>
      <c r="G974" s="24" t="str">
        <f>IFERROR(VLOOKUP(F974,Procedimentos!A:C,2,),"")</f>
        <v>GESTÃO DE COMUNICAÇÃO, CLASSIFICAÇÃO E INVESTIGAÇÃO DE OCORRÊNCIAS AMBIENTAIS</v>
      </c>
      <c r="H974" s="41"/>
      <c r="I974" s="43">
        <v>45889</v>
      </c>
      <c r="J974" s="22">
        <v>12</v>
      </c>
      <c r="K974" s="25">
        <f t="shared" si="51"/>
        <v>46254</v>
      </c>
      <c r="L974" s="7"/>
      <c r="M974" s="33" t="s">
        <v>70</v>
      </c>
      <c r="N974" s="7"/>
      <c r="O974" s="22" t="s">
        <v>28</v>
      </c>
      <c r="P974" s="25">
        <f t="shared" si="47"/>
        <v>45981</v>
      </c>
      <c r="Q974" s="25"/>
      <c r="R974" s="25"/>
      <c r="S974" s="7"/>
      <c r="T974" s="7"/>
    </row>
    <row r="975" spans="1:20" ht="14.25" customHeight="1">
      <c r="A975" s="22">
        <v>1092</v>
      </c>
      <c r="B975" s="33">
        <v>13727</v>
      </c>
      <c r="C975" s="22" t="str">
        <f>IFERROR(VLOOKUP(B975,Colaboradores!A:D,2,),"")</f>
        <v>THIAGO MARIO LIMA GLERIA</v>
      </c>
      <c r="D975" s="22" t="str">
        <f>IFERROR(VLOOKUP(B975,Colaboradores!A:D,3,),"")</f>
        <v>SEGURANÇA DO TRABALHO</v>
      </c>
      <c r="E975" s="22" t="str">
        <f>IFERROR(VLOOKUP(B975,Colaboradores!A:D,4,),"")</f>
        <v>GERENTE DE SEGURANÇA DO TRABALHO</v>
      </c>
      <c r="F975" s="22" t="s">
        <v>33</v>
      </c>
      <c r="G975" s="24" t="str">
        <f>IFERROR(VLOOKUP(F975,Procedimentos!A:C,2,),"")</f>
        <v>GESTÃO DE INSPEÇÕES AMBIENTAIS</v>
      </c>
      <c r="H975" s="41"/>
      <c r="I975" s="43">
        <v>45889</v>
      </c>
      <c r="J975" s="22">
        <v>12</v>
      </c>
      <c r="K975" s="25">
        <f t="shared" si="51"/>
        <v>46254</v>
      </c>
      <c r="L975" s="7"/>
      <c r="M975" s="33" t="s">
        <v>70</v>
      </c>
      <c r="N975" s="7"/>
      <c r="O975" s="22" t="s">
        <v>28</v>
      </c>
      <c r="P975" s="25">
        <f t="shared" si="47"/>
        <v>45981</v>
      </c>
      <c r="Q975" s="25"/>
      <c r="R975" s="25"/>
      <c r="S975" s="7"/>
      <c r="T975" s="7"/>
    </row>
    <row r="976" spans="1:20" ht="14.25" customHeight="1">
      <c r="A976" s="22">
        <v>1093</v>
      </c>
      <c r="B976" s="33">
        <v>13727</v>
      </c>
      <c r="C976" s="22" t="str">
        <f>IFERROR(VLOOKUP(B976,Colaboradores!A:D,2,),"")</f>
        <v>THIAGO MARIO LIMA GLERIA</v>
      </c>
      <c r="D976" s="22" t="str">
        <f>IFERROR(VLOOKUP(B976,Colaboradores!A:D,3,),"")</f>
        <v>SEGURANÇA DO TRABALHO</v>
      </c>
      <c r="E976" s="22" t="str">
        <f>IFERROR(VLOOKUP(B976,Colaboradores!A:D,4,),"")</f>
        <v>GERENTE DE SEGURANÇA DO TRABALHO</v>
      </c>
      <c r="F976" s="22" t="s">
        <v>49</v>
      </c>
      <c r="G976" s="24" t="str">
        <f>IFERROR(VLOOKUP(F976,Procedimentos!A:C,2,),"")</f>
        <v>DIRETRIZES PARA REALIZAÇÃO DE EXAMES OCUPACIONAIS</v>
      </c>
      <c r="H976" s="41"/>
      <c r="I976" s="43">
        <v>45890</v>
      </c>
      <c r="J976" s="22">
        <v>12</v>
      </c>
      <c r="K976" s="25">
        <f t="shared" si="51"/>
        <v>46255</v>
      </c>
      <c r="L976" s="7"/>
      <c r="M976" s="33" t="s">
        <v>72</v>
      </c>
      <c r="N976" s="7"/>
      <c r="O976" s="22" t="s">
        <v>28</v>
      </c>
      <c r="P976" s="25">
        <f t="shared" si="47"/>
        <v>45982</v>
      </c>
      <c r="Q976" s="25"/>
      <c r="R976" s="25"/>
      <c r="S976" s="7"/>
      <c r="T976" s="7"/>
    </row>
    <row r="977" spans="1:20" ht="14.25" customHeight="1">
      <c r="A977" s="22">
        <v>1094</v>
      </c>
      <c r="B977" s="33">
        <v>13727</v>
      </c>
      <c r="C977" s="22" t="str">
        <f>IFERROR(VLOOKUP(B977,Colaboradores!A:D,2,),"")</f>
        <v>THIAGO MARIO LIMA GLERIA</v>
      </c>
      <c r="D977" s="22" t="str">
        <f>IFERROR(VLOOKUP(B977,Colaboradores!A:D,3,),"")</f>
        <v>SEGURANÇA DO TRABALHO</v>
      </c>
      <c r="E977" s="22" t="str">
        <f>IFERROR(VLOOKUP(B977,Colaboradores!A:D,4,),"")</f>
        <v>GERENTE DE SEGURANÇA DO TRABALHO</v>
      </c>
      <c r="F977" s="22" t="s">
        <v>51</v>
      </c>
      <c r="G977" s="24" t="str">
        <f>IFERROR(VLOOKUP(F977,Procedimentos!A:C,2,),"")</f>
        <v>DIRETRIZES PARA ENTREGA DE ATESTADOS MÉDICOS E ODONTOLÓGICOS</v>
      </c>
      <c r="H977" s="41"/>
      <c r="I977" s="43">
        <v>45890</v>
      </c>
      <c r="J977" s="22">
        <v>12</v>
      </c>
      <c r="K977" s="25">
        <f t="shared" si="51"/>
        <v>46255</v>
      </c>
      <c r="L977" s="7"/>
      <c r="M977" s="33" t="s">
        <v>72</v>
      </c>
      <c r="N977" s="7"/>
      <c r="O977" s="22" t="s">
        <v>28</v>
      </c>
      <c r="P977" s="25">
        <f t="shared" si="47"/>
        <v>45982</v>
      </c>
      <c r="Q977" s="25"/>
      <c r="R977" s="25"/>
      <c r="S977" s="7"/>
      <c r="T977" s="7"/>
    </row>
    <row r="978" spans="1:20" ht="14.25" customHeight="1">
      <c r="A978" s="22">
        <v>1095</v>
      </c>
      <c r="B978" s="33">
        <v>13727</v>
      </c>
      <c r="C978" s="22" t="str">
        <f>IFERROR(VLOOKUP(B978,Colaboradores!A:D,2,),"")</f>
        <v>THIAGO MARIO LIMA GLERIA</v>
      </c>
      <c r="D978" s="22" t="str">
        <f>IFERROR(VLOOKUP(B978,Colaboradores!A:D,3,),"")</f>
        <v>SEGURANÇA DO TRABALHO</v>
      </c>
      <c r="E978" s="22" t="str">
        <f>IFERROR(VLOOKUP(B978,Colaboradores!A:D,4,),"")</f>
        <v>GERENTE DE SEGURANÇA DO TRABALHO</v>
      </c>
      <c r="F978" s="22" t="s">
        <v>52</v>
      </c>
      <c r="G978" s="24" t="str">
        <f>IFERROR(VLOOKUP(F978,Procedimentos!A:C,2,),"")</f>
        <v>DIRETRIZES E ACOMPANHAMENTO  DE ACIDENTE COM MATERIAL BIOLOGICO</v>
      </c>
      <c r="H978" s="41"/>
      <c r="I978" s="43">
        <v>45890</v>
      </c>
      <c r="J978" s="22">
        <v>12</v>
      </c>
      <c r="K978" s="25">
        <f t="shared" si="51"/>
        <v>46255</v>
      </c>
      <c r="L978" s="7"/>
      <c r="M978" s="33" t="s">
        <v>72</v>
      </c>
      <c r="N978" s="7"/>
      <c r="O978" s="22" t="s">
        <v>28</v>
      </c>
      <c r="P978" s="25">
        <f t="shared" si="47"/>
        <v>45982</v>
      </c>
      <c r="Q978" s="25"/>
      <c r="R978" s="25"/>
      <c r="S978" s="7"/>
      <c r="T978" s="7"/>
    </row>
    <row r="979" spans="1:20" ht="14.25" customHeight="1">
      <c r="A979" s="22">
        <v>1096</v>
      </c>
      <c r="B979" s="33">
        <v>13727</v>
      </c>
      <c r="C979" s="22" t="str">
        <f>IFERROR(VLOOKUP(B979,Colaboradores!A:D,2,),"")</f>
        <v>THIAGO MARIO LIMA GLERIA</v>
      </c>
      <c r="D979" s="22" t="str">
        <f>IFERROR(VLOOKUP(B979,Colaboradores!A:D,3,),"")</f>
        <v>SEGURANÇA DO TRABALHO</v>
      </c>
      <c r="E979" s="22" t="str">
        <f>IFERROR(VLOOKUP(B979,Colaboradores!A:D,4,),"")</f>
        <v>GERENTE DE SEGURANÇA DO TRABALHO</v>
      </c>
      <c r="F979" s="22" t="s">
        <v>53</v>
      </c>
      <c r="G979" s="24" t="str">
        <f>IFERROR(VLOOKUP(F979,Procedimentos!A:C,2,),"")</f>
        <v>DIRETRIZES PARA MONITORAMENTO DE GESTANTE</v>
      </c>
      <c r="H979" s="41"/>
      <c r="I979" s="43">
        <v>45890</v>
      </c>
      <c r="J979" s="22">
        <v>12</v>
      </c>
      <c r="K979" s="25">
        <f t="shared" si="51"/>
        <v>46255</v>
      </c>
      <c r="L979" s="7"/>
      <c r="M979" s="33" t="s">
        <v>72</v>
      </c>
      <c r="N979" s="7"/>
      <c r="O979" s="22" t="s">
        <v>28</v>
      </c>
      <c r="P979" s="25">
        <f t="shared" si="47"/>
        <v>45982</v>
      </c>
      <c r="Q979" s="25"/>
      <c r="R979" s="25"/>
      <c r="S979" s="7"/>
      <c r="T979" s="7"/>
    </row>
    <row r="980" spans="1:20" ht="14.25" customHeight="1">
      <c r="A980" s="22">
        <v>1097</v>
      </c>
      <c r="B980" s="33">
        <v>13727</v>
      </c>
      <c r="C980" s="22" t="str">
        <f>IFERROR(VLOOKUP(B980,Colaboradores!A:D,2,),"")</f>
        <v>THIAGO MARIO LIMA GLERIA</v>
      </c>
      <c r="D980" s="22" t="str">
        <f>IFERROR(VLOOKUP(B980,Colaboradores!A:D,3,),"")</f>
        <v>SEGURANÇA DO TRABALHO</v>
      </c>
      <c r="E980" s="22" t="str">
        <f>IFERROR(VLOOKUP(B980,Colaboradores!A:D,4,),"")</f>
        <v>GERENTE DE SEGURANÇA DO TRABALHO</v>
      </c>
      <c r="F980" s="22" t="s">
        <v>54</v>
      </c>
      <c r="G980" s="24" t="str">
        <f>IFERROR(VLOOKUP(F980,Procedimentos!A:C,2,),"")</f>
        <v>DIRETRIZES DE IMUNIZAÇÃO OCUPACIONAL</v>
      </c>
      <c r="H980" s="41"/>
      <c r="I980" s="43">
        <v>45890</v>
      </c>
      <c r="J980" s="22">
        <v>12</v>
      </c>
      <c r="K980" s="25">
        <f t="shared" si="51"/>
        <v>46255</v>
      </c>
      <c r="L980" s="7"/>
      <c r="M980" s="33" t="s">
        <v>72</v>
      </c>
      <c r="N980" s="7"/>
      <c r="O980" s="22" t="s">
        <v>28</v>
      </c>
      <c r="P980" s="25">
        <f t="shared" si="47"/>
        <v>45982</v>
      </c>
      <c r="Q980" s="25"/>
      <c r="R980" s="25"/>
      <c r="S980" s="7"/>
      <c r="T980" s="7"/>
    </row>
    <row r="981" spans="1:20" ht="14.25" customHeight="1">
      <c r="A981" s="22">
        <v>1098</v>
      </c>
      <c r="B981" s="33">
        <v>13727</v>
      </c>
      <c r="C981" s="22" t="str">
        <f>IFERROR(VLOOKUP(B981,Colaboradores!A:D,2,),"")</f>
        <v>THIAGO MARIO LIMA GLERIA</v>
      </c>
      <c r="D981" s="22" t="str">
        <f>IFERROR(VLOOKUP(B981,Colaboradores!A:D,3,),"")</f>
        <v>SEGURANÇA DO TRABALHO</v>
      </c>
      <c r="E981" s="22" t="str">
        <f>IFERROR(VLOOKUP(B981,Colaboradores!A:D,4,),"")</f>
        <v>GERENTE DE SEGURANÇA DO TRABALHO</v>
      </c>
      <c r="F981" s="22" t="s">
        <v>55</v>
      </c>
      <c r="G981" s="24" t="str">
        <f>IFERROR(VLOOKUP(F981,Procedimentos!A:C,2,),"")</f>
        <v>DIRETRIZES PARA ACOMPANHAMENTO DE AFASTADOS</v>
      </c>
      <c r="H981" s="41"/>
      <c r="I981" s="43">
        <v>45890</v>
      </c>
      <c r="J981" s="22">
        <v>12</v>
      </c>
      <c r="K981" s="25">
        <f t="shared" si="51"/>
        <v>46255</v>
      </c>
      <c r="L981" s="7"/>
      <c r="M981" s="33" t="s">
        <v>72</v>
      </c>
      <c r="N981" s="7"/>
      <c r="O981" s="22" t="s">
        <v>28</v>
      </c>
      <c r="P981" s="25">
        <f t="shared" si="47"/>
        <v>45982</v>
      </c>
      <c r="Q981" s="25"/>
      <c r="R981" s="25"/>
      <c r="S981" s="7"/>
      <c r="T981" s="7"/>
    </row>
    <row r="982" spans="1:20" ht="14.25" customHeight="1">
      <c r="A982" s="22">
        <v>1099</v>
      </c>
      <c r="B982" s="33">
        <v>13727</v>
      </c>
      <c r="C982" s="22" t="str">
        <f>IFERROR(VLOOKUP(B982,Colaboradores!A:D,2,),"")</f>
        <v>THIAGO MARIO LIMA GLERIA</v>
      </c>
      <c r="D982" s="22" t="str">
        <f>IFERROR(VLOOKUP(B982,Colaboradores!A:D,3,),"")</f>
        <v>SEGURANÇA DO TRABALHO</v>
      </c>
      <c r="E982" s="22" t="str">
        <f>IFERROR(VLOOKUP(B982,Colaboradores!A:D,4,),"")</f>
        <v>GERENTE DE SEGURANÇA DO TRABALHO</v>
      </c>
      <c r="F982" s="22" t="s">
        <v>19</v>
      </c>
      <c r="G982" s="24" t="str">
        <f>IFERROR(VLOOKUP(F982,Procedimentos!A:C,2,),"")</f>
        <v>DIRETRIZES PARA DOCUMENTOS NORMATIVOS</v>
      </c>
      <c r="H982" s="41"/>
      <c r="I982" s="43">
        <v>45860</v>
      </c>
      <c r="J982" s="22">
        <v>12</v>
      </c>
      <c r="K982" s="25">
        <f t="shared" si="51"/>
        <v>46225</v>
      </c>
      <c r="L982" s="7"/>
      <c r="M982" s="33" t="s">
        <v>65</v>
      </c>
      <c r="N982" s="7"/>
      <c r="O982" s="22" t="s">
        <v>28</v>
      </c>
      <c r="P982" s="25">
        <f t="shared" si="47"/>
        <v>45952</v>
      </c>
      <c r="Q982" s="25"/>
      <c r="R982" s="25"/>
      <c r="S982" s="7"/>
      <c r="T982" s="7"/>
    </row>
    <row r="983" spans="1:20" ht="14.25" customHeight="1">
      <c r="A983" s="22">
        <v>1100</v>
      </c>
      <c r="B983" s="33">
        <v>13727</v>
      </c>
      <c r="C983" s="22" t="str">
        <f>IFERROR(VLOOKUP(B983,Colaboradores!A:D,2,),"")</f>
        <v>THIAGO MARIO LIMA GLERIA</v>
      </c>
      <c r="D983" s="22" t="str">
        <f>IFERROR(VLOOKUP(B983,Colaboradores!A:D,3,),"")</f>
        <v>SEGURANÇA DO TRABALHO</v>
      </c>
      <c r="E983" s="22" t="str">
        <f>IFERROR(VLOOKUP(B983,Colaboradores!A:D,4,),"")</f>
        <v>GERENTE DE SEGURANÇA DO TRABALHO</v>
      </c>
      <c r="F983" s="22" t="s">
        <v>24</v>
      </c>
      <c r="G983" s="24" t="str">
        <f>IFERROR(VLOOKUP(F983,Procedimentos!A:C,2,),"")</f>
        <v>DIRETRIZES  PARA PROGRAMA 5S</v>
      </c>
      <c r="H983" s="41"/>
      <c r="I983" s="43">
        <v>45860</v>
      </c>
      <c r="J983" s="22">
        <v>12</v>
      </c>
      <c r="K983" s="25">
        <f t="shared" si="51"/>
        <v>46225</v>
      </c>
      <c r="L983" s="7"/>
      <c r="M983" s="33" t="s">
        <v>65</v>
      </c>
      <c r="N983" s="7"/>
      <c r="O983" s="22" t="s">
        <v>28</v>
      </c>
      <c r="P983" s="25">
        <f t="shared" si="47"/>
        <v>45952</v>
      </c>
      <c r="Q983" s="25"/>
      <c r="R983" s="25"/>
      <c r="S983" s="7"/>
      <c r="T983" s="7"/>
    </row>
    <row r="984" spans="1:20" ht="14.25" customHeight="1">
      <c r="A984" s="22">
        <v>1101</v>
      </c>
      <c r="B984" s="33">
        <v>13727</v>
      </c>
      <c r="C984" s="22" t="str">
        <f>IFERROR(VLOOKUP(B984,Colaboradores!A:D,2,),"")</f>
        <v>THIAGO MARIO LIMA GLERIA</v>
      </c>
      <c r="D984" s="22" t="str">
        <f>IFERROR(VLOOKUP(B984,Colaboradores!A:D,3,),"")</f>
        <v>SEGURANÇA DO TRABALHO</v>
      </c>
      <c r="E984" s="22" t="str">
        <f>IFERROR(VLOOKUP(B984,Colaboradores!A:D,4,),"")</f>
        <v>GERENTE DE SEGURANÇA DO TRABALHO</v>
      </c>
      <c r="F984" s="22" t="s">
        <v>25</v>
      </c>
      <c r="G984" s="24" t="str">
        <f>IFERROR(VLOOKUP(F984,Procedimentos!A:C,2,),"")</f>
        <v>GARANTIA DA QUALIDADE</v>
      </c>
      <c r="H984" s="41"/>
      <c r="I984" s="43">
        <v>45860</v>
      </c>
      <c r="J984" s="22">
        <v>12</v>
      </c>
      <c r="K984" s="25">
        <f t="shared" si="51"/>
        <v>46225</v>
      </c>
      <c r="L984" s="7"/>
      <c r="M984" s="33" t="s">
        <v>65</v>
      </c>
      <c r="N984" s="7"/>
      <c r="O984" s="22" t="s">
        <v>28</v>
      </c>
      <c r="P984" s="25">
        <f t="shared" si="47"/>
        <v>45952</v>
      </c>
      <c r="Q984" s="25"/>
      <c r="R984" s="25"/>
      <c r="S984" s="7"/>
      <c r="T984" s="7"/>
    </row>
    <row r="985" spans="1:20" ht="14.25" customHeight="1">
      <c r="A985" s="22">
        <v>1102</v>
      </c>
      <c r="B985" s="33">
        <v>13727</v>
      </c>
      <c r="C985" s="22" t="str">
        <f>IFERROR(VLOOKUP(B985,Colaboradores!A:D,2,),"")</f>
        <v>THIAGO MARIO LIMA GLERIA</v>
      </c>
      <c r="D985" s="22" t="str">
        <f>IFERROR(VLOOKUP(B985,Colaboradores!A:D,3,),"")</f>
        <v>SEGURANÇA DO TRABALHO</v>
      </c>
      <c r="E985" s="22" t="str">
        <f>IFERROR(VLOOKUP(B985,Colaboradores!A:D,4,),"")</f>
        <v>GERENTE DE SEGURANÇA DO TRABALHO</v>
      </c>
      <c r="F985" s="22" t="s">
        <v>26</v>
      </c>
      <c r="G985" s="24" t="str">
        <f>IFERROR(VLOOKUP(F985,Procedimentos!A:C,2,),"")</f>
        <v>RESPONSABILIDADES E AUTORIDADES DO SGQ</v>
      </c>
      <c r="H985" s="41"/>
      <c r="I985" s="43">
        <v>45860</v>
      </c>
      <c r="J985" s="22">
        <v>12</v>
      </c>
      <c r="K985" s="25">
        <f t="shared" si="51"/>
        <v>46225</v>
      </c>
      <c r="L985" s="7"/>
      <c r="M985" s="33" t="s">
        <v>65</v>
      </c>
      <c r="N985" s="7"/>
      <c r="O985" s="22" t="s">
        <v>28</v>
      </c>
      <c r="P985" s="25">
        <f t="shared" si="47"/>
        <v>45952</v>
      </c>
      <c r="Q985" s="25"/>
      <c r="R985" s="25"/>
      <c r="S985" s="7"/>
      <c r="T985" s="7"/>
    </row>
    <row r="986" spans="1:20" ht="14.25" customHeight="1">
      <c r="A986" s="22">
        <v>1103</v>
      </c>
      <c r="B986" s="33">
        <v>13727</v>
      </c>
      <c r="C986" s="22" t="str">
        <f>IFERROR(VLOOKUP(B986,Colaboradores!A:D,2,),"")</f>
        <v>THIAGO MARIO LIMA GLERIA</v>
      </c>
      <c r="D986" s="22" t="str">
        <f>IFERROR(VLOOKUP(B986,Colaboradores!A:D,3,),"")</f>
        <v>SEGURANÇA DO TRABALHO</v>
      </c>
      <c r="E986" s="22" t="str">
        <f>IFERROR(VLOOKUP(B986,Colaboradores!A:D,4,),"")</f>
        <v>GERENTE DE SEGURANÇA DO TRABALHO</v>
      </c>
      <c r="F986" s="22" t="s">
        <v>41</v>
      </c>
      <c r="G986" s="24" t="str">
        <f>IFERROR(VLOOKUP(F986,Procedimentos!A:C,2,),"")</f>
        <v>DIRETRIZES PARA COMUNICAÇÃO E INVESTIGAÇÃO DE ACIDENTES</v>
      </c>
      <c r="H986" s="22" t="s">
        <v>7</v>
      </c>
      <c r="I986" s="44"/>
      <c r="J986" s="22">
        <v>12</v>
      </c>
      <c r="K986" s="25" t="str">
        <f t="shared" si="51"/>
        <v/>
      </c>
      <c r="L986" s="7"/>
      <c r="M986" s="33"/>
      <c r="N986" s="7"/>
      <c r="O986" s="22" t="s">
        <v>28</v>
      </c>
      <c r="P986" s="25"/>
      <c r="Q986" s="25"/>
      <c r="R986" s="25"/>
      <c r="S986" s="7"/>
      <c r="T986" s="7"/>
    </row>
    <row r="987" spans="1:20" ht="14.25" customHeight="1">
      <c r="A987" s="22">
        <v>1104</v>
      </c>
      <c r="B987" s="33">
        <v>13727</v>
      </c>
      <c r="C987" s="22" t="str">
        <f>IFERROR(VLOOKUP(B987,Colaboradores!A:D,2,),"")</f>
        <v>THIAGO MARIO LIMA GLERIA</v>
      </c>
      <c r="D987" s="22" t="str">
        <f>IFERROR(VLOOKUP(B987,Colaboradores!A:D,3,),"")</f>
        <v>SEGURANÇA DO TRABALHO</v>
      </c>
      <c r="E987" s="22" t="str">
        <f>IFERROR(VLOOKUP(B987,Colaboradores!A:D,4,),"")</f>
        <v>GERENTE DE SEGURANÇA DO TRABALHO</v>
      </c>
      <c r="F987" s="22" t="s">
        <v>43</v>
      </c>
      <c r="G987" s="24" t="str">
        <f>IFERROR(VLOOKUP(F987,Procedimentos!A:C,2,),"")</f>
        <v>DIÁLOGO DE SAÚDE E SEGURANÇA - DSS</v>
      </c>
      <c r="H987" s="22" t="s">
        <v>7</v>
      </c>
      <c r="I987" s="44"/>
      <c r="J987" s="22">
        <v>12</v>
      </c>
      <c r="K987" s="25" t="str">
        <f t="shared" si="51"/>
        <v/>
      </c>
      <c r="L987" s="7"/>
      <c r="M987" s="33"/>
      <c r="N987" s="7"/>
      <c r="O987" s="22" t="s">
        <v>28</v>
      </c>
      <c r="P987" s="25"/>
      <c r="Q987" s="25"/>
      <c r="R987" s="25"/>
      <c r="S987" s="7"/>
      <c r="T987" s="7"/>
    </row>
    <row r="988" spans="1:20" ht="14.25" customHeight="1">
      <c r="A988" s="22">
        <v>1105</v>
      </c>
      <c r="B988" s="33">
        <v>13727</v>
      </c>
      <c r="C988" s="22" t="str">
        <f>IFERROR(VLOOKUP(B988,Colaboradores!A:D,2,),"")</f>
        <v>THIAGO MARIO LIMA GLERIA</v>
      </c>
      <c r="D988" s="22" t="str">
        <f>IFERROR(VLOOKUP(B988,Colaboradores!A:D,3,),"")</f>
        <v>SEGURANÇA DO TRABALHO</v>
      </c>
      <c r="E988" s="22" t="str">
        <f>IFERROR(VLOOKUP(B988,Colaboradores!A:D,4,),"")</f>
        <v>GERENTE DE SEGURANÇA DO TRABALHO</v>
      </c>
      <c r="F988" s="22" t="s">
        <v>44</v>
      </c>
      <c r="G988" s="24" t="str">
        <f>IFERROR(VLOOKUP(F988,Procedimentos!A:C,2,),"")</f>
        <v>DIRETRIZES PARA GESTÃO DE EQUIPAMENTOS DE PROTEÇÃO INDIVIDUAL - EPI'S</v>
      </c>
      <c r="H988" s="22" t="s">
        <v>7</v>
      </c>
      <c r="I988" s="44"/>
      <c r="J988" s="22">
        <v>12</v>
      </c>
      <c r="K988" s="25" t="str">
        <f t="shared" si="51"/>
        <v/>
      </c>
      <c r="L988" s="7"/>
      <c r="M988" s="33"/>
      <c r="N988" s="7"/>
      <c r="O988" s="22" t="s">
        <v>28</v>
      </c>
      <c r="P988" s="25"/>
      <c r="Q988" s="25"/>
      <c r="R988" s="25"/>
      <c r="S988" s="7"/>
      <c r="T988" s="7"/>
    </row>
    <row r="989" spans="1:20" ht="14.25" customHeight="1">
      <c r="A989" s="22">
        <v>1106</v>
      </c>
      <c r="B989" s="33">
        <v>13727</v>
      </c>
      <c r="C989" s="22" t="str">
        <f>IFERROR(VLOOKUP(B989,Colaboradores!A:D,2,),"")</f>
        <v>THIAGO MARIO LIMA GLERIA</v>
      </c>
      <c r="D989" s="22" t="str">
        <f>IFERROR(VLOOKUP(B989,Colaboradores!A:D,3,),"")</f>
        <v>SEGURANÇA DO TRABALHO</v>
      </c>
      <c r="E989" s="22" t="str">
        <f>IFERROR(VLOOKUP(B989,Colaboradores!A:D,4,),"")</f>
        <v>GERENTE DE SEGURANÇA DO TRABALHO</v>
      </c>
      <c r="F989" s="22" t="s">
        <v>45</v>
      </c>
      <c r="G989" s="24" t="str">
        <f>IFERROR(VLOOKUP(F989,Procedimentos!A:C,2,),"")</f>
        <v>CONSTITUIÇÃO INTERNA DE PREVENÇÃO DE ACIDENTES E DE ASSÉDIOS - CIPA</v>
      </c>
      <c r="H989" s="22" t="s">
        <v>7</v>
      </c>
      <c r="I989" s="44"/>
      <c r="J989" s="22">
        <v>12</v>
      </c>
      <c r="K989" s="25" t="str">
        <f t="shared" si="51"/>
        <v/>
      </c>
      <c r="L989" s="7"/>
      <c r="M989" s="33"/>
      <c r="N989" s="7"/>
      <c r="O989" s="22" t="s">
        <v>28</v>
      </c>
      <c r="P989" s="25"/>
      <c r="Q989" s="25"/>
      <c r="R989" s="25"/>
      <c r="S989" s="7"/>
      <c r="T989" s="7"/>
    </row>
    <row r="990" spans="1:20" ht="14.25" customHeight="1">
      <c r="A990" s="22">
        <v>1107</v>
      </c>
      <c r="B990" s="33">
        <v>13727</v>
      </c>
      <c r="C990" s="22" t="str">
        <f>IFERROR(VLOOKUP(B990,Colaboradores!A:D,2,),"")</f>
        <v>THIAGO MARIO LIMA GLERIA</v>
      </c>
      <c r="D990" s="22" t="str">
        <f>IFERROR(VLOOKUP(B990,Colaboradores!A:D,3,),"")</f>
        <v>SEGURANÇA DO TRABALHO</v>
      </c>
      <c r="E990" s="22" t="str">
        <f>IFERROR(VLOOKUP(B990,Colaboradores!A:D,4,),"")</f>
        <v>GERENTE DE SEGURANÇA DO TRABALHO</v>
      </c>
      <c r="F990" s="22" t="s">
        <v>59</v>
      </c>
      <c r="G990" s="24" t="str">
        <f>IFERROR(VLOOKUP(F990,Procedimentos!A:C,2,),"")</f>
        <v>GERENCIAMENTO DE RISCOS DE SAÚDE, SEGURANÇA E PROCESSOS</v>
      </c>
      <c r="H990" s="22" t="s">
        <v>7</v>
      </c>
      <c r="I990" s="44"/>
      <c r="J990" s="22">
        <v>12</v>
      </c>
      <c r="K990" s="25" t="str">
        <f t="shared" si="51"/>
        <v/>
      </c>
      <c r="L990" s="7"/>
      <c r="M990" s="33"/>
      <c r="N990" s="7"/>
      <c r="O990" s="22" t="s">
        <v>28</v>
      </c>
      <c r="P990" s="25"/>
      <c r="Q990" s="25"/>
      <c r="R990" s="25"/>
      <c r="S990" s="7"/>
      <c r="T990" s="7"/>
    </row>
    <row r="991" spans="1:20" ht="14.25" customHeight="1">
      <c r="A991" s="22">
        <v>1108</v>
      </c>
      <c r="B991" s="33">
        <v>13727</v>
      </c>
      <c r="C991" s="22" t="str">
        <f>IFERROR(VLOOKUP(B991,Colaboradores!A:D,2,),"")</f>
        <v>THIAGO MARIO LIMA GLERIA</v>
      </c>
      <c r="D991" s="22" t="str">
        <f>IFERROR(VLOOKUP(B991,Colaboradores!A:D,3,),"")</f>
        <v>SEGURANÇA DO TRABALHO</v>
      </c>
      <c r="E991" s="22" t="str">
        <f>IFERROR(VLOOKUP(B991,Colaboradores!A:D,4,),"")</f>
        <v>GERENTE DE SEGURANÇA DO TRABALHO</v>
      </c>
      <c r="F991" s="22" t="s">
        <v>61</v>
      </c>
      <c r="G991" s="24" t="str">
        <f>IFERROR(VLOOKUP(F991,Procedimentos!A:C,2,),"")</f>
        <v>PROCEDIMENTO DE INSPEÇÃO DE SEGURANÇA</v>
      </c>
      <c r="H991" s="22" t="s">
        <v>7</v>
      </c>
      <c r="I991" s="44"/>
      <c r="J991" s="22">
        <v>12</v>
      </c>
      <c r="K991" s="25" t="str">
        <f t="shared" si="51"/>
        <v/>
      </c>
      <c r="L991" s="7"/>
      <c r="M991" s="33"/>
      <c r="N991" s="7"/>
      <c r="O991" s="22" t="s">
        <v>28</v>
      </c>
      <c r="P991" s="25"/>
      <c r="Q991" s="25"/>
      <c r="R991" s="25"/>
      <c r="S991" s="7"/>
      <c r="T991" s="7"/>
    </row>
    <row r="992" spans="1:20" ht="14.25" customHeight="1">
      <c r="A992" s="22">
        <v>1109</v>
      </c>
      <c r="B992" s="33">
        <v>13727</v>
      </c>
      <c r="C992" s="22" t="str">
        <f>IFERROR(VLOOKUP(B992,Colaboradores!A:D,2,),"")</f>
        <v>THIAGO MARIO LIMA GLERIA</v>
      </c>
      <c r="D992" s="22" t="str">
        <f>IFERROR(VLOOKUP(B992,Colaboradores!A:D,3,),"")</f>
        <v>SEGURANÇA DO TRABALHO</v>
      </c>
      <c r="E992" s="22" t="str">
        <f>IFERROR(VLOOKUP(B992,Colaboradores!A:D,4,),"")</f>
        <v>GERENTE DE SEGURANÇA DO TRABALHO</v>
      </c>
      <c r="F992" s="22" t="s">
        <v>62</v>
      </c>
      <c r="G992" s="24" t="str">
        <f>IFERROR(VLOOKUP(F992,Procedimentos!A:C,2,),"")</f>
        <v>DIRETRIZES PARA ENVIO E RECEBIMENTO DE DOSÍMETRO</v>
      </c>
      <c r="H992" s="22" t="s">
        <v>7</v>
      </c>
      <c r="I992" s="44"/>
      <c r="J992" s="22">
        <v>12</v>
      </c>
      <c r="K992" s="25" t="str">
        <f t="shared" si="51"/>
        <v/>
      </c>
      <c r="L992" s="7"/>
      <c r="M992" s="33"/>
      <c r="N992" s="7"/>
      <c r="O992" s="22" t="s">
        <v>28</v>
      </c>
      <c r="P992" s="25"/>
      <c r="Q992" s="25"/>
      <c r="R992" s="25"/>
      <c r="S992" s="7"/>
      <c r="T992" s="7"/>
    </row>
    <row r="993" spans="1:20" ht="14.25" customHeight="1">
      <c r="A993" s="22">
        <v>1110</v>
      </c>
      <c r="B993" s="33">
        <v>13727</v>
      </c>
      <c r="C993" s="22" t="str">
        <f>IFERROR(VLOOKUP(B993,Colaboradores!A:D,2,),"")</f>
        <v>THIAGO MARIO LIMA GLERIA</v>
      </c>
      <c r="D993" s="22" t="str">
        <f>IFERROR(VLOOKUP(B993,Colaboradores!A:D,3,),"")</f>
        <v>SEGURANÇA DO TRABALHO</v>
      </c>
      <c r="E993" s="22" t="str">
        <f>IFERROR(VLOOKUP(B993,Colaboradores!A:D,4,),"")</f>
        <v>GERENTE DE SEGURANÇA DO TRABALHO</v>
      </c>
      <c r="F993" s="22" t="s">
        <v>63</v>
      </c>
      <c r="G993" s="24" t="str">
        <f>IFERROR(VLOOKUP(F993,Procedimentos!A:C,2,),"")</f>
        <v>DIÁRIO DE BORDO DOS TÉCNICOS DE SEGURANÇA DO TRABALHO DA EMSERH E IADVH</v>
      </c>
      <c r="H993" s="22" t="s">
        <v>7</v>
      </c>
      <c r="I993" s="44"/>
      <c r="J993" s="22">
        <v>12</v>
      </c>
      <c r="K993" s="25" t="str">
        <f t="shared" si="51"/>
        <v/>
      </c>
      <c r="L993" s="7"/>
      <c r="M993" s="33"/>
      <c r="N993" s="7"/>
      <c r="O993" s="22" t="s">
        <v>28</v>
      </c>
      <c r="P993" s="25"/>
      <c r="Q993" s="25"/>
      <c r="R993" s="25"/>
      <c r="S993" s="7"/>
      <c r="T993" s="7"/>
    </row>
    <row r="994" spans="1:20" ht="14.25" customHeight="1">
      <c r="A994" s="22">
        <v>1111</v>
      </c>
      <c r="B994" s="35">
        <v>13584</v>
      </c>
      <c r="C994" s="22" t="str">
        <f>IFERROR(VLOOKUP(B994,Colaboradores!A:D,2,),"")</f>
        <v>ALANA RODRIGUES FERREIRA</v>
      </c>
      <c r="D994" s="22" t="str">
        <f>IFERROR(VLOOKUP(B994,Colaboradores!A:D,3,),"")</f>
        <v>REGIONAL LESTE</v>
      </c>
      <c r="E994" s="22" t="str">
        <f>IFERROR(VLOOKUP(B994,Colaboradores!A:D,4,),"")</f>
        <v>COORDENADOR DE SSMA</v>
      </c>
      <c r="F994" s="22" t="s">
        <v>19</v>
      </c>
      <c r="G994" s="24" t="str">
        <f>IFERROR(VLOOKUP(F994,Procedimentos!A:C,2,),"")</f>
        <v>DIRETRIZES PARA DOCUMENTOS NORMATIVOS</v>
      </c>
      <c r="H994" s="42"/>
      <c r="I994" s="44">
        <v>45861</v>
      </c>
      <c r="J994" s="22">
        <v>12</v>
      </c>
      <c r="K994" s="25">
        <f t="shared" si="51"/>
        <v>46226</v>
      </c>
      <c r="L994" s="7"/>
      <c r="M994" s="50" t="s">
        <v>20</v>
      </c>
      <c r="N994" s="7"/>
      <c r="O994" s="22" t="s">
        <v>28</v>
      </c>
      <c r="P994" s="25">
        <f t="shared" ref="P994:P1107" si="52">EDATE(I994,3)</f>
        <v>45953</v>
      </c>
      <c r="Q994" s="25"/>
      <c r="R994" s="25"/>
      <c r="S994" s="7"/>
      <c r="T994" s="7"/>
    </row>
    <row r="995" spans="1:20" ht="14.25" customHeight="1">
      <c r="A995" s="22">
        <v>1112</v>
      </c>
      <c r="B995" s="37">
        <v>14356</v>
      </c>
      <c r="C995" s="22" t="str">
        <f>IFERROR(VLOOKUP(B995,Colaboradores!A:D,2,),"")</f>
        <v>JACILENE BELO LIMA</v>
      </c>
      <c r="D995" s="22" t="str">
        <f>IFERROR(VLOOKUP(B995,Colaboradores!A:D,3,),"")</f>
        <v>REGIONAL LESTE</v>
      </c>
      <c r="E995" s="22" t="str">
        <f>IFERROR(VLOOKUP(B995,Colaboradores!A:D,4,),"")</f>
        <v>ASSISTENTE ADMINISTRATIVO</v>
      </c>
      <c r="F995" s="22" t="s">
        <v>19</v>
      </c>
      <c r="G995" s="24" t="str">
        <f>IFERROR(VLOOKUP(F995,Procedimentos!A:C,2,),"")</f>
        <v>DIRETRIZES PARA DOCUMENTOS NORMATIVOS</v>
      </c>
      <c r="H995" s="42"/>
      <c r="I995" s="44">
        <v>45861</v>
      </c>
      <c r="J995" s="22">
        <v>12</v>
      </c>
      <c r="K995" s="25">
        <f t="shared" si="51"/>
        <v>46226</v>
      </c>
      <c r="L995" s="7"/>
      <c r="M995" s="50" t="s">
        <v>20</v>
      </c>
      <c r="N995" s="7"/>
      <c r="O995" s="22" t="s">
        <v>28</v>
      </c>
      <c r="P995" s="25">
        <f t="shared" si="52"/>
        <v>45953</v>
      </c>
      <c r="Q995" s="25"/>
      <c r="R995" s="25"/>
      <c r="S995" s="7"/>
      <c r="T995" s="7"/>
    </row>
    <row r="996" spans="1:20" ht="14.25" customHeight="1">
      <c r="A996" s="22">
        <v>1113</v>
      </c>
      <c r="B996" s="37">
        <v>14356</v>
      </c>
      <c r="C996" s="22" t="str">
        <f>IFERROR(VLOOKUP(B996,Colaboradores!A:D,2,),"")</f>
        <v>JACILENE BELO LIMA</v>
      </c>
      <c r="D996" s="22" t="str">
        <f>IFERROR(VLOOKUP(B996,Colaboradores!A:D,3,),"")</f>
        <v>REGIONAL LESTE</v>
      </c>
      <c r="E996" s="22" t="str">
        <f>IFERROR(VLOOKUP(B996,Colaboradores!A:D,4,),"")</f>
        <v>ASSISTENTE ADMINISTRATIVO</v>
      </c>
      <c r="F996" s="22" t="s">
        <v>19</v>
      </c>
      <c r="G996" s="24" t="str">
        <f>IFERROR(VLOOKUP(F996,Procedimentos!A:C,2,),"")</f>
        <v>DIRETRIZES PARA DOCUMENTOS NORMATIVOS</v>
      </c>
      <c r="H996" s="42"/>
      <c r="I996" s="44">
        <v>45861</v>
      </c>
      <c r="J996" s="22">
        <v>12</v>
      </c>
      <c r="K996" s="25">
        <f t="shared" si="51"/>
        <v>46226</v>
      </c>
      <c r="L996" s="7"/>
      <c r="M996" s="50" t="s">
        <v>20</v>
      </c>
      <c r="N996" s="7"/>
      <c r="O996" s="22" t="s">
        <v>28</v>
      </c>
      <c r="P996" s="25">
        <f t="shared" si="52"/>
        <v>45953</v>
      </c>
      <c r="Q996" s="25"/>
      <c r="R996" s="25"/>
      <c r="S996" s="7"/>
      <c r="T996" s="7"/>
    </row>
    <row r="997" spans="1:20" ht="14.25" customHeight="1">
      <c r="A997" s="22">
        <v>1114</v>
      </c>
      <c r="B997" s="37">
        <v>14420</v>
      </c>
      <c r="C997" s="22" t="str">
        <f>IFERROR(VLOOKUP(B997,Colaboradores!A:D,2,),"")</f>
        <v>LAYLLA EMANUELLY DA SILVA ARAUJO</v>
      </c>
      <c r="D997" s="22" t="str">
        <f>IFERROR(VLOOKUP(B997,Colaboradores!A:D,3,),"")</f>
        <v>REGIONAL LESTE</v>
      </c>
      <c r="E997" s="22" t="str">
        <f>IFERROR(VLOOKUP(B997,Colaboradores!A:D,4,),"")</f>
        <v>ASSISTENTE ADMINISTRATIVO</v>
      </c>
      <c r="F997" s="22" t="s">
        <v>19</v>
      </c>
      <c r="G997" s="24" t="str">
        <f>IFERROR(VLOOKUP(F997,Procedimentos!A:C,2,),"")</f>
        <v>DIRETRIZES PARA DOCUMENTOS NORMATIVOS</v>
      </c>
      <c r="H997" s="42"/>
      <c r="I997" s="44">
        <v>45861</v>
      </c>
      <c r="J997" s="22">
        <v>12</v>
      </c>
      <c r="K997" s="25">
        <f t="shared" si="51"/>
        <v>46226</v>
      </c>
      <c r="L997" s="7"/>
      <c r="M997" s="50" t="s">
        <v>20</v>
      </c>
      <c r="N997" s="7"/>
      <c r="O997" s="22" t="s">
        <v>28</v>
      </c>
      <c r="P997" s="25">
        <f t="shared" si="52"/>
        <v>45953</v>
      </c>
      <c r="Q997" s="25"/>
      <c r="R997" s="25"/>
      <c r="S997" s="7"/>
      <c r="T997" s="7"/>
    </row>
    <row r="998" spans="1:20" ht="14.25" customHeight="1">
      <c r="A998" s="22">
        <v>1115</v>
      </c>
      <c r="B998" s="35">
        <v>14721</v>
      </c>
      <c r="C998" s="22" t="str">
        <f>IFERROR(VLOOKUP(B998,Colaboradores!A:D,2,),"")</f>
        <v>RONILSON FERREIRA OLIVEIRA</v>
      </c>
      <c r="D998" s="22" t="str">
        <f>IFERROR(VLOOKUP(B998,Colaboradores!A:D,3,),"")</f>
        <v>REGIONAL LESTE</v>
      </c>
      <c r="E998" s="22" t="str">
        <f>IFERROR(VLOOKUP(B998,Colaboradores!A:D,4,),"")</f>
        <v>TÉCNICO DE SEGURANÇA DO TRABALHO</v>
      </c>
      <c r="F998" s="22" t="s">
        <v>19</v>
      </c>
      <c r="G998" s="24" t="str">
        <f>IFERROR(VLOOKUP(F998,Procedimentos!A:C,2,),"")</f>
        <v>DIRETRIZES PARA DOCUMENTOS NORMATIVOS</v>
      </c>
      <c r="H998" s="42"/>
      <c r="I998" s="44">
        <v>45861</v>
      </c>
      <c r="J998" s="22">
        <v>12</v>
      </c>
      <c r="K998" s="25">
        <f t="shared" si="51"/>
        <v>46226</v>
      </c>
      <c r="L998" s="7"/>
      <c r="M998" s="50" t="s">
        <v>20</v>
      </c>
      <c r="N998" s="7"/>
      <c r="O998" s="22" t="s">
        <v>28</v>
      </c>
      <c r="P998" s="25">
        <f t="shared" si="52"/>
        <v>45953</v>
      </c>
      <c r="Q998" s="25"/>
      <c r="R998" s="25"/>
      <c r="S998" s="7"/>
      <c r="T998" s="7"/>
    </row>
    <row r="999" spans="1:20" ht="14.25" customHeight="1">
      <c r="A999" s="22">
        <v>1116</v>
      </c>
      <c r="B999" s="35">
        <v>13584</v>
      </c>
      <c r="C999" s="22" t="str">
        <f>IFERROR(VLOOKUP(B999,Colaboradores!A:D,2,),"")</f>
        <v>ALANA RODRIGUES FERREIRA</v>
      </c>
      <c r="D999" s="22" t="str">
        <f>IFERROR(VLOOKUP(B999,Colaboradores!A:D,3,),"")</f>
        <v>REGIONAL LESTE</v>
      </c>
      <c r="E999" s="22" t="str">
        <f>IFERROR(VLOOKUP(B999,Colaboradores!A:D,4,),"")</f>
        <v>COORDENADOR DE SSMA</v>
      </c>
      <c r="F999" s="22" t="s">
        <v>24</v>
      </c>
      <c r="G999" s="24" t="str">
        <f>IFERROR(VLOOKUP(F999,Procedimentos!A:C,2,),"")</f>
        <v>DIRETRIZES  PARA PROGRAMA 5S</v>
      </c>
      <c r="H999" s="42"/>
      <c r="I999" s="44">
        <v>45861</v>
      </c>
      <c r="J999" s="22">
        <v>12</v>
      </c>
      <c r="K999" s="25">
        <f t="shared" si="51"/>
        <v>46226</v>
      </c>
      <c r="L999" s="7"/>
      <c r="M999" s="50" t="s">
        <v>20</v>
      </c>
      <c r="N999" s="7"/>
      <c r="O999" s="22" t="s">
        <v>28</v>
      </c>
      <c r="P999" s="25">
        <f t="shared" si="52"/>
        <v>45953</v>
      </c>
      <c r="Q999" s="25"/>
      <c r="R999" s="25"/>
      <c r="S999" s="7"/>
      <c r="T999" s="7"/>
    </row>
    <row r="1000" spans="1:20" ht="14.25" customHeight="1">
      <c r="A1000" s="22">
        <v>1117</v>
      </c>
      <c r="B1000" s="37">
        <v>14356</v>
      </c>
      <c r="C1000" s="22" t="str">
        <f>IFERROR(VLOOKUP(B1000,Colaboradores!A:D,2,),"")</f>
        <v>JACILENE BELO LIMA</v>
      </c>
      <c r="D1000" s="22" t="str">
        <f>IFERROR(VLOOKUP(B1000,Colaboradores!A:D,3,),"")</f>
        <v>REGIONAL LESTE</v>
      </c>
      <c r="E1000" s="22" t="str">
        <f>IFERROR(VLOOKUP(B1000,Colaboradores!A:D,4,),"")</f>
        <v>ASSISTENTE ADMINISTRATIVO</v>
      </c>
      <c r="F1000" s="22" t="s">
        <v>24</v>
      </c>
      <c r="G1000" s="24" t="str">
        <f>IFERROR(VLOOKUP(F1000,Procedimentos!A:C,2,),"")</f>
        <v>DIRETRIZES  PARA PROGRAMA 5S</v>
      </c>
      <c r="H1000" s="42"/>
      <c r="I1000" s="44">
        <v>45861</v>
      </c>
      <c r="J1000" s="22">
        <v>12</v>
      </c>
      <c r="K1000" s="25">
        <f t="shared" si="51"/>
        <v>46226</v>
      </c>
      <c r="L1000" s="7"/>
      <c r="M1000" s="50" t="s">
        <v>20</v>
      </c>
      <c r="N1000" s="7"/>
      <c r="O1000" s="22" t="s">
        <v>28</v>
      </c>
      <c r="P1000" s="25">
        <f t="shared" si="52"/>
        <v>45953</v>
      </c>
      <c r="Q1000" s="25"/>
      <c r="R1000" s="25"/>
      <c r="S1000" s="7"/>
      <c r="T1000" s="7"/>
    </row>
    <row r="1001" spans="1:20" ht="14.25" customHeight="1">
      <c r="A1001" s="22">
        <v>1118</v>
      </c>
      <c r="B1001" s="37">
        <v>14356</v>
      </c>
      <c r="C1001" s="22" t="str">
        <f>IFERROR(VLOOKUP(B1001,Colaboradores!A:D,2,),"")</f>
        <v>JACILENE BELO LIMA</v>
      </c>
      <c r="D1001" s="22" t="str">
        <f>IFERROR(VLOOKUP(B1001,Colaboradores!A:D,3,),"")</f>
        <v>REGIONAL LESTE</v>
      </c>
      <c r="E1001" s="22" t="str">
        <f>IFERROR(VLOOKUP(B1001,Colaboradores!A:D,4,),"")</f>
        <v>ASSISTENTE ADMINISTRATIVO</v>
      </c>
      <c r="F1001" s="22" t="s">
        <v>24</v>
      </c>
      <c r="G1001" s="24" t="str">
        <f>IFERROR(VLOOKUP(F1001,Procedimentos!A:C,2,),"")</f>
        <v>DIRETRIZES  PARA PROGRAMA 5S</v>
      </c>
      <c r="H1001" s="42"/>
      <c r="I1001" s="44">
        <v>45861</v>
      </c>
      <c r="J1001" s="22">
        <v>12</v>
      </c>
      <c r="K1001" s="25">
        <f t="shared" si="51"/>
        <v>46226</v>
      </c>
      <c r="L1001" s="7"/>
      <c r="M1001" s="50" t="s">
        <v>20</v>
      </c>
      <c r="N1001" s="7"/>
      <c r="O1001" s="22" t="s">
        <v>28</v>
      </c>
      <c r="P1001" s="25">
        <f t="shared" si="52"/>
        <v>45953</v>
      </c>
      <c r="Q1001" s="25"/>
      <c r="R1001" s="25"/>
      <c r="S1001" s="7"/>
      <c r="T1001" s="7"/>
    </row>
    <row r="1002" spans="1:20" ht="14.25" customHeight="1">
      <c r="A1002" s="22">
        <v>1119</v>
      </c>
      <c r="B1002" s="37">
        <v>14420</v>
      </c>
      <c r="C1002" s="22" t="str">
        <f>IFERROR(VLOOKUP(B1002,Colaboradores!A:D,2,),"")</f>
        <v>LAYLLA EMANUELLY DA SILVA ARAUJO</v>
      </c>
      <c r="D1002" s="22" t="str">
        <f>IFERROR(VLOOKUP(B1002,Colaboradores!A:D,3,),"")</f>
        <v>REGIONAL LESTE</v>
      </c>
      <c r="E1002" s="22" t="str">
        <f>IFERROR(VLOOKUP(B1002,Colaboradores!A:D,4,),"")</f>
        <v>ASSISTENTE ADMINISTRATIVO</v>
      </c>
      <c r="F1002" s="22" t="s">
        <v>24</v>
      </c>
      <c r="G1002" s="24" t="str">
        <f>IFERROR(VLOOKUP(F1002,Procedimentos!A:C,2,),"")</f>
        <v>DIRETRIZES  PARA PROGRAMA 5S</v>
      </c>
      <c r="H1002" s="42"/>
      <c r="I1002" s="44">
        <v>45861</v>
      </c>
      <c r="J1002" s="22">
        <v>12</v>
      </c>
      <c r="K1002" s="25">
        <f t="shared" si="51"/>
        <v>46226</v>
      </c>
      <c r="L1002" s="7"/>
      <c r="M1002" s="50" t="s">
        <v>20</v>
      </c>
      <c r="N1002" s="7"/>
      <c r="O1002" s="22" t="s">
        <v>28</v>
      </c>
      <c r="P1002" s="25">
        <f t="shared" si="52"/>
        <v>45953</v>
      </c>
      <c r="Q1002" s="25"/>
      <c r="R1002" s="25"/>
      <c r="S1002" s="7"/>
      <c r="T1002" s="7"/>
    </row>
    <row r="1003" spans="1:20" ht="14.25" customHeight="1">
      <c r="A1003" s="22">
        <v>1120</v>
      </c>
      <c r="B1003" s="35">
        <v>14721</v>
      </c>
      <c r="C1003" s="22" t="str">
        <f>IFERROR(VLOOKUP(B1003,Colaboradores!A:D,2,),"")</f>
        <v>RONILSON FERREIRA OLIVEIRA</v>
      </c>
      <c r="D1003" s="22" t="str">
        <f>IFERROR(VLOOKUP(B1003,Colaboradores!A:D,3,),"")</f>
        <v>REGIONAL LESTE</v>
      </c>
      <c r="E1003" s="22" t="str">
        <f>IFERROR(VLOOKUP(B1003,Colaboradores!A:D,4,),"")</f>
        <v>TÉCNICO DE SEGURANÇA DO TRABALHO</v>
      </c>
      <c r="F1003" s="22" t="s">
        <v>24</v>
      </c>
      <c r="G1003" s="24" t="str">
        <f>IFERROR(VLOOKUP(F1003,Procedimentos!A:C,2,),"")</f>
        <v>DIRETRIZES  PARA PROGRAMA 5S</v>
      </c>
      <c r="H1003" s="42"/>
      <c r="I1003" s="44">
        <v>45861</v>
      </c>
      <c r="J1003" s="22">
        <v>12</v>
      </c>
      <c r="K1003" s="25">
        <f t="shared" si="51"/>
        <v>46226</v>
      </c>
      <c r="L1003" s="7"/>
      <c r="M1003" s="50" t="s">
        <v>20</v>
      </c>
      <c r="N1003" s="7"/>
      <c r="O1003" s="22" t="s">
        <v>28</v>
      </c>
      <c r="P1003" s="25">
        <f t="shared" si="52"/>
        <v>45953</v>
      </c>
      <c r="Q1003" s="25"/>
      <c r="R1003" s="25"/>
      <c r="S1003" s="7"/>
      <c r="T1003" s="7"/>
    </row>
    <row r="1004" spans="1:20" ht="14.25" customHeight="1">
      <c r="A1004" s="22">
        <v>1121</v>
      </c>
      <c r="B1004" s="35">
        <v>13584</v>
      </c>
      <c r="C1004" s="22" t="str">
        <f>IFERROR(VLOOKUP(B1004,Colaboradores!A:D,2,),"")</f>
        <v>ALANA RODRIGUES FERREIRA</v>
      </c>
      <c r="D1004" s="22" t="str">
        <f>IFERROR(VLOOKUP(B1004,Colaboradores!A:D,3,),"")</f>
        <v>REGIONAL LESTE</v>
      </c>
      <c r="E1004" s="22" t="str">
        <f>IFERROR(VLOOKUP(B1004,Colaboradores!A:D,4,),"")</f>
        <v>COORDENADOR DE SSMA</v>
      </c>
      <c r="F1004" s="22" t="s">
        <v>25</v>
      </c>
      <c r="G1004" s="24" t="str">
        <f>IFERROR(VLOOKUP(F1004,Procedimentos!A:C,2,),"")</f>
        <v>GARANTIA DA QUALIDADE</v>
      </c>
      <c r="H1004" s="42"/>
      <c r="I1004" s="44">
        <v>45861</v>
      </c>
      <c r="J1004" s="22">
        <v>12</v>
      </c>
      <c r="K1004" s="25">
        <f t="shared" si="51"/>
        <v>46226</v>
      </c>
      <c r="L1004" s="7"/>
      <c r="M1004" s="50" t="s">
        <v>20</v>
      </c>
      <c r="N1004" s="7"/>
      <c r="O1004" s="22" t="s">
        <v>28</v>
      </c>
      <c r="P1004" s="25">
        <f t="shared" si="52"/>
        <v>45953</v>
      </c>
      <c r="Q1004" s="25"/>
      <c r="R1004" s="25"/>
      <c r="S1004" s="7"/>
      <c r="T1004" s="7"/>
    </row>
    <row r="1005" spans="1:20" ht="14.25" customHeight="1">
      <c r="A1005" s="22">
        <v>1122</v>
      </c>
      <c r="B1005" s="37">
        <v>14356</v>
      </c>
      <c r="C1005" s="22" t="str">
        <f>IFERROR(VLOOKUP(B1005,Colaboradores!A:D,2,),"")</f>
        <v>JACILENE BELO LIMA</v>
      </c>
      <c r="D1005" s="22" t="str">
        <f>IFERROR(VLOOKUP(B1005,Colaboradores!A:D,3,),"")</f>
        <v>REGIONAL LESTE</v>
      </c>
      <c r="E1005" s="22" t="str">
        <f>IFERROR(VLOOKUP(B1005,Colaboradores!A:D,4,),"")</f>
        <v>ASSISTENTE ADMINISTRATIVO</v>
      </c>
      <c r="F1005" s="22" t="s">
        <v>25</v>
      </c>
      <c r="G1005" s="24" t="str">
        <f>IFERROR(VLOOKUP(F1005,Procedimentos!A:C,2,),"")</f>
        <v>GARANTIA DA QUALIDADE</v>
      </c>
      <c r="H1005" s="42"/>
      <c r="I1005" s="44">
        <v>45861</v>
      </c>
      <c r="J1005" s="22">
        <v>12</v>
      </c>
      <c r="K1005" s="25">
        <f t="shared" si="51"/>
        <v>46226</v>
      </c>
      <c r="L1005" s="7"/>
      <c r="M1005" s="50" t="s">
        <v>20</v>
      </c>
      <c r="N1005" s="7"/>
      <c r="O1005" s="22" t="s">
        <v>28</v>
      </c>
      <c r="P1005" s="25">
        <f t="shared" si="52"/>
        <v>45953</v>
      </c>
      <c r="Q1005" s="25"/>
      <c r="R1005" s="25"/>
      <c r="S1005" s="7"/>
      <c r="T1005" s="7"/>
    </row>
    <row r="1006" spans="1:20" ht="14.25" customHeight="1">
      <c r="A1006" s="22">
        <v>1123</v>
      </c>
      <c r="B1006" s="37">
        <v>14356</v>
      </c>
      <c r="C1006" s="22" t="str">
        <f>IFERROR(VLOOKUP(B1006,Colaboradores!A:D,2,),"")</f>
        <v>JACILENE BELO LIMA</v>
      </c>
      <c r="D1006" s="22" t="str">
        <f>IFERROR(VLOOKUP(B1006,Colaboradores!A:D,3,),"")</f>
        <v>REGIONAL LESTE</v>
      </c>
      <c r="E1006" s="22" t="str">
        <f>IFERROR(VLOOKUP(B1006,Colaboradores!A:D,4,),"")</f>
        <v>ASSISTENTE ADMINISTRATIVO</v>
      </c>
      <c r="F1006" s="22" t="s">
        <v>25</v>
      </c>
      <c r="G1006" s="24" t="str">
        <f>IFERROR(VLOOKUP(F1006,Procedimentos!A:C,2,),"")</f>
        <v>GARANTIA DA QUALIDADE</v>
      </c>
      <c r="H1006" s="42"/>
      <c r="I1006" s="44">
        <v>45861</v>
      </c>
      <c r="J1006" s="22">
        <v>12</v>
      </c>
      <c r="K1006" s="25">
        <f t="shared" si="51"/>
        <v>46226</v>
      </c>
      <c r="L1006" s="7"/>
      <c r="M1006" s="50" t="s">
        <v>20</v>
      </c>
      <c r="N1006" s="7"/>
      <c r="O1006" s="22" t="s">
        <v>28</v>
      </c>
      <c r="P1006" s="25">
        <f t="shared" si="52"/>
        <v>45953</v>
      </c>
      <c r="Q1006" s="25"/>
      <c r="R1006" s="25"/>
      <c r="S1006" s="7"/>
      <c r="T1006" s="7"/>
    </row>
    <row r="1007" spans="1:20" ht="14.25" customHeight="1">
      <c r="A1007" s="22">
        <v>1124</v>
      </c>
      <c r="B1007" s="37">
        <v>14420</v>
      </c>
      <c r="C1007" s="22" t="str">
        <f>IFERROR(VLOOKUP(B1007,Colaboradores!A:D,2,),"")</f>
        <v>LAYLLA EMANUELLY DA SILVA ARAUJO</v>
      </c>
      <c r="D1007" s="22" t="str">
        <f>IFERROR(VLOOKUP(B1007,Colaboradores!A:D,3,),"")</f>
        <v>REGIONAL LESTE</v>
      </c>
      <c r="E1007" s="22" t="str">
        <f>IFERROR(VLOOKUP(B1007,Colaboradores!A:D,4,),"")</f>
        <v>ASSISTENTE ADMINISTRATIVO</v>
      </c>
      <c r="F1007" s="22" t="s">
        <v>25</v>
      </c>
      <c r="G1007" s="24" t="str">
        <f>IFERROR(VLOOKUP(F1007,Procedimentos!A:C,2,),"")</f>
        <v>GARANTIA DA QUALIDADE</v>
      </c>
      <c r="H1007" s="42"/>
      <c r="I1007" s="44">
        <v>45861</v>
      </c>
      <c r="J1007" s="22">
        <v>12</v>
      </c>
      <c r="K1007" s="25">
        <f t="shared" si="51"/>
        <v>46226</v>
      </c>
      <c r="L1007" s="7"/>
      <c r="M1007" s="50" t="s">
        <v>20</v>
      </c>
      <c r="N1007" s="7"/>
      <c r="O1007" s="22" t="s">
        <v>28</v>
      </c>
      <c r="P1007" s="25">
        <f t="shared" si="52"/>
        <v>45953</v>
      </c>
      <c r="Q1007" s="25"/>
      <c r="R1007" s="25"/>
      <c r="S1007" s="7"/>
      <c r="T1007" s="7"/>
    </row>
    <row r="1008" spans="1:20" ht="14.25" customHeight="1">
      <c r="A1008" s="22">
        <v>1125</v>
      </c>
      <c r="B1008" s="35">
        <v>14721</v>
      </c>
      <c r="C1008" s="22" t="str">
        <f>IFERROR(VLOOKUP(B1008,Colaboradores!A:D,2,),"")</f>
        <v>RONILSON FERREIRA OLIVEIRA</v>
      </c>
      <c r="D1008" s="22" t="str">
        <f>IFERROR(VLOOKUP(B1008,Colaboradores!A:D,3,),"")</f>
        <v>REGIONAL LESTE</v>
      </c>
      <c r="E1008" s="22" t="str">
        <f>IFERROR(VLOOKUP(B1008,Colaboradores!A:D,4,),"")</f>
        <v>TÉCNICO DE SEGURANÇA DO TRABALHO</v>
      </c>
      <c r="F1008" s="22" t="s">
        <v>25</v>
      </c>
      <c r="G1008" s="24" t="str">
        <f>IFERROR(VLOOKUP(F1008,Procedimentos!A:C,2,),"")</f>
        <v>GARANTIA DA QUALIDADE</v>
      </c>
      <c r="H1008" s="42"/>
      <c r="I1008" s="44">
        <v>45861</v>
      </c>
      <c r="J1008" s="22">
        <v>12</v>
      </c>
      <c r="K1008" s="25">
        <f t="shared" si="51"/>
        <v>46226</v>
      </c>
      <c r="L1008" s="7"/>
      <c r="M1008" s="50" t="s">
        <v>20</v>
      </c>
      <c r="N1008" s="7"/>
      <c r="O1008" s="22" t="s">
        <v>28</v>
      </c>
      <c r="P1008" s="25">
        <f t="shared" si="52"/>
        <v>45953</v>
      </c>
      <c r="Q1008" s="25"/>
      <c r="R1008" s="25"/>
      <c r="S1008" s="7"/>
      <c r="T1008" s="7"/>
    </row>
    <row r="1009" spans="1:20" ht="14.25" customHeight="1">
      <c r="A1009" s="22">
        <v>1126</v>
      </c>
      <c r="B1009" s="35">
        <v>13584</v>
      </c>
      <c r="C1009" s="22" t="str">
        <f>IFERROR(VLOOKUP(B1009,Colaboradores!A:D,2,),"")</f>
        <v>ALANA RODRIGUES FERREIRA</v>
      </c>
      <c r="D1009" s="22" t="str">
        <f>IFERROR(VLOOKUP(B1009,Colaboradores!A:D,3,),"")</f>
        <v>REGIONAL LESTE</v>
      </c>
      <c r="E1009" s="22" t="str">
        <f>IFERROR(VLOOKUP(B1009,Colaboradores!A:D,4,),"")</f>
        <v>COORDENADOR DE SSMA</v>
      </c>
      <c r="F1009" s="22" t="s">
        <v>26</v>
      </c>
      <c r="G1009" s="24" t="str">
        <f>IFERROR(VLOOKUP(F1009,Procedimentos!A:C,2,),"")</f>
        <v>RESPONSABILIDADES E AUTORIDADES DO SGQ</v>
      </c>
      <c r="H1009" s="42"/>
      <c r="I1009" s="44">
        <v>45861</v>
      </c>
      <c r="J1009" s="22">
        <v>12</v>
      </c>
      <c r="K1009" s="25">
        <f t="shared" si="51"/>
        <v>46226</v>
      </c>
      <c r="L1009" s="7"/>
      <c r="M1009" s="50" t="s">
        <v>20</v>
      </c>
      <c r="N1009" s="7"/>
      <c r="O1009" s="22" t="s">
        <v>28</v>
      </c>
      <c r="P1009" s="25">
        <f t="shared" si="52"/>
        <v>45953</v>
      </c>
      <c r="Q1009" s="25"/>
      <c r="R1009" s="25"/>
      <c r="S1009" s="7"/>
      <c r="T1009" s="7"/>
    </row>
    <row r="1010" spans="1:20" ht="14.25" customHeight="1">
      <c r="A1010" s="22">
        <v>1127</v>
      </c>
      <c r="B1010" s="37">
        <v>14356</v>
      </c>
      <c r="C1010" s="22" t="str">
        <f>IFERROR(VLOOKUP(B1010,Colaboradores!A:D,2,),"")</f>
        <v>JACILENE BELO LIMA</v>
      </c>
      <c r="D1010" s="22" t="str">
        <f>IFERROR(VLOOKUP(B1010,Colaboradores!A:D,3,),"")</f>
        <v>REGIONAL LESTE</v>
      </c>
      <c r="E1010" s="22" t="str">
        <f>IFERROR(VLOOKUP(B1010,Colaboradores!A:D,4,),"")</f>
        <v>ASSISTENTE ADMINISTRATIVO</v>
      </c>
      <c r="F1010" s="22" t="s">
        <v>26</v>
      </c>
      <c r="G1010" s="24" t="str">
        <f>IFERROR(VLOOKUP(F1010,Procedimentos!A:C,2,),"")</f>
        <v>RESPONSABILIDADES E AUTORIDADES DO SGQ</v>
      </c>
      <c r="H1010" s="42"/>
      <c r="I1010" s="44">
        <v>45861</v>
      </c>
      <c r="J1010" s="22">
        <v>12</v>
      </c>
      <c r="K1010" s="25">
        <f t="shared" si="51"/>
        <v>46226</v>
      </c>
      <c r="L1010" s="7"/>
      <c r="M1010" s="50" t="s">
        <v>20</v>
      </c>
      <c r="N1010" s="7"/>
      <c r="O1010" s="22" t="s">
        <v>28</v>
      </c>
      <c r="P1010" s="25">
        <f t="shared" si="52"/>
        <v>45953</v>
      </c>
      <c r="Q1010" s="25"/>
      <c r="R1010" s="25"/>
      <c r="S1010" s="7"/>
      <c r="T1010" s="7"/>
    </row>
    <row r="1011" spans="1:20" ht="14.25" customHeight="1">
      <c r="A1011" s="22">
        <v>1128</v>
      </c>
      <c r="B1011" s="37">
        <v>14356</v>
      </c>
      <c r="C1011" s="22" t="str">
        <f>IFERROR(VLOOKUP(B1011,Colaboradores!A:D,2,),"")</f>
        <v>JACILENE BELO LIMA</v>
      </c>
      <c r="D1011" s="22" t="str">
        <f>IFERROR(VLOOKUP(B1011,Colaboradores!A:D,3,),"")</f>
        <v>REGIONAL LESTE</v>
      </c>
      <c r="E1011" s="22" t="str">
        <f>IFERROR(VLOOKUP(B1011,Colaboradores!A:D,4,),"")</f>
        <v>ASSISTENTE ADMINISTRATIVO</v>
      </c>
      <c r="F1011" s="22" t="s">
        <v>26</v>
      </c>
      <c r="G1011" s="24" t="str">
        <f>IFERROR(VLOOKUP(F1011,Procedimentos!A:C,2,),"")</f>
        <v>RESPONSABILIDADES E AUTORIDADES DO SGQ</v>
      </c>
      <c r="H1011" s="42"/>
      <c r="I1011" s="44">
        <v>45861</v>
      </c>
      <c r="J1011" s="22">
        <v>12</v>
      </c>
      <c r="K1011" s="25">
        <f t="shared" si="51"/>
        <v>46226</v>
      </c>
      <c r="L1011" s="7"/>
      <c r="M1011" s="50" t="s">
        <v>20</v>
      </c>
      <c r="N1011" s="7"/>
      <c r="O1011" s="22" t="s">
        <v>28</v>
      </c>
      <c r="P1011" s="25">
        <f t="shared" si="52"/>
        <v>45953</v>
      </c>
      <c r="Q1011" s="25"/>
      <c r="R1011" s="25"/>
      <c r="S1011" s="7"/>
      <c r="T1011" s="7"/>
    </row>
    <row r="1012" spans="1:20" ht="14.25" customHeight="1">
      <c r="A1012" s="22">
        <v>1129</v>
      </c>
      <c r="B1012" s="37">
        <v>14420</v>
      </c>
      <c r="C1012" s="22" t="str">
        <f>IFERROR(VLOOKUP(B1012,Colaboradores!A:D,2,),"")</f>
        <v>LAYLLA EMANUELLY DA SILVA ARAUJO</v>
      </c>
      <c r="D1012" s="22" t="str">
        <f>IFERROR(VLOOKUP(B1012,Colaboradores!A:D,3,),"")</f>
        <v>REGIONAL LESTE</v>
      </c>
      <c r="E1012" s="22" t="str">
        <f>IFERROR(VLOOKUP(B1012,Colaboradores!A:D,4,),"")</f>
        <v>ASSISTENTE ADMINISTRATIVO</v>
      </c>
      <c r="F1012" s="22" t="s">
        <v>26</v>
      </c>
      <c r="G1012" s="24" t="str">
        <f>IFERROR(VLOOKUP(F1012,Procedimentos!A:C,2,),"")</f>
        <v>RESPONSABILIDADES E AUTORIDADES DO SGQ</v>
      </c>
      <c r="H1012" s="42"/>
      <c r="I1012" s="44">
        <v>45861</v>
      </c>
      <c r="J1012" s="22">
        <v>12</v>
      </c>
      <c r="K1012" s="25">
        <f t="shared" si="51"/>
        <v>46226</v>
      </c>
      <c r="L1012" s="7"/>
      <c r="M1012" s="50" t="s">
        <v>20</v>
      </c>
      <c r="N1012" s="7"/>
      <c r="O1012" s="22" t="s">
        <v>28</v>
      </c>
      <c r="P1012" s="25">
        <f t="shared" si="52"/>
        <v>45953</v>
      </c>
      <c r="Q1012" s="25"/>
      <c r="R1012" s="25"/>
      <c r="S1012" s="7"/>
      <c r="T1012" s="7"/>
    </row>
    <row r="1013" spans="1:20" ht="14.25" customHeight="1">
      <c r="A1013" s="22">
        <v>1130</v>
      </c>
      <c r="B1013" s="35">
        <v>14721</v>
      </c>
      <c r="C1013" s="22" t="str">
        <f>IFERROR(VLOOKUP(B1013,Colaboradores!A:D,2,),"")</f>
        <v>RONILSON FERREIRA OLIVEIRA</v>
      </c>
      <c r="D1013" s="22" t="str">
        <f>IFERROR(VLOOKUP(B1013,Colaboradores!A:D,3,),"")</f>
        <v>REGIONAL LESTE</v>
      </c>
      <c r="E1013" s="22" t="str">
        <f>IFERROR(VLOOKUP(B1013,Colaboradores!A:D,4,),"")</f>
        <v>TÉCNICO DE SEGURANÇA DO TRABALHO</v>
      </c>
      <c r="F1013" s="22" t="s">
        <v>26</v>
      </c>
      <c r="G1013" s="24" t="str">
        <f>IFERROR(VLOOKUP(F1013,Procedimentos!A:C,2,),"")</f>
        <v>RESPONSABILIDADES E AUTORIDADES DO SGQ</v>
      </c>
      <c r="H1013" s="42"/>
      <c r="I1013" s="44">
        <v>45861</v>
      </c>
      <c r="J1013" s="22">
        <v>12</v>
      </c>
      <c r="K1013" s="25">
        <f t="shared" si="51"/>
        <v>46226</v>
      </c>
      <c r="L1013" s="7"/>
      <c r="M1013" s="50" t="s">
        <v>20</v>
      </c>
      <c r="N1013" s="7"/>
      <c r="O1013" s="22" t="s">
        <v>28</v>
      </c>
      <c r="P1013" s="25">
        <f t="shared" si="52"/>
        <v>45953</v>
      </c>
      <c r="Q1013" s="25"/>
      <c r="R1013" s="25"/>
      <c r="S1013" s="7"/>
      <c r="T1013" s="7"/>
    </row>
    <row r="1014" spans="1:20" ht="14.25" customHeight="1">
      <c r="A1014" s="22">
        <v>1131</v>
      </c>
      <c r="B1014" s="35">
        <v>13964</v>
      </c>
      <c r="C1014" s="22" t="str">
        <f>IFERROR(VLOOKUP(B1014,Colaboradores!A:D,2,),"")</f>
        <v>ESTER MOREIRA AMBROSIO DE CARVALHO</v>
      </c>
      <c r="D1014" s="22" t="str">
        <f>IFERROR(VLOOKUP(B1014,Colaboradores!A:D,3,),"")</f>
        <v>REGIONAL SUL</v>
      </c>
      <c r="E1014" s="22" t="str">
        <f>IFERROR(VLOOKUP(B1014,Colaboradores!A:D,4,),"")</f>
        <v>ENFERMEIRO DO TRABALHO</v>
      </c>
      <c r="F1014" s="22" t="s">
        <v>39</v>
      </c>
      <c r="G1014" s="24" t="str">
        <f>IFERROR(VLOOKUP(F1014,Procedimentos!A:C,2,),"")</f>
        <v>GESTÃO DE ÁGUAS E EFLUENTES</v>
      </c>
      <c r="H1014" s="41"/>
      <c r="I1014" s="43">
        <v>45889</v>
      </c>
      <c r="J1014" s="22">
        <v>12</v>
      </c>
      <c r="K1014" s="25">
        <f t="shared" si="51"/>
        <v>46254</v>
      </c>
      <c r="L1014" s="7"/>
      <c r="M1014" s="33" t="s">
        <v>70</v>
      </c>
      <c r="N1014" s="7"/>
      <c r="O1014" s="22" t="s">
        <v>28</v>
      </c>
      <c r="P1014" s="25">
        <f t="shared" si="52"/>
        <v>45981</v>
      </c>
      <c r="Q1014" s="25"/>
      <c r="R1014" s="25"/>
      <c r="S1014" s="7"/>
      <c r="T1014" s="7"/>
    </row>
    <row r="1015" spans="1:20" ht="14.25" customHeight="1">
      <c r="A1015" s="22">
        <v>1132</v>
      </c>
      <c r="B1015" s="35">
        <v>13964</v>
      </c>
      <c r="C1015" s="22" t="str">
        <f>IFERROR(VLOOKUP(B1015,Colaboradores!A:D,2,),"")</f>
        <v>ESTER MOREIRA AMBROSIO DE CARVALHO</v>
      </c>
      <c r="D1015" s="22" t="str">
        <f>IFERROR(VLOOKUP(B1015,Colaboradores!A:D,3,),"")</f>
        <v>REGIONAL SUL</v>
      </c>
      <c r="E1015" s="22" t="str">
        <f>IFERROR(VLOOKUP(B1015,Colaboradores!A:D,4,),"")</f>
        <v>ENFERMEIRO DO TRABALHO</v>
      </c>
      <c r="F1015" s="22" t="s">
        <v>34</v>
      </c>
      <c r="G1015" s="24" t="str">
        <f>IFERROR(VLOOKUP(F1015,Procedimentos!A:C,2,),"")</f>
        <v>GESTÃO DE LICENCIAMENTO AMBIENTAL</v>
      </c>
      <c r="H1015" s="41"/>
      <c r="I1015" s="43">
        <v>45889</v>
      </c>
      <c r="J1015" s="22">
        <v>12</v>
      </c>
      <c r="K1015" s="25">
        <f t="shared" si="51"/>
        <v>46254</v>
      </c>
      <c r="L1015" s="7"/>
      <c r="M1015" s="33" t="s">
        <v>70</v>
      </c>
      <c r="N1015" s="7"/>
      <c r="O1015" s="22" t="s">
        <v>28</v>
      </c>
      <c r="P1015" s="25">
        <f t="shared" si="52"/>
        <v>45981</v>
      </c>
      <c r="Q1015" s="25"/>
      <c r="R1015" s="25"/>
      <c r="S1015" s="7"/>
      <c r="T1015" s="7"/>
    </row>
    <row r="1016" spans="1:20" ht="14.25" customHeight="1">
      <c r="A1016" s="22">
        <v>1133</v>
      </c>
      <c r="B1016" s="35">
        <v>13964</v>
      </c>
      <c r="C1016" s="22" t="str">
        <f>IFERROR(VLOOKUP(B1016,Colaboradores!A:D,2,),"")</f>
        <v>ESTER MOREIRA AMBROSIO DE CARVALHO</v>
      </c>
      <c r="D1016" s="22" t="str">
        <f>IFERROR(VLOOKUP(B1016,Colaboradores!A:D,3,),"")</f>
        <v>REGIONAL SUL</v>
      </c>
      <c r="E1016" s="22" t="str">
        <f>IFERROR(VLOOKUP(B1016,Colaboradores!A:D,4,),"")</f>
        <v>ENFERMEIRO DO TRABALHO</v>
      </c>
      <c r="F1016" s="22" t="s">
        <v>38</v>
      </c>
      <c r="G1016" s="24" t="str">
        <f>IFERROR(VLOOKUP(F1016,Procedimentos!A:C,2,),"")</f>
        <v>GESTÃO DE CONDICIONANTES DE LICENCIAMENTO AMBIENTAL</v>
      </c>
      <c r="H1016" s="41"/>
      <c r="I1016" s="43">
        <v>45889</v>
      </c>
      <c r="J1016" s="22">
        <v>12</v>
      </c>
      <c r="K1016" s="25">
        <f t="shared" si="51"/>
        <v>46254</v>
      </c>
      <c r="L1016" s="7"/>
      <c r="M1016" s="33" t="s">
        <v>70</v>
      </c>
      <c r="N1016" s="7"/>
      <c r="O1016" s="22" t="s">
        <v>28</v>
      </c>
      <c r="P1016" s="25">
        <f t="shared" si="52"/>
        <v>45981</v>
      </c>
      <c r="Q1016" s="25"/>
      <c r="R1016" s="25"/>
      <c r="S1016" s="7"/>
      <c r="T1016" s="7"/>
    </row>
    <row r="1017" spans="1:20" ht="14.25" customHeight="1">
      <c r="A1017" s="22">
        <v>1134</v>
      </c>
      <c r="B1017" s="35">
        <v>13964</v>
      </c>
      <c r="C1017" s="22" t="str">
        <f>IFERROR(VLOOKUP(B1017,Colaboradores!A:D,2,),"")</f>
        <v>ESTER MOREIRA AMBROSIO DE CARVALHO</v>
      </c>
      <c r="D1017" s="22" t="str">
        <f>IFERROR(VLOOKUP(B1017,Colaboradores!A:D,3,),"")</f>
        <v>REGIONAL SUL</v>
      </c>
      <c r="E1017" s="22" t="str">
        <f>IFERROR(VLOOKUP(B1017,Colaboradores!A:D,4,),"")</f>
        <v>ENFERMEIRO DO TRABALHO</v>
      </c>
      <c r="F1017" s="4" t="s">
        <v>37</v>
      </c>
      <c r="G1017" s="24" t="str">
        <f>IFERROR(VLOOKUP(F1017,Procedimentos!A:C,2,),"")</f>
        <v>GESTÃO DE RESÍDUOS SÓLIDOS DE SERVIÇOS DE SAÚDE</v>
      </c>
      <c r="H1017" s="41"/>
      <c r="I1017" s="43">
        <v>45889</v>
      </c>
      <c r="J1017" s="22">
        <v>12</v>
      </c>
      <c r="K1017" s="25">
        <f t="shared" si="51"/>
        <v>46254</v>
      </c>
      <c r="L1017" s="7"/>
      <c r="M1017" s="33" t="s">
        <v>70</v>
      </c>
      <c r="N1017" s="7"/>
      <c r="O1017" s="22" t="s">
        <v>28</v>
      </c>
      <c r="P1017" s="25">
        <f t="shared" si="52"/>
        <v>45981</v>
      </c>
      <c r="Q1017" s="25"/>
      <c r="R1017" s="25"/>
      <c r="S1017" s="7"/>
      <c r="T1017" s="7"/>
    </row>
    <row r="1018" spans="1:20" ht="14.25" customHeight="1">
      <c r="A1018" s="22">
        <v>1135</v>
      </c>
      <c r="B1018" s="35">
        <v>13964</v>
      </c>
      <c r="C1018" s="22" t="str">
        <f>IFERROR(VLOOKUP(B1018,Colaboradores!A:D,2,),"")</f>
        <v>ESTER MOREIRA AMBROSIO DE CARVALHO</v>
      </c>
      <c r="D1018" s="22" t="str">
        <f>IFERROR(VLOOKUP(B1018,Colaboradores!A:D,3,),"")</f>
        <v>REGIONAL SUL</v>
      </c>
      <c r="E1018" s="22" t="str">
        <f>IFERROR(VLOOKUP(B1018,Colaboradores!A:D,4,),"")</f>
        <v>ENFERMEIRO DO TRABALHO</v>
      </c>
      <c r="F1018" s="22" t="s">
        <v>35</v>
      </c>
      <c r="G1018" s="24" t="str">
        <f>IFERROR(VLOOKUP(F1018,Procedimentos!A:C,2,),"")</f>
        <v>PROCEDIMENTO DE AFERIÇÃO DE FUMAÇA PRETA</v>
      </c>
      <c r="H1018" s="41"/>
      <c r="I1018" s="43">
        <v>45889</v>
      </c>
      <c r="J1018" s="22">
        <v>12</v>
      </c>
      <c r="K1018" s="25">
        <f t="shared" si="51"/>
        <v>46254</v>
      </c>
      <c r="L1018" s="7"/>
      <c r="M1018" s="33" t="s">
        <v>70</v>
      </c>
      <c r="N1018" s="7"/>
      <c r="O1018" s="22" t="s">
        <v>28</v>
      </c>
      <c r="P1018" s="25">
        <f t="shared" si="52"/>
        <v>45981</v>
      </c>
      <c r="Q1018" s="25"/>
      <c r="R1018" s="25"/>
      <c r="S1018" s="7"/>
      <c r="T1018" s="7"/>
    </row>
    <row r="1019" spans="1:20" ht="14.25" customHeight="1">
      <c r="A1019" s="22">
        <v>1136</v>
      </c>
      <c r="B1019" s="35">
        <v>7590</v>
      </c>
      <c r="C1019" s="22" t="str">
        <f>IFERROR(VLOOKUP(B1019,Colaboradores!A:D,2,),"")</f>
        <v>FABIOLA SOUSA MOURA BORGES</v>
      </c>
      <c r="D1019" s="22" t="str">
        <f>IFERROR(VLOOKUP(B1019,Colaboradores!A:D,3,),"")</f>
        <v>SAÚDE OCUPACIONAL</v>
      </c>
      <c r="E1019" s="22" t="str">
        <f>IFERROR(VLOOKUP(B1019,Colaboradores!A:D,4,),"")</f>
        <v>GERENTE DE SAÚDE OCUPACIONAL</v>
      </c>
      <c r="F1019" s="22" t="s">
        <v>41</v>
      </c>
      <c r="G1019" s="24" t="str">
        <f>IFERROR(VLOOKUP(F1019,Procedimentos!A:C,2,),"")</f>
        <v>DIRETRIZES PARA COMUNICAÇÃO E INVESTIGAÇÃO DE ACIDENTES</v>
      </c>
      <c r="H1019" s="41"/>
      <c r="I1019" s="43">
        <v>45888</v>
      </c>
      <c r="J1019" s="22">
        <v>12</v>
      </c>
      <c r="K1019" s="25">
        <f t="shared" si="51"/>
        <v>46253</v>
      </c>
      <c r="L1019" s="7"/>
      <c r="M1019" s="33" t="s">
        <v>71</v>
      </c>
      <c r="N1019" s="7"/>
      <c r="O1019" s="22" t="s">
        <v>28</v>
      </c>
      <c r="P1019" s="25">
        <f t="shared" si="52"/>
        <v>45980</v>
      </c>
      <c r="Q1019" s="25"/>
      <c r="R1019" s="25"/>
      <c r="S1019" s="7"/>
      <c r="T1019" s="7"/>
    </row>
    <row r="1020" spans="1:20" ht="14.25" customHeight="1">
      <c r="A1020" s="22">
        <v>1137</v>
      </c>
      <c r="B1020" s="35">
        <v>7590</v>
      </c>
      <c r="C1020" s="22" t="str">
        <f>IFERROR(VLOOKUP(B1020,Colaboradores!A:D,2,),"")</f>
        <v>FABIOLA SOUSA MOURA BORGES</v>
      </c>
      <c r="D1020" s="22" t="str">
        <f>IFERROR(VLOOKUP(B1020,Colaboradores!A:D,3,),"")</f>
        <v>SAÚDE OCUPACIONAL</v>
      </c>
      <c r="E1020" s="22" t="str">
        <f>IFERROR(VLOOKUP(B1020,Colaboradores!A:D,4,),"")</f>
        <v>GERENTE DE SAÚDE OCUPACIONAL</v>
      </c>
      <c r="F1020" s="22" t="s">
        <v>43</v>
      </c>
      <c r="G1020" s="24" t="str">
        <f>IFERROR(VLOOKUP(F1020,Procedimentos!A:C,2,),"")</f>
        <v>DIÁLOGO DE SAÚDE E SEGURANÇA - DSS</v>
      </c>
      <c r="H1020" s="41"/>
      <c r="I1020" s="43">
        <v>45888</v>
      </c>
      <c r="J1020" s="22">
        <v>12</v>
      </c>
      <c r="K1020" s="25">
        <f t="shared" si="51"/>
        <v>46253</v>
      </c>
      <c r="L1020" s="7"/>
      <c r="M1020" s="33" t="s">
        <v>71</v>
      </c>
      <c r="N1020" s="7"/>
      <c r="O1020" s="22" t="s">
        <v>28</v>
      </c>
      <c r="P1020" s="25">
        <f t="shared" si="52"/>
        <v>45980</v>
      </c>
      <c r="Q1020" s="25"/>
      <c r="R1020" s="25"/>
      <c r="S1020" s="7"/>
      <c r="T1020" s="7"/>
    </row>
    <row r="1021" spans="1:20" ht="14.25" customHeight="1">
      <c r="A1021" s="22">
        <v>1138</v>
      </c>
      <c r="B1021" s="35">
        <v>7590</v>
      </c>
      <c r="C1021" s="22" t="str">
        <f>IFERROR(VLOOKUP(B1021,Colaboradores!A:D,2,),"")</f>
        <v>FABIOLA SOUSA MOURA BORGES</v>
      </c>
      <c r="D1021" s="22" t="str">
        <f>IFERROR(VLOOKUP(B1021,Colaboradores!A:D,3,),"")</f>
        <v>SAÚDE OCUPACIONAL</v>
      </c>
      <c r="E1021" s="22" t="str">
        <f>IFERROR(VLOOKUP(B1021,Colaboradores!A:D,4,),"")</f>
        <v>GERENTE DE SAÚDE OCUPACIONAL</v>
      </c>
      <c r="F1021" s="22" t="s">
        <v>44</v>
      </c>
      <c r="G1021" s="24" t="str">
        <f>IFERROR(VLOOKUP(F1021,Procedimentos!A:C,2,),"")</f>
        <v>DIRETRIZES PARA GESTÃO DE EQUIPAMENTOS DE PROTEÇÃO INDIVIDUAL - EPI'S</v>
      </c>
      <c r="H1021" s="41"/>
      <c r="I1021" s="43">
        <v>45888</v>
      </c>
      <c r="J1021" s="22">
        <v>12</v>
      </c>
      <c r="K1021" s="25">
        <f t="shared" si="51"/>
        <v>46253</v>
      </c>
      <c r="L1021" s="7"/>
      <c r="M1021" s="33" t="s">
        <v>71</v>
      </c>
      <c r="N1021" s="7"/>
      <c r="O1021" s="22" t="s">
        <v>28</v>
      </c>
      <c r="P1021" s="25">
        <f t="shared" si="52"/>
        <v>45980</v>
      </c>
      <c r="Q1021" s="25"/>
      <c r="R1021" s="25"/>
      <c r="S1021" s="7"/>
      <c r="T1021" s="7"/>
    </row>
    <row r="1022" spans="1:20" ht="14.25" customHeight="1">
      <c r="A1022" s="22">
        <v>1139</v>
      </c>
      <c r="B1022" s="35">
        <v>7590</v>
      </c>
      <c r="C1022" s="22" t="str">
        <f>IFERROR(VLOOKUP(B1022,Colaboradores!A:D,2,),"")</f>
        <v>FABIOLA SOUSA MOURA BORGES</v>
      </c>
      <c r="D1022" s="22" t="str">
        <f>IFERROR(VLOOKUP(B1022,Colaboradores!A:D,3,),"")</f>
        <v>SAÚDE OCUPACIONAL</v>
      </c>
      <c r="E1022" s="22" t="str">
        <f>IFERROR(VLOOKUP(B1022,Colaboradores!A:D,4,),"")</f>
        <v>GERENTE DE SAÚDE OCUPACIONAL</v>
      </c>
      <c r="F1022" s="22" t="s">
        <v>45</v>
      </c>
      <c r="G1022" s="24" t="str">
        <f>IFERROR(VLOOKUP(F1022,Procedimentos!A:C,2,),"")</f>
        <v>CONSTITUIÇÃO INTERNA DE PREVENÇÃO DE ACIDENTES E DE ASSÉDIOS - CIPA</v>
      </c>
      <c r="H1022" s="41"/>
      <c r="I1022" s="43">
        <v>45888</v>
      </c>
      <c r="J1022" s="22">
        <v>12</v>
      </c>
      <c r="K1022" s="25">
        <f t="shared" si="51"/>
        <v>46253</v>
      </c>
      <c r="L1022" s="7"/>
      <c r="M1022" s="33" t="s">
        <v>71</v>
      </c>
      <c r="N1022" s="7"/>
      <c r="O1022" s="22" t="s">
        <v>28</v>
      </c>
      <c r="P1022" s="25">
        <f t="shared" si="52"/>
        <v>45980</v>
      </c>
      <c r="Q1022" s="25"/>
      <c r="R1022" s="25"/>
      <c r="S1022" s="7"/>
      <c r="T1022" s="7"/>
    </row>
    <row r="1023" spans="1:20" ht="14.25" customHeight="1">
      <c r="A1023" s="22">
        <v>1140</v>
      </c>
      <c r="B1023" s="35">
        <v>14866</v>
      </c>
      <c r="C1023" s="22" t="str">
        <f>IFERROR(VLOOKUP(B1023,Colaboradores!A:D,2,),"")</f>
        <v>GERUSA LOURDES CHAVES ALVES DA SILVA</v>
      </c>
      <c r="D1023" s="22" t="str">
        <f>IFERROR(VLOOKUP(B1023,Colaboradores!A:D,3,),"")</f>
        <v>SAÚDE OCUPACIONAL</v>
      </c>
      <c r="E1023" s="22" t="str">
        <f>IFERROR(VLOOKUP(B1023,Colaboradores!A:D,4,),"")</f>
        <v>ASSESSOR CLINICO(A)</v>
      </c>
      <c r="F1023" s="22" t="s">
        <v>49</v>
      </c>
      <c r="G1023" s="24" t="str">
        <f>IFERROR(VLOOKUP(F1023,Procedimentos!A:C,2,),"")</f>
        <v>DIRETRIZES PARA REALIZAÇÃO DE EXAMES OCUPACIONAIS</v>
      </c>
      <c r="H1023" s="39"/>
      <c r="I1023" s="40">
        <v>45875</v>
      </c>
      <c r="J1023" s="22">
        <v>12</v>
      </c>
      <c r="K1023" s="25">
        <f t="shared" si="51"/>
        <v>46240</v>
      </c>
      <c r="L1023" s="7"/>
      <c r="M1023" s="33" t="s">
        <v>72</v>
      </c>
      <c r="N1023" s="7"/>
      <c r="O1023" s="22" t="s">
        <v>28</v>
      </c>
      <c r="P1023" s="25">
        <f t="shared" si="52"/>
        <v>45967</v>
      </c>
      <c r="Q1023" s="25"/>
      <c r="R1023" s="25"/>
      <c r="S1023" s="7"/>
      <c r="T1023" s="7"/>
    </row>
    <row r="1024" spans="1:20" ht="14.25" customHeight="1">
      <c r="A1024" s="22">
        <v>1141</v>
      </c>
      <c r="B1024" s="35">
        <v>14866</v>
      </c>
      <c r="C1024" s="22" t="str">
        <f>IFERROR(VLOOKUP(B1024,Colaboradores!A:D,2,),"")</f>
        <v>GERUSA LOURDES CHAVES ALVES DA SILVA</v>
      </c>
      <c r="D1024" s="22" t="str">
        <f>IFERROR(VLOOKUP(B1024,Colaboradores!A:D,3,),"")</f>
        <v>SAÚDE OCUPACIONAL</v>
      </c>
      <c r="E1024" s="22" t="str">
        <f>IFERROR(VLOOKUP(B1024,Colaboradores!A:D,4,),"")</f>
        <v>ASSESSOR CLINICO(A)</v>
      </c>
      <c r="F1024" s="22" t="s">
        <v>51</v>
      </c>
      <c r="G1024" s="24" t="str">
        <f>IFERROR(VLOOKUP(F1024,Procedimentos!A:C,2,),"")</f>
        <v>DIRETRIZES PARA ENTREGA DE ATESTADOS MÉDICOS E ODONTOLÓGICOS</v>
      </c>
      <c r="H1024" s="39"/>
      <c r="I1024" s="40">
        <v>45875</v>
      </c>
      <c r="J1024" s="22">
        <v>12</v>
      </c>
      <c r="K1024" s="25">
        <f t="shared" si="51"/>
        <v>46240</v>
      </c>
      <c r="L1024" s="7"/>
      <c r="M1024" s="33" t="s">
        <v>72</v>
      </c>
      <c r="N1024" s="7"/>
      <c r="O1024" s="22" t="s">
        <v>28</v>
      </c>
      <c r="P1024" s="25">
        <f t="shared" si="52"/>
        <v>45967</v>
      </c>
      <c r="Q1024" s="25"/>
      <c r="R1024" s="25"/>
      <c r="S1024" s="7"/>
      <c r="T1024" s="7"/>
    </row>
    <row r="1025" spans="1:20" ht="14.25" customHeight="1">
      <c r="A1025" s="22">
        <v>1142</v>
      </c>
      <c r="B1025" s="35">
        <v>14866</v>
      </c>
      <c r="C1025" s="22" t="str">
        <f>IFERROR(VLOOKUP(B1025,Colaboradores!A:D,2,),"")</f>
        <v>GERUSA LOURDES CHAVES ALVES DA SILVA</v>
      </c>
      <c r="D1025" s="22" t="str">
        <f>IFERROR(VLOOKUP(B1025,Colaboradores!A:D,3,),"")</f>
        <v>SAÚDE OCUPACIONAL</v>
      </c>
      <c r="E1025" s="22" t="str">
        <f>IFERROR(VLOOKUP(B1025,Colaboradores!A:D,4,),"")</f>
        <v>ASSESSOR CLINICO(A)</v>
      </c>
      <c r="F1025" s="22" t="s">
        <v>52</v>
      </c>
      <c r="G1025" s="24" t="str">
        <f>IFERROR(VLOOKUP(F1025,Procedimentos!A:C,2,),"")</f>
        <v>DIRETRIZES E ACOMPANHAMENTO  DE ACIDENTE COM MATERIAL BIOLOGICO</v>
      </c>
      <c r="H1025" s="39"/>
      <c r="I1025" s="40">
        <v>45875</v>
      </c>
      <c r="J1025" s="22">
        <v>12</v>
      </c>
      <c r="K1025" s="25">
        <f t="shared" si="51"/>
        <v>46240</v>
      </c>
      <c r="L1025" s="7"/>
      <c r="M1025" s="33" t="s">
        <v>72</v>
      </c>
      <c r="N1025" s="7"/>
      <c r="O1025" s="22" t="s">
        <v>28</v>
      </c>
      <c r="P1025" s="25">
        <f t="shared" si="52"/>
        <v>45967</v>
      </c>
      <c r="Q1025" s="25"/>
      <c r="R1025" s="25"/>
      <c r="S1025" s="7"/>
      <c r="T1025" s="7"/>
    </row>
    <row r="1026" spans="1:20" ht="14.25" customHeight="1">
      <c r="A1026" s="22">
        <v>1143</v>
      </c>
      <c r="B1026" s="35">
        <v>14866</v>
      </c>
      <c r="C1026" s="22" t="str">
        <f>IFERROR(VLOOKUP(B1026,Colaboradores!A:D,2,),"")</f>
        <v>GERUSA LOURDES CHAVES ALVES DA SILVA</v>
      </c>
      <c r="D1026" s="22" t="str">
        <f>IFERROR(VLOOKUP(B1026,Colaboradores!A:D,3,),"")</f>
        <v>SAÚDE OCUPACIONAL</v>
      </c>
      <c r="E1026" s="22" t="str">
        <f>IFERROR(VLOOKUP(B1026,Colaboradores!A:D,4,),"")</f>
        <v>ASSESSOR CLINICO(A)</v>
      </c>
      <c r="F1026" s="22" t="s">
        <v>53</v>
      </c>
      <c r="G1026" s="24" t="str">
        <f>IFERROR(VLOOKUP(F1026,Procedimentos!A:C,2,),"")</f>
        <v>DIRETRIZES PARA MONITORAMENTO DE GESTANTE</v>
      </c>
      <c r="H1026" s="39"/>
      <c r="I1026" s="40">
        <v>45875</v>
      </c>
      <c r="J1026" s="22">
        <v>12</v>
      </c>
      <c r="K1026" s="25">
        <f t="shared" si="51"/>
        <v>46240</v>
      </c>
      <c r="L1026" s="7"/>
      <c r="M1026" s="33" t="s">
        <v>72</v>
      </c>
      <c r="N1026" s="7"/>
      <c r="O1026" s="22" t="s">
        <v>28</v>
      </c>
      <c r="P1026" s="25">
        <f t="shared" si="52"/>
        <v>45967</v>
      </c>
      <c r="Q1026" s="25"/>
      <c r="R1026" s="25"/>
      <c r="S1026" s="7"/>
      <c r="T1026" s="7"/>
    </row>
    <row r="1027" spans="1:20" ht="14.25" customHeight="1">
      <c r="A1027" s="22">
        <v>1144</v>
      </c>
      <c r="B1027" s="35">
        <v>14866</v>
      </c>
      <c r="C1027" s="22" t="str">
        <f>IFERROR(VLOOKUP(B1027,Colaboradores!A:D,2,),"")</f>
        <v>GERUSA LOURDES CHAVES ALVES DA SILVA</v>
      </c>
      <c r="D1027" s="22" t="str">
        <f>IFERROR(VLOOKUP(B1027,Colaboradores!A:D,3,),"")</f>
        <v>SAÚDE OCUPACIONAL</v>
      </c>
      <c r="E1027" s="22" t="str">
        <f>IFERROR(VLOOKUP(B1027,Colaboradores!A:D,4,),"")</f>
        <v>ASSESSOR CLINICO(A)</v>
      </c>
      <c r="F1027" s="22" t="s">
        <v>54</v>
      </c>
      <c r="G1027" s="24" t="str">
        <f>IFERROR(VLOOKUP(F1027,Procedimentos!A:C,2,),"")</f>
        <v>DIRETRIZES DE IMUNIZAÇÃO OCUPACIONAL</v>
      </c>
      <c r="H1027" s="39"/>
      <c r="I1027" s="40">
        <v>45875</v>
      </c>
      <c r="J1027" s="22">
        <v>12</v>
      </c>
      <c r="K1027" s="25">
        <f t="shared" ref="K1027:K1090" si="53">IF(AND(I1027&lt;&gt;"",J1027&lt;&gt;""),DATE(YEAR(I1027),MONTH(I1027)+J1027,DAY(I1027)),"")</f>
        <v>46240</v>
      </c>
      <c r="L1027" s="7"/>
      <c r="M1027" s="33" t="s">
        <v>72</v>
      </c>
      <c r="N1027" s="7"/>
      <c r="O1027" s="22" t="s">
        <v>28</v>
      </c>
      <c r="P1027" s="25">
        <f t="shared" si="52"/>
        <v>45967</v>
      </c>
      <c r="Q1027" s="25"/>
      <c r="R1027" s="25"/>
      <c r="S1027" s="7"/>
      <c r="T1027" s="7"/>
    </row>
    <row r="1028" spans="1:20" ht="14.25" customHeight="1">
      <c r="A1028" s="22">
        <v>1145</v>
      </c>
      <c r="B1028" s="35">
        <v>14866</v>
      </c>
      <c r="C1028" s="22" t="str">
        <f>IFERROR(VLOOKUP(B1028,Colaboradores!A:D,2,),"")</f>
        <v>GERUSA LOURDES CHAVES ALVES DA SILVA</v>
      </c>
      <c r="D1028" s="22" t="str">
        <f>IFERROR(VLOOKUP(B1028,Colaboradores!A:D,3,),"")</f>
        <v>SAÚDE OCUPACIONAL</v>
      </c>
      <c r="E1028" s="22" t="str">
        <f>IFERROR(VLOOKUP(B1028,Colaboradores!A:D,4,),"")</f>
        <v>ASSESSOR CLINICO(A)</v>
      </c>
      <c r="F1028" s="22" t="s">
        <v>55</v>
      </c>
      <c r="G1028" s="24" t="str">
        <f>IFERROR(VLOOKUP(F1028,Procedimentos!A:C,2,),"")</f>
        <v>DIRETRIZES PARA ACOMPANHAMENTO DE AFASTADOS</v>
      </c>
      <c r="H1028" s="39"/>
      <c r="I1028" s="40">
        <v>45875</v>
      </c>
      <c r="J1028" s="22">
        <v>12</v>
      </c>
      <c r="K1028" s="25">
        <f t="shared" si="53"/>
        <v>46240</v>
      </c>
      <c r="L1028" s="7"/>
      <c r="M1028" s="33" t="s">
        <v>72</v>
      </c>
      <c r="N1028" s="7"/>
      <c r="O1028" s="22" t="s">
        <v>28</v>
      </c>
      <c r="P1028" s="25">
        <f t="shared" si="52"/>
        <v>45967</v>
      </c>
      <c r="Q1028" s="25"/>
      <c r="R1028" s="25"/>
      <c r="S1028" s="7"/>
      <c r="T1028" s="7"/>
    </row>
    <row r="1029" spans="1:20" ht="14.25" customHeight="1">
      <c r="A1029" s="22">
        <v>1146</v>
      </c>
      <c r="B1029" s="36">
        <v>13810</v>
      </c>
      <c r="C1029" s="22" t="str">
        <f>IFERROR(VLOOKUP(B1029,Colaboradores!A:D,2,),"")</f>
        <v>CAMILA CHAVES SILVA</v>
      </c>
      <c r="D1029" s="22" t="str">
        <f>IFERROR(VLOOKUP(B1029,Colaboradores!A:D,3,),"")</f>
        <v>DIRETORIA</v>
      </c>
      <c r="E1029" s="22" t="str">
        <f>IFERROR(VLOOKUP(B1029,Colaboradores!A:D,4,),"")</f>
        <v>ASSESSOR JURÍDICO</v>
      </c>
      <c r="F1029" s="22" t="s">
        <v>48</v>
      </c>
      <c r="G1029" s="24" t="str">
        <f>IFERROR(VLOOKUP(F1029,Procedimentos!A:C,2,),"")</f>
        <v>POLÍTICA MEIO AMBIENTE EMSERH</v>
      </c>
      <c r="H1029" s="39"/>
      <c r="I1029" s="40">
        <v>45692</v>
      </c>
      <c r="J1029" s="22">
        <v>12</v>
      </c>
      <c r="K1029" s="25">
        <f t="shared" si="53"/>
        <v>46057</v>
      </c>
      <c r="L1029" s="7"/>
      <c r="M1029" s="33" t="s">
        <v>70</v>
      </c>
      <c r="N1029" s="7"/>
      <c r="O1029" s="22" t="s">
        <v>28</v>
      </c>
      <c r="P1029" s="25">
        <f t="shared" si="52"/>
        <v>45781</v>
      </c>
      <c r="Q1029" s="25"/>
      <c r="R1029" s="25"/>
      <c r="S1029" s="7"/>
      <c r="T1029" s="7"/>
    </row>
    <row r="1030" spans="1:20" ht="14.25" customHeight="1">
      <c r="A1030" s="22">
        <v>1147</v>
      </c>
      <c r="B1030" s="36">
        <v>13810</v>
      </c>
      <c r="C1030" s="22" t="str">
        <f>IFERROR(VLOOKUP(B1030,Colaboradores!A:D,2,),"")</f>
        <v>CAMILA CHAVES SILVA</v>
      </c>
      <c r="D1030" s="22" t="str">
        <f>IFERROR(VLOOKUP(B1030,Colaboradores!A:D,3,),"")</f>
        <v>DIRETORIA</v>
      </c>
      <c r="E1030" s="22" t="str">
        <f>IFERROR(VLOOKUP(B1030,Colaboradores!A:D,4,),"")</f>
        <v>ASSESSOR JURÍDICO</v>
      </c>
      <c r="F1030" s="22" t="s">
        <v>46</v>
      </c>
      <c r="G1030" s="24" t="str">
        <f>IFERROR(VLOOKUP(F1030,Procedimentos!A:C,2,),"")</f>
        <v>POLÍTICA DE SAÚDE E SEGURANÇA DO TRABALHO EMSERH</v>
      </c>
      <c r="H1030" s="41"/>
      <c r="I1030" s="43">
        <v>45700</v>
      </c>
      <c r="J1030" s="22">
        <v>12</v>
      </c>
      <c r="K1030" s="25">
        <f t="shared" si="53"/>
        <v>46065</v>
      </c>
      <c r="L1030" s="7"/>
      <c r="M1030" s="33" t="s">
        <v>71</v>
      </c>
      <c r="N1030" s="7"/>
      <c r="O1030" s="22" t="s">
        <v>28</v>
      </c>
      <c r="P1030" s="25">
        <f t="shared" si="52"/>
        <v>45789</v>
      </c>
      <c r="Q1030" s="25"/>
      <c r="R1030" s="25"/>
      <c r="S1030" s="7"/>
      <c r="T1030" s="7"/>
    </row>
    <row r="1031" spans="1:20" ht="14.25" customHeight="1">
      <c r="A1031" s="22">
        <v>1148</v>
      </c>
      <c r="B1031" s="36">
        <v>13810</v>
      </c>
      <c r="C1031" s="22" t="str">
        <f>IFERROR(VLOOKUP(B1031,Colaboradores!A:D,2,),"")</f>
        <v>CAMILA CHAVES SILVA</v>
      </c>
      <c r="D1031" s="22" t="str">
        <f>IFERROR(VLOOKUP(B1031,Colaboradores!A:D,3,),"")</f>
        <v>DIRETORIA</v>
      </c>
      <c r="E1031" s="22" t="str">
        <f>IFERROR(VLOOKUP(B1031,Colaboradores!A:D,4,),"")</f>
        <v>ASSESSOR JURÍDICO</v>
      </c>
      <c r="F1031" s="22" t="s">
        <v>49</v>
      </c>
      <c r="G1031" s="24" t="str">
        <f>IFERROR(VLOOKUP(F1031,Procedimentos!A:C,2,),"")</f>
        <v>DIRETRIZES PARA REALIZAÇÃO DE EXAMES OCUPACIONAIS</v>
      </c>
      <c r="H1031" s="39"/>
      <c r="I1031" s="40">
        <v>45890</v>
      </c>
      <c r="J1031" s="22">
        <v>12</v>
      </c>
      <c r="K1031" s="25">
        <f t="shared" si="53"/>
        <v>46255</v>
      </c>
      <c r="L1031" s="7"/>
      <c r="M1031" s="33" t="s">
        <v>72</v>
      </c>
      <c r="N1031" s="7"/>
      <c r="O1031" s="22" t="s">
        <v>28</v>
      </c>
      <c r="P1031" s="25">
        <f t="shared" si="52"/>
        <v>45982</v>
      </c>
      <c r="Q1031" s="25"/>
      <c r="R1031" s="25"/>
      <c r="S1031" s="7"/>
      <c r="T1031" s="7"/>
    </row>
    <row r="1032" spans="1:20" ht="14.25" customHeight="1">
      <c r="A1032" s="22">
        <v>1149</v>
      </c>
      <c r="B1032" s="36">
        <v>13810</v>
      </c>
      <c r="C1032" s="22" t="str">
        <f>IFERROR(VLOOKUP(B1032,Colaboradores!A:D,2,),"")</f>
        <v>CAMILA CHAVES SILVA</v>
      </c>
      <c r="D1032" s="22" t="str">
        <f>IFERROR(VLOOKUP(B1032,Colaboradores!A:D,3,),"")</f>
        <v>DIRETORIA</v>
      </c>
      <c r="E1032" s="22" t="str">
        <f>IFERROR(VLOOKUP(B1032,Colaboradores!A:D,4,),"")</f>
        <v>ASSESSOR JURÍDICO</v>
      </c>
      <c r="F1032" s="22" t="s">
        <v>51</v>
      </c>
      <c r="G1032" s="24" t="str">
        <f>IFERROR(VLOOKUP(F1032,Procedimentos!A:C,2,),"")</f>
        <v>DIRETRIZES PARA ENTREGA DE ATESTADOS MÉDICOS E ODONTOLÓGICOS</v>
      </c>
      <c r="H1032" s="39"/>
      <c r="I1032" s="40">
        <v>45890</v>
      </c>
      <c r="J1032" s="22">
        <v>12</v>
      </c>
      <c r="K1032" s="25">
        <f t="shared" si="53"/>
        <v>46255</v>
      </c>
      <c r="L1032" s="7"/>
      <c r="M1032" s="33" t="s">
        <v>72</v>
      </c>
      <c r="N1032" s="7"/>
      <c r="O1032" s="22" t="s">
        <v>28</v>
      </c>
      <c r="P1032" s="25">
        <f t="shared" si="52"/>
        <v>45982</v>
      </c>
      <c r="Q1032" s="25"/>
      <c r="R1032" s="25"/>
      <c r="S1032" s="7"/>
      <c r="T1032" s="7"/>
    </row>
    <row r="1033" spans="1:20" ht="14.25" customHeight="1">
      <c r="A1033" s="22">
        <v>1150</v>
      </c>
      <c r="B1033" s="36">
        <v>13810</v>
      </c>
      <c r="C1033" s="22" t="str">
        <f>IFERROR(VLOOKUP(B1033,Colaboradores!A:D,2,),"")</f>
        <v>CAMILA CHAVES SILVA</v>
      </c>
      <c r="D1033" s="22" t="str">
        <f>IFERROR(VLOOKUP(B1033,Colaboradores!A:D,3,),"")</f>
        <v>DIRETORIA</v>
      </c>
      <c r="E1033" s="22" t="str">
        <f>IFERROR(VLOOKUP(B1033,Colaboradores!A:D,4,),"")</f>
        <v>ASSESSOR JURÍDICO</v>
      </c>
      <c r="F1033" s="22" t="s">
        <v>52</v>
      </c>
      <c r="G1033" s="24" t="str">
        <f>IFERROR(VLOOKUP(F1033,Procedimentos!A:C,2,),"")</f>
        <v>DIRETRIZES E ACOMPANHAMENTO  DE ACIDENTE COM MATERIAL BIOLOGICO</v>
      </c>
      <c r="H1033" s="39"/>
      <c r="I1033" s="40">
        <v>45890</v>
      </c>
      <c r="J1033" s="22">
        <v>12</v>
      </c>
      <c r="K1033" s="25">
        <f t="shared" si="53"/>
        <v>46255</v>
      </c>
      <c r="L1033" s="7"/>
      <c r="M1033" s="33" t="s">
        <v>72</v>
      </c>
      <c r="N1033" s="7"/>
      <c r="O1033" s="22" t="s">
        <v>28</v>
      </c>
      <c r="P1033" s="25">
        <f t="shared" si="52"/>
        <v>45982</v>
      </c>
      <c r="Q1033" s="25"/>
      <c r="R1033" s="25"/>
      <c r="S1033" s="7"/>
      <c r="T1033" s="7"/>
    </row>
    <row r="1034" spans="1:20" ht="14.25" customHeight="1">
      <c r="A1034" s="22">
        <v>1151</v>
      </c>
      <c r="B1034" s="36">
        <v>13810</v>
      </c>
      <c r="C1034" s="22" t="str">
        <f>IFERROR(VLOOKUP(B1034,Colaboradores!A:D,2,),"")</f>
        <v>CAMILA CHAVES SILVA</v>
      </c>
      <c r="D1034" s="22" t="str">
        <f>IFERROR(VLOOKUP(B1034,Colaboradores!A:D,3,),"")</f>
        <v>DIRETORIA</v>
      </c>
      <c r="E1034" s="22" t="str">
        <f>IFERROR(VLOOKUP(B1034,Colaboradores!A:D,4,),"")</f>
        <v>ASSESSOR JURÍDICO</v>
      </c>
      <c r="F1034" s="22" t="s">
        <v>53</v>
      </c>
      <c r="G1034" s="24" t="str">
        <f>IFERROR(VLOOKUP(F1034,Procedimentos!A:C,2,),"")</f>
        <v>DIRETRIZES PARA MONITORAMENTO DE GESTANTE</v>
      </c>
      <c r="H1034" s="39"/>
      <c r="I1034" s="40">
        <v>45890</v>
      </c>
      <c r="J1034" s="22">
        <v>12</v>
      </c>
      <c r="K1034" s="25">
        <f t="shared" si="53"/>
        <v>46255</v>
      </c>
      <c r="L1034" s="7"/>
      <c r="M1034" s="33" t="s">
        <v>72</v>
      </c>
      <c r="N1034" s="7"/>
      <c r="O1034" s="22" t="s">
        <v>28</v>
      </c>
      <c r="P1034" s="25">
        <f t="shared" si="52"/>
        <v>45982</v>
      </c>
      <c r="Q1034" s="25"/>
      <c r="R1034" s="25"/>
      <c r="S1034" s="7"/>
      <c r="T1034" s="7"/>
    </row>
    <row r="1035" spans="1:20" ht="14.25" customHeight="1">
      <c r="A1035" s="22">
        <v>1152</v>
      </c>
      <c r="B1035" s="36">
        <v>13810</v>
      </c>
      <c r="C1035" s="22" t="str">
        <f>IFERROR(VLOOKUP(B1035,Colaboradores!A:D,2,),"")</f>
        <v>CAMILA CHAVES SILVA</v>
      </c>
      <c r="D1035" s="22" t="str">
        <f>IFERROR(VLOOKUP(B1035,Colaboradores!A:D,3,),"")</f>
        <v>DIRETORIA</v>
      </c>
      <c r="E1035" s="22" t="str">
        <f>IFERROR(VLOOKUP(B1035,Colaboradores!A:D,4,),"")</f>
        <v>ASSESSOR JURÍDICO</v>
      </c>
      <c r="F1035" s="22" t="s">
        <v>54</v>
      </c>
      <c r="G1035" s="24" t="str">
        <f>IFERROR(VLOOKUP(F1035,Procedimentos!A:C,2,),"")</f>
        <v>DIRETRIZES DE IMUNIZAÇÃO OCUPACIONAL</v>
      </c>
      <c r="H1035" s="39"/>
      <c r="I1035" s="40">
        <v>45890</v>
      </c>
      <c r="J1035" s="22">
        <v>12</v>
      </c>
      <c r="K1035" s="25">
        <f t="shared" si="53"/>
        <v>46255</v>
      </c>
      <c r="L1035" s="7"/>
      <c r="M1035" s="33" t="s">
        <v>72</v>
      </c>
      <c r="N1035" s="7"/>
      <c r="O1035" s="22" t="s">
        <v>28</v>
      </c>
      <c r="P1035" s="25">
        <f t="shared" si="52"/>
        <v>45982</v>
      </c>
      <c r="Q1035" s="25"/>
      <c r="R1035" s="25"/>
      <c r="S1035" s="7"/>
      <c r="T1035" s="7"/>
    </row>
    <row r="1036" spans="1:20" ht="14.25" customHeight="1">
      <c r="A1036" s="22">
        <v>1153</v>
      </c>
      <c r="B1036" s="36">
        <v>13810</v>
      </c>
      <c r="C1036" s="22" t="str">
        <f>IFERROR(VLOOKUP(B1036,Colaboradores!A:D,2,),"")</f>
        <v>CAMILA CHAVES SILVA</v>
      </c>
      <c r="D1036" s="22" t="str">
        <f>IFERROR(VLOOKUP(B1036,Colaboradores!A:D,3,),"")</f>
        <v>DIRETORIA</v>
      </c>
      <c r="E1036" s="22" t="str">
        <f>IFERROR(VLOOKUP(B1036,Colaboradores!A:D,4,),"")</f>
        <v>ASSESSOR JURÍDICO</v>
      </c>
      <c r="F1036" s="22" t="s">
        <v>55</v>
      </c>
      <c r="G1036" s="24" t="str">
        <f>IFERROR(VLOOKUP(F1036,Procedimentos!A:C,2,),"")</f>
        <v>DIRETRIZES PARA ACOMPANHAMENTO DE AFASTADOS</v>
      </c>
      <c r="H1036" s="39"/>
      <c r="I1036" s="40">
        <v>45890</v>
      </c>
      <c r="J1036" s="22">
        <v>12</v>
      </c>
      <c r="K1036" s="25">
        <f t="shared" si="53"/>
        <v>46255</v>
      </c>
      <c r="L1036" s="7"/>
      <c r="M1036" s="33" t="s">
        <v>72</v>
      </c>
      <c r="N1036" s="7"/>
      <c r="O1036" s="22" t="s">
        <v>28</v>
      </c>
      <c r="P1036" s="25">
        <f t="shared" si="52"/>
        <v>45982</v>
      </c>
      <c r="Q1036" s="25"/>
      <c r="R1036" s="25"/>
      <c r="S1036" s="7"/>
      <c r="T1036" s="7"/>
    </row>
    <row r="1037" spans="1:20" ht="14.25" customHeight="1">
      <c r="A1037" s="22">
        <v>1154</v>
      </c>
      <c r="B1037" s="36">
        <v>15023</v>
      </c>
      <c r="C1037" s="22" t="str">
        <f>IFERROR(VLOOKUP(B1037,Colaboradores!A:D,2,),"")</f>
        <v>DANIEL ELISON GUSMÃO PEREIRA</v>
      </c>
      <c r="D1037" s="22" t="str">
        <f>IFERROR(VLOOKUP(B1037,Colaboradores!A:D,3,),"")</f>
        <v>GESTÃO INTEGRADA</v>
      </c>
      <c r="E1037" s="22" t="str">
        <f>IFERROR(VLOOKUP(B1037,Colaboradores!A:D,4,),"")</f>
        <v>ASSISTENTE ADMINISTRATIVO</v>
      </c>
      <c r="F1037" s="22" t="s">
        <v>67</v>
      </c>
      <c r="G1037" s="24" t="str">
        <f>IFERROR(VLOOKUP(F1037,Procedimentos!A:C,2,),"")</f>
        <v>SISTEMATICA DE ROTINA DE REUNIÕES DA DESSMA</v>
      </c>
      <c r="H1037" s="39"/>
      <c r="I1037" s="40">
        <v>45860</v>
      </c>
      <c r="J1037" s="22">
        <v>12</v>
      </c>
      <c r="K1037" s="25">
        <f t="shared" si="53"/>
        <v>46225</v>
      </c>
      <c r="L1037" s="7"/>
      <c r="M1037" s="33"/>
      <c r="N1037" s="7"/>
      <c r="O1037" s="22" t="s">
        <v>28</v>
      </c>
      <c r="P1037" s="25">
        <f t="shared" si="52"/>
        <v>45952</v>
      </c>
      <c r="Q1037" s="25"/>
      <c r="R1037" s="25"/>
      <c r="S1037" s="7"/>
      <c r="T1037" s="7"/>
    </row>
    <row r="1038" spans="1:20" ht="14.25" customHeight="1">
      <c r="A1038" s="22">
        <v>1155</v>
      </c>
      <c r="B1038" s="36">
        <v>15068</v>
      </c>
      <c r="C1038" s="22" t="str">
        <f>IFERROR(VLOOKUP(B1038,Colaboradores!A:D,2,),"")</f>
        <v>TASSO CHAVES DE OLIVEIRA</v>
      </c>
      <c r="D1038" s="22" t="str">
        <f>IFERROR(VLOOKUP(B1038,Colaboradores!A:D,3,),"")</f>
        <v>GESTÃO INTEGRADA</v>
      </c>
      <c r="E1038" s="22" t="str">
        <f>IFERROR(VLOOKUP(B1038,Colaboradores!A:D,4,),"")</f>
        <v>ASSESSOR DE GESTÃO INTEGRADA</v>
      </c>
      <c r="F1038" s="22" t="s">
        <v>67</v>
      </c>
      <c r="G1038" s="24" t="str">
        <f>IFERROR(VLOOKUP(F1038,Procedimentos!A:C,2,),"")</f>
        <v>SISTEMATICA DE ROTINA DE REUNIÕES DA DESSMA</v>
      </c>
      <c r="H1038" s="39"/>
      <c r="I1038" s="40">
        <v>45860</v>
      </c>
      <c r="J1038" s="22">
        <v>12</v>
      </c>
      <c r="K1038" s="25">
        <f t="shared" si="53"/>
        <v>46225</v>
      </c>
      <c r="L1038" s="7"/>
      <c r="M1038" s="33"/>
      <c r="N1038" s="7"/>
      <c r="O1038" s="22" t="s">
        <v>28</v>
      </c>
      <c r="P1038" s="25">
        <f t="shared" si="52"/>
        <v>45952</v>
      </c>
      <c r="Q1038" s="25"/>
      <c r="R1038" s="25"/>
      <c r="S1038" s="7"/>
      <c r="T1038" s="7"/>
    </row>
    <row r="1039" spans="1:20" ht="14.25" customHeight="1">
      <c r="A1039" s="22">
        <v>1156</v>
      </c>
      <c r="B1039" s="36">
        <v>15023</v>
      </c>
      <c r="C1039" s="22" t="str">
        <f>IFERROR(VLOOKUP(B1039,Colaboradores!A:D,2,),"")</f>
        <v>DANIEL ELISON GUSMÃO PEREIRA</v>
      </c>
      <c r="D1039" s="22" t="str">
        <f>IFERROR(VLOOKUP(B1039,Colaboradores!A:D,3,),"")</f>
        <v>GESTÃO INTEGRADA</v>
      </c>
      <c r="E1039" s="22" t="str">
        <f>IFERROR(VLOOKUP(B1039,Colaboradores!A:D,4,),"")</f>
        <v>ASSISTENTE ADMINISTRATIVO</v>
      </c>
      <c r="F1039" s="22" t="s">
        <v>68</v>
      </c>
      <c r="G1039" s="24" t="str">
        <f>IFERROR(VLOOKUP(F1039,Procedimentos!A:C,2,),"")</f>
        <v>GESTÃO INDICADORES</v>
      </c>
      <c r="H1039" s="39"/>
      <c r="I1039" s="40">
        <v>45860</v>
      </c>
      <c r="J1039" s="22">
        <v>12</v>
      </c>
      <c r="K1039" s="25">
        <f t="shared" si="53"/>
        <v>46225</v>
      </c>
      <c r="L1039" s="7"/>
      <c r="M1039" s="33"/>
      <c r="N1039" s="7"/>
      <c r="O1039" s="22" t="s">
        <v>28</v>
      </c>
      <c r="P1039" s="25">
        <f t="shared" si="52"/>
        <v>45952</v>
      </c>
      <c r="Q1039" s="25"/>
      <c r="R1039" s="25"/>
      <c r="S1039" s="7"/>
      <c r="T1039" s="7"/>
    </row>
    <row r="1040" spans="1:20" ht="14.25" customHeight="1">
      <c r="A1040" s="22">
        <v>1157</v>
      </c>
      <c r="B1040" s="33">
        <v>15068</v>
      </c>
      <c r="C1040" s="22" t="str">
        <f>IFERROR(VLOOKUP(B1040,Colaboradores!A:D,2,),"")</f>
        <v>TASSO CHAVES DE OLIVEIRA</v>
      </c>
      <c r="D1040" s="22" t="str">
        <f>IFERROR(VLOOKUP(B1040,Colaboradores!A:D,3,),"")</f>
        <v>GESTÃO INTEGRADA</v>
      </c>
      <c r="E1040" s="22" t="str">
        <f>IFERROR(VLOOKUP(B1040,Colaboradores!A:D,4,),"")</f>
        <v>ASSESSOR DE GESTÃO INTEGRADA</v>
      </c>
      <c r="F1040" s="22" t="s">
        <v>68</v>
      </c>
      <c r="G1040" s="24" t="str">
        <f>IFERROR(VLOOKUP(F1040,Procedimentos!A:C,2,),"")</f>
        <v>GESTÃO INDICADORES</v>
      </c>
      <c r="H1040" s="39"/>
      <c r="I1040" s="40">
        <v>45860</v>
      </c>
      <c r="J1040" s="22">
        <v>12</v>
      </c>
      <c r="K1040" s="25">
        <f t="shared" si="53"/>
        <v>46225</v>
      </c>
      <c r="L1040" s="7"/>
      <c r="M1040" s="33"/>
      <c r="N1040" s="7"/>
      <c r="O1040" s="22" t="s">
        <v>28</v>
      </c>
      <c r="P1040" s="25">
        <f t="shared" si="52"/>
        <v>45952</v>
      </c>
      <c r="Q1040" s="25"/>
      <c r="R1040" s="25"/>
      <c r="S1040" s="7"/>
      <c r="T1040" s="7"/>
    </row>
    <row r="1041" spans="1:20" ht="14.25" customHeight="1">
      <c r="A1041" s="22">
        <v>1158</v>
      </c>
      <c r="B1041" s="33">
        <v>15068</v>
      </c>
      <c r="C1041" s="22" t="str">
        <f>IFERROR(VLOOKUP(B1041,Colaboradores!A:D,2,),"")</f>
        <v>TASSO CHAVES DE OLIVEIRA</v>
      </c>
      <c r="D1041" s="22" t="str">
        <f>IFERROR(VLOOKUP(B1041,Colaboradores!A:D,3,),"")</f>
        <v>GESTÃO INTEGRADA</v>
      </c>
      <c r="E1041" s="22" t="str">
        <f>IFERROR(VLOOKUP(B1041,Colaboradores!A:D,4,),"")</f>
        <v>ASSESSOR DE GESTÃO INTEGRADA</v>
      </c>
      <c r="F1041" s="22" t="s">
        <v>19</v>
      </c>
      <c r="G1041" s="24" t="str">
        <f>IFERROR(VLOOKUP(F1041,Procedimentos!A:C,2,),"")</f>
        <v>DIRETRIZES PARA DOCUMENTOS NORMATIVOS</v>
      </c>
      <c r="H1041" s="39"/>
      <c r="I1041" s="40">
        <v>45860</v>
      </c>
      <c r="J1041" s="22">
        <v>12</v>
      </c>
      <c r="K1041" s="25">
        <f t="shared" si="53"/>
        <v>46225</v>
      </c>
      <c r="L1041" s="7"/>
      <c r="M1041" s="33"/>
      <c r="N1041" s="7"/>
      <c r="O1041" s="22" t="s">
        <v>28</v>
      </c>
      <c r="P1041" s="25">
        <f t="shared" si="52"/>
        <v>45952</v>
      </c>
      <c r="Q1041" s="25"/>
      <c r="R1041" s="25"/>
      <c r="S1041" s="7"/>
      <c r="T1041" s="7"/>
    </row>
    <row r="1042" spans="1:20" ht="14.25" customHeight="1">
      <c r="A1042" s="22">
        <v>1159</v>
      </c>
      <c r="B1042" s="33">
        <v>15068</v>
      </c>
      <c r="C1042" s="22" t="str">
        <f>IFERROR(VLOOKUP(B1042,Colaboradores!A:D,2,),"")</f>
        <v>TASSO CHAVES DE OLIVEIRA</v>
      </c>
      <c r="D1042" s="22" t="str">
        <f>IFERROR(VLOOKUP(B1042,Colaboradores!A:D,3,),"")</f>
        <v>GESTÃO INTEGRADA</v>
      </c>
      <c r="E1042" s="22" t="str">
        <f>IFERROR(VLOOKUP(B1042,Colaboradores!A:D,4,),"")</f>
        <v>ASSESSOR DE GESTÃO INTEGRADA</v>
      </c>
      <c r="F1042" s="22" t="s">
        <v>24</v>
      </c>
      <c r="G1042" s="24" t="str">
        <f>IFERROR(VLOOKUP(F1042,Procedimentos!A:C,2,),"")</f>
        <v>DIRETRIZES  PARA PROGRAMA 5S</v>
      </c>
      <c r="H1042" s="39"/>
      <c r="I1042" s="40">
        <v>45860</v>
      </c>
      <c r="J1042" s="22">
        <v>12</v>
      </c>
      <c r="K1042" s="25">
        <f t="shared" si="53"/>
        <v>46225</v>
      </c>
      <c r="L1042" s="7"/>
      <c r="M1042" s="33"/>
      <c r="N1042" s="7"/>
      <c r="O1042" s="22" t="s">
        <v>28</v>
      </c>
      <c r="P1042" s="25">
        <f t="shared" si="52"/>
        <v>45952</v>
      </c>
      <c r="Q1042" s="25"/>
      <c r="R1042" s="25"/>
      <c r="S1042" s="7"/>
      <c r="T1042" s="7"/>
    </row>
    <row r="1043" spans="1:20" ht="14.25" customHeight="1">
      <c r="A1043" s="22">
        <v>1160</v>
      </c>
      <c r="B1043" s="33">
        <v>15068</v>
      </c>
      <c r="C1043" s="22" t="str">
        <f>IFERROR(VLOOKUP(B1043,Colaboradores!A:D,2,),"")</f>
        <v>TASSO CHAVES DE OLIVEIRA</v>
      </c>
      <c r="D1043" s="22" t="str">
        <f>IFERROR(VLOOKUP(B1043,Colaboradores!A:D,3,),"")</f>
        <v>GESTÃO INTEGRADA</v>
      </c>
      <c r="E1043" s="22" t="str">
        <f>IFERROR(VLOOKUP(B1043,Colaboradores!A:D,4,),"")</f>
        <v>ASSESSOR DE GESTÃO INTEGRADA</v>
      </c>
      <c r="F1043" s="22" t="s">
        <v>25</v>
      </c>
      <c r="G1043" s="24" t="str">
        <f>IFERROR(VLOOKUP(F1043,Procedimentos!A:C,2,),"")</f>
        <v>GARANTIA DA QUALIDADE</v>
      </c>
      <c r="H1043" s="39"/>
      <c r="I1043" s="40">
        <v>45860</v>
      </c>
      <c r="J1043" s="22">
        <v>12</v>
      </c>
      <c r="K1043" s="25">
        <f t="shared" si="53"/>
        <v>46225</v>
      </c>
      <c r="L1043" s="7"/>
      <c r="M1043" s="33"/>
      <c r="N1043" s="7"/>
      <c r="O1043" s="22" t="s">
        <v>28</v>
      </c>
      <c r="P1043" s="25">
        <f t="shared" si="52"/>
        <v>45952</v>
      </c>
      <c r="Q1043" s="25"/>
      <c r="R1043" s="25"/>
      <c r="S1043" s="7"/>
      <c r="T1043" s="7"/>
    </row>
    <row r="1044" spans="1:20" ht="14.25" customHeight="1">
      <c r="A1044" s="22">
        <v>1161</v>
      </c>
      <c r="B1044" s="33">
        <v>15068</v>
      </c>
      <c r="C1044" s="22" t="str">
        <f>IFERROR(VLOOKUP(B1044,Colaboradores!A:D,2,),"")</f>
        <v>TASSO CHAVES DE OLIVEIRA</v>
      </c>
      <c r="D1044" s="22" t="str">
        <f>IFERROR(VLOOKUP(B1044,Colaboradores!A:D,3,),"")</f>
        <v>GESTÃO INTEGRADA</v>
      </c>
      <c r="E1044" s="22" t="str">
        <f>IFERROR(VLOOKUP(B1044,Colaboradores!A:D,4,),"")</f>
        <v>ASSESSOR DE GESTÃO INTEGRADA</v>
      </c>
      <c r="F1044" s="22" t="s">
        <v>33</v>
      </c>
      <c r="G1044" s="24" t="str">
        <f>IFERROR(VLOOKUP(F1044,Procedimentos!A:C,2,),"")</f>
        <v>GESTÃO DE INSPEÇÕES AMBIENTAIS</v>
      </c>
      <c r="H1044" s="41"/>
      <c r="I1044" s="43">
        <v>45862</v>
      </c>
      <c r="J1044" s="22">
        <v>12</v>
      </c>
      <c r="K1044" s="25">
        <f t="shared" si="53"/>
        <v>46227</v>
      </c>
      <c r="L1044" s="7"/>
      <c r="M1044" s="33"/>
      <c r="N1044" s="7"/>
      <c r="O1044" s="22" t="s">
        <v>28</v>
      </c>
      <c r="P1044" s="25">
        <f t="shared" si="52"/>
        <v>45954</v>
      </c>
      <c r="Q1044" s="25"/>
      <c r="R1044" s="25"/>
      <c r="S1044" s="7"/>
      <c r="T1044" s="7"/>
    </row>
    <row r="1045" spans="1:20" ht="14.25" customHeight="1">
      <c r="A1045" s="22">
        <v>1162</v>
      </c>
      <c r="B1045" s="33">
        <v>15068</v>
      </c>
      <c r="C1045" s="22" t="str">
        <f>IFERROR(VLOOKUP(B1045,Colaboradores!A:D,2,),"")</f>
        <v>TASSO CHAVES DE OLIVEIRA</v>
      </c>
      <c r="D1045" s="22" t="str">
        <f>IFERROR(VLOOKUP(B1045,Colaboradores!A:D,3,),"")</f>
        <v>GESTÃO INTEGRADA</v>
      </c>
      <c r="E1045" s="22" t="str">
        <f>IFERROR(VLOOKUP(B1045,Colaboradores!A:D,4,),"")</f>
        <v>ASSESSOR DE GESTÃO INTEGRADA</v>
      </c>
      <c r="F1045" s="22" t="s">
        <v>26</v>
      </c>
      <c r="G1045" s="24" t="str">
        <f>IFERROR(VLOOKUP(F1045,Procedimentos!A:C,2,),"")</f>
        <v>RESPONSABILIDADES E AUTORIDADES DO SGQ</v>
      </c>
      <c r="H1045" s="39"/>
      <c r="I1045" s="40">
        <v>45860</v>
      </c>
      <c r="J1045" s="22">
        <v>12</v>
      </c>
      <c r="K1045" s="25">
        <f t="shared" si="53"/>
        <v>46225</v>
      </c>
      <c r="L1045" s="7"/>
      <c r="M1045" s="33"/>
      <c r="N1045" s="7"/>
      <c r="O1045" s="22" t="s">
        <v>28</v>
      </c>
      <c r="P1045" s="25">
        <f t="shared" si="52"/>
        <v>45952</v>
      </c>
      <c r="Q1045" s="25"/>
      <c r="R1045" s="25"/>
      <c r="S1045" s="7"/>
      <c r="T1045" s="7"/>
    </row>
    <row r="1046" spans="1:20" ht="14.25" customHeight="1">
      <c r="A1046" s="22">
        <v>1163</v>
      </c>
      <c r="B1046" s="33">
        <v>13750</v>
      </c>
      <c r="C1046" s="22" t="str">
        <f>IFERROR(VLOOKUP(B1046,Colaboradores!A:D,2,),"")</f>
        <v>JOSE ANTONIO ALVES MAGALHAES</v>
      </c>
      <c r="D1046" s="22" t="str">
        <f>IFERROR(VLOOKUP(B1046,Colaboradores!A:D,3,),"")</f>
        <v>GESTÃO INTEGRADA</v>
      </c>
      <c r="E1046" s="22" t="str">
        <f>IFERROR(VLOOKUP(B1046,Colaboradores!A:D,4,),"")</f>
        <v>GERENTE DE GESTÃO INTEGRADA</v>
      </c>
      <c r="F1046" s="22" t="s">
        <v>41</v>
      </c>
      <c r="G1046" s="24" t="str">
        <f>IFERROR(VLOOKUP(F1046,Procedimentos!A:C,2,),"")</f>
        <v>DIRETRIZES PARA COMUNICAÇÃO E INVESTIGAÇÃO DE ACIDENTES</v>
      </c>
      <c r="H1046" s="41"/>
      <c r="I1046" s="43">
        <v>45888</v>
      </c>
      <c r="J1046" s="22">
        <v>12</v>
      </c>
      <c r="K1046" s="25">
        <f t="shared" si="53"/>
        <v>46253</v>
      </c>
      <c r="L1046" s="7"/>
      <c r="M1046" s="33"/>
      <c r="N1046" s="7"/>
      <c r="O1046" s="22" t="s">
        <v>28</v>
      </c>
      <c r="P1046" s="25">
        <f t="shared" si="52"/>
        <v>45980</v>
      </c>
      <c r="Q1046" s="25"/>
      <c r="R1046" s="25"/>
      <c r="S1046" s="7"/>
      <c r="T1046" s="7"/>
    </row>
    <row r="1047" spans="1:20" ht="14.25" customHeight="1">
      <c r="A1047" s="22">
        <v>1164</v>
      </c>
      <c r="B1047" s="33">
        <v>13787</v>
      </c>
      <c r="C1047" s="22" t="str">
        <f>IFERROR(VLOOKUP(B1047,Colaboradores!A:D,2,),"")</f>
        <v>KELLE SOCORRO MENDES GUIGNONI</v>
      </c>
      <c r="D1047" s="22" t="str">
        <f>IFERROR(VLOOKUP(B1047,Colaboradores!A:D,3,),"")</f>
        <v>GESTÃO INTEGRADA</v>
      </c>
      <c r="E1047" s="22" t="str">
        <f>IFERROR(VLOOKUP(B1047,Colaboradores!A:D,4,),"")</f>
        <v>ANALISTA DE GESTÃO INTEGRADA</v>
      </c>
      <c r="F1047" s="22" t="s">
        <v>41</v>
      </c>
      <c r="G1047" s="24" t="str">
        <f>IFERROR(VLOOKUP(F1047,Procedimentos!A:C,2,),"")</f>
        <v>DIRETRIZES PARA COMUNICAÇÃO E INVESTIGAÇÃO DE ACIDENTES</v>
      </c>
      <c r="H1047" s="41"/>
      <c r="I1047" s="43">
        <v>45888</v>
      </c>
      <c r="J1047" s="22">
        <v>12</v>
      </c>
      <c r="K1047" s="25">
        <f t="shared" si="53"/>
        <v>46253</v>
      </c>
      <c r="L1047" s="7"/>
      <c r="M1047" s="33"/>
      <c r="N1047" s="7"/>
      <c r="O1047" s="22" t="s">
        <v>28</v>
      </c>
      <c r="P1047" s="25">
        <f t="shared" si="52"/>
        <v>45980</v>
      </c>
      <c r="Q1047" s="25"/>
      <c r="R1047" s="25"/>
      <c r="S1047" s="7"/>
      <c r="T1047" s="7"/>
    </row>
    <row r="1048" spans="1:20" ht="14.25" customHeight="1">
      <c r="A1048" s="22">
        <v>1165</v>
      </c>
      <c r="B1048" s="33">
        <v>13750</v>
      </c>
      <c r="C1048" s="22" t="str">
        <f>IFERROR(VLOOKUP(B1048,Colaboradores!A:D,2,),"")</f>
        <v>JOSE ANTONIO ALVES MAGALHAES</v>
      </c>
      <c r="D1048" s="22" t="str">
        <f>IFERROR(VLOOKUP(B1048,Colaboradores!A:D,3,),"")</f>
        <v>GESTÃO INTEGRADA</v>
      </c>
      <c r="E1048" s="22" t="str">
        <f>IFERROR(VLOOKUP(B1048,Colaboradores!A:D,4,),"")</f>
        <v>GERENTE DE GESTÃO INTEGRADA</v>
      </c>
      <c r="F1048" s="22" t="s">
        <v>43</v>
      </c>
      <c r="G1048" s="24" t="str">
        <f>IFERROR(VLOOKUP(F1048,Procedimentos!A:C,2,),"")</f>
        <v>DIÁLOGO DE SAÚDE E SEGURANÇA - DSS</v>
      </c>
      <c r="H1048" s="41"/>
      <c r="I1048" s="43">
        <v>45888</v>
      </c>
      <c r="J1048" s="22">
        <v>12</v>
      </c>
      <c r="K1048" s="25">
        <f t="shared" si="53"/>
        <v>46253</v>
      </c>
      <c r="L1048" s="7"/>
      <c r="M1048" s="33"/>
      <c r="N1048" s="7"/>
      <c r="O1048" s="22" t="s">
        <v>28</v>
      </c>
      <c r="P1048" s="25">
        <f t="shared" si="52"/>
        <v>45980</v>
      </c>
      <c r="Q1048" s="25"/>
      <c r="R1048" s="25"/>
      <c r="S1048" s="7"/>
      <c r="T1048" s="7"/>
    </row>
    <row r="1049" spans="1:20" ht="14.25" customHeight="1">
      <c r="A1049" s="22">
        <v>1166</v>
      </c>
      <c r="B1049" s="33">
        <v>13787</v>
      </c>
      <c r="C1049" s="22" t="str">
        <f>IFERROR(VLOOKUP(B1049,Colaboradores!A:D,2,),"")</f>
        <v>KELLE SOCORRO MENDES GUIGNONI</v>
      </c>
      <c r="D1049" s="22" t="str">
        <f>IFERROR(VLOOKUP(B1049,Colaboradores!A:D,3,),"")</f>
        <v>GESTÃO INTEGRADA</v>
      </c>
      <c r="E1049" s="22" t="str">
        <f>IFERROR(VLOOKUP(B1049,Colaboradores!A:D,4,),"")</f>
        <v>ANALISTA DE GESTÃO INTEGRADA</v>
      </c>
      <c r="F1049" s="22" t="s">
        <v>43</v>
      </c>
      <c r="G1049" s="24" t="str">
        <f>IFERROR(VLOOKUP(F1049,Procedimentos!A:C,2,),"")</f>
        <v>DIÁLOGO DE SAÚDE E SEGURANÇA - DSS</v>
      </c>
      <c r="H1049" s="41"/>
      <c r="I1049" s="43">
        <v>45888</v>
      </c>
      <c r="J1049" s="22">
        <v>12</v>
      </c>
      <c r="K1049" s="25">
        <f t="shared" si="53"/>
        <v>46253</v>
      </c>
      <c r="L1049" s="7"/>
      <c r="M1049" s="33"/>
      <c r="N1049" s="7"/>
      <c r="O1049" s="22" t="s">
        <v>28</v>
      </c>
      <c r="P1049" s="25">
        <f t="shared" si="52"/>
        <v>45980</v>
      </c>
      <c r="Q1049" s="25"/>
      <c r="R1049" s="25"/>
      <c r="S1049" s="7"/>
      <c r="T1049" s="7"/>
    </row>
    <row r="1050" spans="1:20" ht="14.25" customHeight="1">
      <c r="A1050" s="22">
        <v>1167</v>
      </c>
      <c r="B1050" s="33">
        <v>13750</v>
      </c>
      <c r="C1050" s="22" t="str">
        <f>IFERROR(VLOOKUP(B1050,Colaboradores!A:D,2,),"")</f>
        <v>JOSE ANTONIO ALVES MAGALHAES</v>
      </c>
      <c r="D1050" s="22" t="str">
        <f>IFERROR(VLOOKUP(B1050,Colaboradores!A:D,3,),"")</f>
        <v>GESTÃO INTEGRADA</v>
      </c>
      <c r="E1050" s="22" t="str">
        <f>IFERROR(VLOOKUP(B1050,Colaboradores!A:D,4,),"")</f>
        <v>GERENTE DE GESTÃO INTEGRADA</v>
      </c>
      <c r="F1050" s="22" t="s">
        <v>44</v>
      </c>
      <c r="G1050" s="24" t="str">
        <f>IFERROR(VLOOKUP(F1050,Procedimentos!A:C,2,),"")</f>
        <v>DIRETRIZES PARA GESTÃO DE EQUIPAMENTOS DE PROTEÇÃO INDIVIDUAL - EPI'S</v>
      </c>
      <c r="H1050" s="41"/>
      <c r="I1050" s="43">
        <v>45888</v>
      </c>
      <c r="J1050" s="22">
        <v>12</v>
      </c>
      <c r="K1050" s="25">
        <f t="shared" si="53"/>
        <v>46253</v>
      </c>
      <c r="L1050" s="7"/>
      <c r="M1050" s="33"/>
      <c r="N1050" s="7"/>
      <c r="O1050" s="22" t="s">
        <v>28</v>
      </c>
      <c r="P1050" s="25">
        <f t="shared" si="52"/>
        <v>45980</v>
      </c>
      <c r="Q1050" s="25"/>
      <c r="R1050" s="25"/>
      <c r="S1050" s="7"/>
      <c r="T1050" s="7"/>
    </row>
    <row r="1051" spans="1:20" ht="14.25" customHeight="1">
      <c r="A1051" s="22">
        <v>1168</v>
      </c>
      <c r="B1051" s="33">
        <v>13787</v>
      </c>
      <c r="C1051" s="22" t="str">
        <f>IFERROR(VLOOKUP(B1051,Colaboradores!A:D,2,),"")</f>
        <v>KELLE SOCORRO MENDES GUIGNONI</v>
      </c>
      <c r="D1051" s="22" t="str">
        <f>IFERROR(VLOOKUP(B1051,Colaboradores!A:D,3,),"")</f>
        <v>GESTÃO INTEGRADA</v>
      </c>
      <c r="E1051" s="22" t="str">
        <f>IFERROR(VLOOKUP(B1051,Colaboradores!A:D,4,),"")</f>
        <v>ANALISTA DE GESTÃO INTEGRADA</v>
      </c>
      <c r="F1051" s="22" t="s">
        <v>44</v>
      </c>
      <c r="G1051" s="24" t="str">
        <f>IFERROR(VLOOKUP(F1051,Procedimentos!A:C,2,),"")</f>
        <v>DIRETRIZES PARA GESTÃO DE EQUIPAMENTOS DE PROTEÇÃO INDIVIDUAL - EPI'S</v>
      </c>
      <c r="H1051" s="22" t="s">
        <v>7</v>
      </c>
      <c r="I1051" s="51"/>
      <c r="J1051" s="22">
        <v>12</v>
      </c>
      <c r="K1051" s="25" t="str">
        <f t="shared" si="53"/>
        <v/>
      </c>
      <c r="L1051" s="7"/>
      <c r="M1051" s="33"/>
      <c r="N1051" s="7"/>
      <c r="O1051" s="22" t="s">
        <v>28</v>
      </c>
      <c r="P1051" s="25">
        <f t="shared" si="52"/>
        <v>91</v>
      </c>
      <c r="Q1051" s="25"/>
      <c r="R1051" s="25"/>
      <c r="S1051" s="7"/>
      <c r="T1051" s="7"/>
    </row>
    <row r="1052" spans="1:20" ht="14.25" customHeight="1">
      <c r="A1052" s="22">
        <v>1169</v>
      </c>
      <c r="B1052" s="33">
        <v>13750</v>
      </c>
      <c r="C1052" s="22" t="str">
        <f>IFERROR(VLOOKUP(B1052,Colaboradores!A:D,2,),"")</f>
        <v>JOSE ANTONIO ALVES MAGALHAES</v>
      </c>
      <c r="D1052" s="22" t="str">
        <f>IFERROR(VLOOKUP(B1052,Colaboradores!A:D,3,),"")</f>
        <v>GESTÃO INTEGRADA</v>
      </c>
      <c r="E1052" s="22" t="str">
        <f>IFERROR(VLOOKUP(B1052,Colaboradores!A:D,4,),"")</f>
        <v>GERENTE DE GESTÃO INTEGRADA</v>
      </c>
      <c r="F1052" s="22" t="s">
        <v>45</v>
      </c>
      <c r="G1052" s="24" t="str">
        <f>IFERROR(VLOOKUP(F1052,Procedimentos!A:C,2,),"")</f>
        <v>CONSTITUIÇÃO INTERNA DE PREVENÇÃO DE ACIDENTES E DE ASSÉDIOS - CIPA</v>
      </c>
      <c r="H1052" s="41"/>
      <c r="I1052" s="43">
        <v>45888</v>
      </c>
      <c r="J1052" s="22">
        <v>12</v>
      </c>
      <c r="K1052" s="25">
        <f t="shared" si="53"/>
        <v>46253</v>
      </c>
      <c r="L1052" s="7"/>
      <c r="M1052" s="33"/>
      <c r="N1052" s="7"/>
      <c r="O1052" s="22" t="s">
        <v>28</v>
      </c>
      <c r="P1052" s="25">
        <f t="shared" si="52"/>
        <v>45980</v>
      </c>
      <c r="Q1052" s="25"/>
      <c r="R1052" s="25"/>
      <c r="S1052" s="7"/>
      <c r="T1052" s="7"/>
    </row>
    <row r="1053" spans="1:20" ht="14.25" customHeight="1">
      <c r="A1053" s="22">
        <v>1170</v>
      </c>
      <c r="B1053" s="33">
        <v>13787</v>
      </c>
      <c r="C1053" s="22" t="str">
        <f>IFERROR(VLOOKUP(B1053,Colaboradores!A:D,2,),"")</f>
        <v>KELLE SOCORRO MENDES GUIGNONI</v>
      </c>
      <c r="D1053" s="22" t="str">
        <f>IFERROR(VLOOKUP(B1053,Colaboradores!A:D,3,),"")</f>
        <v>GESTÃO INTEGRADA</v>
      </c>
      <c r="E1053" s="22" t="str">
        <f>IFERROR(VLOOKUP(B1053,Colaboradores!A:D,4,),"")</f>
        <v>ANALISTA DE GESTÃO INTEGRADA</v>
      </c>
      <c r="F1053" s="22" t="s">
        <v>45</v>
      </c>
      <c r="G1053" s="24" t="str">
        <f>IFERROR(VLOOKUP(F1053,Procedimentos!A:C,2,),"")</f>
        <v>CONSTITUIÇÃO INTERNA DE PREVENÇÃO DE ACIDENTES E DE ASSÉDIOS - CIPA</v>
      </c>
      <c r="H1053" s="22" t="s">
        <v>7</v>
      </c>
      <c r="I1053" s="51"/>
      <c r="J1053" s="22">
        <v>12</v>
      </c>
      <c r="K1053" s="25" t="str">
        <f t="shared" si="53"/>
        <v/>
      </c>
      <c r="L1053" s="7"/>
      <c r="M1053" s="33"/>
      <c r="N1053" s="7"/>
      <c r="O1053" s="22" t="s">
        <v>28</v>
      </c>
      <c r="P1053" s="25">
        <f t="shared" si="52"/>
        <v>91</v>
      </c>
      <c r="Q1053" s="25"/>
      <c r="R1053" s="25"/>
      <c r="S1053" s="7"/>
      <c r="T1053" s="7"/>
    </row>
    <row r="1054" spans="1:20" ht="14.25" customHeight="1">
      <c r="A1054" s="22">
        <v>1171</v>
      </c>
      <c r="B1054" s="37">
        <v>15023</v>
      </c>
      <c r="C1054" s="22" t="str">
        <f>IFERROR(VLOOKUP(B1054,Colaboradores!A:D,2,),"")</f>
        <v>DANIEL ELISON GUSMÃO PEREIRA</v>
      </c>
      <c r="D1054" s="22" t="str">
        <f>IFERROR(VLOOKUP(B1054,Colaboradores!A:D,3,),"")</f>
        <v>GESTÃO INTEGRADA</v>
      </c>
      <c r="E1054" s="22" t="str">
        <f>IFERROR(VLOOKUP(B1054,Colaboradores!A:D,4,),"")</f>
        <v>ASSISTENTE ADMINISTRATIVO</v>
      </c>
      <c r="F1054" s="22" t="s">
        <v>33</v>
      </c>
      <c r="G1054" s="24" t="str">
        <f>IFERROR(VLOOKUP(F1054,Procedimentos!A:C,2,),"")</f>
        <v>GESTÃO DE INSPEÇÕES AMBIENTAIS</v>
      </c>
      <c r="H1054" s="41"/>
      <c r="I1054" s="43">
        <v>45862</v>
      </c>
      <c r="J1054" s="22">
        <v>12</v>
      </c>
      <c r="K1054" s="25">
        <f t="shared" si="53"/>
        <v>46227</v>
      </c>
      <c r="L1054" s="7"/>
      <c r="M1054" s="33"/>
      <c r="N1054" s="7"/>
      <c r="O1054" s="22" t="s">
        <v>28</v>
      </c>
      <c r="P1054" s="25">
        <f t="shared" si="52"/>
        <v>45954</v>
      </c>
      <c r="Q1054" s="25"/>
      <c r="R1054" s="25"/>
      <c r="S1054" s="7"/>
      <c r="T1054" s="7"/>
    </row>
    <row r="1055" spans="1:20" ht="14.25" customHeight="1">
      <c r="A1055" s="22">
        <v>1172</v>
      </c>
      <c r="B1055" s="37">
        <v>14525</v>
      </c>
      <c r="C1055" s="22" t="str">
        <f>IFERROR(VLOOKUP(B1055,Colaboradores!A:D,2,),"")</f>
        <v>IANKA PRAZERES CUNHA</v>
      </c>
      <c r="D1055" s="22" t="str">
        <f>IFERROR(VLOOKUP(B1055,Colaboradores!A:D,3,),"")</f>
        <v>GESTÃO INTEGRADA</v>
      </c>
      <c r="E1055" s="22" t="str">
        <f>IFERROR(VLOOKUP(B1055,Colaboradores!A:D,4,),"")</f>
        <v>ANALISTA DE GESTÃO INTEGRADA</v>
      </c>
      <c r="F1055" s="22" t="s">
        <v>33</v>
      </c>
      <c r="G1055" s="24" t="str">
        <f>IFERROR(VLOOKUP(F1055,Procedimentos!A:C,2,),"")</f>
        <v>GESTÃO DE INSPEÇÕES AMBIENTAIS</v>
      </c>
      <c r="H1055" s="41"/>
      <c r="I1055" s="43">
        <v>45862</v>
      </c>
      <c r="J1055" s="22">
        <v>12</v>
      </c>
      <c r="K1055" s="25">
        <f t="shared" si="53"/>
        <v>46227</v>
      </c>
      <c r="L1055" s="7"/>
      <c r="M1055" s="33"/>
      <c r="N1055" s="7"/>
      <c r="O1055" s="22" t="s">
        <v>28</v>
      </c>
      <c r="P1055" s="25">
        <f t="shared" si="52"/>
        <v>45954</v>
      </c>
      <c r="Q1055" s="25"/>
      <c r="R1055" s="25"/>
      <c r="S1055" s="7"/>
      <c r="T1055" s="7"/>
    </row>
    <row r="1056" spans="1:20" ht="14.25" customHeight="1">
      <c r="A1056" s="22">
        <v>1173</v>
      </c>
      <c r="B1056" s="37">
        <v>12685</v>
      </c>
      <c r="C1056" s="22" t="str">
        <f>IFERROR(VLOOKUP(B1056,Colaboradores!A:D,2,),"")</f>
        <v>LIDIANA CRISTINA MIRANDA FERREIRA</v>
      </c>
      <c r="D1056" s="22" t="str">
        <f>IFERROR(VLOOKUP(B1056,Colaboradores!A:D,3,),"")</f>
        <v>GESTÃO INTEGRADA</v>
      </c>
      <c r="E1056" s="22" t="str">
        <f>IFERROR(VLOOKUP(B1056,Colaboradores!A:D,4,),"")</f>
        <v>COORDENADOR DE GESTÃO INTEGRADA</v>
      </c>
      <c r="F1056" s="22" t="s">
        <v>33</v>
      </c>
      <c r="G1056" s="24" t="str">
        <f>IFERROR(VLOOKUP(F1056,Procedimentos!A:C,2,),"")</f>
        <v>GESTÃO DE INSPEÇÕES AMBIENTAIS</v>
      </c>
      <c r="H1056" s="41"/>
      <c r="I1056" s="43">
        <v>45862</v>
      </c>
      <c r="J1056" s="22">
        <v>12</v>
      </c>
      <c r="K1056" s="25">
        <f t="shared" si="53"/>
        <v>46227</v>
      </c>
      <c r="L1056" s="7"/>
      <c r="M1056" s="33"/>
      <c r="N1056" s="7"/>
      <c r="O1056" s="22" t="s">
        <v>28</v>
      </c>
      <c r="P1056" s="25">
        <f t="shared" si="52"/>
        <v>45954</v>
      </c>
      <c r="Q1056" s="25"/>
      <c r="R1056" s="25"/>
      <c r="S1056" s="7"/>
      <c r="T1056" s="7"/>
    </row>
    <row r="1057" spans="1:20" ht="14.25" customHeight="1">
      <c r="A1057" s="22">
        <v>1175</v>
      </c>
      <c r="B1057" s="37">
        <v>12685</v>
      </c>
      <c r="C1057" s="22" t="str">
        <f>IFERROR(VLOOKUP(B1057,Colaboradores!A:D,2,),"")</f>
        <v>LIDIANA CRISTINA MIRANDA FERREIRA</v>
      </c>
      <c r="D1057" s="22" t="str">
        <f>IFERROR(VLOOKUP(B1057,Colaboradores!A:D,3,),"")</f>
        <v>GESTÃO INTEGRADA</v>
      </c>
      <c r="E1057" s="22" t="str">
        <f>IFERROR(VLOOKUP(B1057,Colaboradores!A:D,4,),"")</f>
        <v>COORDENADOR DE GESTÃO INTEGRADA</v>
      </c>
      <c r="F1057" s="22" t="s">
        <v>55</v>
      </c>
      <c r="G1057" s="24" t="str">
        <f>IFERROR(VLOOKUP(F1057,Procedimentos!A:C,2,),"")</f>
        <v>DIRETRIZES PARA ACOMPANHAMENTO DE AFASTADOS</v>
      </c>
      <c r="H1057" s="41"/>
      <c r="I1057" s="43">
        <v>45890</v>
      </c>
      <c r="J1057" s="22">
        <v>12</v>
      </c>
      <c r="K1057" s="25">
        <f t="shared" si="53"/>
        <v>46255</v>
      </c>
      <c r="L1057" s="7"/>
      <c r="M1057" s="33"/>
      <c r="N1057" s="7"/>
      <c r="O1057" s="22" t="s">
        <v>28</v>
      </c>
      <c r="P1057" s="25">
        <f t="shared" si="52"/>
        <v>45982</v>
      </c>
      <c r="Q1057" s="25"/>
      <c r="R1057" s="25"/>
      <c r="S1057" s="7"/>
      <c r="T1057" s="7"/>
    </row>
    <row r="1058" spans="1:20" ht="14.25" customHeight="1">
      <c r="A1058" s="22">
        <v>1176</v>
      </c>
      <c r="B1058" s="33">
        <v>12684</v>
      </c>
      <c r="C1058" s="22" t="str">
        <f>IFERROR(VLOOKUP(B1058,Colaboradores!A:D,2,),"")</f>
        <v>JACIARA VIEIRA DA CRUZ DE AGUIAR</v>
      </c>
      <c r="D1058" s="22" t="str">
        <f>IFERROR(VLOOKUP(B1058,Colaboradores!A:D,3,),"")</f>
        <v>MEIO AMBIENTE</v>
      </c>
      <c r="E1058" s="22" t="str">
        <f>IFERROR(VLOOKUP(B1058,Colaboradores!A:D,4,),"")</f>
        <v>GERENTE DE MEIO AMBIENTE</v>
      </c>
      <c r="F1058" s="22" t="s">
        <v>49</v>
      </c>
      <c r="G1058" s="24" t="str">
        <f>IFERROR(VLOOKUP(F1058,Procedimentos!A:C,2,),"")</f>
        <v>DIRETRIZES PARA REALIZAÇÃO DE EXAMES OCUPACIONAIS</v>
      </c>
      <c r="H1058" s="41"/>
      <c r="I1058" s="43">
        <v>45890</v>
      </c>
      <c r="J1058" s="22">
        <v>12</v>
      </c>
      <c r="K1058" s="25">
        <f t="shared" si="53"/>
        <v>46255</v>
      </c>
      <c r="L1058" s="7"/>
      <c r="M1058" s="33"/>
      <c r="N1058" s="7"/>
      <c r="O1058" s="22" t="s">
        <v>28</v>
      </c>
      <c r="P1058" s="25">
        <f t="shared" si="52"/>
        <v>45982</v>
      </c>
      <c r="Q1058" s="25"/>
      <c r="R1058" s="25"/>
      <c r="S1058" s="7"/>
      <c r="T1058" s="7"/>
    </row>
    <row r="1059" spans="1:20" ht="14.25" customHeight="1">
      <c r="A1059" s="22">
        <v>1177</v>
      </c>
      <c r="B1059" s="33">
        <v>12684</v>
      </c>
      <c r="C1059" s="22" t="str">
        <f>IFERROR(VLOOKUP(B1059,Colaboradores!A:D,2,),"")</f>
        <v>JACIARA VIEIRA DA CRUZ DE AGUIAR</v>
      </c>
      <c r="D1059" s="22" t="str">
        <f>IFERROR(VLOOKUP(B1059,Colaboradores!A:D,3,),"")</f>
        <v>MEIO AMBIENTE</v>
      </c>
      <c r="E1059" s="22" t="str">
        <f>IFERROR(VLOOKUP(B1059,Colaboradores!A:D,4,),"")</f>
        <v>GERENTE DE MEIO AMBIENTE</v>
      </c>
      <c r="F1059" s="22" t="s">
        <v>51</v>
      </c>
      <c r="G1059" s="24" t="str">
        <f>IFERROR(VLOOKUP(F1059,Procedimentos!A:C,2,),"")</f>
        <v>DIRETRIZES PARA ENTREGA DE ATESTADOS MÉDICOS E ODONTOLÓGICOS</v>
      </c>
      <c r="H1059" s="41"/>
      <c r="I1059" s="43">
        <v>45890</v>
      </c>
      <c r="J1059" s="22">
        <v>12</v>
      </c>
      <c r="K1059" s="25">
        <f t="shared" si="53"/>
        <v>46255</v>
      </c>
      <c r="L1059" s="7"/>
      <c r="M1059" s="33"/>
      <c r="N1059" s="7"/>
      <c r="O1059" s="22" t="s">
        <v>28</v>
      </c>
      <c r="P1059" s="25">
        <f t="shared" si="52"/>
        <v>45982</v>
      </c>
      <c r="Q1059" s="25"/>
      <c r="R1059" s="25"/>
      <c r="S1059" s="7"/>
      <c r="T1059" s="7"/>
    </row>
    <row r="1060" spans="1:20" ht="14.25" customHeight="1">
      <c r="A1060" s="22">
        <v>1178</v>
      </c>
      <c r="B1060" s="33">
        <v>12684</v>
      </c>
      <c r="C1060" s="22" t="str">
        <f>IFERROR(VLOOKUP(B1060,Colaboradores!A:D,2,),"")</f>
        <v>JACIARA VIEIRA DA CRUZ DE AGUIAR</v>
      </c>
      <c r="D1060" s="22" t="str">
        <f>IFERROR(VLOOKUP(B1060,Colaboradores!A:D,3,),"")</f>
        <v>MEIO AMBIENTE</v>
      </c>
      <c r="E1060" s="22" t="str">
        <f>IFERROR(VLOOKUP(B1060,Colaboradores!A:D,4,),"")</f>
        <v>GERENTE DE MEIO AMBIENTE</v>
      </c>
      <c r="F1060" s="22" t="s">
        <v>52</v>
      </c>
      <c r="G1060" s="24" t="str">
        <f>IFERROR(VLOOKUP(F1060,Procedimentos!A:C,2,),"")</f>
        <v>DIRETRIZES E ACOMPANHAMENTO  DE ACIDENTE COM MATERIAL BIOLOGICO</v>
      </c>
      <c r="H1060" s="41"/>
      <c r="I1060" s="43">
        <v>45890</v>
      </c>
      <c r="J1060" s="22">
        <v>12</v>
      </c>
      <c r="K1060" s="25">
        <f t="shared" si="53"/>
        <v>46255</v>
      </c>
      <c r="L1060" s="7"/>
      <c r="M1060" s="33"/>
      <c r="N1060" s="7"/>
      <c r="O1060" s="22" t="s">
        <v>28</v>
      </c>
      <c r="P1060" s="25">
        <f t="shared" si="52"/>
        <v>45982</v>
      </c>
      <c r="Q1060" s="25"/>
      <c r="R1060" s="25"/>
      <c r="S1060" s="7"/>
      <c r="T1060" s="7"/>
    </row>
    <row r="1061" spans="1:20" ht="14.25" customHeight="1">
      <c r="A1061" s="22">
        <v>1179</v>
      </c>
      <c r="B1061" s="33">
        <v>12684</v>
      </c>
      <c r="C1061" s="22" t="str">
        <f>IFERROR(VLOOKUP(B1061,Colaboradores!A:D,2,),"")</f>
        <v>JACIARA VIEIRA DA CRUZ DE AGUIAR</v>
      </c>
      <c r="D1061" s="22" t="str">
        <f>IFERROR(VLOOKUP(B1061,Colaboradores!A:D,3,),"")</f>
        <v>MEIO AMBIENTE</v>
      </c>
      <c r="E1061" s="22" t="str">
        <f>IFERROR(VLOOKUP(B1061,Colaboradores!A:D,4,),"")</f>
        <v>GERENTE DE MEIO AMBIENTE</v>
      </c>
      <c r="F1061" s="22" t="s">
        <v>53</v>
      </c>
      <c r="G1061" s="24" t="str">
        <f>IFERROR(VLOOKUP(F1061,Procedimentos!A:C,2,),"")</f>
        <v>DIRETRIZES PARA MONITORAMENTO DE GESTANTE</v>
      </c>
      <c r="H1061" s="41"/>
      <c r="I1061" s="43">
        <v>45890</v>
      </c>
      <c r="J1061" s="22">
        <v>12</v>
      </c>
      <c r="K1061" s="25">
        <f t="shared" si="53"/>
        <v>46255</v>
      </c>
      <c r="L1061" s="7"/>
      <c r="M1061" s="33"/>
      <c r="N1061" s="7"/>
      <c r="O1061" s="22" t="s">
        <v>28</v>
      </c>
      <c r="P1061" s="25">
        <f t="shared" si="52"/>
        <v>45982</v>
      </c>
      <c r="Q1061" s="25"/>
      <c r="R1061" s="25"/>
      <c r="S1061" s="7"/>
      <c r="T1061" s="7"/>
    </row>
    <row r="1062" spans="1:20" ht="14.25" customHeight="1">
      <c r="A1062" s="22">
        <v>1180</v>
      </c>
      <c r="B1062" s="33">
        <v>12684</v>
      </c>
      <c r="C1062" s="22" t="str">
        <f>IFERROR(VLOOKUP(B1062,Colaboradores!A:D,2,),"")</f>
        <v>JACIARA VIEIRA DA CRUZ DE AGUIAR</v>
      </c>
      <c r="D1062" s="22" t="str">
        <f>IFERROR(VLOOKUP(B1062,Colaboradores!A:D,3,),"")</f>
        <v>MEIO AMBIENTE</v>
      </c>
      <c r="E1062" s="22" t="str">
        <f>IFERROR(VLOOKUP(B1062,Colaboradores!A:D,4,),"")</f>
        <v>GERENTE DE MEIO AMBIENTE</v>
      </c>
      <c r="F1062" s="22" t="s">
        <v>54</v>
      </c>
      <c r="G1062" s="24" t="str">
        <f>IFERROR(VLOOKUP(F1062,Procedimentos!A:C,2,),"")</f>
        <v>DIRETRIZES DE IMUNIZAÇÃO OCUPACIONAL</v>
      </c>
      <c r="H1062" s="41"/>
      <c r="I1062" s="43">
        <v>45890</v>
      </c>
      <c r="J1062" s="22">
        <v>12</v>
      </c>
      <c r="K1062" s="25">
        <f t="shared" si="53"/>
        <v>46255</v>
      </c>
      <c r="L1062" s="7"/>
      <c r="M1062" s="33"/>
      <c r="N1062" s="7"/>
      <c r="O1062" s="22" t="s">
        <v>28</v>
      </c>
      <c r="P1062" s="25">
        <f t="shared" si="52"/>
        <v>45982</v>
      </c>
      <c r="Q1062" s="25"/>
      <c r="R1062" s="25"/>
      <c r="S1062" s="7"/>
      <c r="T1062" s="7"/>
    </row>
    <row r="1063" spans="1:20" ht="14.25" customHeight="1">
      <c r="A1063" s="22">
        <v>1181</v>
      </c>
      <c r="B1063" s="33">
        <v>12684</v>
      </c>
      <c r="C1063" s="22" t="str">
        <f>IFERROR(VLOOKUP(B1063,Colaboradores!A:D,2,),"")</f>
        <v>JACIARA VIEIRA DA CRUZ DE AGUIAR</v>
      </c>
      <c r="D1063" s="22" t="str">
        <f>IFERROR(VLOOKUP(B1063,Colaboradores!A:D,3,),"")</f>
        <v>MEIO AMBIENTE</v>
      </c>
      <c r="E1063" s="22" t="str">
        <f>IFERROR(VLOOKUP(B1063,Colaboradores!A:D,4,),"")</f>
        <v>GERENTE DE MEIO AMBIENTE</v>
      </c>
      <c r="F1063" s="22" t="s">
        <v>55</v>
      </c>
      <c r="G1063" s="24" t="str">
        <f>IFERROR(VLOOKUP(F1063,Procedimentos!A:C,2,),"")</f>
        <v>DIRETRIZES PARA ACOMPANHAMENTO DE AFASTADOS</v>
      </c>
      <c r="H1063" s="41"/>
      <c r="I1063" s="43">
        <v>45890</v>
      </c>
      <c r="J1063" s="22">
        <v>12</v>
      </c>
      <c r="K1063" s="25">
        <f t="shared" si="53"/>
        <v>46255</v>
      </c>
      <c r="L1063" s="7"/>
      <c r="M1063" s="33"/>
      <c r="N1063" s="7"/>
      <c r="O1063" s="22" t="s">
        <v>28</v>
      </c>
      <c r="P1063" s="25">
        <f t="shared" si="52"/>
        <v>45982</v>
      </c>
      <c r="Q1063" s="25"/>
      <c r="R1063" s="25"/>
      <c r="S1063" s="7"/>
      <c r="T1063" s="7"/>
    </row>
    <row r="1064" spans="1:20" ht="14.25" customHeight="1">
      <c r="A1064" s="22">
        <v>1182</v>
      </c>
      <c r="B1064" s="33">
        <v>12684</v>
      </c>
      <c r="C1064" s="22" t="str">
        <f>IFERROR(VLOOKUP(B1064,Colaboradores!A:D,2,),"")</f>
        <v>JACIARA VIEIRA DA CRUZ DE AGUIAR</v>
      </c>
      <c r="D1064" s="22" t="str">
        <f>IFERROR(VLOOKUP(B1064,Colaboradores!A:D,3,),"")</f>
        <v>MEIO AMBIENTE</v>
      </c>
      <c r="E1064" s="22" t="str">
        <f>IFERROR(VLOOKUP(B1064,Colaboradores!A:D,4,),"")</f>
        <v>GERENTE DE MEIO AMBIENTE</v>
      </c>
      <c r="F1064" s="22" t="s">
        <v>41</v>
      </c>
      <c r="G1064" s="24" t="str">
        <f>IFERROR(VLOOKUP(F1064,Procedimentos!A:C,2,),"")</f>
        <v>DIRETRIZES PARA COMUNICAÇÃO E INVESTIGAÇÃO DE ACIDENTES</v>
      </c>
      <c r="H1064" s="41"/>
      <c r="I1064" s="43">
        <v>45888</v>
      </c>
      <c r="J1064" s="22">
        <v>12</v>
      </c>
      <c r="K1064" s="25">
        <f t="shared" si="53"/>
        <v>46253</v>
      </c>
      <c r="L1064" s="7"/>
      <c r="M1064" s="33"/>
      <c r="N1064" s="7"/>
      <c r="O1064" s="22" t="s">
        <v>28</v>
      </c>
      <c r="P1064" s="25">
        <f t="shared" si="52"/>
        <v>45980</v>
      </c>
      <c r="Q1064" s="25"/>
      <c r="R1064" s="25"/>
      <c r="S1064" s="7"/>
      <c r="T1064" s="7"/>
    </row>
    <row r="1065" spans="1:20" ht="14.25" customHeight="1">
      <c r="A1065" s="22">
        <v>1183</v>
      </c>
      <c r="B1065" s="33">
        <v>12684</v>
      </c>
      <c r="C1065" s="22" t="str">
        <f>IFERROR(VLOOKUP(B1065,Colaboradores!A:D,2,),"")</f>
        <v>JACIARA VIEIRA DA CRUZ DE AGUIAR</v>
      </c>
      <c r="D1065" s="22" t="str">
        <f>IFERROR(VLOOKUP(B1065,Colaboradores!A:D,3,),"")</f>
        <v>MEIO AMBIENTE</v>
      </c>
      <c r="E1065" s="22" t="str">
        <f>IFERROR(VLOOKUP(B1065,Colaboradores!A:D,4,),"")</f>
        <v>GERENTE DE MEIO AMBIENTE</v>
      </c>
      <c r="F1065" s="22" t="s">
        <v>43</v>
      </c>
      <c r="G1065" s="24" t="str">
        <f>IFERROR(VLOOKUP(F1065,Procedimentos!A:C,2,),"")</f>
        <v>DIÁLOGO DE SAÚDE E SEGURANÇA - DSS</v>
      </c>
      <c r="H1065" s="41"/>
      <c r="I1065" s="43">
        <v>45888</v>
      </c>
      <c r="J1065" s="22">
        <v>12</v>
      </c>
      <c r="K1065" s="25">
        <f t="shared" si="53"/>
        <v>46253</v>
      </c>
      <c r="L1065" s="7"/>
      <c r="M1065" s="33"/>
      <c r="N1065" s="7"/>
      <c r="O1065" s="22" t="s">
        <v>28</v>
      </c>
      <c r="P1065" s="25">
        <f t="shared" si="52"/>
        <v>45980</v>
      </c>
      <c r="Q1065" s="25"/>
      <c r="R1065" s="25"/>
      <c r="S1065" s="7"/>
      <c r="T1065" s="7"/>
    </row>
    <row r="1066" spans="1:20" ht="14.25" customHeight="1">
      <c r="A1066" s="22">
        <v>1184</v>
      </c>
      <c r="B1066" s="33">
        <v>12684</v>
      </c>
      <c r="C1066" s="22" t="str">
        <f>IFERROR(VLOOKUP(B1066,Colaboradores!A:D,2,),"")</f>
        <v>JACIARA VIEIRA DA CRUZ DE AGUIAR</v>
      </c>
      <c r="D1066" s="22" t="str">
        <f>IFERROR(VLOOKUP(B1066,Colaboradores!A:D,3,),"")</f>
        <v>MEIO AMBIENTE</v>
      </c>
      <c r="E1066" s="22" t="str">
        <f>IFERROR(VLOOKUP(B1066,Colaboradores!A:D,4,),"")</f>
        <v>GERENTE DE MEIO AMBIENTE</v>
      </c>
      <c r="F1066" s="22" t="s">
        <v>44</v>
      </c>
      <c r="G1066" s="24" t="str">
        <f>IFERROR(VLOOKUP(F1066,Procedimentos!A:C,2,),"")</f>
        <v>DIRETRIZES PARA GESTÃO DE EQUIPAMENTOS DE PROTEÇÃO INDIVIDUAL - EPI'S</v>
      </c>
      <c r="H1066" s="41"/>
      <c r="I1066" s="43">
        <v>45888</v>
      </c>
      <c r="J1066" s="22">
        <v>12</v>
      </c>
      <c r="K1066" s="25">
        <f t="shared" si="53"/>
        <v>46253</v>
      </c>
      <c r="L1066" s="7"/>
      <c r="M1066" s="33"/>
      <c r="N1066" s="7"/>
      <c r="O1066" s="22" t="s">
        <v>28</v>
      </c>
      <c r="P1066" s="25">
        <f t="shared" si="52"/>
        <v>45980</v>
      </c>
      <c r="Q1066" s="25"/>
      <c r="R1066" s="25"/>
      <c r="S1066" s="7"/>
      <c r="T1066" s="7"/>
    </row>
    <row r="1067" spans="1:20" ht="14.25" customHeight="1">
      <c r="A1067" s="22">
        <v>1185</v>
      </c>
      <c r="B1067" s="33">
        <v>12684</v>
      </c>
      <c r="C1067" s="22" t="str">
        <f>IFERROR(VLOOKUP(B1067,Colaboradores!A:D,2,),"")</f>
        <v>JACIARA VIEIRA DA CRUZ DE AGUIAR</v>
      </c>
      <c r="D1067" s="22" t="str">
        <f>IFERROR(VLOOKUP(B1067,Colaboradores!A:D,3,),"")</f>
        <v>MEIO AMBIENTE</v>
      </c>
      <c r="E1067" s="22" t="str">
        <f>IFERROR(VLOOKUP(B1067,Colaboradores!A:D,4,),"")</f>
        <v>GERENTE DE MEIO AMBIENTE</v>
      </c>
      <c r="F1067" s="22" t="s">
        <v>45</v>
      </c>
      <c r="G1067" s="24" t="str">
        <f>IFERROR(VLOOKUP(F1067,Procedimentos!A:C,2,),"")</f>
        <v>CONSTITUIÇÃO INTERNA DE PREVENÇÃO DE ACIDENTES E DE ASSÉDIOS - CIPA</v>
      </c>
      <c r="H1067" s="41"/>
      <c r="I1067" s="43">
        <v>45888</v>
      </c>
      <c r="J1067" s="22">
        <v>12</v>
      </c>
      <c r="K1067" s="25">
        <f t="shared" si="53"/>
        <v>46253</v>
      </c>
      <c r="L1067" s="7"/>
      <c r="M1067" s="33"/>
      <c r="N1067" s="7"/>
      <c r="O1067" s="22" t="s">
        <v>28</v>
      </c>
      <c r="P1067" s="25">
        <f t="shared" si="52"/>
        <v>45980</v>
      </c>
      <c r="Q1067" s="25"/>
      <c r="R1067" s="25"/>
      <c r="S1067" s="7"/>
      <c r="T1067" s="7"/>
    </row>
    <row r="1068" spans="1:20" ht="14.25" customHeight="1">
      <c r="A1068" s="22">
        <v>1190</v>
      </c>
      <c r="B1068" s="33">
        <v>14246</v>
      </c>
      <c r="C1068" s="22" t="str">
        <f>IFERROR(VLOOKUP(B1068,Colaboradores!A:D,2,),"")</f>
        <v>THIALISSON SILVA MORAES</v>
      </c>
      <c r="D1068" s="22" t="str">
        <f>IFERROR(VLOOKUP(B1068,Colaboradores!A:D,3,),"")</f>
        <v>MEIO AMBIENTE</v>
      </c>
      <c r="E1068" s="22" t="str">
        <f>IFERROR(VLOOKUP(B1068,Colaboradores!A:D,4,),"")</f>
        <v>ANALISTA DE MEIO AMBIENTE</v>
      </c>
      <c r="F1068" s="22" t="s">
        <v>29</v>
      </c>
      <c r="G1068" s="24" t="str">
        <f>IFERROR(VLOOKUP(F1068,Procedimentos!A:C,2,),"")</f>
        <v>COLETA SELETIVA DESSMA</v>
      </c>
      <c r="H1068" s="41"/>
      <c r="I1068" s="43">
        <v>45862</v>
      </c>
      <c r="J1068" s="22">
        <v>12</v>
      </c>
      <c r="K1068" s="25">
        <f t="shared" si="53"/>
        <v>46227</v>
      </c>
      <c r="L1068" s="7"/>
      <c r="M1068" s="33"/>
      <c r="N1068" s="7"/>
      <c r="O1068" s="22" t="s">
        <v>28</v>
      </c>
      <c r="P1068" s="25">
        <f t="shared" si="52"/>
        <v>45954</v>
      </c>
      <c r="Q1068" s="25"/>
      <c r="R1068" s="25"/>
      <c r="S1068" s="7"/>
      <c r="T1068" s="7"/>
    </row>
    <row r="1069" spans="1:20" ht="14.25" customHeight="1">
      <c r="A1069" s="22">
        <v>1191</v>
      </c>
      <c r="B1069" s="33">
        <v>14246</v>
      </c>
      <c r="C1069" s="22" t="str">
        <f>IFERROR(VLOOKUP(B1069,Colaboradores!A:D,2,),"")</f>
        <v>THIALISSON SILVA MORAES</v>
      </c>
      <c r="D1069" s="22" t="str">
        <f>IFERROR(VLOOKUP(B1069,Colaboradores!A:D,3,),"")</f>
        <v>MEIO AMBIENTE</v>
      </c>
      <c r="E1069" s="22" t="str">
        <f>IFERROR(VLOOKUP(B1069,Colaboradores!A:D,4,),"")</f>
        <v>ANALISTA DE MEIO AMBIENTE</v>
      </c>
      <c r="F1069" s="22" t="s">
        <v>36</v>
      </c>
      <c r="G1069" s="24" t="str">
        <f>IFERROR(VLOOKUP(F1069,Procedimentos!A:C,2,),"")</f>
        <v>GESTÃO DE PRODUTOS QUÍMICOS</v>
      </c>
      <c r="H1069" s="22" t="s">
        <v>7</v>
      </c>
      <c r="I1069" s="51"/>
      <c r="J1069" s="22">
        <v>12</v>
      </c>
      <c r="K1069" s="25" t="str">
        <f t="shared" si="53"/>
        <v/>
      </c>
      <c r="L1069" s="7"/>
      <c r="M1069" s="33"/>
      <c r="N1069" s="7"/>
      <c r="O1069" s="22" t="s">
        <v>28</v>
      </c>
      <c r="P1069" s="25">
        <f t="shared" si="52"/>
        <v>91</v>
      </c>
      <c r="Q1069" s="25"/>
      <c r="R1069" s="25"/>
      <c r="S1069" s="7"/>
      <c r="T1069" s="7"/>
    </row>
    <row r="1070" spans="1:20" ht="14.25" customHeight="1">
      <c r="A1070" s="22">
        <v>1192</v>
      </c>
      <c r="B1070" s="33">
        <v>14246</v>
      </c>
      <c r="C1070" s="22" t="str">
        <f>IFERROR(VLOOKUP(B1070,Colaboradores!A:D,2,),"")</f>
        <v>THIALISSON SILVA MORAES</v>
      </c>
      <c r="D1070" s="22" t="str">
        <f>IFERROR(VLOOKUP(B1070,Colaboradores!A:D,3,),"")</f>
        <v>MEIO AMBIENTE</v>
      </c>
      <c r="E1070" s="22" t="str">
        <f>IFERROR(VLOOKUP(B1070,Colaboradores!A:D,4,),"")</f>
        <v>ANALISTA DE MEIO AMBIENTE</v>
      </c>
      <c r="F1070" s="22" t="s">
        <v>32</v>
      </c>
      <c r="G1070" s="24" t="str">
        <f>IFERROR(VLOOKUP(F1070,Procedimentos!A:C,2,),"")</f>
        <v>GESTÃO DE LEVANTAMENTO DE ASPECTOS E IMPACTOS AMBIENTAIS</v>
      </c>
      <c r="H1070" s="41"/>
      <c r="I1070" s="43">
        <v>45862</v>
      </c>
      <c r="J1070" s="22">
        <v>12</v>
      </c>
      <c r="K1070" s="25">
        <f t="shared" si="53"/>
        <v>46227</v>
      </c>
      <c r="L1070" s="7"/>
      <c r="M1070" s="33"/>
      <c r="N1070" s="7"/>
      <c r="O1070" s="22" t="s">
        <v>28</v>
      </c>
      <c r="P1070" s="25">
        <f t="shared" si="52"/>
        <v>45954</v>
      </c>
      <c r="Q1070" s="25"/>
      <c r="R1070" s="25"/>
      <c r="S1070" s="7"/>
      <c r="T1070" s="7"/>
    </row>
    <row r="1071" spans="1:20" ht="14.25" customHeight="1">
      <c r="A1071" s="22">
        <v>1193</v>
      </c>
      <c r="B1071" s="33">
        <v>14246</v>
      </c>
      <c r="C1071" s="22" t="str">
        <f>IFERROR(VLOOKUP(B1071,Colaboradores!A:D,2,),"")</f>
        <v>THIALISSON SILVA MORAES</v>
      </c>
      <c r="D1071" s="22" t="str">
        <f>IFERROR(VLOOKUP(B1071,Colaboradores!A:D,3,),"")</f>
        <v>MEIO AMBIENTE</v>
      </c>
      <c r="E1071" s="22" t="str">
        <f>IFERROR(VLOOKUP(B1071,Colaboradores!A:D,4,),"")</f>
        <v>ANALISTA DE MEIO AMBIENTE</v>
      </c>
      <c r="F1071" s="22" t="s">
        <v>33</v>
      </c>
      <c r="G1071" s="24" t="str">
        <f>IFERROR(VLOOKUP(F1071,Procedimentos!A:C,2,),"")</f>
        <v>GESTÃO DE INSPEÇÕES AMBIENTAIS</v>
      </c>
      <c r="H1071" s="41"/>
      <c r="I1071" s="43">
        <v>45862</v>
      </c>
      <c r="J1071" s="22">
        <v>12</v>
      </c>
      <c r="K1071" s="25">
        <f t="shared" si="53"/>
        <v>46227</v>
      </c>
      <c r="L1071" s="7"/>
      <c r="M1071" s="33"/>
      <c r="N1071" s="7"/>
      <c r="O1071" s="22" t="s">
        <v>28</v>
      </c>
      <c r="P1071" s="25">
        <f t="shared" si="52"/>
        <v>45954</v>
      </c>
      <c r="Q1071" s="25"/>
      <c r="R1071" s="25"/>
      <c r="S1071" s="7"/>
      <c r="T1071" s="7"/>
    </row>
    <row r="1072" spans="1:20" ht="14.25" customHeight="1">
      <c r="A1072" s="22">
        <v>1194</v>
      </c>
      <c r="B1072" s="33">
        <v>14246</v>
      </c>
      <c r="C1072" s="22" t="str">
        <f>IFERROR(VLOOKUP(B1072,Colaboradores!A:D,2,),"")</f>
        <v>THIALISSON SILVA MORAES</v>
      </c>
      <c r="D1072" s="22" t="str">
        <f>IFERROR(VLOOKUP(B1072,Colaboradores!A:D,3,),"")</f>
        <v>MEIO AMBIENTE</v>
      </c>
      <c r="E1072" s="22" t="str">
        <f>IFERROR(VLOOKUP(B1072,Colaboradores!A:D,4,),"")</f>
        <v>ANALISTA DE MEIO AMBIENTE</v>
      </c>
      <c r="F1072" s="22" t="s">
        <v>31</v>
      </c>
      <c r="G1072" s="24" t="str">
        <f>IFERROR(VLOOKUP(F1072,Procedimentos!A:C,2,),"")</f>
        <v>GESTÃO DE COMUNICAÇÃO, CLASSIFICAÇÃO E INVESTIGAÇÃO DE OCORRÊNCIAS AMBIENTAIS</v>
      </c>
      <c r="H1072" s="22" t="s">
        <v>7</v>
      </c>
      <c r="I1072" s="51"/>
      <c r="J1072" s="22">
        <v>12</v>
      </c>
      <c r="K1072" s="25" t="str">
        <f t="shared" si="53"/>
        <v/>
      </c>
      <c r="L1072" s="7"/>
      <c r="M1072" s="33"/>
      <c r="N1072" s="7"/>
      <c r="O1072" s="22" t="s">
        <v>28</v>
      </c>
      <c r="P1072" s="25">
        <f t="shared" si="52"/>
        <v>91</v>
      </c>
      <c r="Q1072" s="25"/>
      <c r="R1072" s="25"/>
      <c r="S1072" s="7"/>
      <c r="T1072" s="7"/>
    </row>
    <row r="1073" spans="1:20" ht="14.25" customHeight="1">
      <c r="A1073" s="22">
        <v>1195</v>
      </c>
      <c r="B1073" s="33">
        <v>14246</v>
      </c>
      <c r="C1073" s="22" t="str">
        <f>IFERROR(VLOOKUP(B1073,Colaboradores!A:D,2,),"")</f>
        <v>THIALISSON SILVA MORAES</v>
      </c>
      <c r="D1073" s="22" t="str">
        <f>IFERROR(VLOOKUP(B1073,Colaboradores!A:D,3,),"")</f>
        <v>MEIO AMBIENTE</v>
      </c>
      <c r="E1073" s="22" t="str">
        <f>IFERROR(VLOOKUP(B1073,Colaboradores!A:D,4,),"")</f>
        <v>ANALISTA DE MEIO AMBIENTE</v>
      </c>
      <c r="F1073" s="22" t="s">
        <v>39</v>
      </c>
      <c r="G1073" s="24" t="str">
        <f>IFERROR(VLOOKUP(F1073,Procedimentos!A:C,2,),"")</f>
        <v>GESTÃO DE ÁGUAS E EFLUENTES</v>
      </c>
      <c r="H1073" s="41"/>
      <c r="I1073" s="43">
        <v>45862</v>
      </c>
      <c r="J1073" s="22">
        <v>12</v>
      </c>
      <c r="K1073" s="25">
        <f t="shared" si="53"/>
        <v>46227</v>
      </c>
      <c r="L1073" s="7"/>
      <c r="M1073" s="33"/>
      <c r="N1073" s="7"/>
      <c r="O1073" s="22" t="s">
        <v>28</v>
      </c>
      <c r="P1073" s="25">
        <f t="shared" si="52"/>
        <v>45954</v>
      </c>
      <c r="Q1073" s="25"/>
      <c r="R1073" s="25"/>
      <c r="S1073" s="7"/>
      <c r="T1073" s="7"/>
    </row>
    <row r="1074" spans="1:20" ht="14.25" customHeight="1">
      <c r="A1074" s="22">
        <v>1196</v>
      </c>
      <c r="B1074" s="33">
        <v>14246</v>
      </c>
      <c r="C1074" s="22" t="str">
        <f>IFERROR(VLOOKUP(B1074,Colaboradores!A:D,2,),"")</f>
        <v>THIALISSON SILVA MORAES</v>
      </c>
      <c r="D1074" s="22" t="str">
        <f>IFERROR(VLOOKUP(B1074,Colaboradores!A:D,3,),"")</f>
        <v>MEIO AMBIENTE</v>
      </c>
      <c r="E1074" s="22" t="str">
        <f>IFERROR(VLOOKUP(B1074,Colaboradores!A:D,4,),"")</f>
        <v>ANALISTA DE MEIO AMBIENTE</v>
      </c>
      <c r="F1074" s="22" t="s">
        <v>34</v>
      </c>
      <c r="G1074" s="24" t="str">
        <f>IFERROR(VLOOKUP(F1074,Procedimentos!A:C,2,),"")</f>
        <v>GESTÃO DE LICENCIAMENTO AMBIENTAL</v>
      </c>
      <c r="H1074" s="41"/>
      <c r="I1074" s="43">
        <v>45862</v>
      </c>
      <c r="J1074" s="22">
        <v>12</v>
      </c>
      <c r="K1074" s="25">
        <f t="shared" si="53"/>
        <v>46227</v>
      </c>
      <c r="L1074" s="7"/>
      <c r="M1074" s="4"/>
      <c r="N1074" s="7"/>
      <c r="O1074" s="22" t="s">
        <v>28</v>
      </c>
      <c r="P1074" s="25">
        <f t="shared" si="52"/>
        <v>45954</v>
      </c>
      <c r="Q1074" s="51"/>
      <c r="R1074" s="51"/>
      <c r="S1074" s="7"/>
      <c r="T1074" s="7"/>
    </row>
    <row r="1075" spans="1:20" ht="14.25" customHeight="1">
      <c r="A1075" s="22">
        <v>1197</v>
      </c>
      <c r="B1075" s="33">
        <v>14246</v>
      </c>
      <c r="C1075" s="22" t="str">
        <f>IFERROR(VLOOKUP(B1075,Colaboradores!A:D,2,),"")</f>
        <v>THIALISSON SILVA MORAES</v>
      </c>
      <c r="D1075" s="22" t="str">
        <f>IFERROR(VLOOKUP(B1075,Colaboradores!A:D,3,),"")</f>
        <v>MEIO AMBIENTE</v>
      </c>
      <c r="E1075" s="22" t="str">
        <f>IFERROR(VLOOKUP(B1075,Colaboradores!A:D,4,),"")</f>
        <v>ANALISTA DE MEIO AMBIENTE</v>
      </c>
      <c r="F1075" s="22" t="s">
        <v>38</v>
      </c>
      <c r="G1075" s="24" t="str">
        <f>IFERROR(VLOOKUP(F1075,Procedimentos!A:C,2,),"")</f>
        <v>GESTÃO DE CONDICIONANTES DE LICENCIAMENTO AMBIENTAL</v>
      </c>
      <c r="H1075" s="41"/>
      <c r="I1075" s="43">
        <v>45862</v>
      </c>
      <c r="J1075" s="22">
        <v>12</v>
      </c>
      <c r="K1075" s="25">
        <f t="shared" si="53"/>
        <v>46227</v>
      </c>
      <c r="L1075" s="7"/>
      <c r="M1075" s="4"/>
      <c r="N1075" s="7"/>
      <c r="O1075" s="22" t="s">
        <v>28</v>
      </c>
      <c r="P1075" s="25">
        <f t="shared" si="52"/>
        <v>45954</v>
      </c>
      <c r="Q1075" s="51"/>
      <c r="R1075" s="51"/>
      <c r="S1075" s="7"/>
      <c r="T1075" s="7"/>
    </row>
    <row r="1076" spans="1:20" ht="14.25" customHeight="1">
      <c r="A1076" s="22">
        <v>1198</v>
      </c>
      <c r="B1076" s="33">
        <v>14246</v>
      </c>
      <c r="C1076" s="22" t="str">
        <f>IFERROR(VLOOKUP(B1076,Colaboradores!A:D,2,),"")</f>
        <v>THIALISSON SILVA MORAES</v>
      </c>
      <c r="D1076" s="22" t="str">
        <f>IFERROR(VLOOKUP(B1076,Colaboradores!A:D,3,),"")</f>
        <v>MEIO AMBIENTE</v>
      </c>
      <c r="E1076" s="22" t="str">
        <f>IFERROR(VLOOKUP(B1076,Colaboradores!A:D,4,),"")</f>
        <v>ANALISTA DE MEIO AMBIENTE</v>
      </c>
      <c r="F1076" s="22" t="s">
        <v>37</v>
      </c>
      <c r="G1076" s="24" t="str">
        <f>IFERROR(VLOOKUP(F1076,Procedimentos!A:C,2,),"")</f>
        <v>GESTÃO DE RESÍDUOS SÓLIDOS DE SERVIÇOS DE SAÚDE</v>
      </c>
      <c r="H1076" s="41"/>
      <c r="I1076" s="43">
        <v>45862</v>
      </c>
      <c r="J1076" s="22">
        <v>12</v>
      </c>
      <c r="K1076" s="25">
        <f t="shared" si="53"/>
        <v>46227</v>
      </c>
      <c r="L1076" s="7"/>
      <c r="M1076" s="4"/>
      <c r="N1076" s="7"/>
      <c r="O1076" s="22" t="s">
        <v>28</v>
      </c>
      <c r="P1076" s="25">
        <f t="shared" si="52"/>
        <v>45954</v>
      </c>
      <c r="Q1076" s="51"/>
      <c r="R1076" s="51"/>
      <c r="S1076" s="7"/>
      <c r="T1076" s="7"/>
    </row>
    <row r="1077" spans="1:20" ht="14.25" customHeight="1">
      <c r="A1077" s="22">
        <v>1199</v>
      </c>
      <c r="B1077" s="33">
        <v>14246</v>
      </c>
      <c r="C1077" s="22" t="str">
        <f>IFERROR(VLOOKUP(B1077,Colaboradores!A:D,2,),"")</f>
        <v>THIALISSON SILVA MORAES</v>
      </c>
      <c r="D1077" s="22" t="str">
        <f>IFERROR(VLOOKUP(B1077,Colaboradores!A:D,3,),"")</f>
        <v>MEIO AMBIENTE</v>
      </c>
      <c r="E1077" s="22" t="str">
        <f>IFERROR(VLOOKUP(B1077,Colaboradores!A:D,4,),"")</f>
        <v>ANALISTA DE MEIO AMBIENTE</v>
      </c>
      <c r="F1077" s="22" t="s">
        <v>35</v>
      </c>
      <c r="G1077" s="24" t="str">
        <f>IFERROR(VLOOKUP(F1077,Procedimentos!A:C,2,),"")</f>
        <v>PROCEDIMENTO DE AFERIÇÃO DE FUMAÇA PRETA</v>
      </c>
      <c r="H1077" s="41"/>
      <c r="I1077" s="43">
        <v>45862</v>
      </c>
      <c r="J1077" s="22">
        <v>12</v>
      </c>
      <c r="K1077" s="25">
        <f t="shared" si="53"/>
        <v>46227</v>
      </c>
      <c r="L1077" s="7"/>
      <c r="M1077" s="4"/>
      <c r="N1077" s="7"/>
      <c r="O1077" s="22" t="s">
        <v>28</v>
      </c>
      <c r="P1077" s="25">
        <f t="shared" si="52"/>
        <v>45954</v>
      </c>
      <c r="Q1077" s="51"/>
      <c r="R1077" s="51"/>
      <c r="S1077" s="7"/>
      <c r="T1077" s="7"/>
    </row>
    <row r="1078" spans="1:20" ht="14.25" customHeight="1">
      <c r="A1078" s="22">
        <v>1200</v>
      </c>
      <c r="B1078" s="33">
        <v>14013</v>
      </c>
      <c r="C1078" s="22" t="str">
        <f>IFERROR(VLOOKUP(B1078,Colaboradores!A:D,2,),"")</f>
        <v>IGOR WARWICK SANTOS DE CASTRO</v>
      </c>
      <c r="D1078" s="22" t="str">
        <f>IFERROR(VLOOKUP(B1078,Colaboradores!A:D,3,),"")</f>
        <v>MEIO AMBIENTE</v>
      </c>
      <c r="E1078" s="22" t="str">
        <f>IFERROR(VLOOKUP(B1078,Colaboradores!A:D,4,),"")</f>
        <v>ASSISTENTE ADMINISTRATIVO</v>
      </c>
      <c r="F1078" s="22" t="s">
        <v>36</v>
      </c>
      <c r="G1078" s="24" t="str">
        <f>IFERROR(VLOOKUP(F1078,Procedimentos!A:C,2,),"")</f>
        <v>GESTÃO DE PRODUTOS QUÍMICOS</v>
      </c>
      <c r="H1078" s="41"/>
      <c r="I1078" s="43">
        <v>45862</v>
      </c>
      <c r="J1078" s="22">
        <v>12</v>
      </c>
      <c r="K1078" s="25">
        <f t="shared" si="53"/>
        <v>46227</v>
      </c>
      <c r="L1078" s="7"/>
      <c r="M1078" s="4"/>
      <c r="N1078" s="7"/>
      <c r="O1078" s="22" t="s">
        <v>28</v>
      </c>
      <c r="P1078" s="25">
        <f t="shared" si="52"/>
        <v>45954</v>
      </c>
      <c r="Q1078" s="51"/>
      <c r="R1078" s="51"/>
      <c r="S1078" s="7"/>
      <c r="T1078" s="7"/>
    </row>
    <row r="1079" spans="1:20" ht="14.25" customHeight="1">
      <c r="A1079" s="22">
        <v>1201</v>
      </c>
      <c r="B1079" s="33">
        <v>14013</v>
      </c>
      <c r="C1079" s="22" t="str">
        <f>IFERROR(VLOOKUP(B1079,Colaboradores!A:D,2,),"")</f>
        <v>IGOR WARWICK SANTOS DE CASTRO</v>
      </c>
      <c r="D1079" s="22" t="str">
        <f>IFERROR(VLOOKUP(B1079,Colaboradores!A:D,3,),"")</f>
        <v>MEIO AMBIENTE</v>
      </c>
      <c r="E1079" s="22" t="str">
        <f>IFERROR(VLOOKUP(B1079,Colaboradores!A:D,4,),"")</f>
        <v>ASSISTENTE ADMINISTRATIVO</v>
      </c>
      <c r="F1079" s="22" t="s">
        <v>33</v>
      </c>
      <c r="G1079" s="24" t="str">
        <f>IFERROR(VLOOKUP(F1079,Procedimentos!A:C,2,),"")</f>
        <v>GESTÃO DE INSPEÇÕES AMBIENTAIS</v>
      </c>
      <c r="H1079" s="41"/>
      <c r="I1079" s="43">
        <v>45862</v>
      </c>
      <c r="J1079" s="22">
        <v>12</v>
      </c>
      <c r="K1079" s="25">
        <f t="shared" si="53"/>
        <v>46227</v>
      </c>
      <c r="L1079" s="7"/>
      <c r="M1079" s="4"/>
      <c r="N1079" s="7"/>
      <c r="O1079" s="22" t="s">
        <v>28</v>
      </c>
      <c r="P1079" s="25">
        <f t="shared" si="52"/>
        <v>45954</v>
      </c>
      <c r="Q1079" s="51"/>
      <c r="R1079" s="51"/>
      <c r="S1079" s="7"/>
      <c r="T1079" s="7"/>
    </row>
    <row r="1080" spans="1:20" ht="14.25" customHeight="1">
      <c r="A1080" s="22">
        <v>1202</v>
      </c>
      <c r="B1080" s="33">
        <v>14013</v>
      </c>
      <c r="C1080" s="22" t="str">
        <f>IFERROR(VLOOKUP(B1080,Colaboradores!A:D,2,),"")</f>
        <v>IGOR WARWICK SANTOS DE CASTRO</v>
      </c>
      <c r="D1080" s="22" t="str">
        <f>IFERROR(VLOOKUP(B1080,Colaboradores!A:D,3,),"")</f>
        <v>MEIO AMBIENTE</v>
      </c>
      <c r="E1080" s="22" t="str">
        <f>IFERROR(VLOOKUP(B1080,Colaboradores!A:D,4,),"")</f>
        <v>ASSISTENTE ADMINISTRATIVO</v>
      </c>
      <c r="F1080" s="22" t="s">
        <v>39</v>
      </c>
      <c r="G1080" s="24" t="str">
        <f>IFERROR(VLOOKUP(F1080,Procedimentos!A:C,2,),"")</f>
        <v>GESTÃO DE ÁGUAS E EFLUENTES</v>
      </c>
      <c r="H1080" s="41"/>
      <c r="I1080" s="43">
        <v>45862</v>
      </c>
      <c r="J1080" s="22">
        <v>12</v>
      </c>
      <c r="K1080" s="25">
        <f t="shared" si="53"/>
        <v>46227</v>
      </c>
      <c r="L1080" s="7"/>
      <c r="M1080" s="4"/>
      <c r="N1080" s="7"/>
      <c r="O1080" s="22" t="s">
        <v>28</v>
      </c>
      <c r="P1080" s="25">
        <f t="shared" si="52"/>
        <v>45954</v>
      </c>
      <c r="Q1080" s="51"/>
      <c r="R1080" s="51"/>
      <c r="S1080" s="7"/>
      <c r="T1080" s="7"/>
    </row>
    <row r="1081" spans="1:20" ht="14.25" customHeight="1">
      <c r="A1081" s="22">
        <v>1203</v>
      </c>
      <c r="B1081" s="33">
        <v>14013</v>
      </c>
      <c r="C1081" s="22" t="str">
        <f>IFERROR(VLOOKUP(B1081,Colaboradores!A:D,2,),"")</f>
        <v>IGOR WARWICK SANTOS DE CASTRO</v>
      </c>
      <c r="D1081" s="22" t="str">
        <f>IFERROR(VLOOKUP(B1081,Colaboradores!A:D,3,),"")</f>
        <v>MEIO AMBIENTE</v>
      </c>
      <c r="E1081" s="22" t="str">
        <f>IFERROR(VLOOKUP(B1081,Colaboradores!A:D,4,),"")</f>
        <v>ASSISTENTE ADMINISTRATIVO</v>
      </c>
      <c r="F1081" s="22" t="s">
        <v>34</v>
      </c>
      <c r="G1081" s="24" t="str">
        <f>IFERROR(VLOOKUP(F1081,Procedimentos!A:C,2,),"")</f>
        <v>GESTÃO DE LICENCIAMENTO AMBIENTAL</v>
      </c>
      <c r="H1081" s="41"/>
      <c r="I1081" s="43">
        <v>45862</v>
      </c>
      <c r="J1081" s="22">
        <v>12</v>
      </c>
      <c r="K1081" s="25">
        <f t="shared" si="53"/>
        <v>46227</v>
      </c>
      <c r="L1081" s="7"/>
      <c r="M1081" s="4"/>
      <c r="N1081" s="7"/>
      <c r="O1081" s="22" t="s">
        <v>28</v>
      </c>
      <c r="P1081" s="25">
        <f t="shared" si="52"/>
        <v>45954</v>
      </c>
      <c r="Q1081" s="51"/>
      <c r="R1081" s="51"/>
      <c r="S1081" s="7"/>
      <c r="T1081" s="7"/>
    </row>
    <row r="1082" spans="1:20" ht="14.25" customHeight="1">
      <c r="A1082" s="22">
        <v>1204</v>
      </c>
      <c r="B1082" s="33">
        <v>14013</v>
      </c>
      <c r="C1082" s="22" t="str">
        <f>IFERROR(VLOOKUP(B1082,Colaboradores!A:D,2,),"")</f>
        <v>IGOR WARWICK SANTOS DE CASTRO</v>
      </c>
      <c r="D1082" s="22" t="str">
        <f>IFERROR(VLOOKUP(B1082,Colaboradores!A:D,3,),"")</f>
        <v>MEIO AMBIENTE</v>
      </c>
      <c r="E1082" s="22" t="str">
        <f>IFERROR(VLOOKUP(B1082,Colaboradores!A:D,4,),"")</f>
        <v>ASSISTENTE ADMINISTRATIVO</v>
      </c>
      <c r="F1082" s="22" t="s">
        <v>38</v>
      </c>
      <c r="G1082" s="24" t="str">
        <f>IFERROR(VLOOKUP(F1082,Procedimentos!A:C,2,),"")</f>
        <v>GESTÃO DE CONDICIONANTES DE LICENCIAMENTO AMBIENTAL</v>
      </c>
      <c r="H1082" s="41"/>
      <c r="I1082" s="43">
        <v>45862</v>
      </c>
      <c r="J1082" s="22">
        <v>12</v>
      </c>
      <c r="K1082" s="25">
        <f t="shared" si="53"/>
        <v>46227</v>
      </c>
      <c r="L1082" s="7"/>
      <c r="M1082" s="4"/>
      <c r="N1082" s="7"/>
      <c r="O1082" s="22" t="s">
        <v>28</v>
      </c>
      <c r="P1082" s="25">
        <f t="shared" si="52"/>
        <v>45954</v>
      </c>
      <c r="Q1082" s="51"/>
      <c r="R1082" s="51"/>
      <c r="S1082" s="7"/>
      <c r="T1082" s="7"/>
    </row>
    <row r="1083" spans="1:20" ht="14.25" customHeight="1">
      <c r="A1083" s="22">
        <v>1205</v>
      </c>
      <c r="B1083" s="33">
        <v>14013</v>
      </c>
      <c r="C1083" s="22" t="str">
        <f>IFERROR(VLOOKUP(B1083,Colaboradores!A:D,2,),"")</f>
        <v>IGOR WARWICK SANTOS DE CASTRO</v>
      </c>
      <c r="D1083" s="22" t="str">
        <f>IFERROR(VLOOKUP(B1083,Colaboradores!A:D,3,),"")</f>
        <v>MEIO AMBIENTE</v>
      </c>
      <c r="E1083" s="22" t="str">
        <f>IFERROR(VLOOKUP(B1083,Colaboradores!A:D,4,),"")</f>
        <v>ASSISTENTE ADMINISTRATIVO</v>
      </c>
      <c r="F1083" s="22" t="s">
        <v>37</v>
      </c>
      <c r="G1083" s="24" t="str">
        <f>IFERROR(VLOOKUP(F1083,Procedimentos!A:C,2,),"")</f>
        <v>GESTÃO DE RESÍDUOS SÓLIDOS DE SERVIÇOS DE SAÚDE</v>
      </c>
      <c r="H1083" s="41"/>
      <c r="I1083" s="43">
        <v>45862</v>
      </c>
      <c r="J1083" s="22">
        <v>12</v>
      </c>
      <c r="K1083" s="25">
        <f t="shared" si="53"/>
        <v>46227</v>
      </c>
      <c r="L1083" s="7"/>
      <c r="M1083" s="4"/>
      <c r="N1083" s="7"/>
      <c r="O1083" s="22" t="s">
        <v>28</v>
      </c>
      <c r="P1083" s="25">
        <f t="shared" si="52"/>
        <v>45954</v>
      </c>
      <c r="Q1083" s="51"/>
      <c r="R1083" s="51"/>
      <c r="S1083" s="7"/>
      <c r="T1083" s="7"/>
    </row>
    <row r="1084" spans="1:20" ht="14.25" customHeight="1">
      <c r="A1084" s="22">
        <v>1206</v>
      </c>
      <c r="B1084" s="33">
        <v>14013</v>
      </c>
      <c r="C1084" s="22" t="str">
        <f>IFERROR(VLOOKUP(B1084,Colaboradores!A:D,2,),"")</f>
        <v>IGOR WARWICK SANTOS DE CASTRO</v>
      </c>
      <c r="D1084" s="22" t="str">
        <f>IFERROR(VLOOKUP(B1084,Colaboradores!A:D,3,),"")</f>
        <v>MEIO AMBIENTE</v>
      </c>
      <c r="E1084" s="22" t="str">
        <f>IFERROR(VLOOKUP(B1084,Colaboradores!A:D,4,),"")</f>
        <v>ASSISTENTE ADMINISTRATIVO</v>
      </c>
      <c r="F1084" s="22" t="s">
        <v>35</v>
      </c>
      <c r="G1084" s="24" t="str">
        <f>IFERROR(VLOOKUP(F1084,Procedimentos!A:C,2,),"")</f>
        <v>PROCEDIMENTO DE AFERIÇÃO DE FUMAÇA PRETA</v>
      </c>
      <c r="H1084" s="41"/>
      <c r="I1084" s="43">
        <v>45862</v>
      </c>
      <c r="J1084" s="22">
        <v>12</v>
      </c>
      <c r="K1084" s="25">
        <f t="shared" si="53"/>
        <v>46227</v>
      </c>
      <c r="L1084" s="7"/>
      <c r="M1084" s="4"/>
      <c r="N1084" s="7"/>
      <c r="O1084" s="22" t="s">
        <v>28</v>
      </c>
      <c r="P1084" s="25">
        <f t="shared" si="52"/>
        <v>45954</v>
      </c>
      <c r="Q1084" s="51"/>
      <c r="R1084" s="51"/>
      <c r="S1084" s="7"/>
      <c r="T1084" s="7"/>
    </row>
    <row r="1085" spans="1:20" ht="14.25" customHeight="1">
      <c r="A1085" s="22">
        <v>1207</v>
      </c>
      <c r="B1085" s="33">
        <v>14526</v>
      </c>
      <c r="C1085" s="22" t="str">
        <f>IFERROR(VLOOKUP(B1085,Colaboradores!A:D,2,),"")</f>
        <v>VINNICYUS ANTONIO DE CARVALHO RIBEIRO</v>
      </c>
      <c r="D1085" s="22" t="str">
        <f>IFERROR(VLOOKUP(B1085,Colaboradores!A:D,3,),"")</f>
        <v>MEIO AMBIENTE</v>
      </c>
      <c r="E1085" s="22" t="str">
        <f>IFERROR(VLOOKUP(B1085,Colaboradores!A:D,4,),"")</f>
        <v>ENGENHEIRO DE MEIO AMBIENTE</v>
      </c>
      <c r="F1085" s="4" t="s">
        <v>49</v>
      </c>
      <c r="G1085" s="24" t="str">
        <f>IFERROR(VLOOKUP(F1085,Procedimentos!A:C,2,),"")</f>
        <v>DIRETRIZES PARA REALIZAÇÃO DE EXAMES OCUPACIONAIS</v>
      </c>
      <c r="H1085" s="41"/>
      <c r="I1085" s="43">
        <v>45902</v>
      </c>
      <c r="J1085" s="22">
        <v>12</v>
      </c>
      <c r="K1085" s="25">
        <f t="shared" si="53"/>
        <v>46267</v>
      </c>
      <c r="L1085" s="7"/>
      <c r="M1085" s="4"/>
      <c r="N1085" s="7"/>
      <c r="O1085" s="22" t="s">
        <v>28</v>
      </c>
      <c r="P1085" s="25">
        <f t="shared" si="52"/>
        <v>45993</v>
      </c>
      <c r="Q1085" s="51"/>
      <c r="R1085" s="51"/>
      <c r="S1085" s="7"/>
      <c r="T1085" s="7"/>
    </row>
    <row r="1086" spans="1:20" ht="14.25" customHeight="1">
      <c r="A1086" s="22">
        <v>1208</v>
      </c>
      <c r="B1086" s="33">
        <v>14526</v>
      </c>
      <c r="C1086" s="22" t="str">
        <f>IFERROR(VLOOKUP(B1086,Colaboradores!A:D,2,),"")</f>
        <v>VINNICYUS ANTONIO DE CARVALHO RIBEIRO</v>
      </c>
      <c r="D1086" s="22" t="str">
        <f>IFERROR(VLOOKUP(B1086,Colaboradores!A:D,3,),"")</f>
        <v>MEIO AMBIENTE</v>
      </c>
      <c r="E1086" s="22" t="str">
        <f>IFERROR(VLOOKUP(B1086,Colaboradores!A:D,4,),"")</f>
        <v>ENGENHEIRO DE MEIO AMBIENTE</v>
      </c>
      <c r="F1086" s="22" t="s">
        <v>51</v>
      </c>
      <c r="G1086" s="24" t="str">
        <f>IFERROR(VLOOKUP(F1086,Procedimentos!A:C,2,),"")</f>
        <v>DIRETRIZES PARA ENTREGA DE ATESTADOS MÉDICOS E ODONTOLÓGICOS</v>
      </c>
      <c r="H1086" s="41"/>
      <c r="I1086" s="43">
        <v>45902</v>
      </c>
      <c r="J1086" s="22">
        <v>12</v>
      </c>
      <c r="K1086" s="25">
        <f t="shared" si="53"/>
        <v>46267</v>
      </c>
      <c r="L1086" s="7"/>
      <c r="M1086" s="4"/>
      <c r="N1086" s="7"/>
      <c r="O1086" s="22" t="s">
        <v>28</v>
      </c>
      <c r="P1086" s="25">
        <f t="shared" si="52"/>
        <v>45993</v>
      </c>
      <c r="Q1086" s="51"/>
      <c r="R1086" s="51"/>
      <c r="S1086" s="7"/>
      <c r="T1086" s="7"/>
    </row>
    <row r="1087" spans="1:20" ht="14.25" customHeight="1">
      <c r="A1087" s="22">
        <v>1209</v>
      </c>
      <c r="B1087" s="33">
        <v>14526</v>
      </c>
      <c r="C1087" s="22" t="str">
        <f>IFERROR(VLOOKUP(B1087,Colaboradores!A:D,2,),"")</f>
        <v>VINNICYUS ANTONIO DE CARVALHO RIBEIRO</v>
      </c>
      <c r="D1087" s="22" t="str">
        <f>IFERROR(VLOOKUP(B1087,Colaboradores!A:D,3,),"")</f>
        <v>MEIO AMBIENTE</v>
      </c>
      <c r="E1087" s="22" t="str">
        <f>IFERROR(VLOOKUP(B1087,Colaboradores!A:D,4,),"")</f>
        <v>ENGENHEIRO DE MEIO AMBIENTE</v>
      </c>
      <c r="F1087" s="22" t="s">
        <v>52</v>
      </c>
      <c r="G1087" s="24" t="str">
        <f>IFERROR(VLOOKUP(F1087,Procedimentos!A:C,2,),"")</f>
        <v>DIRETRIZES E ACOMPANHAMENTO  DE ACIDENTE COM MATERIAL BIOLOGICO</v>
      </c>
      <c r="H1087" s="41"/>
      <c r="I1087" s="43">
        <v>45902</v>
      </c>
      <c r="J1087" s="22">
        <v>12</v>
      </c>
      <c r="K1087" s="25">
        <f t="shared" si="53"/>
        <v>46267</v>
      </c>
      <c r="L1087" s="7"/>
      <c r="M1087" s="4"/>
      <c r="N1087" s="7"/>
      <c r="O1087" s="22" t="s">
        <v>28</v>
      </c>
      <c r="P1087" s="25">
        <f t="shared" si="52"/>
        <v>45993</v>
      </c>
      <c r="Q1087" s="51"/>
      <c r="R1087" s="51"/>
      <c r="S1087" s="7"/>
      <c r="T1087" s="7"/>
    </row>
    <row r="1088" spans="1:20" ht="14.25" customHeight="1">
      <c r="A1088" s="22">
        <v>1210</v>
      </c>
      <c r="B1088" s="33">
        <v>14526</v>
      </c>
      <c r="C1088" s="22" t="str">
        <f>IFERROR(VLOOKUP(B1088,Colaboradores!A:D,2,),"")</f>
        <v>VINNICYUS ANTONIO DE CARVALHO RIBEIRO</v>
      </c>
      <c r="D1088" s="22" t="str">
        <f>IFERROR(VLOOKUP(B1088,Colaboradores!A:D,3,),"")</f>
        <v>MEIO AMBIENTE</v>
      </c>
      <c r="E1088" s="22" t="str">
        <f>IFERROR(VLOOKUP(B1088,Colaboradores!A:D,4,),"")</f>
        <v>ENGENHEIRO DE MEIO AMBIENTE</v>
      </c>
      <c r="F1088" s="22" t="s">
        <v>53</v>
      </c>
      <c r="G1088" s="24" t="str">
        <f>IFERROR(VLOOKUP(F1088,Procedimentos!A:C,2,),"")</f>
        <v>DIRETRIZES PARA MONITORAMENTO DE GESTANTE</v>
      </c>
      <c r="H1088" s="41"/>
      <c r="I1088" s="43">
        <v>45902</v>
      </c>
      <c r="J1088" s="22">
        <v>12</v>
      </c>
      <c r="K1088" s="25">
        <f t="shared" si="53"/>
        <v>46267</v>
      </c>
      <c r="L1088" s="7"/>
      <c r="M1088" s="4"/>
      <c r="N1088" s="7"/>
      <c r="O1088" s="22" t="s">
        <v>28</v>
      </c>
      <c r="P1088" s="25">
        <f t="shared" si="52"/>
        <v>45993</v>
      </c>
      <c r="Q1088" s="51"/>
      <c r="R1088" s="51"/>
      <c r="S1088" s="7"/>
      <c r="T1088" s="7"/>
    </row>
    <row r="1089" spans="1:20" ht="14.25" customHeight="1">
      <c r="A1089" s="22">
        <v>1211</v>
      </c>
      <c r="B1089" s="33">
        <v>14526</v>
      </c>
      <c r="C1089" s="22" t="str">
        <f>IFERROR(VLOOKUP(B1089,Colaboradores!A:D,2,),"")</f>
        <v>VINNICYUS ANTONIO DE CARVALHO RIBEIRO</v>
      </c>
      <c r="D1089" s="22" t="str">
        <f>IFERROR(VLOOKUP(B1089,Colaboradores!A:D,3,),"")</f>
        <v>MEIO AMBIENTE</v>
      </c>
      <c r="E1089" s="22" t="str">
        <f>IFERROR(VLOOKUP(B1089,Colaboradores!A:D,4,),"")</f>
        <v>ENGENHEIRO DE MEIO AMBIENTE</v>
      </c>
      <c r="F1089" s="22" t="s">
        <v>54</v>
      </c>
      <c r="G1089" s="24" t="str">
        <f>IFERROR(VLOOKUP(F1089,Procedimentos!A:C,2,),"")</f>
        <v>DIRETRIZES DE IMUNIZAÇÃO OCUPACIONAL</v>
      </c>
      <c r="H1089" s="41"/>
      <c r="I1089" s="43">
        <v>45902</v>
      </c>
      <c r="J1089" s="22">
        <v>12</v>
      </c>
      <c r="K1089" s="25">
        <f t="shared" si="53"/>
        <v>46267</v>
      </c>
      <c r="L1089" s="7"/>
      <c r="M1089" s="4"/>
      <c r="N1089" s="7"/>
      <c r="O1089" s="22" t="s">
        <v>28</v>
      </c>
      <c r="P1089" s="25">
        <f t="shared" si="52"/>
        <v>45993</v>
      </c>
      <c r="Q1089" s="51"/>
      <c r="R1089" s="51"/>
      <c r="S1089" s="7"/>
      <c r="T1089" s="7"/>
    </row>
    <row r="1090" spans="1:20" ht="14.25" customHeight="1">
      <c r="A1090" s="22">
        <v>1212</v>
      </c>
      <c r="B1090" s="33">
        <v>14526</v>
      </c>
      <c r="C1090" s="22" t="str">
        <f>IFERROR(VLOOKUP(B1090,Colaboradores!A:D,2,),"")</f>
        <v>VINNICYUS ANTONIO DE CARVALHO RIBEIRO</v>
      </c>
      <c r="D1090" s="22" t="str">
        <f>IFERROR(VLOOKUP(B1090,Colaboradores!A:D,3,),"")</f>
        <v>MEIO AMBIENTE</v>
      </c>
      <c r="E1090" s="22" t="str">
        <f>IFERROR(VLOOKUP(B1090,Colaboradores!A:D,4,),"")</f>
        <v>ENGENHEIRO DE MEIO AMBIENTE</v>
      </c>
      <c r="F1090" s="22" t="s">
        <v>55</v>
      </c>
      <c r="G1090" s="24" t="str">
        <f>IFERROR(VLOOKUP(F1090,Procedimentos!A:C,2,),"")</f>
        <v>DIRETRIZES PARA ACOMPANHAMENTO DE AFASTADOS</v>
      </c>
      <c r="H1090" s="41"/>
      <c r="I1090" s="43">
        <v>45902</v>
      </c>
      <c r="J1090" s="22">
        <v>12</v>
      </c>
      <c r="K1090" s="25">
        <f t="shared" si="53"/>
        <v>46267</v>
      </c>
      <c r="L1090" s="7"/>
      <c r="M1090" s="4"/>
      <c r="N1090" s="7"/>
      <c r="O1090" s="22" t="s">
        <v>28</v>
      </c>
      <c r="P1090" s="25">
        <f t="shared" si="52"/>
        <v>45993</v>
      </c>
      <c r="Q1090" s="51"/>
      <c r="R1090" s="51"/>
      <c r="S1090" s="7"/>
      <c r="T1090" s="7"/>
    </row>
    <row r="1091" spans="1:20" ht="14.25" customHeight="1">
      <c r="A1091" s="22">
        <v>1213</v>
      </c>
      <c r="B1091" s="33">
        <v>13741</v>
      </c>
      <c r="C1091" s="22" t="str">
        <f>IFERROR(VLOOKUP(B1091,Colaboradores!A:D,2,),"")</f>
        <v>LUCAS LOPES VIEIRA</v>
      </c>
      <c r="D1091" s="22" t="str">
        <f>IFERROR(VLOOKUP(B1091,Colaboradores!A:D,3,),"")</f>
        <v>MEIO AMBIENTE</v>
      </c>
      <c r="E1091" s="22" t="str">
        <f>IFERROR(VLOOKUP(B1091,Colaboradores!A:D,4,),"")</f>
        <v>ENGENHEIRO DE MEIO AMBIENTE</v>
      </c>
      <c r="F1091" s="4" t="s">
        <v>49</v>
      </c>
      <c r="G1091" s="24" t="str">
        <f>IFERROR(VLOOKUP(F1091,Procedimentos!A:C,2,),"")</f>
        <v>DIRETRIZES PARA REALIZAÇÃO DE EXAMES OCUPACIONAIS</v>
      </c>
      <c r="H1091" s="41"/>
      <c r="I1091" s="43">
        <v>45902</v>
      </c>
      <c r="J1091" s="22">
        <v>12</v>
      </c>
      <c r="K1091" s="25">
        <f t="shared" ref="K1091:K1154" si="54">IF(AND(I1091&lt;&gt;"",J1091&lt;&gt;""),DATE(YEAR(I1091),MONTH(I1091)+J1091,DAY(I1091)),"")</f>
        <v>46267</v>
      </c>
      <c r="L1091" s="7"/>
      <c r="M1091" s="4"/>
      <c r="N1091" s="7"/>
      <c r="O1091" s="22" t="s">
        <v>28</v>
      </c>
      <c r="P1091" s="25">
        <f t="shared" si="52"/>
        <v>45993</v>
      </c>
      <c r="Q1091" s="51"/>
      <c r="R1091" s="51"/>
      <c r="S1091" s="7"/>
      <c r="T1091" s="7"/>
    </row>
    <row r="1092" spans="1:20" ht="14.25" customHeight="1">
      <c r="A1092" s="22">
        <v>1214</v>
      </c>
      <c r="B1092" s="33">
        <v>13741</v>
      </c>
      <c r="C1092" s="22" t="str">
        <f>IFERROR(VLOOKUP(B1092,Colaboradores!A:D,2,),"")</f>
        <v>LUCAS LOPES VIEIRA</v>
      </c>
      <c r="D1092" s="22" t="str">
        <f>IFERROR(VLOOKUP(B1092,Colaboradores!A:D,3,),"")</f>
        <v>MEIO AMBIENTE</v>
      </c>
      <c r="E1092" s="22" t="str">
        <f>IFERROR(VLOOKUP(B1092,Colaboradores!A:D,4,),"")</f>
        <v>ENGENHEIRO DE MEIO AMBIENTE</v>
      </c>
      <c r="F1092" s="22" t="s">
        <v>51</v>
      </c>
      <c r="G1092" s="24" t="str">
        <f>IFERROR(VLOOKUP(F1092,Procedimentos!A:C,2,),"")</f>
        <v>DIRETRIZES PARA ENTREGA DE ATESTADOS MÉDICOS E ODONTOLÓGICOS</v>
      </c>
      <c r="H1092" s="41"/>
      <c r="I1092" s="43">
        <v>45902</v>
      </c>
      <c r="J1092" s="22">
        <v>12</v>
      </c>
      <c r="K1092" s="25">
        <f t="shared" si="54"/>
        <v>46267</v>
      </c>
      <c r="L1092" s="7"/>
      <c r="M1092" s="4"/>
      <c r="N1092" s="7"/>
      <c r="O1092" s="22" t="s">
        <v>28</v>
      </c>
      <c r="P1092" s="25">
        <f t="shared" si="52"/>
        <v>45993</v>
      </c>
      <c r="Q1092" s="51"/>
      <c r="R1092" s="51"/>
      <c r="S1092" s="7"/>
      <c r="T1092" s="7"/>
    </row>
    <row r="1093" spans="1:20" ht="14.25" customHeight="1">
      <c r="A1093" s="22">
        <v>1215</v>
      </c>
      <c r="B1093" s="33">
        <v>13741</v>
      </c>
      <c r="C1093" s="22" t="str">
        <f>IFERROR(VLOOKUP(B1093,Colaboradores!A:D,2,),"")</f>
        <v>LUCAS LOPES VIEIRA</v>
      </c>
      <c r="D1093" s="22" t="str">
        <f>IFERROR(VLOOKUP(B1093,Colaboradores!A:D,3,),"")</f>
        <v>MEIO AMBIENTE</v>
      </c>
      <c r="E1093" s="22" t="str">
        <f>IFERROR(VLOOKUP(B1093,Colaboradores!A:D,4,),"")</f>
        <v>ENGENHEIRO DE MEIO AMBIENTE</v>
      </c>
      <c r="F1093" s="22" t="s">
        <v>52</v>
      </c>
      <c r="G1093" s="24" t="str">
        <f>IFERROR(VLOOKUP(F1093,Procedimentos!A:C,2,),"")</f>
        <v>DIRETRIZES E ACOMPANHAMENTO  DE ACIDENTE COM MATERIAL BIOLOGICO</v>
      </c>
      <c r="H1093" s="41"/>
      <c r="I1093" s="43">
        <v>45902</v>
      </c>
      <c r="J1093" s="22">
        <v>12</v>
      </c>
      <c r="K1093" s="25">
        <f t="shared" si="54"/>
        <v>46267</v>
      </c>
      <c r="L1093" s="7"/>
      <c r="M1093" s="4"/>
      <c r="N1093" s="7"/>
      <c r="O1093" s="22" t="s">
        <v>28</v>
      </c>
      <c r="P1093" s="25">
        <f t="shared" si="52"/>
        <v>45993</v>
      </c>
      <c r="Q1093" s="51"/>
      <c r="R1093" s="51"/>
      <c r="S1093" s="7"/>
      <c r="T1093" s="7"/>
    </row>
    <row r="1094" spans="1:20" ht="14.25" customHeight="1">
      <c r="A1094" s="22">
        <v>1216</v>
      </c>
      <c r="B1094" s="33">
        <v>13741</v>
      </c>
      <c r="C1094" s="22" t="str">
        <f>IFERROR(VLOOKUP(B1094,Colaboradores!A:D,2,),"")</f>
        <v>LUCAS LOPES VIEIRA</v>
      </c>
      <c r="D1094" s="22" t="str">
        <f>IFERROR(VLOOKUP(B1094,Colaboradores!A:D,3,),"")</f>
        <v>MEIO AMBIENTE</v>
      </c>
      <c r="E1094" s="22" t="str">
        <f>IFERROR(VLOOKUP(B1094,Colaboradores!A:D,4,),"")</f>
        <v>ENGENHEIRO DE MEIO AMBIENTE</v>
      </c>
      <c r="F1094" s="22" t="s">
        <v>53</v>
      </c>
      <c r="G1094" s="24" t="str">
        <f>IFERROR(VLOOKUP(F1094,Procedimentos!A:C,2,),"")</f>
        <v>DIRETRIZES PARA MONITORAMENTO DE GESTANTE</v>
      </c>
      <c r="H1094" s="41"/>
      <c r="I1094" s="43">
        <v>45902</v>
      </c>
      <c r="J1094" s="22">
        <v>12</v>
      </c>
      <c r="K1094" s="25">
        <f t="shared" si="54"/>
        <v>46267</v>
      </c>
      <c r="L1094" s="7"/>
      <c r="M1094" s="4"/>
      <c r="N1094" s="7"/>
      <c r="O1094" s="22" t="s">
        <v>28</v>
      </c>
      <c r="P1094" s="25">
        <f t="shared" si="52"/>
        <v>45993</v>
      </c>
      <c r="Q1094" s="51"/>
      <c r="R1094" s="51"/>
      <c r="S1094" s="7"/>
      <c r="T1094" s="7"/>
    </row>
    <row r="1095" spans="1:20" ht="14.25" customHeight="1">
      <c r="A1095" s="22">
        <v>1217</v>
      </c>
      <c r="B1095" s="33">
        <v>13741</v>
      </c>
      <c r="C1095" s="22" t="str">
        <f>IFERROR(VLOOKUP(B1095,Colaboradores!A:D,2,),"")</f>
        <v>LUCAS LOPES VIEIRA</v>
      </c>
      <c r="D1095" s="22" t="str">
        <f>IFERROR(VLOOKUP(B1095,Colaboradores!A:D,3,),"")</f>
        <v>MEIO AMBIENTE</v>
      </c>
      <c r="E1095" s="22" t="str">
        <f>IFERROR(VLOOKUP(B1095,Colaboradores!A:D,4,),"")</f>
        <v>ENGENHEIRO DE MEIO AMBIENTE</v>
      </c>
      <c r="F1095" s="22" t="s">
        <v>54</v>
      </c>
      <c r="G1095" s="24" t="str">
        <f>IFERROR(VLOOKUP(F1095,Procedimentos!A:C,2,),"")</f>
        <v>DIRETRIZES DE IMUNIZAÇÃO OCUPACIONAL</v>
      </c>
      <c r="H1095" s="41"/>
      <c r="I1095" s="43">
        <v>45902</v>
      </c>
      <c r="J1095" s="22">
        <v>12</v>
      </c>
      <c r="K1095" s="25">
        <f t="shared" si="54"/>
        <v>46267</v>
      </c>
      <c r="L1095" s="7"/>
      <c r="M1095" s="4"/>
      <c r="N1095" s="7"/>
      <c r="O1095" s="22" t="s">
        <v>28</v>
      </c>
      <c r="P1095" s="25">
        <f t="shared" si="52"/>
        <v>45993</v>
      </c>
      <c r="Q1095" s="51"/>
      <c r="R1095" s="51"/>
      <c r="S1095" s="7"/>
      <c r="T1095" s="7"/>
    </row>
    <row r="1096" spans="1:20" ht="14.25" customHeight="1">
      <c r="A1096" s="22">
        <v>1218</v>
      </c>
      <c r="B1096" s="33">
        <v>13741</v>
      </c>
      <c r="C1096" s="22" t="str">
        <f>IFERROR(VLOOKUP(B1096,Colaboradores!A:D,2,),"")</f>
        <v>LUCAS LOPES VIEIRA</v>
      </c>
      <c r="D1096" s="22" t="str">
        <f>IFERROR(VLOOKUP(B1096,Colaboradores!A:D,3,),"")</f>
        <v>MEIO AMBIENTE</v>
      </c>
      <c r="E1096" s="22" t="str">
        <f>IFERROR(VLOOKUP(B1096,Colaboradores!A:D,4,),"")</f>
        <v>ENGENHEIRO DE MEIO AMBIENTE</v>
      </c>
      <c r="F1096" s="22" t="s">
        <v>55</v>
      </c>
      <c r="G1096" s="24" t="str">
        <f>IFERROR(VLOOKUP(F1096,Procedimentos!A:C,2,),"")</f>
        <v>DIRETRIZES PARA ACOMPANHAMENTO DE AFASTADOS</v>
      </c>
      <c r="H1096" s="41"/>
      <c r="I1096" s="43">
        <v>45902</v>
      </c>
      <c r="J1096" s="22">
        <v>12</v>
      </c>
      <c r="K1096" s="25">
        <f t="shared" si="54"/>
        <v>46267</v>
      </c>
      <c r="L1096" s="7"/>
      <c r="M1096" s="4"/>
      <c r="N1096" s="7"/>
      <c r="O1096" s="22" t="s">
        <v>28</v>
      </c>
      <c r="P1096" s="25">
        <f t="shared" si="52"/>
        <v>45993</v>
      </c>
      <c r="Q1096" s="51"/>
      <c r="R1096" s="51"/>
      <c r="S1096" s="7"/>
      <c r="T1096" s="7"/>
    </row>
    <row r="1097" spans="1:20" ht="14.25" customHeight="1">
      <c r="A1097" s="22">
        <v>1219</v>
      </c>
      <c r="B1097" s="33">
        <v>14526</v>
      </c>
      <c r="C1097" s="22" t="str">
        <f>IFERROR(VLOOKUP(B1097,Colaboradores!A:D,2,),"")</f>
        <v>VINNICYUS ANTONIO DE CARVALHO RIBEIRO</v>
      </c>
      <c r="D1097" s="22" t="str">
        <f>IFERROR(VLOOKUP(B1097,Colaboradores!A:D,3,),"")</f>
        <v>MEIO AMBIENTE</v>
      </c>
      <c r="E1097" s="22" t="str">
        <f>IFERROR(VLOOKUP(B1097,Colaboradores!A:D,4,),"")</f>
        <v>ENGENHEIRO DE MEIO AMBIENTE</v>
      </c>
      <c r="F1097" s="22" t="s">
        <v>29</v>
      </c>
      <c r="G1097" s="24" t="str">
        <f>IFERROR(VLOOKUP(F1097,Procedimentos!A:C,2,),"")</f>
        <v>COLETA SELETIVA DESSMA</v>
      </c>
      <c r="H1097" s="41"/>
      <c r="I1097" s="43">
        <v>45902</v>
      </c>
      <c r="J1097" s="22">
        <v>12</v>
      </c>
      <c r="K1097" s="25">
        <f t="shared" si="54"/>
        <v>46267</v>
      </c>
      <c r="L1097" s="7"/>
      <c r="M1097" s="4"/>
      <c r="N1097" s="7"/>
      <c r="O1097" s="22" t="s">
        <v>28</v>
      </c>
      <c r="P1097" s="25">
        <f t="shared" si="52"/>
        <v>45993</v>
      </c>
      <c r="Q1097" s="51"/>
      <c r="R1097" s="51"/>
      <c r="S1097" s="7"/>
      <c r="T1097" s="7"/>
    </row>
    <row r="1098" spans="1:20" ht="14.25" customHeight="1">
      <c r="A1098" s="22">
        <v>1220</v>
      </c>
      <c r="B1098" s="33">
        <v>14526</v>
      </c>
      <c r="C1098" s="22" t="str">
        <f>IFERROR(VLOOKUP(B1098,Colaboradores!A:D,2,),"")</f>
        <v>VINNICYUS ANTONIO DE CARVALHO RIBEIRO</v>
      </c>
      <c r="D1098" s="22" t="str">
        <f>IFERROR(VLOOKUP(B1098,Colaboradores!A:D,3,),"")</f>
        <v>MEIO AMBIENTE</v>
      </c>
      <c r="E1098" s="22" t="str">
        <f>IFERROR(VLOOKUP(B1098,Colaboradores!A:D,4,),"")</f>
        <v>ENGENHEIRO DE MEIO AMBIENTE</v>
      </c>
      <c r="F1098" s="22" t="s">
        <v>36</v>
      </c>
      <c r="G1098" s="24" t="str">
        <f>IFERROR(VLOOKUP(F1098,Procedimentos!A:C,2,),"")</f>
        <v>GESTÃO DE PRODUTOS QUÍMICOS</v>
      </c>
      <c r="H1098" s="22" t="s">
        <v>7</v>
      </c>
      <c r="I1098" s="43"/>
      <c r="J1098" s="22">
        <v>12</v>
      </c>
      <c r="K1098" s="25" t="str">
        <f t="shared" si="54"/>
        <v/>
      </c>
      <c r="L1098" s="7"/>
      <c r="M1098" s="4"/>
      <c r="N1098" s="7"/>
      <c r="O1098" s="22" t="s">
        <v>28</v>
      </c>
      <c r="P1098" s="25">
        <f t="shared" si="52"/>
        <v>91</v>
      </c>
      <c r="Q1098" s="51"/>
      <c r="R1098" s="51"/>
      <c r="S1098" s="7"/>
      <c r="T1098" s="7"/>
    </row>
    <row r="1099" spans="1:20" ht="14.25" customHeight="1">
      <c r="A1099" s="22">
        <v>1221</v>
      </c>
      <c r="B1099" s="33">
        <v>14526</v>
      </c>
      <c r="C1099" s="22" t="str">
        <f>IFERROR(VLOOKUP(B1099,Colaboradores!A:D,2,),"")</f>
        <v>VINNICYUS ANTONIO DE CARVALHO RIBEIRO</v>
      </c>
      <c r="D1099" s="22" t="str">
        <f>IFERROR(VLOOKUP(B1099,Colaboradores!A:D,3,),"")</f>
        <v>MEIO AMBIENTE</v>
      </c>
      <c r="E1099" s="22" t="str">
        <f>IFERROR(VLOOKUP(B1099,Colaboradores!A:D,4,),"")</f>
        <v>ENGENHEIRO DE MEIO AMBIENTE</v>
      </c>
      <c r="F1099" s="22" t="s">
        <v>32</v>
      </c>
      <c r="G1099" s="24" t="str">
        <f>IFERROR(VLOOKUP(F1099,Procedimentos!A:C,2,),"")</f>
        <v>GESTÃO DE LEVANTAMENTO DE ASPECTOS E IMPACTOS AMBIENTAIS</v>
      </c>
      <c r="H1099" s="41"/>
      <c r="I1099" s="43">
        <v>45902</v>
      </c>
      <c r="J1099" s="22">
        <v>12</v>
      </c>
      <c r="K1099" s="25">
        <f t="shared" si="54"/>
        <v>46267</v>
      </c>
      <c r="L1099" s="7"/>
      <c r="M1099" s="4"/>
      <c r="N1099" s="7"/>
      <c r="O1099" s="22" t="s">
        <v>28</v>
      </c>
      <c r="P1099" s="25">
        <f t="shared" si="52"/>
        <v>45993</v>
      </c>
      <c r="Q1099" s="51"/>
      <c r="R1099" s="51"/>
      <c r="S1099" s="7"/>
      <c r="T1099" s="7"/>
    </row>
    <row r="1100" spans="1:20" ht="14.25" customHeight="1">
      <c r="A1100" s="22">
        <v>1222</v>
      </c>
      <c r="B1100" s="33">
        <v>14526</v>
      </c>
      <c r="C1100" s="22" t="str">
        <f>IFERROR(VLOOKUP(B1100,Colaboradores!A:D,2,),"")</f>
        <v>VINNICYUS ANTONIO DE CARVALHO RIBEIRO</v>
      </c>
      <c r="D1100" s="22" t="str">
        <f>IFERROR(VLOOKUP(B1100,Colaboradores!A:D,3,),"")</f>
        <v>MEIO AMBIENTE</v>
      </c>
      <c r="E1100" s="22" t="str">
        <f>IFERROR(VLOOKUP(B1100,Colaboradores!A:D,4,),"")</f>
        <v>ENGENHEIRO DE MEIO AMBIENTE</v>
      </c>
      <c r="F1100" s="22" t="s">
        <v>31</v>
      </c>
      <c r="G1100" s="24" t="str">
        <f>IFERROR(VLOOKUP(F1100,Procedimentos!A:C,2,),"")</f>
        <v>GESTÃO DE COMUNICAÇÃO, CLASSIFICAÇÃO E INVESTIGAÇÃO DE OCORRÊNCIAS AMBIENTAIS</v>
      </c>
      <c r="H1100" s="22" t="s">
        <v>7</v>
      </c>
      <c r="I1100" s="43"/>
      <c r="J1100" s="22">
        <v>12</v>
      </c>
      <c r="K1100" s="25" t="str">
        <f t="shared" si="54"/>
        <v/>
      </c>
      <c r="L1100" s="7"/>
      <c r="M1100" s="4"/>
      <c r="N1100" s="7"/>
      <c r="O1100" s="22" t="s">
        <v>28</v>
      </c>
      <c r="P1100" s="25">
        <f t="shared" si="52"/>
        <v>91</v>
      </c>
      <c r="Q1100" s="51"/>
      <c r="R1100" s="51"/>
      <c r="S1100" s="7"/>
      <c r="T1100" s="7"/>
    </row>
    <row r="1101" spans="1:20" ht="14.25" customHeight="1">
      <c r="A1101" s="22">
        <v>1223</v>
      </c>
      <c r="B1101" s="33">
        <v>14526</v>
      </c>
      <c r="C1101" s="22" t="str">
        <f>IFERROR(VLOOKUP(B1101,Colaboradores!A:D,2,),"")</f>
        <v>VINNICYUS ANTONIO DE CARVALHO RIBEIRO</v>
      </c>
      <c r="D1101" s="22" t="str">
        <f>IFERROR(VLOOKUP(B1101,Colaboradores!A:D,3,),"")</f>
        <v>MEIO AMBIENTE</v>
      </c>
      <c r="E1101" s="22" t="str">
        <f>IFERROR(VLOOKUP(B1101,Colaboradores!A:D,4,),"")</f>
        <v>ENGENHEIRO DE MEIO AMBIENTE</v>
      </c>
      <c r="F1101" s="22" t="s">
        <v>33</v>
      </c>
      <c r="G1101" s="24" t="str">
        <f>IFERROR(VLOOKUP(F1101,Procedimentos!A:C,2,),"")</f>
        <v>GESTÃO DE INSPEÇÕES AMBIENTAIS</v>
      </c>
      <c r="H1101" s="22" t="s">
        <v>7</v>
      </c>
      <c r="I1101" s="43"/>
      <c r="J1101" s="22">
        <v>12</v>
      </c>
      <c r="K1101" s="25" t="str">
        <f t="shared" si="54"/>
        <v/>
      </c>
      <c r="L1101" s="7"/>
      <c r="M1101" s="4"/>
      <c r="N1101" s="7"/>
      <c r="O1101" s="22" t="s">
        <v>28</v>
      </c>
      <c r="P1101" s="25">
        <f t="shared" si="52"/>
        <v>91</v>
      </c>
      <c r="Q1101" s="51"/>
      <c r="R1101" s="51"/>
      <c r="S1101" s="7"/>
      <c r="T1101" s="7"/>
    </row>
    <row r="1102" spans="1:20" ht="14.25" customHeight="1">
      <c r="A1102" s="22">
        <v>1224</v>
      </c>
      <c r="B1102" s="33">
        <v>14526</v>
      </c>
      <c r="C1102" s="22" t="str">
        <f>IFERROR(VLOOKUP(B1102,Colaboradores!A:D,2,),"")</f>
        <v>VINNICYUS ANTONIO DE CARVALHO RIBEIRO</v>
      </c>
      <c r="D1102" s="22" t="str">
        <f>IFERROR(VLOOKUP(B1102,Colaboradores!A:D,3,),"")</f>
        <v>MEIO AMBIENTE</v>
      </c>
      <c r="E1102" s="22" t="str">
        <f>IFERROR(VLOOKUP(B1102,Colaboradores!A:D,4,),"")</f>
        <v>ENGENHEIRO DE MEIO AMBIENTE</v>
      </c>
      <c r="F1102" s="22" t="s">
        <v>39</v>
      </c>
      <c r="G1102" s="24" t="str">
        <f>IFERROR(VLOOKUP(F1102,Procedimentos!A:C,2,),"")</f>
        <v>GESTÃO DE ÁGUAS E EFLUENTES</v>
      </c>
      <c r="H1102" s="41"/>
      <c r="I1102" s="43">
        <v>45902</v>
      </c>
      <c r="J1102" s="22">
        <v>12</v>
      </c>
      <c r="K1102" s="25">
        <f t="shared" si="54"/>
        <v>46267</v>
      </c>
      <c r="L1102" s="7"/>
      <c r="M1102" s="4"/>
      <c r="N1102" s="7"/>
      <c r="O1102" s="22" t="s">
        <v>28</v>
      </c>
      <c r="P1102" s="25">
        <f t="shared" si="52"/>
        <v>45993</v>
      </c>
      <c r="Q1102" s="51"/>
      <c r="R1102" s="51"/>
      <c r="S1102" s="7"/>
      <c r="T1102" s="7"/>
    </row>
    <row r="1103" spans="1:20" ht="14.25" customHeight="1">
      <c r="A1103" s="22">
        <v>1225</v>
      </c>
      <c r="B1103" s="33">
        <v>14526</v>
      </c>
      <c r="C1103" s="22" t="str">
        <f>IFERROR(VLOOKUP(B1103,Colaboradores!A:D,2,),"")</f>
        <v>VINNICYUS ANTONIO DE CARVALHO RIBEIRO</v>
      </c>
      <c r="D1103" s="22" t="str">
        <f>IFERROR(VLOOKUP(B1103,Colaboradores!A:D,3,),"")</f>
        <v>MEIO AMBIENTE</v>
      </c>
      <c r="E1103" s="22" t="str">
        <f>IFERROR(VLOOKUP(B1103,Colaboradores!A:D,4,),"")</f>
        <v>ENGENHEIRO DE MEIO AMBIENTE</v>
      </c>
      <c r="F1103" s="22" t="s">
        <v>34</v>
      </c>
      <c r="G1103" s="24" t="str">
        <f>IFERROR(VLOOKUP(F1103,Procedimentos!A:C,2,),"")</f>
        <v>GESTÃO DE LICENCIAMENTO AMBIENTAL</v>
      </c>
      <c r="H1103" s="41"/>
      <c r="I1103" s="43">
        <v>45902</v>
      </c>
      <c r="J1103" s="22">
        <v>12</v>
      </c>
      <c r="K1103" s="25">
        <f t="shared" si="54"/>
        <v>46267</v>
      </c>
      <c r="L1103" s="7"/>
      <c r="M1103" s="4"/>
      <c r="N1103" s="7"/>
      <c r="O1103" s="22" t="s">
        <v>28</v>
      </c>
      <c r="P1103" s="25">
        <f t="shared" si="52"/>
        <v>45993</v>
      </c>
      <c r="Q1103" s="51"/>
      <c r="R1103" s="51"/>
      <c r="S1103" s="7"/>
      <c r="T1103" s="7"/>
    </row>
    <row r="1104" spans="1:20" ht="14.25" customHeight="1">
      <c r="A1104" s="22">
        <v>1226</v>
      </c>
      <c r="B1104" s="33">
        <v>14526</v>
      </c>
      <c r="C1104" s="22" t="str">
        <f>IFERROR(VLOOKUP(B1104,Colaboradores!A:D,2,),"")</f>
        <v>VINNICYUS ANTONIO DE CARVALHO RIBEIRO</v>
      </c>
      <c r="D1104" s="22" t="str">
        <f>IFERROR(VLOOKUP(B1104,Colaboradores!A:D,3,),"")</f>
        <v>MEIO AMBIENTE</v>
      </c>
      <c r="E1104" s="22" t="str">
        <f>IFERROR(VLOOKUP(B1104,Colaboradores!A:D,4,),"")</f>
        <v>ENGENHEIRO DE MEIO AMBIENTE</v>
      </c>
      <c r="F1104" s="22" t="s">
        <v>38</v>
      </c>
      <c r="G1104" s="24" t="str">
        <f>IFERROR(VLOOKUP(F1104,Procedimentos!A:C,2,),"")</f>
        <v>GESTÃO DE CONDICIONANTES DE LICENCIAMENTO AMBIENTAL</v>
      </c>
      <c r="H1104" s="41"/>
      <c r="I1104" s="43">
        <v>45902</v>
      </c>
      <c r="J1104" s="22">
        <v>12</v>
      </c>
      <c r="K1104" s="25">
        <f t="shared" si="54"/>
        <v>46267</v>
      </c>
      <c r="L1104" s="7"/>
      <c r="M1104" s="4"/>
      <c r="N1104" s="7"/>
      <c r="O1104" s="22" t="s">
        <v>28</v>
      </c>
      <c r="P1104" s="25">
        <f t="shared" si="52"/>
        <v>45993</v>
      </c>
      <c r="Q1104" s="51"/>
      <c r="R1104" s="51"/>
      <c r="S1104" s="7"/>
      <c r="T1104" s="7"/>
    </row>
    <row r="1105" spans="1:20" ht="14.25" customHeight="1">
      <c r="A1105" s="22">
        <v>1227</v>
      </c>
      <c r="B1105" s="33">
        <v>14526</v>
      </c>
      <c r="C1105" s="22" t="str">
        <f>IFERROR(VLOOKUP(B1105,Colaboradores!A:D,2,),"")</f>
        <v>VINNICYUS ANTONIO DE CARVALHO RIBEIRO</v>
      </c>
      <c r="D1105" s="22" t="str">
        <f>IFERROR(VLOOKUP(B1105,Colaboradores!A:D,3,),"")</f>
        <v>MEIO AMBIENTE</v>
      </c>
      <c r="E1105" s="22" t="str">
        <f>IFERROR(VLOOKUP(B1105,Colaboradores!A:D,4,),"")</f>
        <v>ENGENHEIRO DE MEIO AMBIENTE</v>
      </c>
      <c r="F1105" s="22" t="s">
        <v>37</v>
      </c>
      <c r="G1105" s="24" t="str">
        <f>IFERROR(VLOOKUP(F1105,Procedimentos!A:C,2,),"")</f>
        <v>GESTÃO DE RESÍDUOS SÓLIDOS DE SERVIÇOS DE SAÚDE</v>
      </c>
      <c r="H1105" s="41"/>
      <c r="I1105" s="43">
        <v>45902</v>
      </c>
      <c r="J1105" s="22">
        <v>12</v>
      </c>
      <c r="K1105" s="25">
        <f t="shared" si="54"/>
        <v>46267</v>
      </c>
      <c r="L1105" s="7"/>
      <c r="M1105" s="4"/>
      <c r="N1105" s="7"/>
      <c r="O1105" s="22" t="s">
        <v>28</v>
      </c>
      <c r="P1105" s="25">
        <f t="shared" si="52"/>
        <v>45993</v>
      </c>
      <c r="Q1105" s="51"/>
      <c r="R1105" s="51"/>
      <c r="S1105" s="7"/>
      <c r="T1105" s="7"/>
    </row>
    <row r="1106" spans="1:20" ht="14.25" customHeight="1">
      <c r="A1106" s="22">
        <v>1228</v>
      </c>
      <c r="B1106" s="33">
        <v>14526</v>
      </c>
      <c r="C1106" s="22" t="str">
        <f>IFERROR(VLOOKUP(B1106,Colaboradores!A:D,2,),"")</f>
        <v>VINNICYUS ANTONIO DE CARVALHO RIBEIRO</v>
      </c>
      <c r="D1106" s="22" t="str">
        <f>IFERROR(VLOOKUP(B1106,Colaboradores!A:D,3,),"")</f>
        <v>MEIO AMBIENTE</v>
      </c>
      <c r="E1106" s="22" t="str">
        <f>IFERROR(VLOOKUP(B1106,Colaboradores!A:D,4,),"")</f>
        <v>ENGENHEIRO DE MEIO AMBIENTE</v>
      </c>
      <c r="F1106" s="22" t="s">
        <v>35</v>
      </c>
      <c r="G1106" s="24" t="str">
        <f>IFERROR(VLOOKUP(F1106,Procedimentos!A:C,2,),"")</f>
        <v>PROCEDIMENTO DE AFERIÇÃO DE FUMAÇA PRETA</v>
      </c>
      <c r="H1106" s="41"/>
      <c r="I1106" s="43">
        <v>45902</v>
      </c>
      <c r="J1106" s="22">
        <v>12</v>
      </c>
      <c r="K1106" s="25">
        <f t="shared" si="54"/>
        <v>46267</v>
      </c>
      <c r="L1106" s="7"/>
      <c r="M1106" s="4"/>
      <c r="N1106" s="7"/>
      <c r="O1106" s="22" t="s">
        <v>28</v>
      </c>
      <c r="P1106" s="25">
        <f t="shared" si="52"/>
        <v>45993</v>
      </c>
      <c r="Q1106" s="51"/>
      <c r="R1106" s="51"/>
      <c r="S1106" s="7"/>
      <c r="T1106" s="7"/>
    </row>
    <row r="1107" spans="1:20" ht="14.25" customHeight="1">
      <c r="A1107" s="22">
        <v>1229</v>
      </c>
      <c r="B1107" s="33">
        <v>14526</v>
      </c>
      <c r="C1107" s="22" t="str">
        <f>IFERROR(VLOOKUP(B1107,Colaboradores!A:D,2,),"")</f>
        <v>VINNICYUS ANTONIO DE CARVALHO RIBEIRO</v>
      </c>
      <c r="D1107" s="22" t="str">
        <f>IFERROR(VLOOKUP(B1107,Colaboradores!A:D,3,),"")</f>
        <v>MEIO AMBIENTE</v>
      </c>
      <c r="E1107" s="22" t="str">
        <f>IFERROR(VLOOKUP(B1107,Colaboradores!A:D,4,),"")</f>
        <v>ENGENHEIRO DE MEIO AMBIENTE</v>
      </c>
      <c r="F1107" s="22" t="s">
        <v>41</v>
      </c>
      <c r="G1107" s="24" t="str">
        <f>IFERROR(VLOOKUP(F1107,Procedimentos!A:C,2,),"")</f>
        <v>DIRETRIZES PARA COMUNICAÇÃO E INVESTIGAÇÃO DE ACIDENTES</v>
      </c>
      <c r="H1107" s="41"/>
      <c r="I1107" s="43">
        <v>45902</v>
      </c>
      <c r="J1107" s="22">
        <v>12</v>
      </c>
      <c r="K1107" s="25">
        <f t="shared" si="54"/>
        <v>46267</v>
      </c>
      <c r="L1107" s="7"/>
      <c r="M1107" s="4"/>
      <c r="N1107" s="7"/>
      <c r="O1107" s="22" t="s">
        <v>28</v>
      </c>
      <c r="P1107" s="25">
        <f t="shared" si="52"/>
        <v>45993</v>
      </c>
      <c r="Q1107" s="51"/>
      <c r="R1107" s="51"/>
      <c r="S1107" s="7"/>
      <c r="T1107" s="7"/>
    </row>
    <row r="1108" spans="1:20" ht="14.25" customHeight="1">
      <c r="A1108" s="22">
        <v>1230</v>
      </c>
      <c r="B1108" s="33">
        <v>14526</v>
      </c>
      <c r="C1108" s="22" t="str">
        <f>IFERROR(VLOOKUP(B1108,Colaboradores!A:D,2,),"")</f>
        <v>VINNICYUS ANTONIO DE CARVALHO RIBEIRO</v>
      </c>
      <c r="D1108" s="22" t="str">
        <f>IFERROR(VLOOKUP(B1108,Colaboradores!A:D,3,),"")</f>
        <v>MEIO AMBIENTE</v>
      </c>
      <c r="E1108" s="22" t="str">
        <f>IFERROR(VLOOKUP(B1108,Colaboradores!A:D,4,),"")</f>
        <v>ENGENHEIRO DE MEIO AMBIENTE</v>
      </c>
      <c r="F1108" s="22" t="s">
        <v>43</v>
      </c>
      <c r="G1108" s="24" t="str">
        <f>IFERROR(VLOOKUP(F1108,Procedimentos!A:C,2,),"")</f>
        <v>DIÁLOGO DE SAÚDE E SEGURANÇA - DSS</v>
      </c>
      <c r="H1108" s="41"/>
      <c r="I1108" s="43">
        <v>45902</v>
      </c>
      <c r="J1108" s="22">
        <v>12</v>
      </c>
      <c r="K1108" s="25">
        <f t="shared" si="54"/>
        <v>46267</v>
      </c>
      <c r="L1108" s="7"/>
      <c r="M1108" s="4"/>
      <c r="N1108" s="7"/>
      <c r="O1108" s="4"/>
      <c r="P1108" s="51"/>
      <c r="Q1108" s="51"/>
      <c r="R1108" s="51"/>
      <c r="S1108" s="7"/>
      <c r="T1108" s="7"/>
    </row>
    <row r="1109" spans="1:20" ht="14.25" customHeight="1">
      <c r="A1109" s="22">
        <v>1231</v>
      </c>
      <c r="B1109" s="33">
        <v>14526</v>
      </c>
      <c r="C1109" s="22" t="str">
        <f>IFERROR(VLOOKUP(B1109,Colaboradores!A:D,2,),"")</f>
        <v>VINNICYUS ANTONIO DE CARVALHO RIBEIRO</v>
      </c>
      <c r="D1109" s="22" t="str">
        <f>IFERROR(VLOOKUP(B1109,Colaboradores!A:D,3,),"")</f>
        <v>MEIO AMBIENTE</v>
      </c>
      <c r="E1109" s="22" t="str">
        <f>IFERROR(VLOOKUP(B1109,Colaboradores!A:D,4,),"")</f>
        <v>ENGENHEIRO DE MEIO AMBIENTE</v>
      </c>
      <c r="F1109" s="22" t="s">
        <v>44</v>
      </c>
      <c r="G1109" s="24" t="str">
        <f>IFERROR(VLOOKUP(F1109,Procedimentos!A:C,2,),"")</f>
        <v>DIRETRIZES PARA GESTÃO DE EQUIPAMENTOS DE PROTEÇÃO INDIVIDUAL - EPI'S</v>
      </c>
      <c r="H1109" s="41"/>
      <c r="I1109" s="43">
        <v>45902</v>
      </c>
      <c r="J1109" s="22">
        <v>12</v>
      </c>
      <c r="K1109" s="25">
        <f t="shared" si="54"/>
        <v>46267</v>
      </c>
      <c r="L1109" s="7"/>
      <c r="M1109" s="4"/>
      <c r="N1109" s="7"/>
      <c r="O1109" s="4"/>
      <c r="P1109" s="51"/>
      <c r="Q1109" s="51"/>
      <c r="R1109" s="51"/>
      <c r="S1109" s="7"/>
      <c r="T1109" s="7"/>
    </row>
    <row r="1110" spans="1:20" ht="14.25" customHeight="1">
      <c r="A1110" s="22">
        <v>1232</v>
      </c>
      <c r="B1110" s="33">
        <v>14526</v>
      </c>
      <c r="C1110" s="22" t="str">
        <f>IFERROR(VLOOKUP(B1110,Colaboradores!A:D,2,),"")</f>
        <v>VINNICYUS ANTONIO DE CARVALHO RIBEIRO</v>
      </c>
      <c r="D1110" s="22" t="str">
        <f>IFERROR(VLOOKUP(B1110,Colaboradores!A:D,3,),"")</f>
        <v>MEIO AMBIENTE</v>
      </c>
      <c r="E1110" s="22" t="str">
        <f>IFERROR(VLOOKUP(B1110,Colaboradores!A:D,4,),"")</f>
        <v>ENGENHEIRO DE MEIO AMBIENTE</v>
      </c>
      <c r="F1110" s="22" t="s">
        <v>45</v>
      </c>
      <c r="G1110" s="24" t="str">
        <f>IFERROR(VLOOKUP(F1110,Procedimentos!A:C,2,),"")</f>
        <v>CONSTITUIÇÃO INTERNA DE PREVENÇÃO DE ACIDENTES E DE ASSÉDIOS - CIPA</v>
      </c>
      <c r="H1110" s="41"/>
      <c r="I1110" s="43">
        <v>45902</v>
      </c>
      <c r="J1110" s="22">
        <v>12</v>
      </c>
      <c r="K1110" s="25">
        <f t="shared" si="54"/>
        <v>46267</v>
      </c>
      <c r="L1110" s="7"/>
      <c r="M1110" s="4"/>
      <c r="N1110" s="7"/>
      <c r="O1110" s="4"/>
      <c r="P1110" s="51"/>
      <c r="Q1110" s="51"/>
      <c r="R1110" s="51"/>
      <c r="S1110" s="7"/>
      <c r="T1110" s="7"/>
    </row>
    <row r="1111" spans="1:20" ht="14.25" customHeight="1">
      <c r="A1111" s="22">
        <v>1233</v>
      </c>
      <c r="B1111" s="33">
        <v>13741</v>
      </c>
      <c r="C1111" s="22" t="str">
        <f>IFERROR(VLOOKUP(B1111,Colaboradores!A:D,2,),"")</f>
        <v>LUCAS LOPES VIEIRA</v>
      </c>
      <c r="D1111" s="22" t="str">
        <f>IFERROR(VLOOKUP(B1111,Colaboradores!A:D,3,),"")</f>
        <v>MEIO AMBIENTE</v>
      </c>
      <c r="E1111" s="22" t="str">
        <f>IFERROR(VLOOKUP(B1111,Colaboradores!A:D,4,),"")</f>
        <v>ENGENHEIRO DE MEIO AMBIENTE</v>
      </c>
      <c r="F1111" s="22" t="s">
        <v>33</v>
      </c>
      <c r="G1111" s="24" t="str">
        <f>IFERROR(VLOOKUP(F1111,Procedimentos!A:C,2,),"")</f>
        <v>GESTÃO DE INSPEÇÕES AMBIENTAIS</v>
      </c>
      <c r="H1111" s="22" t="s">
        <v>7</v>
      </c>
      <c r="I1111" s="43"/>
      <c r="J1111" s="22">
        <v>12</v>
      </c>
      <c r="K1111" s="25" t="str">
        <f t="shared" si="54"/>
        <v/>
      </c>
      <c r="L1111" s="7"/>
      <c r="M1111" s="4"/>
      <c r="N1111" s="7"/>
      <c r="O1111" s="22" t="s">
        <v>28</v>
      </c>
      <c r="P1111" s="25">
        <f t="shared" ref="P1111:P1112" si="55">EDATE(I1111,3)</f>
        <v>91</v>
      </c>
      <c r="Q1111" s="51"/>
      <c r="R1111" s="51"/>
      <c r="S1111" s="7"/>
      <c r="T1111" s="7"/>
    </row>
    <row r="1112" spans="1:20" ht="14.25" customHeight="1">
      <c r="A1112" s="22">
        <v>1234</v>
      </c>
      <c r="B1112" s="33">
        <v>13741</v>
      </c>
      <c r="C1112" s="22" t="str">
        <f>IFERROR(VLOOKUP(B1112,Colaboradores!A:D,2,),"")</f>
        <v>LUCAS LOPES VIEIRA</v>
      </c>
      <c r="D1112" s="22" t="str">
        <f>IFERROR(VLOOKUP(B1112,Colaboradores!A:D,3,),"")</f>
        <v>MEIO AMBIENTE</v>
      </c>
      <c r="E1112" s="22" t="str">
        <f>IFERROR(VLOOKUP(B1112,Colaboradores!A:D,4,),"")</f>
        <v>ENGENHEIRO DE MEIO AMBIENTE</v>
      </c>
      <c r="F1112" s="22" t="s">
        <v>39</v>
      </c>
      <c r="G1112" s="24" t="str">
        <f>IFERROR(VLOOKUP(F1112,Procedimentos!A:C,2,),"")</f>
        <v>GESTÃO DE ÁGUAS E EFLUENTES</v>
      </c>
      <c r="H1112" s="22" t="s">
        <v>7</v>
      </c>
      <c r="I1112" s="43"/>
      <c r="J1112" s="22">
        <v>12</v>
      </c>
      <c r="K1112" s="25" t="str">
        <f t="shared" si="54"/>
        <v/>
      </c>
      <c r="L1112" s="7"/>
      <c r="M1112" s="4"/>
      <c r="N1112" s="7"/>
      <c r="O1112" s="22" t="s">
        <v>28</v>
      </c>
      <c r="P1112" s="25">
        <f t="shared" si="55"/>
        <v>91</v>
      </c>
      <c r="Q1112" s="51"/>
      <c r="R1112" s="51"/>
      <c r="S1112" s="7"/>
      <c r="T1112" s="7"/>
    </row>
    <row r="1113" spans="1:20" ht="14.25" customHeight="1">
      <c r="A1113" s="22">
        <v>1235</v>
      </c>
      <c r="B1113" s="33">
        <v>13741</v>
      </c>
      <c r="C1113" s="22" t="str">
        <f>IFERROR(VLOOKUP(B1113,Colaboradores!A:D,2,),"")</f>
        <v>LUCAS LOPES VIEIRA</v>
      </c>
      <c r="D1113" s="22" t="str">
        <f>IFERROR(VLOOKUP(B1113,Colaboradores!A:D,3,),"")</f>
        <v>MEIO AMBIENTE</v>
      </c>
      <c r="E1113" s="22" t="str">
        <f>IFERROR(VLOOKUP(B1113,Colaboradores!A:D,4,),"")</f>
        <v>ENGENHEIRO DE MEIO AMBIENTE</v>
      </c>
      <c r="F1113" s="22" t="s">
        <v>34</v>
      </c>
      <c r="G1113" s="24" t="str">
        <f>IFERROR(VLOOKUP(F1113,Procedimentos!A:C,2,),"")</f>
        <v>GESTÃO DE LICENCIAMENTO AMBIENTAL</v>
      </c>
      <c r="H1113" s="22"/>
      <c r="I1113" s="43">
        <v>45863</v>
      </c>
      <c r="J1113" s="22">
        <v>12</v>
      </c>
      <c r="K1113" s="25">
        <f t="shared" si="54"/>
        <v>46228</v>
      </c>
      <c r="L1113" s="7"/>
      <c r="M1113" s="4"/>
      <c r="N1113" s="7"/>
      <c r="O1113" s="4"/>
      <c r="P1113" s="51"/>
      <c r="Q1113" s="51"/>
      <c r="R1113" s="51"/>
      <c r="S1113" s="7"/>
      <c r="T1113" s="7"/>
    </row>
    <row r="1114" spans="1:20" ht="14.25" customHeight="1">
      <c r="A1114" s="22">
        <v>1236</v>
      </c>
      <c r="B1114" s="33">
        <v>13741</v>
      </c>
      <c r="C1114" s="22" t="str">
        <f>IFERROR(VLOOKUP(B1114,Colaboradores!A:D,2,),"")</f>
        <v>LUCAS LOPES VIEIRA</v>
      </c>
      <c r="D1114" s="22" t="str">
        <f>IFERROR(VLOOKUP(B1114,Colaboradores!A:D,3,),"")</f>
        <v>MEIO AMBIENTE</v>
      </c>
      <c r="E1114" s="22" t="str">
        <f>IFERROR(VLOOKUP(B1114,Colaboradores!A:D,4,),"")</f>
        <v>ENGENHEIRO DE MEIO AMBIENTE</v>
      </c>
      <c r="F1114" s="22" t="s">
        <v>38</v>
      </c>
      <c r="G1114" s="24" t="str">
        <f>IFERROR(VLOOKUP(F1114,Procedimentos!A:C,2,),"")</f>
        <v>GESTÃO DE CONDICIONANTES DE LICENCIAMENTO AMBIENTAL</v>
      </c>
      <c r="H1114" s="22"/>
      <c r="I1114" s="43">
        <v>45863</v>
      </c>
      <c r="J1114" s="22">
        <v>12</v>
      </c>
      <c r="K1114" s="25">
        <f t="shared" si="54"/>
        <v>46228</v>
      </c>
      <c r="L1114" s="7"/>
      <c r="M1114" s="4"/>
      <c r="N1114" s="7"/>
      <c r="O1114" s="4"/>
      <c r="P1114" s="51"/>
      <c r="Q1114" s="51"/>
      <c r="R1114" s="51"/>
      <c r="S1114" s="7"/>
      <c r="T1114" s="7"/>
    </row>
    <row r="1115" spans="1:20" ht="14.25" customHeight="1">
      <c r="A1115" s="22">
        <v>1237</v>
      </c>
      <c r="B1115" s="33">
        <v>13741</v>
      </c>
      <c r="C1115" s="22" t="str">
        <f>IFERROR(VLOOKUP(B1115,Colaboradores!A:D,2,),"")</f>
        <v>LUCAS LOPES VIEIRA</v>
      </c>
      <c r="D1115" s="22" t="str">
        <f>IFERROR(VLOOKUP(B1115,Colaboradores!A:D,3,),"")</f>
        <v>MEIO AMBIENTE</v>
      </c>
      <c r="E1115" s="22" t="str">
        <f>IFERROR(VLOOKUP(B1115,Colaboradores!A:D,4,),"")</f>
        <v>ENGENHEIRO DE MEIO AMBIENTE</v>
      </c>
      <c r="F1115" s="22" t="s">
        <v>37</v>
      </c>
      <c r="G1115" s="24" t="str">
        <f>IFERROR(VLOOKUP(F1115,Procedimentos!A:C,2,),"")</f>
        <v>GESTÃO DE RESÍDUOS SÓLIDOS DE SERVIÇOS DE SAÚDE</v>
      </c>
      <c r="H1115" s="22" t="s">
        <v>7</v>
      </c>
      <c r="I1115" s="43"/>
      <c r="J1115" s="22">
        <v>12</v>
      </c>
      <c r="K1115" s="25" t="str">
        <f t="shared" si="54"/>
        <v/>
      </c>
      <c r="L1115" s="7"/>
      <c r="M1115" s="4"/>
      <c r="N1115" s="7"/>
      <c r="O1115" s="22" t="s">
        <v>28</v>
      </c>
      <c r="P1115" s="25">
        <f t="shared" ref="P1115:P1116" si="56">EDATE(I1115,3)</f>
        <v>91</v>
      </c>
      <c r="Q1115" s="51"/>
      <c r="R1115" s="51"/>
      <c r="S1115" s="7"/>
      <c r="T1115" s="7"/>
    </row>
    <row r="1116" spans="1:20" ht="14.25" customHeight="1">
      <c r="A1116" s="22">
        <v>1238</v>
      </c>
      <c r="B1116" s="33">
        <v>13741</v>
      </c>
      <c r="C1116" s="22" t="str">
        <f>IFERROR(VLOOKUP(B1116,Colaboradores!A:D,2,),"")</f>
        <v>LUCAS LOPES VIEIRA</v>
      </c>
      <c r="D1116" s="22" t="str">
        <f>IFERROR(VLOOKUP(B1116,Colaboradores!A:D,3,),"")</f>
        <v>MEIO AMBIENTE</v>
      </c>
      <c r="E1116" s="22" t="str">
        <f>IFERROR(VLOOKUP(B1116,Colaboradores!A:D,4,),"")</f>
        <v>ENGENHEIRO DE MEIO AMBIENTE</v>
      </c>
      <c r="F1116" s="22" t="s">
        <v>35</v>
      </c>
      <c r="G1116" s="24" t="str">
        <f>IFERROR(VLOOKUP(F1116,Procedimentos!A:C,2,),"")</f>
        <v>PROCEDIMENTO DE AFERIÇÃO DE FUMAÇA PRETA</v>
      </c>
      <c r="H1116" s="22" t="s">
        <v>7</v>
      </c>
      <c r="I1116" s="43"/>
      <c r="J1116" s="22">
        <v>12</v>
      </c>
      <c r="K1116" s="25" t="str">
        <f t="shared" si="54"/>
        <v/>
      </c>
      <c r="L1116" s="7"/>
      <c r="M1116" s="4"/>
      <c r="N1116" s="7"/>
      <c r="O1116" s="22" t="s">
        <v>28</v>
      </c>
      <c r="P1116" s="25">
        <f t="shared" si="56"/>
        <v>91</v>
      </c>
      <c r="Q1116" s="51"/>
      <c r="R1116" s="51"/>
      <c r="S1116" s="7"/>
      <c r="T1116" s="7"/>
    </row>
    <row r="1117" spans="1:20" ht="14.25" customHeight="1">
      <c r="A1117" s="22">
        <v>1239</v>
      </c>
      <c r="B1117" s="36">
        <v>14824</v>
      </c>
      <c r="C1117" s="22" t="str">
        <f>IFERROR(VLOOKUP(B1117,Colaboradores!A:D,2,),"")</f>
        <v>DENISE DE SOUSA RIBEIRO SANTOS</v>
      </c>
      <c r="D1117" s="22" t="str">
        <f>IFERROR(VLOOKUP(B1117,Colaboradores!A:D,3,),"")</f>
        <v>COORDENAÇÃO ADMINISTRATIVA</v>
      </c>
      <c r="E1117" s="22" t="str">
        <f>IFERROR(VLOOKUP(B1117,Colaboradores!A:D,4,),"")</f>
        <v>ASSISTENTE ADMINISTRATIVO</v>
      </c>
      <c r="F1117" s="22" t="s">
        <v>73</v>
      </c>
      <c r="G1117" s="24" t="str">
        <f>IFERROR(VLOOKUP(F1117,Procedimentos!A:C,2,),"")</f>
        <v>AQUISIÇÃO DE BENS E SERVIÇOS E AVALIAÇÃO PROVEDORES EXTERNOS</v>
      </c>
      <c r="H1117" s="22"/>
      <c r="I1117" s="43">
        <v>45911</v>
      </c>
      <c r="J1117" s="22">
        <v>12</v>
      </c>
      <c r="K1117" s="25">
        <f t="shared" si="54"/>
        <v>46276</v>
      </c>
      <c r="L1117" s="7"/>
      <c r="M1117" s="4"/>
      <c r="N1117" s="7"/>
      <c r="O1117" s="4"/>
      <c r="P1117" s="51"/>
      <c r="Q1117" s="51"/>
      <c r="R1117" s="51"/>
      <c r="S1117" s="7"/>
      <c r="T1117" s="7"/>
    </row>
    <row r="1118" spans="1:20" ht="14.25" customHeight="1">
      <c r="A1118" s="22">
        <v>1240</v>
      </c>
      <c r="B1118" s="36">
        <v>14824</v>
      </c>
      <c r="C1118" s="22" t="str">
        <f>IFERROR(VLOOKUP(B1118,Colaboradores!A:D,2,),"")</f>
        <v>DENISE DE SOUSA RIBEIRO SANTOS</v>
      </c>
      <c r="D1118" s="22" t="str">
        <f>IFERROR(VLOOKUP(B1118,Colaboradores!A:D,3,),"")</f>
        <v>COORDENAÇÃO ADMINISTRATIVA</v>
      </c>
      <c r="E1118" s="22" t="str">
        <f>IFERROR(VLOOKUP(B1118,Colaboradores!A:D,4,),"")</f>
        <v>ASSISTENTE ADMINISTRATIVO</v>
      </c>
      <c r="F1118" s="22" t="s">
        <v>74</v>
      </c>
      <c r="G1118" s="24" t="str">
        <f>IFERROR(VLOOKUP(F1118,Procedimentos!A:C,2,),"")</f>
        <v>AGENDAMENTO DE REUNIÕES E CHECAGEM DE E-MAIL</v>
      </c>
      <c r="H1118" s="22" t="s">
        <v>7</v>
      </c>
      <c r="I1118" s="43"/>
      <c r="J1118" s="22">
        <v>12</v>
      </c>
      <c r="K1118" s="25" t="str">
        <f t="shared" si="54"/>
        <v/>
      </c>
      <c r="L1118" s="7"/>
      <c r="M1118" s="4"/>
      <c r="N1118" s="7"/>
      <c r="O1118" s="22" t="s">
        <v>28</v>
      </c>
      <c r="P1118" s="25">
        <f t="shared" ref="P1118:P1122" si="57">EDATE(I1118,3)</f>
        <v>91</v>
      </c>
      <c r="Q1118" s="51"/>
      <c r="R1118" s="51"/>
      <c r="S1118" s="7"/>
      <c r="T1118" s="7"/>
    </row>
    <row r="1119" spans="1:20" ht="14.25" customHeight="1">
      <c r="A1119" s="22">
        <v>1241</v>
      </c>
      <c r="B1119" s="36">
        <v>14824</v>
      </c>
      <c r="C1119" s="22" t="str">
        <f>IFERROR(VLOOKUP(B1119,Colaboradores!A:D,2,),"")</f>
        <v>DENISE DE SOUSA RIBEIRO SANTOS</v>
      </c>
      <c r="D1119" s="22" t="str">
        <f>IFERROR(VLOOKUP(B1119,Colaboradores!A:D,3,),"")</f>
        <v>COORDENAÇÃO ADMINISTRATIVA</v>
      </c>
      <c r="E1119" s="22" t="str">
        <f>IFERROR(VLOOKUP(B1119,Colaboradores!A:D,4,),"")</f>
        <v>ASSISTENTE ADMINISTRATIVO</v>
      </c>
      <c r="F1119" s="22" t="s">
        <v>75</v>
      </c>
      <c r="G1119" s="24" t="str">
        <f>IFERROR(VLOOKUP(F1119,Procedimentos!A:C,2,),"")</f>
        <v>RECEBIMENTO E MOVIMENTAÇÃO DE PROCESSOS E DEMAIS DOCUMENTOS</v>
      </c>
      <c r="H1119" s="22" t="s">
        <v>7</v>
      </c>
      <c r="I1119" s="43"/>
      <c r="J1119" s="22">
        <v>12</v>
      </c>
      <c r="K1119" s="25" t="str">
        <f t="shared" si="54"/>
        <v/>
      </c>
      <c r="L1119" s="7"/>
      <c r="M1119" s="4"/>
      <c r="N1119" s="7"/>
      <c r="O1119" s="22" t="s">
        <v>28</v>
      </c>
      <c r="P1119" s="25">
        <f t="shared" si="57"/>
        <v>91</v>
      </c>
      <c r="Q1119" s="51"/>
      <c r="R1119" s="51"/>
      <c r="S1119" s="7"/>
      <c r="T1119" s="7"/>
    </row>
    <row r="1120" spans="1:20" ht="14.25" customHeight="1">
      <c r="A1120" s="22">
        <v>1242</v>
      </c>
      <c r="B1120" s="36">
        <v>14824</v>
      </c>
      <c r="C1120" s="22" t="str">
        <f>IFERROR(VLOOKUP(B1120,Colaboradores!A:D,2,),"")</f>
        <v>DENISE DE SOUSA RIBEIRO SANTOS</v>
      </c>
      <c r="D1120" s="22" t="str">
        <f>IFERROR(VLOOKUP(B1120,Colaboradores!A:D,3,),"")</f>
        <v>COORDENAÇÃO ADMINISTRATIVA</v>
      </c>
      <c r="E1120" s="22" t="str">
        <f>IFERROR(VLOOKUP(B1120,Colaboradores!A:D,4,),"")</f>
        <v>ASSISTENTE ADMINISTRATIVO</v>
      </c>
      <c r="F1120" s="22" t="s">
        <v>76</v>
      </c>
      <c r="G1120" s="24" t="str">
        <f>IFERROR(VLOOKUP(F1120,Procedimentos!A:C,2,),"")</f>
        <v>ABERTURA DE PROCESSOS DA DESSMA</v>
      </c>
      <c r="H1120" s="22" t="s">
        <v>7</v>
      </c>
      <c r="I1120" s="43"/>
      <c r="J1120" s="22">
        <v>12</v>
      </c>
      <c r="K1120" s="25" t="str">
        <f t="shared" si="54"/>
        <v/>
      </c>
      <c r="L1120" s="7"/>
      <c r="M1120" s="4"/>
      <c r="N1120" s="7"/>
      <c r="O1120" s="22" t="s">
        <v>28</v>
      </c>
      <c r="P1120" s="25">
        <f t="shared" si="57"/>
        <v>91</v>
      </c>
      <c r="Q1120" s="51"/>
      <c r="R1120" s="51"/>
      <c r="S1120" s="7"/>
      <c r="T1120" s="7"/>
    </row>
    <row r="1121" spans="1:20" ht="14.25" customHeight="1">
      <c r="A1121" s="22">
        <v>1243</v>
      </c>
      <c r="B1121" s="36">
        <v>14824</v>
      </c>
      <c r="C1121" s="22" t="str">
        <f>IFERROR(VLOOKUP(B1121,Colaboradores!A:D,2,),"")</f>
        <v>DENISE DE SOUSA RIBEIRO SANTOS</v>
      </c>
      <c r="D1121" s="22" t="str">
        <f>IFERROR(VLOOKUP(B1121,Colaboradores!A:D,3,),"")</f>
        <v>COORDENAÇÃO ADMINISTRATIVA</v>
      </c>
      <c r="E1121" s="22" t="str">
        <f>IFERROR(VLOOKUP(B1121,Colaboradores!A:D,4,),"")</f>
        <v>ASSISTENTE ADMINISTRATIVO</v>
      </c>
      <c r="F1121" s="22" t="s">
        <v>77</v>
      </c>
      <c r="G1121" s="24" t="str">
        <f>IFERROR(VLOOKUP(F1121,Procedimentos!A:C,2,),"")</f>
        <v>ABASTECIMENTO DE SUPRIMENTOS PARA DIRETORIA</v>
      </c>
      <c r="H1121" s="22" t="s">
        <v>7</v>
      </c>
      <c r="I1121" s="43"/>
      <c r="J1121" s="22">
        <v>12</v>
      </c>
      <c r="K1121" s="25" t="str">
        <f t="shared" si="54"/>
        <v/>
      </c>
      <c r="L1121" s="7"/>
      <c r="M1121" s="4"/>
      <c r="N1121" s="7"/>
      <c r="O1121" s="22" t="s">
        <v>28</v>
      </c>
      <c r="P1121" s="25">
        <f t="shared" si="57"/>
        <v>91</v>
      </c>
      <c r="Q1121" s="51"/>
      <c r="R1121" s="51"/>
      <c r="S1121" s="7"/>
      <c r="T1121" s="7"/>
    </row>
    <row r="1122" spans="1:20" ht="14.25" customHeight="1">
      <c r="A1122" s="22">
        <v>1244</v>
      </c>
      <c r="B1122" s="36">
        <v>14824</v>
      </c>
      <c r="C1122" s="22" t="str">
        <f>IFERROR(VLOOKUP(B1122,Colaboradores!A:D,2,),"")</f>
        <v>DENISE DE SOUSA RIBEIRO SANTOS</v>
      </c>
      <c r="D1122" s="22" t="str">
        <f>IFERROR(VLOOKUP(B1122,Colaboradores!A:D,3,),"")</f>
        <v>COORDENAÇÃO ADMINISTRATIVA</v>
      </c>
      <c r="E1122" s="22" t="str">
        <f>IFERROR(VLOOKUP(B1122,Colaboradores!A:D,4,),"")</f>
        <v>ASSISTENTE ADMINISTRATIVO</v>
      </c>
      <c r="F1122" s="22" t="s">
        <v>78</v>
      </c>
      <c r="G1122" s="24" t="str">
        <f>IFERROR(VLOOKUP(F1122,Procedimentos!A:C,2,),"")</f>
        <v>SOLICITAÇÃO DE MANUTENÇÃO PREDIAL E VISTORIA DO SERVIÇO DE LIMPEZA PREDIAL</v>
      </c>
      <c r="H1122" s="22" t="s">
        <v>7</v>
      </c>
      <c r="I1122" s="43"/>
      <c r="J1122" s="22">
        <v>12</v>
      </c>
      <c r="K1122" s="25" t="str">
        <f t="shared" si="54"/>
        <v/>
      </c>
      <c r="L1122" s="7"/>
      <c r="M1122" s="4"/>
      <c r="N1122" s="7"/>
      <c r="O1122" s="22" t="s">
        <v>28</v>
      </c>
      <c r="P1122" s="25">
        <f t="shared" si="57"/>
        <v>91</v>
      </c>
      <c r="Q1122" s="51"/>
      <c r="R1122" s="51"/>
      <c r="S1122" s="7"/>
      <c r="T1122" s="7"/>
    </row>
    <row r="1123" spans="1:20" ht="14.25" customHeight="1">
      <c r="A1123" s="22">
        <v>1245</v>
      </c>
      <c r="B1123" s="36">
        <v>14824</v>
      </c>
      <c r="C1123" s="22" t="str">
        <f>IFERROR(VLOOKUP(B1123,Colaboradores!A:D,2,),"")</f>
        <v>DENISE DE SOUSA RIBEIRO SANTOS</v>
      </c>
      <c r="D1123" s="22" t="str">
        <f>IFERROR(VLOOKUP(B1123,Colaboradores!A:D,3,),"")</f>
        <v>COORDENAÇÃO ADMINISTRATIVA</v>
      </c>
      <c r="E1123" s="22" t="str">
        <f>IFERROR(VLOOKUP(B1123,Colaboradores!A:D,4,),"")</f>
        <v>ASSISTENTE ADMINISTRATIVO</v>
      </c>
      <c r="F1123" s="22" t="s">
        <v>79</v>
      </c>
      <c r="G1123" s="24" t="str">
        <f>IFERROR(VLOOKUP(F1123,Procedimentos!A:C,2,),"")</f>
        <v>ABERTURA DE PROCESSO DE PAGAMENTO</v>
      </c>
      <c r="H1123" s="22"/>
      <c r="I1123" s="43">
        <v>45854</v>
      </c>
      <c r="J1123" s="22">
        <v>12</v>
      </c>
      <c r="K1123" s="25">
        <f t="shared" si="54"/>
        <v>46219</v>
      </c>
      <c r="L1123" s="7"/>
      <c r="M1123" s="4"/>
      <c r="N1123" s="7"/>
      <c r="O1123" s="4"/>
      <c r="P1123" s="51"/>
      <c r="Q1123" s="51"/>
      <c r="R1123" s="51"/>
      <c r="S1123" s="7"/>
      <c r="T1123" s="7"/>
    </row>
    <row r="1124" spans="1:20" ht="14.25" customHeight="1">
      <c r="A1124" s="22">
        <v>1246</v>
      </c>
      <c r="B1124" s="36">
        <v>14824</v>
      </c>
      <c r="C1124" s="22" t="str">
        <f>IFERROR(VLOOKUP(B1124,Colaboradores!A:D,2,),"")</f>
        <v>DENISE DE SOUSA RIBEIRO SANTOS</v>
      </c>
      <c r="D1124" s="22" t="str">
        <f>IFERROR(VLOOKUP(B1124,Colaboradores!A:D,3,),"")</f>
        <v>COORDENAÇÃO ADMINISTRATIVA</v>
      </c>
      <c r="E1124" s="22" t="str">
        <f>IFERROR(VLOOKUP(B1124,Colaboradores!A:D,4,),"")</f>
        <v>ASSISTENTE ADMINISTRATIVO</v>
      </c>
      <c r="F1124" s="22" t="s">
        <v>49</v>
      </c>
      <c r="G1124" s="24" t="str">
        <f>IFERROR(VLOOKUP(F1124,Procedimentos!A:C,2,),"")</f>
        <v>DIRETRIZES PARA REALIZAÇÃO DE EXAMES OCUPACIONAIS</v>
      </c>
      <c r="H1124" s="22"/>
      <c r="I1124" s="43">
        <v>45890</v>
      </c>
      <c r="J1124" s="22">
        <v>12</v>
      </c>
      <c r="K1124" s="25">
        <f t="shared" si="54"/>
        <v>46255</v>
      </c>
      <c r="L1124" s="7"/>
      <c r="M1124" s="4"/>
      <c r="N1124" s="7"/>
      <c r="O1124" s="4"/>
      <c r="P1124" s="51"/>
      <c r="Q1124" s="51"/>
      <c r="R1124" s="51"/>
      <c r="S1124" s="7"/>
      <c r="T1124" s="7"/>
    </row>
    <row r="1125" spans="1:20" ht="14.25" customHeight="1">
      <c r="A1125" s="22">
        <v>1247</v>
      </c>
      <c r="B1125" s="36">
        <v>14824</v>
      </c>
      <c r="C1125" s="22" t="str">
        <f>IFERROR(VLOOKUP(B1125,Colaboradores!A:D,2,),"")</f>
        <v>DENISE DE SOUSA RIBEIRO SANTOS</v>
      </c>
      <c r="D1125" s="22" t="str">
        <f>IFERROR(VLOOKUP(B1125,Colaboradores!A:D,3,),"")</f>
        <v>COORDENAÇÃO ADMINISTRATIVA</v>
      </c>
      <c r="E1125" s="22" t="str">
        <f>IFERROR(VLOOKUP(B1125,Colaboradores!A:D,4,),"")</f>
        <v>ASSISTENTE ADMINISTRATIVO</v>
      </c>
      <c r="F1125" s="22" t="s">
        <v>51</v>
      </c>
      <c r="G1125" s="24" t="str">
        <f>IFERROR(VLOOKUP(F1125,Procedimentos!A:C,2,),"")</f>
        <v>DIRETRIZES PARA ENTREGA DE ATESTADOS MÉDICOS E ODONTOLÓGICOS</v>
      </c>
      <c r="H1125" s="22"/>
      <c r="I1125" s="43">
        <v>45890</v>
      </c>
      <c r="J1125" s="22">
        <v>12</v>
      </c>
      <c r="K1125" s="25">
        <f t="shared" si="54"/>
        <v>46255</v>
      </c>
      <c r="L1125" s="7"/>
      <c r="M1125" s="4"/>
      <c r="N1125" s="7"/>
      <c r="O1125" s="4"/>
      <c r="P1125" s="51"/>
      <c r="Q1125" s="51"/>
      <c r="R1125" s="51"/>
      <c r="S1125" s="7"/>
      <c r="T1125" s="7"/>
    </row>
    <row r="1126" spans="1:20" ht="14.25" customHeight="1">
      <c r="A1126" s="22">
        <v>1248</v>
      </c>
      <c r="B1126" s="36">
        <v>14824</v>
      </c>
      <c r="C1126" s="22" t="str">
        <f>IFERROR(VLOOKUP(B1126,Colaboradores!A:D,2,),"")</f>
        <v>DENISE DE SOUSA RIBEIRO SANTOS</v>
      </c>
      <c r="D1126" s="22" t="str">
        <f>IFERROR(VLOOKUP(B1126,Colaboradores!A:D,3,),"")</f>
        <v>COORDENAÇÃO ADMINISTRATIVA</v>
      </c>
      <c r="E1126" s="22" t="str">
        <f>IFERROR(VLOOKUP(B1126,Colaboradores!A:D,4,),"")</f>
        <v>ASSISTENTE ADMINISTRATIVO</v>
      </c>
      <c r="F1126" s="22" t="s">
        <v>52</v>
      </c>
      <c r="G1126" s="24" t="str">
        <f>IFERROR(VLOOKUP(F1126,Procedimentos!A:C,2,),"")</f>
        <v>DIRETRIZES E ACOMPANHAMENTO  DE ACIDENTE COM MATERIAL BIOLOGICO</v>
      </c>
      <c r="H1126" s="22"/>
      <c r="I1126" s="43">
        <v>45890</v>
      </c>
      <c r="J1126" s="22">
        <v>12</v>
      </c>
      <c r="K1126" s="25">
        <f t="shared" si="54"/>
        <v>46255</v>
      </c>
      <c r="L1126" s="7"/>
      <c r="M1126" s="4"/>
      <c r="N1126" s="7"/>
      <c r="O1126" s="4"/>
      <c r="P1126" s="51"/>
      <c r="Q1126" s="51"/>
      <c r="R1126" s="51"/>
      <c r="S1126" s="7"/>
      <c r="T1126" s="7"/>
    </row>
    <row r="1127" spans="1:20" ht="14.25" customHeight="1">
      <c r="A1127" s="22">
        <v>1249</v>
      </c>
      <c r="B1127" s="36">
        <v>14824</v>
      </c>
      <c r="C1127" s="22" t="str">
        <f>IFERROR(VLOOKUP(B1127,Colaboradores!A:D,2,),"")</f>
        <v>DENISE DE SOUSA RIBEIRO SANTOS</v>
      </c>
      <c r="D1127" s="22" t="str">
        <f>IFERROR(VLOOKUP(B1127,Colaboradores!A:D,3,),"")</f>
        <v>COORDENAÇÃO ADMINISTRATIVA</v>
      </c>
      <c r="E1127" s="22" t="str">
        <f>IFERROR(VLOOKUP(B1127,Colaboradores!A:D,4,),"")</f>
        <v>ASSISTENTE ADMINISTRATIVO</v>
      </c>
      <c r="F1127" s="22" t="s">
        <v>53</v>
      </c>
      <c r="G1127" s="24" t="str">
        <f>IFERROR(VLOOKUP(F1127,Procedimentos!A:C,2,),"")</f>
        <v>DIRETRIZES PARA MONITORAMENTO DE GESTANTE</v>
      </c>
      <c r="H1127" s="22"/>
      <c r="I1127" s="43">
        <v>45890</v>
      </c>
      <c r="J1127" s="22">
        <v>12</v>
      </c>
      <c r="K1127" s="25">
        <f t="shared" si="54"/>
        <v>46255</v>
      </c>
      <c r="L1127" s="7"/>
      <c r="M1127" s="4"/>
      <c r="N1127" s="7"/>
      <c r="O1127" s="4"/>
      <c r="P1127" s="51"/>
      <c r="Q1127" s="51"/>
      <c r="R1127" s="51"/>
      <c r="S1127" s="7"/>
      <c r="T1127" s="7"/>
    </row>
    <row r="1128" spans="1:20" ht="14.25" customHeight="1">
      <c r="A1128" s="22">
        <v>1250</v>
      </c>
      <c r="B1128" s="36">
        <v>14824</v>
      </c>
      <c r="C1128" s="22" t="str">
        <f>IFERROR(VLOOKUP(B1128,Colaboradores!A:D,2,),"")</f>
        <v>DENISE DE SOUSA RIBEIRO SANTOS</v>
      </c>
      <c r="D1128" s="22" t="str">
        <f>IFERROR(VLOOKUP(B1128,Colaboradores!A:D,3,),"")</f>
        <v>COORDENAÇÃO ADMINISTRATIVA</v>
      </c>
      <c r="E1128" s="22" t="str">
        <f>IFERROR(VLOOKUP(B1128,Colaboradores!A:D,4,),"")</f>
        <v>ASSISTENTE ADMINISTRATIVO</v>
      </c>
      <c r="F1128" s="22" t="s">
        <v>54</v>
      </c>
      <c r="G1128" s="24" t="str">
        <f>IFERROR(VLOOKUP(F1128,Procedimentos!A:C,2,),"")</f>
        <v>DIRETRIZES DE IMUNIZAÇÃO OCUPACIONAL</v>
      </c>
      <c r="H1128" s="22"/>
      <c r="I1128" s="43">
        <v>45890</v>
      </c>
      <c r="J1128" s="22">
        <v>12</v>
      </c>
      <c r="K1128" s="25">
        <f t="shared" si="54"/>
        <v>46255</v>
      </c>
      <c r="L1128" s="7"/>
      <c r="M1128" s="4"/>
      <c r="N1128" s="7"/>
      <c r="O1128" s="4"/>
      <c r="P1128" s="51"/>
      <c r="Q1128" s="51"/>
      <c r="R1128" s="51"/>
      <c r="S1128" s="7"/>
      <c r="T1128" s="7"/>
    </row>
    <row r="1129" spans="1:20" ht="14.25" customHeight="1">
      <c r="A1129" s="22">
        <v>1251</v>
      </c>
      <c r="B1129" s="36">
        <v>14824</v>
      </c>
      <c r="C1129" s="22" t="str">
        <f>IFERROR(VLOOKUP(B1129,Colaboradores!A:D,2,),"")</f>
        <v>DENISE DE SOUSA RIBEIRO SANTOS</v>
      </c>
      <c r="D1129" s="22" t="str">
        <f>IFERROR(VLOOKUP(B1129,Colaboradores!A:D,3,),"")</f>
        <v>COORDENAÇÃO ADMINISTRATIVA</v>
      </c>
      <c r="E1129" s="22" t="str">
        <f>IFERROR(VLOOKUP(B1129,Colaboradores!A:D,4,),"")</f>
        <v>ASSISTENTE ADMINISTRATIVO</v>
      </c>
      <c r="F1129" s="22" t="s">
        <v>55</v>
      </c>
      <c r="G1129" s="24" t="str">
        <f>IFERROR(VLOOKUP(F1129,Procedimentos!A:C,2,),"")</f>
        <v>DIRETRIZES PARA ACOMPANHAMENTO DE AFASTADOS</v>
      </c>
      <c r="H1129" s="22"/>
      <c r="I1129" s="43">
        <v>45890</v>
      </c>
      <c r="J1129" s="22">
        <v>12</v>
      </c>
      <c r="K1129" s="25">
        <f t="shared" si="54"/>
        <v>46255</v>
      </c>
      <c r="L1129" s="7"/>
      <c r="M1129" s="4"/>
      <c r="N1129" s="7"/>
      <c r="O1129" s="4"/>
      <c r="P1129" s="51"/>
      <c r="Q1129" s="51"/>
      <c r="R1129" s="51"/>
      <c r="S1129" s="7"/>
      <c r="T1129" s="7"/>
    </row>
    <row r="1130" spans="1:20" ht="14.25" customHeight="1">
      <c r="A1130" s="22">
        <v>1252</v>
      </c>
      <c r="B1130" s="33">
        <v>11149</v>
      </c>
      <c r="C1130" s="22" t="str">
        <f>IFERROR(VLOOKUP(B1130,Colaboradores!A:D,2,),"")</f>
        <v>CAMYLA CRYSTYNE RABELO LIMA</v>
      </c>
      <c r="D1130" s="22" t="str">
        <f>IFERROR(VLOOKUP(B1130,Colaboradores!A:D,3,),"")</f>
        <v>COORDENAÇÃO ADMINISTRATIVA</v>
      </c>
      <c r="E1130" s="22" t="str">
        <f>IFERROR(VLOOKUP(B1130,Colaboradores!A:D,4,),"")</f>
        <v>ANALISTA ADMINISTRATIVO</v>
      </c>
      <c r="F1130" s="22" t="s">
        <v>73</v>
      </c>
      <c r="G1130" s="24" t="str">
        <f>IFERROR(VLOOKUP(F1130,Procedimentos!A:C,2,),"")</f>
        <v>AQUISIÇÃO DE BENS E SERVIÇOS E AVALIAÇÃO PROVEDORES EXTERNOS</v>
      </c>
      <c r="H1130" s="22" t="s">
        <v>7</v>
      </c>
      <c r="I1130" s="43"/>
      <c r="J1130" s="22">
        <v>12</v>
      </c>
      <c r="K1130" s="25" t="str">
        <f t="shared" si="54"/>
        <v/>
      </c>
      <c r="L1130" s="7"/>
      <c r="M1130" s="4"/>
      <c r="N1130" s="7"/>
      <c r="O1130" s="22" t="s">
        <v>28</v>
      </c>
      <c r="P1130" s="25">
        <f t="shared" ref="P1130:P1133" si="58">EDATE(I1130,3)</f>
        <v>91</v>
      </c>
      <c r="Q1130" s="51"/>
      <c r="R1130" s="51"/>
      <c r="S1130" s="7"/>
      <c r="T1130" s="7"/>
    </row>
    <row r="1131" spans="1:20" ht="14.25" customHeight="1">
      <c r="A1131" s="22">
        <v>1253</v>
      </c>
      <c r="B1131" s="33">
        <v>11149</v>
      </c>
      <c r="C1131" s="22" t="str">
        <f>IFERROR(VLOOKUP(B1131,Colaboradores!A:D,2,),"")</f>
        <v>CAMYLA CRYSTYNE RABELO LIMA</v>
      </c>
      <c r="D1131" s="22" t="str">
        <f>IFERROR(VLOOKUP(B1131,Colaboradores!A:D,3,),"")</f>
        <v>COORDENAÇÃO ADMINISTRATIVA</v>
      </c>
      <c r="E1131" s="22" t="str">
        <f>IFERROR(VLOOKUP(B1131,Colaboradores!A:D,4,),"")</f>
        <v>ANALISTA ADMINISTRATIVO</v>
      </c>
      <c r="F1131" s="22" t="s">
        <v>79</v>
      </c>
      <c r="G1131" s="24" t="str">
        <f>IFERROR(VLOOKUP(F1131,Procedimentos!A:C,2,),"")</f>
        <v>ABERTURA DE PROCESSO DE PAGAMENTO</v>
      </c>
      <c r="H1131" s="22" t="s">
        <v>7</v>
      </c>
      <c r="I1131" s="43"/>
      <c r="J1131" s="22">
        <v>12</v>
      </c>
      <c r="K1131" s="25" t="str">
        <f t="shared" si="54"/>
        <v/>
      </c>
      <c r="L1131" s="7"/>
      <c r="M1131" s="4"/>
      <c r="N1131" s="7"/>
      <c r="O1131" s="22" t="s">
        <v>28</v>
      </c>
      <c r="P1131" s="25">
        <f t="shared" si="58"/>
        <v>91</v>
      </c>
      <c r="Q1131" s="51"/>
      <c r="R1131" s="51"/>
      <c r="S1131" s="7"/>
      <c r="T1131" s="7"/>
    </row>
    <row r="1132" spans="1:20" ht="14.25" customHeight="1">
      <c r="A1132" s="22">
        <v>1254</v>
      </c>
      <c r="B1132" s="33">
        <v>12555</v>
      </c>
      <c r="C1132" s="22" t="str">
        <f>IFERROR(VLOOKUP(B1132,Colaboradores!A:D,2,),"")</f>
        <v>HWGO AUGUSTO ALMEIDA</v>
      </c>
      <c r="D1132" s="22" t="str">
        <f>IFERROR(VLOOKUP(B1132,Colaboradores!A:D,3,),"")</f>
        <v>COORDENAÇÃO ADMINISTRATIVA</v>
      </c>
      <c r="E1132" s="22" t="str">
        <f>IFERROR(VLOOKUP(B1132,Colaboradores!A:D,4,),"")</f>
        <v>ANALISTA ADMINISTRATIVO</v>
      </c>
      <c r="F1132" s="22" t="s">
        <v>73</v>
      </c>
      <c r="G1132" s="24" t="str">
        <f>IFERROR(VLOOKUP(F1132,Procedimentos!A:C,2,),"")</f>
        <v>AQUISIÇÃO DE BENS E SERVIÇOS E AVALIAÇÃO PROVEDORES EXTERNOS</v>
      </c>
      <c r="H1132" s="22" t="s">
        <v>7</v>
      </c>
      <c r="I1132" s="43"/>
      <c r="J1132" s="22">
        <v>12</v>
      </c>
      <c r="K1132" s="25" t="str">
        <f t="shared" si="54"/>
        <v/>
      </c>
      <c r="L1132" s="7"/>
      <c r="M1132" s="4"/>
      <c r="N1132" s="7"/>
      <c r="O1132" s="22" t="s">
        <v>28</v>
      </c>
      <c r="P1132" s="25">
        <f t="shared" si="58"/>
        <v>91</v>
      </c>
      <c r="Q1132" s="51"/>
      <c r="R1132" s="51"/>
      <c r="S1132" s="7"/>
      <c r="T1132" s="7"/>
    </row>
    <row r="1133" spans="1:20" ht="14.25" customHeight="1">
      <c r="A1133" s="22">
        <v>1255</v>
      </c>
      <c r="B1133" s="33">
        <v>12555</v>
      </c>
      <c r="C1133" s="22" t="str">
        <f>IFERROR(VLOOKUP(B1133,Colaboradores!A:D,2,),"")</f>
        <v>HWGO AUGUSTO ALMEIDA</v>
      </c>
      <c r="D1133" s="22" t="str">
        <f>IFERROR(VLOOKUP(B1133,Colaboradores!A:D,3,),"")</f>
        <v>COORDENAÇÃO ADMINISTRATIVA</v>
      </c>
      <c r="E1133" s="22" t="str">
        <f>IFERROR(VLOOKUP(B1133,Colaboradores!A:D,4,),"")</f>
        <v>ANALISTA ADMINISTRATIVO</v>
      </c>
      <c r="F1133" s="22" t="s">
        <v>79</v>
      </c>
      <c r="G1133" s="24" t="str">
        <f>IFERROR(VLOOKUP(F1133,Procedimentos!A:C,2,),"")</f>
        <v>ABERTURA DE PROCESSO DE PAGAMENTO</v>
      </c>
      <c r="H1133" s="22" t="s">
        <v>7</v>
      </c>
      <c r="I1133" s="43"/>
      <c r="J1133" s="22">
        <v>12</v>
      </c>
      <c r="K1133" s="25" t="str">
        <f t="shared" si="54"/>
        <v/>
      </c>
      <c r="L1133" s="7"/>
      <c r="M1133" s="4"/>
      <c r="N1133" s="7"/>
      <c r="O1133" s="22" t="s">
        <v>28</v>
      </c>
      <c r="P1133" s="25">
        <f t="shared" si="58"/>
        <v>91</v>
      </c>
      <c r="Q1133" s="51"/>
      <c r="R1133" s="51"/>
      <c r="S1133" s="7"/>
      <c r="T1133" s="7"/>
    </row>
    <row r="1134" spans="1:20" ht="14.25" customHeight="1">
      <c r="A1134" s="22">
        <v>1256</v>
      </c>
      <c r="B1134" s="33">
        <v>12748</v>
      </c>
      <c r="C1134" s="22" t="str">
        <f>IFERROR(VLOOKUP(B1134,Colaboradores!A:D,2,),"")</f>
        <v>KARINY DE SOUZA COSTA</v>
      </c>
      <c r="D1134" s="22" t="str">
        <f>IFERROR(VLOOKUP(B1134,Colaboradores!A:D,3,),"")</f>
        <v>COORDENAÇÃO ADMINISTRATIVA</v>
      </c>
      <c r="E1134" s="22" t="str">
        <f>IFERROR(VLOOKUP(B1134,Colaboradores!A:D,4,),"")</f>
        <v>ASSISTENTE ADMINISTRATIVO</v>
      </c>
      <c r="F1134" s="22" t="s">
        <v>73</v>
      </c>
      <c r="G1134" s="24" t="str">
        <f>IFERROR(VLOOKUP(F1134,Procedimentos!A:C,2,),"")</f>
        <v>AQUISIÇÃO DE BENS E SERVIÇOS E AVALIAÇÃO PROVEDORES EXTERNOS</v>
      </c>
      <c r="H1134" s="25"/>
      <c r="I1134" s="43">
        <v>45911</v>
      </c>
      <c r="J1134" s="22">
        <v>12</v>
      </c>
      <c r="K1134" s="25">
        <f t="shared" si="54"/>
        <v>46276</v>
      </c>
      <c r="L1134" s="7"/>
      <c r="M1134" s="4"/>
      <c r="N1134" s="7"/>
      <c r="O1134" s="4"/>
      <c r="P1134" s="51"/>
      <c r="Q1134" s="51"/>
      <c r="R1134" s="51"/>
      <c r="S1134" s="7"/>
      <c r="T1134" s="7"/>
    </row>
    <row r="1135" spans="1:20" ht="14.25" customHeight="1">
      <c r="A1135" s="22">
        <v>1257</v>
      </c>
      <c r="B1135" s="33">
        <v>12748</v>
      </c>
      <c r="C1135" s="22" t="str">
        <f>IFERROR(VLOOKUP(B1135,Colaboradores!A:D,2,),"")</f>
        <v>KARINY DE SOUZA COSTA</v>
      </c>
      <c r="D1135" s="22" t="str">
        <f>IFERROR(VLOOKUP(B1135,Colaboradores!A:D,3,),"")</f>
        <v>COORDENAÇÃO ADMINISTRATIVA</v>
      </c>
      <c r="E1135" s="22" t="str">
        <f>IFERROR(VLOOKUP(B1135,Colaboradores!A:D,4,),"")</f>
        <v>ASSISTENTE ADMINISTRATIVO</v>
      </c>
      <c r="F1135" s="22" t="s">
        <v>74</v>
      </c>
      <c r="G1135" s="24" t="str">
        <f>IFERROR(VLOOKUP(F1135,Procedimentos!A:C,2,),"")</f>
        <v>AGENDAMENTO DE REUNIÕES E CHECAGEM DE E-MAIL</v>
      </c>
      <c r="H1135" s="22" t="s">
        <v>7</v>
      </c>
      <c r="I1135" s="43"/>
      <c r="J1135" s="22">
        <v>12</v>
      </c>
      <c r="K1135" s="25" t="str">
        <f t="shared" si="54"/>
        <v/>
      </c>
      <c r="L1135" s="7"/>
      <c r="M1135" s="4"/>
      <c r="N1135" s="7"/>
      <c r="O1135" s="22" t="s">
        <v>28</v>
      </c>
      <c r="P1135" s="25">
        <f>EDATE(I1135,3)</f>
        <v>91</v>
      </c>
      <c r="Q1135" s="51"/>
      <c r="R1135" s="51"/>
      <c r="S1135" s="7"/>
      <c r="T1135" s="7"/>
    </row>
    <row r="1136" spans="1:20" ht="14.25" customHeight="1">
      <c r="A1136" s="22">
        <v>1258</v>
      </c>
      <c r="B1136" s="33">
        <v>12748</v>
      </c>
      <c r="C1136" s="22" t="str">
        <f>IFERROR(VLOOKUP(B1136,Colaboradores!A:D,2,),"")</f>
        <v>KARINY DE SOUZA COSTA</v>
      </c>
      <c r="D1136" s="22" t="str">
        <f>IFERROR(VLOOKUP(B1136,Colaboradores!A:D,3,),"")</f>
        <v>COORDENAÇÃO ADMINISTRATIVA</v>
      </c>
      <c r="E1136" s="22" t="str">
        <f>IFERROR(VLOOKUP(B1136,Colaboradores!A:D,4,),"")</f>
        <v>ASSISTENTE ADMINISTRATIVO</v>
      </c>
      <c r="F1136" s="22" t="s">
        <v>75</v>
      </c>
      <c r="G1136" s="24" t="str">
        <f>IFERROR(VLOOKUP(F1136,Procedimentos!A:C,2,),"")</f>
        <v>RECEBIMENTO E MOVIMENTAÇÃO DE PROCESSOS E DEMAIS DOCUMENTOS</v>
      </c>
      <c r="H1136" s="22" t="s">
        <v>7</v>
      </c>
      <c r="I1136" s="43"/>
      <c r="J1136" s="22">
        <v>12</v>
      </c>
      <c r="K1136" s="25" t="str">
        <f t="shared" si="54"/>
        <v/>
      </c>
      <c r="L1136" s="7"/>
      <c r="M1136" s="4"/>
      <c r="N1136" s="7"/>
      <c r="O1136" s="22" t="s">
        <v>28</v>
      </c>
      <c r="P1136" s="51"/>
      <c r="Q1136" s="51"/>
      <c r="R1136" s="51"/>
      <c r="S1136" s="7"/>
      <c r="T1136" s="7"/>
    </row>
    <row r="1137" spans="1:20" ht="14.25" customHeight="1">
      <c r="A1137" s="22">
        <v>1259</v>
      </c>
      <c r="B1137" s="33">
        <v>12748</v>
      </c>
      <c r="C1137" s="22" t="str">
        <f>IFERROR(VLOOKUP(B1137,Colaboradores!A:D,2,),"")</f>
        <v>KARINY DE SOUZA COSTA</v>
      </c>
      <c r="D1137" s="22" t="str">
        <f>IFERROR(VLOOKUP(B1137,Colaboradores!A:D,3,),"")</f>
        <v>COORDENAÇÃO ADMINISTRATIVA</v>
      </c>
      <c r="E1137" s="22" t="str">
        <f>IFERROR(VLOOKUP(B1137,Colaboradores!A:D,4,),"")</f>
        <v>ASSISTENTE ADMINISTRATIVO</v>
      </c>
      <c r="F1137" s="22" t="s">
        <v>76</v>
      </c>
      <c r="G1137" s="24" t="str">
        <f>IFERROR(VLOOKUP(F1137,Procedimentos!A:C,2,),"")</f>
        <v>ABERTURA DE PROCESSOS DA DESSMA</v>
      </c>
      <c r="H1137" s="22" t="s">
        <v>7</v>
      </c>
      <c r="I1137" s="43"/>
      <c r="J1137" s="22">
        <v>12</v>
      </c>
      <c r="K1137" s="25" t="str">
        <f t="shared" si="54"/>
        <v/>
      </c>
      <c r="L1137" s="7"/>
      <c r="M1137" s="4"/>
      <c r="N1137" s="7"/>
      <c r="O1137" s="22" t="s">
        <v>28</v>
      </c>
      <c r="P1137" s="51"/>
      <c r="Q1137" s="51"/>
      <c r="R1137" s="51"/>
      <c r="S1137" s="7"/>
      <c r="T1137" s="7"/>
    </row>
    <row r="1138" spans="1:20" ht="14.25" customHeight="1">
      <c r="A1138" s="22">
        <v>1260</v>
      </c>
      <c r="B1138" s="33">
        <v>12748</v>
      </c>
      <c r="C1138" s="22" t="str">
        <f>IFERROR(VLOOKUP(B1138,Colaboradores!A:D,2,),"")</f>
        <v>KARINY DE SOUZA COSTA</v>
      </c>
      <c r="D1138" s="22" t="str">
        <f>IFERROR(VLOOKUP(B1138,Colaboradores!A:D,3,),"")</f>
        <v>COORDENAÇÃO ADMINISTRATIVA</v>
      </c>
      <c r="E1138" s="22" t="str">
        <f>IFERROR(VLOOKUP(B1138,Colaboradores!A:D,4,),"")</f>
        <v>ASSISTENTE ADMINISTRATIVO</v>
      </c>
      <c r="F1138" s="22" t="s">
        <v>77</v>
      </c>
      <c r="G1138" s="24" t="str">
        <f>IFERROR(VLOOKUP(F1138,Procedimentos!A:C,2,),"")</f>
        <v>ABASTECIMENTO DE SUPRIMENTOS PARA DIRETORIA</v>
      </c>
      <c r="H1138" s="22" t="s">
        <v>7</v>
      </c>
      <c r="I1138" s="43"/>
      <c r="J1138" s="22">
        <v>12</v>
      </c>
      <c r="K1138" s="25" t="str">
        <f t="shared" si="54"/>
        <v/>
      </c>
      <c r="L1138" s="7"/>
      <c r="M1138" s="4"/>
      <c r="N1138" s="7"/>
      <c r="O1138" s="22" t="s">
        <v>28</v>
      </c>
      <c r="P1138" s="51"/>
      <c r="Q1138" s="51"/>
      <c r="R1138" s="51"/>
      <c r="S1138" s="7"/>
      <c r="T1138" s="7"/>
    </row>
    <row r="1139" spans="1:20" ht="14.25" customHeight="1">
      <c r="A1139" s="22">
        <v>1261</v>
      </c>
      <c r="B1139" s="33">
        <v>12748</v>
      </c>
      <c r="C1139" s="22" t="str">
        <f>IFERROR(VLOOKUP(B1139,Colaboradores!A:D,2,),"")</f>
        <v>KARINY DE SOUZA COSTA</v>
      </c>
      <c r="D1139" s="22" t="str">
        <f>IFERROR(VLOOKUP(B1139,Colaboradores!A:D,3,),"")</f>
        <v>COORDENAÇÃO ADMINISTRATIVA</v>
      </c>
      <c r="E1139" s="22" t="str">
        <f>IFERROR(VLOOKUP(B1139,Colaboradores!A:D,4,),"")</f>
        <v>ASSISTENTE ADMINISTRATIVO</v>
      </c>
      <c r="F1139" s="22" t="s">
        <v>78</v>
      </c>
      <c r="G1139" s="24" t="str">
        <f>IFERROR(VLOOKUP(F1139,Procedimentos!A:C,2,),"")</f>
        <v>SOLICITAÇÃO DE MANUTENÇÃO PREDIAL E VISTORIA DO SERVIÇO DE LIMPEZA PREDIAL</v>
      </c>
      <c r="H1139" s="22" t="s">
        <v>7</v>
      </c>
      <c r="I1139" s="43"/>
      <c r="J1139" s="22">
        <v>12</v>
      </c>
      <c r="K1139" s="25" t="str">
        <f t="shared" si="54"/>
        <v/>
      </c>
      <c r="L1139" s="7"/>
      <c r="M1139" s="4"/>
      <c r="N1139" s="7"/>
      <c r="O1139" s="22" t="s">
        <v>28</v>
      </c>
      <c r="P1139" s="51"/>
      <c r="Q1139" s="51"/>
      <c r="R1139" s="51"/>
      <c r="S1139" s="7"/>
      <c r="T1139" s="7"/>
    </row>
    <row r="1140" spans="1:20" ht="14.25" customHeight="1">
      <c r="A1140" s="22">
        <v>1262</v>
      </c>
      <c r="B1140" s="33">
        <v>12748</v>
      </c>
      <c r="C1140" s="22" t="str">
        <f>IFERROR(VLOOKUP(B1140,Colaboradores!A:D,2,),"")</f>
        <v>KARINY DE SOUZA COSTA</v>
      </c>
      <c r="D1140" s="22" t="str">
        <f>IFERROR(VLOOKUP(B1140,Colaboradores!A:D,3,),"")</f>
        <v>COORDENAÇÃO ADMINISTRATIVA</v>
      </c>
      <c r="E1140" s="22" t="str">
        <f>IFERROR(VLOOKUP(B1140,Colaboradores!A:D,4,),"")</f>
        <v>ASSISTENTE ADMINISTRATIVO</v>
      </c>
      <c r="F1140" s="22" t="s">
        <v>79</v>
      </c>
      <c r="G1140" s="24" t="str">
        <f>IFERROR(VLOOKUP(F1140,Procedimentos!A:C,2,),"")</f>
        <v>ABERTURA DE PROCESSO DE PAGAMENTO</v>
      </c>
      <c r="H1140" s="22" t="s">
        <v>7</v>
      </c>
      <c r="I1140" s="43"/>
      <c r="J1140" s="22">
        <v>12</v>
      </c>
      <c r="K1140" s="25" t="str">
        <f t="shared" si="54"/>
        <v/>
      </c>
      <c r="L1140" s="7"/>
      <c r="M1140" s="4"/>
      <c r="N1140" s="7"/>
      <c r="O1140" s="22" t="s">
        <v>28</v>
      </c>
      <c r="P1140" s="51"/>
      <c r="Q1140" s="51"/>
      <c r="R1140" s="51"/>
      <c r="S1140" s="7"/>
      <c r="T1140" s="7"/>
    </row>
    <row r="1141" spans="1:20" ht="14.25" customHeight="1">
      <c r="A1141" s="22">
        <v>1263</v>
      </c>
      <c r="B1141" s="33">
        <v>12748</v>
      </c>
      <c r="C1141" s="22" t="str">
        <f>IFERROR(VLOOKUP(B1141,Colaboradores!A:D,2,),"")</f>
        <v>KARINY DE SOUZA COSTA</v>
      </c>
      <c r="D1141" s="22" t="str">
        <f>IFERROR(VLOOKUP(B1141,Colaboradores!A:D,3,),"")</f>
        <v>COORDENAÇÃO ADMINISTRATIVA</v>
      </c>
      <c r="E1141" s="22" t="str">
        <f>IFERROR(VLOOKUP(B1141,Colaboradores!A:D,4,),"")</f>
        <v>ASSISTENTE ADMINISTRATIVO</v>
      </c>
      <c r="F1141" s="22" t="s">
        <v>19</v>
      </c>
      <c r="G1141" s="24" t="str">
        <f>IFERROR(VLOOKUP(F1141,Procedimentos!A:C,2,),"")</f>
        <v>DIRETRIZES PARA DOCUMENTOS NORMATIVOS</v>
      </c>
      <c r="H1141" s="25"/>
      <c r="I1141" s="52">
        <v>45891</v>
      </c>
      <c r="J1141" s="22">
        <v>12</v>
      </c>
      <c r="K1141" s="25">
        <f t="shared" si="54"/>
        <v>46256</v>
      </c>
      <c r="L1141" s="7"/>
      <c r="M1141" s="4"/>
      <c r="N1141" s="7"/>
      <c r="O1141" s="4"/>
      <c r="P1141" s="51"/>
      <c r="Q1141" s="51"/>
      <c r="R1141" s="51"/>
      <c r="S1141" s="7"/>
      <c r="T1141" s="7"/>
    </row>
    <row r="1142" spans="1:20" ht="14.25" customHeight="1">
      <c r="A1142" s="22">
        <v>1264</v>
      </c>
      <c r="B1142" s="33">
        <v>12748</v>
      </c>
      <c r="C1142" s="22" t="str">
        <f>IFERROR(VLOOKUP(B1142,Colaboradores!A:D,2,),"")</f>
        <v>KARINY DE SOUZA COSTA</v>
      </c>
      <c r="D1142" s="22" t="str">
        <f>IFERROR(VLOOKUP(B1142,Colaboradores!A:D,3,),"")</f>
        <v>COORDENAÇÃO ADMINISTRATIVA</v>
      </c>
      <c r="E1142" s="22" t="str">
        <f>IFERROR(VLOOKUP(B1142,Colaboradores!A:D,4,),"")</f>
        <v>ASSISTENTE ADMINISTRATIVO</v>
      </c>
      <c r="F1142" s="22" t="s">
        <v>24</v>
      </c>
      <c r="G1142" s="24" t="str">
        <f>IFERROR(VLOOKUP(F1142,Procedimentos!A:C,2,),"")</f>
        <v>DIRETRIZES  PARA PROGRAMA 5S</v>
      </c>
      <c r="H1142" s="25"/>
      <c r="I1142" s="52">
        <v>45891</v>
      </c>
      <c r="J1142" s="22">
        <v>12</v>
      </c>
      <c r="K1142" s="25">
        <f t="shared" si="54"/>
        <v>46256</v>
      </c>
      <c r="L1142" s="7"/>
      <c r="M1142" s="4"/>
      <c r="N1142" s="7"/>
      <c r="O1142" s="4"/>
      <c r="P1142" s="51"/>
      <c r="Q1142" s="51"/>
      <c r="R1142" s="51"/>
      <c r="S1142" s="7"/>
      <c r="T1142" s="7"/>
    </row>
    <row r="1143" spans="1:20" ht="14.25" customHeight="1">
      <c r="A1143" s="22">
        <v>1265</v>
      </c>
      <c r="B1143" s="33">
        <v>12748</v>
      </c>
      <c r="C1143" s="22" t="str">
        <f>IFERROR(VLOOKUP(B1143,Colaboradores!A:D,2,),"")</f>
        <v>KARINY DE SOUZA COSTA</v>
      </c>
      <c r="D1143" s="22" t="str">
        <f>IFERROR(VLOOKUP(B1143,Colaboradores!A:D,3,),"")</f>
        <v>COORDENAÇÃO ADMINISTRATIVA</v>
      </c>
      <c r="E1143" s="22" t="str">
        <f>IFERROR(VLOOKUP(B1143,Colaboradores!A:D,4,),"")</f>
        <v>ASSISTENTE ADMINISTRATIVO</v>
      </c>
      <c r="F1143" s="22" t="s">
        <v>25</v>
      </c>
      <c r="G1143" s="24" t="str">
        <f>IFERROR(VLOOKUP(F1143,Procedimentos!A:C,2,),"")</f>
        <v>GARANTIA DA QUALIDADE</v>
      </c>
      <c r="H1143" s="25"/>
      <c r="I1143" s="52">
        <v>45891</v>
      </c>
      <c r="J1143" s="22">
        <v>12</v>
      </c>
      <c r="K1143" s="25">
        <f t="shared" si="54"/>
        <v>46256</v>
      </c>
      <c r="L1143" s="7"/>
      <c r="M1143" s="4"/>
      <c r="N1143" s="7"/>
      <c r="O1143" s="4"/>
      <c r="P1143" s="51"/>
      <c r="Q1143" s="51"/>
      <c r="R1143" s="51"/>
      <c r="S1143" s="7"/>
      <c r="T1143" s="7"/>
    </row>
    <row r="1144" spans="1:20" ht="14.25" customHeight="1">
      <c r="A1144" s="22">
        <v>1266</v>
      </c>
      <c r="B1144" s="33">
        <v>12748</v>
      </c>
      <c r="C1144" s="22" t="str">
        <f>IFERROR(VLOOKUP(B1144,Colaboradores!A:D,2,),"")</f>
        <v>KARINY DE SOUZA COSTA</v>
      </c>
      <c r="D1144" s="22" t="str">
        <f>IFERROR(VLOOKUP(B1144,Colaboradores!A:D,3,),"")</f>
        <v>COORDENAÇÃO ADMINISTRATIVA</v>
      </c>
      <c r="E1144" s="22" t="str">
        <f>IFERROR(VLOOKUP(B1144,Colaboradores!A:D,4,),"")</f>
        <v>ASSISTENTE ADMINISTRATIVO</v>
      </c>
      <c r="F1144" s="22" t="s">
        <v>26</v>
      </c>
      <c r="G1144" s="24" t="str">
        <f>IFERROR(VLOOKUP(F1144,Procedimentos!A:C,2,),"")</f>
        <v>RESPONSABILIDADES E AUTORIDADES DO SGQ</v>
      </c>
      <c r="H1144" s="25"/>
      <c r="I1144" s="52">
        <v>45891</v>
      </c>
      <c r="J1144" s="22">
        <v>12</v>
      </c>
      <c r="K1144" s="25">
        <f t="shared" si="54"/>
        <v>46256</v>
      </c>
      <c r="L1144" s="7"/>
      <c r="M1144" s="4"/>
      <c r="N1144" s="7"/>
      <c r="O1144" s="4"/>
      <c r="P1144" s="51"/>
      <c r="Q1144" s="51"/>
      <c r="R1144" s="51"/>
      <c r="S1144" s="7"/>
      <c r="T1144" s="7"/>
    </row>
    <row r="1145" spans="1:20" ht="14.25" customHeight="1">
      <c r="A1145" s="22">
        <v>1267</v>
      </c>
      <c r="B1145" s="33">
        <v>13766</v>
      </c>
      <c r="C1145" s="22" t="str">
        <f>IFERROR(VLOOKUP(B1145,Colaboradores!A:D,2,),"")</f>
        <v>RAIMUNDO TAVARES PESSOA</v>
      </c>
      <c r="D1145" s="22" t="str">
        <f>IFERROR(VLOOKUP(B1145,Colaboradores!A:D,3,),"")</f>
        <v>COORDENAÇÃO ADMINISTRATIVA</v>
      </c>
      <c r="E1145" s="22" t="str">
        <f>IFERROR(VLOOKUP(B1145,Colaboradores!A:D,4,),"")</f>
        <v>ANALISTA ADMINISTRATIVO</v>
      </c>
      <c r="F1145" s="22" t="s">
        <v>41</v>
      </c>
      <c r="G1145" s="24" t="str">
        <f>IFERROR(VLOOKUP(F1145,Procedimentos!A:C,2,),"")</f>
        <v>DIRETRIZES PARA COMUNICAÇÃO E INVESTIGAÇÃO DE ACIDENTES</v>
      </c>
      <c r="H1145" s="25"/>
      <c r="I1145" s="43">
        <v>45905</v>
      </c>
      <c r="J1145" s="22">
        <v>12</v>
      </c>
      <c r="K1145" s="25">
        <f t="shared" si="54"/>
        <v>46270</v>
      </c>
      <c r="L1145" s="7"/>
      <c r="M1145" s="4"/>
      <c r="N1145" s="7"/>
      <c r="O1145" s="4"/>
      <c r="P1145" s="51"/>
      <c r="Q1145" s="51"/>
      <c r="R1145" s="51"/>
      <c r="S1145" s="7"/>
      <c r="T1145" s="7"/>
    </row>
    <row r="1146" spans="1:20" ht="14.25" customHeight="1">
      <c r="A1146" s="22">
        <v>1268</v>
      </c>
      <c r="B1146" s="33">
        <v>13766</v>
      </c>
      <c r="C1146" s="22" t="str">
        <f>IFERROR(VLOOKUP(B1146,Colaboradores!A:D,2,),"")</f>
        <v>RAIMUNDO TAVARES PESSOA</v>
      </c>
      <c r="D1146" s="22" t="str">
        <f>IFERROR(VLOOKUP(B1146,Colaboradores!A:D,3,),"")</f>
        <v>COORDENAÇÃO ADMINISTRATIVA</v>
      </c>
      <c r="E1146" s="22" t="str">
        <f>IFERROR(VLOOKUP(B1146,Colaboradores!A:D,4,),"")</f>
        <v>ANALISTA ADMINISTRATIVO</v>
      </c>
      <c r="F1146" s="22" t="s">
        <v>43</v>
      </c>
      <c r="G1146" s="24" t="str">
        <f>IFERROR(VLOOKUP(F1146,Procedimentos!A:C,2,),"")</f>
        <v>DIÁLOGO DE SAÚDE E SEGURANÇA - DSS</v>
      </c>
      <c r="H1146" s="25"/>
      <c r="I1146" s="43">
        <v>45905</v>
      </c>
      <c r="J1146" s="22">
        <v>12</v>
      </c>
      <c r="K1146" s="25">
        <f t="shared" si="54"/>
        <v>46270</v>
      </c>
      <c r="L1146" s="7"/>
      <c r="M1146" s="4"/>
      <c r="N1146" s="7"/>
      <c r="O1146" s="4"/>
      <c r="P1146" s="51"/>
      <c r="Q1146" s="51"/>
      <c r="R1146" s="51"/>
      <c r="S1146" s="7"/>
      <c r="T1146" s="7"/>
    </row>
    <row r="1147" spans="1:20" ht="14.25" customHeight="1">
      <c r="A1147" s="22">
        <v>1269</v>
      </c>
      <c r="B1147" s="33">
        <v>13766</v>
      </c>
      <c r="C1147" s="22" t="str">
        <f>IFERROR(VLOOKUP(B1147,Colaboradores!A:D,2,),"")</f>
        <v>RAIMUNDO TAVARES PESSOA</v>
      </c>
      <c r="D1147" s="22" t="str">
        <f>IFERROR(VLOOKUP(B1147,Colaboradores!A:D,3,),"")</f>
        <v>COORDENAÇÃO ADMINISTRATIVA</v>
      </c>
      <c r="E1147" s="22" t="str">
        <f>IFERROR(VLOOKUP(B1147,Colaboradores!A:D,4,),"")</f>
        <v>ANALISTA ADMINISTRATIVO</v>
      </c>
      <c r="F1147" s="22" t="s">
        <v>44</v>
      </c>
      <c r="G1147" s="24" t="str">
        <f>IFERROR(VLOOKUP(F1147,Procedimentos!A:C,2,),"")</f>
        <v>DIRETRIZES PARA GESTÃO DE EQUIPAMENTOS DE PROTEÇÃO INDIVIDUAL - EPI'S</v>
      </c>
      <c r="H1147" s="25"/>
      <c r="I1147" s="43">
        <v>45905</v>
      </c>
      <c r="J1147" s="22">
        <v>12</v>
      </c>
      <c r="K1147" s="25">
        <f t="shared" si="54"/>
        <v>46270</v>
      </c>
      <c r="L1147" s="7"/>
      <c r="M1147" s="4"/>
      <c r="N1147" s="7"/>
      <c r="O1147" s="4"/>
      <c r="P1147" s="51"/>
      <c r="Q1147" s="51"/>
      <c r="R1147" s="51"/>
      <c r="S1147" s="7"/>
      <c r="T1147" s="7"/>
    </row>
    <row r="1148" spans="1:20" ht="14.25" customHeight="1">
      <c r="A1148" s="22">
        <v>1270</v>
      </c>
      <c r="B1148" s="33">
        <v>13766</v>
      </c>
      <c r="C1148" s="22" t="str">
        <f>IFERROR(VLOOKUP(B1148,Colaboradores!A:D,2,),"")</f>
        <v>RAIMUNDO TAVARES PESSOA</v>
      </c>
      <c r="D1148" s="22" t="str">
        <f>IFERROR(VLOOKUP(B1148,Colaboradores!A:D,3,),"")</f>
        <v>COORDENAÇÃO ADMINISTRATIVA</v>
      </c>
      <c r="E1148" s="22" t="str">
        <f>IFERROR(VLOOKUP(B1148,Colaboradores!A:D,4,),"")</f>
        <v>ANALISTA ADMINISTRATIVO</v>
      </c>
      <c r="F1148" s="22" t="s">
        <v>45</v>
      </c>
      <c r="G1148" s="24" t="str">
        <f>IFERROR(VLOOKUP(F1148,Procedimentos!A:C,2,),"")</f>
        <v>CONSTITUIÇÃO INTERNA DE PREVENÇÃO DE ACIDENTES E DE ASSÉDIOS - CIPA</v>
      </c>
      <c r="H1148" s="25"/>
      <c r="I1148" s="43">
        <v>45905</v>
      </c>
      <c r="J1148" s="22">
        <v>12</v>
      </c>
      <c r="K1148" s="25">
        <f t="shared" si="54"/>
        <v>46270</v>
      </c>
      <c r="L1148" s="7"/>
      <c r="M1148" s="4"/>
      <c r="N1148" s="7"/>
      <c r="O1148" s="4"/>
      <c r="P1148" s="51"/>
      <c r="Q1148" s="51"/>
      <c r="R1148" s="51"/>
      <c r="S1148" s="7"/>
      <c r="T1148" s="7"/>
    </row>
    <row r="1149" spans="1:20" ht="14.25" customHeight="1">
      <c r="A1149" s="22">
        <v>1271</v>
      </c>
      <c r="B1149" s="33">
        <v>13766</v>
      </c>
      <c r="C1149" s="22" t="str">
        <f>IFERROR(VLOOKUP(B1149,Colaboradores!A:D,2,),"")</f>
        <v>RAIMUNDO TAVARES PESSOA</v>
      </c>
      <c r="D1149" s="22" t="str">
        <f>IFERROR(VLOOKUP(B1149,Colaboradores!A:D,3,),"")</f>
        <v>COORDENAÇÃO ADMINISTRATIVA</v>
      </c>
      <c r="E1149" s="22" t="str">
        <f>IFERROR(VLOOKUP(B1149,Colaboradores!A:D,4,),"")</f>
        <v>ANALISTA ADMINISTRATIVO</v>
      </c>
      <c r="F1149" s="22" t="s">
        <v>73</v>
      </c>
      <c r="G1149" s="24" t="str">
        <f>IFERROR(VLOOKUP(F1149,Procedimentos!A:C,2,),"")</f>
        <v>AQUISIÇÃO DE BENS E SERVIÇOS E AVALIAÇÃO PROVEDORES EXTERNOS</v>
      </c>
      <c r="H1149" s="22" t="s">
        <v>7</v>
      </c>
      <c r="I1149" s="43"/>
      <c r="J1149" s="22">
        <v>12</v>
      </c>
      <c r="K1149" s="25" t="str">
        <f t="shared" si="54"/>
        <v/>
      </c>
      <c r="L1149" s="7"/>
      <c r="M1149" s="4"/>
      <c r="N1149" s="7"/>
      <c r="O1149" s="22" t="s">
        <v>28</v>
      </c>
      <c r="P1149" s="51"/>
      <c r="Q1149" s="51"/>
      <c r="R1149" s="51"/>
      <c r="S1149" s="7"/>
      <c r="T1149" s="7"/>
    </row>
    <row r="1150" spans="1:20" ht="14.25" customHeight="1">
      <c r="A1150" s="22">
        <v>1272</v>
      </c>
      <c r="B1150" s="33">
        <v>13766</v>
      </c>
      <c r="C1150" s="22" t="str">
        <f>IFERROR(VLOOKUP(B1150,Colaboradores!A:D,2,),"")</f>
        <v>RAIMUNDO TAVARES PESSOA</v>
      </c>
      <c r="D1150" s="22" t="str">
        <f>IFERROR(VLOOKUP(B1150,Colaboradores!A:D,3,),"")</f>
        <v>COORDENAÇÃO ADMINISTRATIVA</v>
      </c>
      <c r="E1150" s="22" t="str">
        <f>IFERROR(VLOOKUP(B1150,Colaboradores!A:D,4,),"")</f>
        <v>ANALISTA ADMINISTRATIVO</v>
      </c>
      <c r="F1150" s="22" t="s">
        <v>79</v>
      </c>
      <c r="G1150" s="24" t="str">
        <f>IFERROR(VLOOKUP(F1150,Procedimentos!A:C,2,),"")</f>
        <v>ABERTURA DE PROCESSO DE PAGAMENTO</v>
      </c>
      <c r="H1150" s="22" t="s">
        <v>7</v>
      </c>
      <c r="I1150" s="43"/>
      <c r="J1150" s="22">
        <v>12</v>
      </c>
      <c r="K1150" s="25" t="str">
        <f t="shared" si="54"/>
        <v/>
      </c>
      <c r="L1150" s="7"/>
      <c r="M1150" s="4"/>
      <c r="N1150" s="7"/>
      <c r="O1150" s="22" t="s">
        <v>28</v>
      </c>
      <c r="P1150" s="51"/>
      <c r="Q1150" s="51"/>
      <c r="R1150" s="51"/>
      <c r="S1150" s="7"/>
      <c r="T1150" s="7"/>
    </row>
    <row r="1151" spans="1:20" ht="14.25" customHeight="1">
      <c r="A1151" s="22">
        <v>1273</v>
      </c>
      <c r="B1151" s="33">
        <v>14525</v>
      </c>
      <c r="C1151" s="22" t="str">
        <f>IFERROR(VLOOKUP(B1151,Colaboradores!A:D,2,),"")</f>
        <v>IANKA PRAZERES CUNHA</v>
      </c>
      <c r="D1151" s="22" t="str">
        <f>IFERROR(VLOOKUP(B1151,Colaboradores!A:D,3,),"")</f>
        <v>GESTÃO INTEGRADA</v>
      </c>
      <c r="E1151" s="22" t="str">
        <f>IFERROR(VLOOKUP(B1151,Colaboradores!A:D,4,),"")</f>
        <v>ANALISTA DE GESTÃO INTEGRADA</v>
      </c>
      <c r="F1151" s="22" t="s">
        <v>19</v>
      </c>
      <c r="G1151" s="24" t="str">
        <f>IFERROR(VLOOKUP(F1151,Procedimentos!A:C,2,),"")</f>
        <v>DIRETRIZES PARA DOCUMENTOS NORMATIVOS</v>
      </c>
      <c r="H1151" s="22" t="s">
        <v>7</v>
      </c>
      <c r="I1151" s="43"/>
      <c r="J1151" s="22">
        <v>12</v>
      </c>
      <c r="K1151" s="25" t="str">
        <f t="shared" si="54"/>
        <v/>
      </c>
      <c r="L1151" s="7"/>
      <c r="M1151" s="4"/>
      <c r="N1151" s="7"/>
      <c r="O1151" s="22" t="s">
        <v>28</v>
      </c>
      <c r="P1151" s="51"/>
      <c r="Q1151" s="51"/>
      <c r="R1151" s="51"/>
      <c r="S1151" s="7"/>
      <c r="T1151" s="7"/>
    </row>
    <row r="1152" spans="1:20" ht="14.25" customHeight="1">
      <c r="A1152" s="22">
        <v>1274</v>
      </c>
      <c r="B1152" s="33">
        <v>14525</v>
      </c>
      <c r="C1152" s="22" t="str">
        <f>IFERROR(VLOOKUP(B1152,Colaboradores!A:D,2,),"")</f>
        <v>IANKA PRAZERES CUNHA</v>
      </c>
      <c r="D1152" s="22" t="str">
        <f>IFERROR(VLOOKUP(B1152,Colaboradores!A:D,3,),"")</f>
        <v>GESTÃO INTEGRADA</v>
      </c>
      <c r="E1152" s="22" t="str">
        <f>IFERROR(VLOOKUP(B1152,Colaboradores!A:D,4,),"")</f>
        <v>ANALISTA DE GESTÃO INTEGRADA</v>
      </c>
      <c r="F1152" s="22" t="s">
        <v>24</v>
      </c>
      <c r="G1152" s="24" t="str">
        <f>IFERROR(VLOOKUP(F1152,Procedimentos!A:C,2,),"")</f>
        <v>DIRETRIZES  PARA PROGRAMA 5S</v>
      </c>
      <c r="H1152" s="22" t="s">
        <v>7</v>
      </c>
      <c r="I1152" s="43"/>
      <c r="J1152" s="22">
        <v>12</v>
      </c>
      <c r="K1152" s="25" t="str">
        <f t="shared" si="54"/>
        <v/>
      </c>
      <c r="L1152" s="7"/>
      <c r="M1152" s="4"/>
      <c r="N1152" s="7"/>
      <c r="O1152" s="22" t="s">
        <v>28</v>
      </c>
      <c r="P1152" s="51"/>
      <c r="Q1152" s="51"/>
      <c r="R1152" s="51"/>
      <c r="S1152" s="7"/>
      <c r="T1152" s="7"/>
    </row>
    <row r="1153" spans="1:20" ht="14.25" customHeight="1">
      <c r="A1153" s="22">
        <v>1275</v>
      </c>
      <c r="B1153" s="33">
        <v>14525</v>
      </c>
      <c r="C1153" s="22" t="str">
        <f>IFERROR(VLOOKUP(B1153,Colaboradores!A:D,2,),"")</f>
        <v>IANKA PRAZERES CUNHA</v>
      </c>
      <c r="D1153" s="22" t="str">
        <f>IFERROR(VLOOKUP(B1153,Colaboradores!A:D,3,),"")</f>
        <v>GESTÃO INTEGRADA</v>
      </c>
      <c r="E1153" s="22" t="str">
        <f>IFERROR(VLOOKUP(B1153,Colaboradores!A:D,4,),"")</f>
        <v>ANALISTA DE GESTÃO INTEGRADA</v>
      </c>
      <c r="F1153" s="22" t="s">
        <v>26</v>
      </c>
      <c r="G1153" s="24" t="str">
        <f>IFERROR(VLOOKUP(F1153,Procedimentos!A:C,2,),"")</f>
        <v>RESPONSABILIDADES E AUTORIDADES DO SGQ</v>
      </c>
      <c r="H1153" s="22" t="s">
        <v>7</v>
      </c>
      <c r="I1153" s="43"/>
      <c r="J1153" s="22">
        <v>12</v>
      </c>
      <c r="K1153" s="25" t="str">
        <f t="shared" si="54"/>
        <v/>
      </c>
      <c r="L1153" s="7"/>
      <c r="M1153" s="4"/>
      <c r="N1153" s="7"/>
      <c r="O1153" s="22" t="s">
        <v>28</v>
      </c>
      <c r="P1153" s="51"/>
      <c r="Q1153" s="51"/>
      <c r="R1153" s="51"/>
      <c r="S1153" s="7"/>
      <c r="T1153" s="7"/>
    </row>
    <row r="1154" spans="1:20" ht="14.25" customHeight="1">
      <c r="A1154" s="22">
        <v>1276</v>
      </c>
      <c r="B1154" s="33">
        <v>14525</v>
      </c>
      <c r="C1154" s="22" t="str">
        <f>IFERROR(VLOOKUP(B1154,Colaboradores!A:D,2,),"")</f>
        <v>IANKA PRAZERES CUNHA</v>
      </c>
      <c r="D1154" s="22" t="str">
        <f>IFERROR(VLOOKUP(B1154,Colaboradores!A:D,3,),"")</f>
        <v>GESTÃO INTEGRADA</v>
      </c>
      <c r="E1154" s="22" t="str">
        <f>IFERROR(VLOOKUP(B1154,Colaboradores!A:D,4,),"")</f>
        <v>ANALISTA DE GESTÃO INTEGRADA</v>
      </c>
      <c r="F1154" s="22" t="s">
        <v>73</v>
      </c>
      <c r="G1154" s="24" t="str">
        <f>IFERROR(VLOOKUP(F1154,Procedimentos!A:C,2,),"")</f>
        <v>AQUISIÇÃO DE BENS E SERVIÇOS E AVALIAÇÃO PROVEDORES EXTERNOS</v>
      </c>
      <c r="H1154" s="25"/>
      <c r="I1154" s="43">
        <v>45911</v>
      </c>
      <c r="J1154" s="22">
        <v>12</v>
      </c>
      <c r="K1154" s="25">
        <f t="shared" si="54"/>
        <v>46276</v>
      </c>
      <c r="L1154" s="7"/>
      <c r="M1154" s="4"/>
      <c r="N1154" s="7"/>
      <c r="O1154" s="4"/>
      <c r="P1154" s="51"/>
      <c r="Q1154" s="51"/>
      <c r="R1154" s="51"/>
      <c r="S1154" s="7"/>
      <c r="T1154" s="7"/>
    </row>
    <row r="1155" spans="1:20" ht="14.25" customHeight="1">
      <c r="A1155" s="22">
        <v>1277</v>
      </c>
      <c r="B1155" s="33">
        <v>15068</v>
      </c>
      <c r="C1155" s="22" t="str">
        <f>IFERROR(VLOOKUP(B1155,Colaboradores!A:D,2,),"")</f>
        <v>TASSO CHAVES DE OLIVEIRA</v>
      </c>
      <c r="D1155" s="22" t="str">
        <f>IFERROR(VLOOKUP(B1155,Colaboradores!A:D,3,),"")</f>
        <v>GESTÃO INTEGRADA</v>
      </c>
      <c r="E1155" s="22" t="str">
        <f>IFERROR(VLOOKUP(B1155,Colaboradores!A:D,4,),"")</f>
        <v>ASSESSOR DE GESTÃO INTEGRADA</v>
      </c>
      <c r="F1155" s="22" t="s">
        <v>73</v>
      </c>
      <c r="G1155" s="24" t="str">
        <f>IFERROR(VLOOKUP(F1155,Procedimentos!A:C,2,),"")</f>
        <v>AQUISIÇÃO DE BENS E SERVIÇOS E AVALIAÇÃO PROVEDORES EXTERNOS</v>
      </c>
      <c r="H1155" s="25"/>
      <c r="I1155" s="43">
        <v>45911</v>
      </c>
      <c r="J1155" s="22">
        <v>12</v>
      </c>
      <c r="K1155" s="25">
        <f t="shared" ref="K1155:K1218" si="59">IF(AND(I1155&lt;&gt;"",J1155&lt;&gt;""),DATE(YEAR(I1155),MONTH(I1155)+J1155,DAY(I1155)),"")</f>
        <v>46276</v>
      </c>
      <c r="L1155" s="7"/>
      <c r="M1155" s="4"/>
      <c r="N1155" s="7"/>
      <c r="O1155" s="4"/>
      <c r="P1155" s="51"/>
      <c r="Q1155" s="51"/>
      <c r="R1155" s="51"/>
      <c r="S1155" s="7"/>
      <c r="T1155" s="7"/>
    </row>
    <row r="1156" spans="1:20" ht="14.25" customHeight="1">
      <c r="A1156" s="22">
        <v>1278</v>
      </c>
      <c r="B1156" s="33">
        <v>13750</v>
      </c>
      <c r="C1156" s="22" t="str">
        <f>IFERROR(VLOOKUP(B1156,Colaboradores!A:D,2,),"")</f>
        <v>JOSE ANTONIO ALVES MAGALHAES</v>
      </c>
      <c r="D1156" s="22" t="str">
        <f>IFERROR(VLOOKUP(B1156,Colaboradores!A:D,3,),"")</f>
        <v>GESTÃO INTEGRADA</v>
      </c>
      <c r="E1156" s="22" t="str">
        <f>IFERROR(VLOOKUP(B1156,Colaboradores!A:D,4,),"")</f>
        <v>GERENTE DE GESTÃO INTEGRADA</v>
      </c>
      <c r="F1156" s="22" t="s">
        <v>19</v>
      </c>
      <c r="G1156" s="24" t="str">
        <f>IFERROR(VLOOKUP(F1156,Procedimentos!A:C,2,),"")</f>
        <v>DIRETRIZES PARA DOCUMENTOS NORMATIVOS</v>
      </c>
      <c r="H1156" s="22" t="s">
        <v>7</v>
      </c>
      <c r="I1156" s="43"/>
      <c r="J1156" s="22">
        <v>12</v>
      </c>
      <c r="K1156" s="25" t="str">
        <f t="shared" si="59"/>
        <v/>
      </c>
      <c r="L1156" s="7"/>
      <c r="M1156" s="4"/>
      <c r="N1156" s="7"/>
      <c r="O1156" s="22" t="s">
        <v>28</v>
      </c>
      <c r="P1156" s="51"/>
      <c r="Q1156" s="51"/>
      <c r="R1156" s="51"/>
      <c r="S1156" s="7"/>
      <c r="T1156" s="7"/>
    </row>
    <row r="1157" spans="1:20" ht="14.25" customHeight="1">
      <c r="A1157" s="22">
        <v>1279</v>
      </c>
      <c r="B1157" s="33">
        <v>13750</v>
      </c>
      <c r="C1157" s="22" t="str">
        <f>IFERROR(VLOOKUP(B1157,Colaboradores!A:D,2,),"")</f>
        <v>JOSE ANTONIO ALVES MAGALHAES</v>
      </c>
      <c r="D1157" s="22" t="str">
        <f>IFERROR(VLOOKUP(B1157,Colaboradores!A:D,3,),"")</f>
        <v>GESTÃO INTEGRADA</v>
      </c>
      <c r="E1157" s="22" t="str">
        <f>IFERROR(VLOOKUP(B1157,Colaboradores!A:D,4,),"")</f>
        <v>GERENTE DE GESTÃO INTEGRADA</v>
      </c>
      <c r="F1157" s="22" t="s">
        <v>24</v>
      </c>
      <c r="G1157" s="24" t="str">
        <f>IFERROR(VLOOKUP(F1157,Procedimentos!A:C,2,),"")</f>
        <v>DIRETRIZES  PARA PROGRAMA 5S</v>
      </c>
      <c r="H1157" s="22" t="s">
        <v>7</v>
      </c>
      <c r="I1157" s="43"/>
      <c r="J1157" s="22">
        <v>12</v>
      </c>
      <c r="K1157" s="25" t="str">
        <f t="shared" si="59"/>
        <v/>
      </c>
      <c r="L1157" s="7"/>
      <c r="M1157" s="4"/>
      <c r="N1157" s="7"/>
      <c r="O1157" s="22" t="s">
        <v>28</v>
      </c>
      <c r="P1157" s="51"/>
      <c r="Q1157" s="51"/>
      <c r="R1157" s="51"/>
      <c r="S1157" s="7"/>
      <c r="T1157" s="7"/>
    </row>
    <row r="1158" spans="1:20" ht="14.25" customHeight="1">
      <c r="A1158" s="22">
        <v>1280</v>
      </c>
      <c r="B1158" s="33">
        <v>13750</v>
      </c>
      <c r="C1158" s="22" t="str">
        <f>IFERROR(VLOOKUP(B1158,Colaboradores!A:D,2,),"")</f>
        <v>JOSE ANTONIO ALVES MAGALHAES</v>
      </c>
      <c r="D1158" s="22" t="str">
        <f>IFERROR(VLOOKUP(B1158,Colaboradores!A:D,3,),"")</f>
        <v>GESTÃO INTEGRADA</v>
      </c>
      <c r="E1158" s="22" t="str">
        <f>IFERROR(VLOOKUP(B1158,Colaboradores!A:D,4,),"")</f>
        <v>GERENTE DE GESTÃO INTEGRADA</v>
      </c>
      <c r="F1158" s="22" t="s">
        <v>25</v>
      </c>
      <c r="G1158" s="24" t="str">
        <f>IFERROR(VLOOKUP(F1158,Procedimentos!A:C,2,),"")</f>
        <v>GARANTIA DA QUALIDADE</v>
      </c>
      <c r="H1158" s="22" t="s">
        <v>7</v>
      </c>
      <c r="I1158" s="43"/>
      <c r="J1158" s="22">
        <v>12</v>
      </c>
      <c r="K1158" s="25" t="str">
        <f t="shared" si="59"/>
        <v/>
      </c>
      <c r="L1158" s="7"/>
      <c r="M1158" s="4"/>
      <c r="N1158" s="7"/>
      <c r="O1158" s="22" t="s">
        <v>28</v>
      </c>
      <c r="P1158" s="51"/>
      <c r="Q1158" s="51"/>
      <c r="R1158" s="51"/>
      <c r="S1158" s="7"/>
      <c r="T1158" s="7"/>
    </row>
    <row r="1159" spans="1:20" ht="14.25" customHeight="1">
      <c r="A1159" s="22">
        <v>1281</v>
      </c>
      <c r="B1159" s="33">
        <v>13750</v>
      </c>
      <c r="C1159" s="22" t="str">
        <f>IFERROR(VLOOKUP(B1159,Colaboradores!A:D,2,),"")</f>
        <v>JOSE ANTONIO ALVES MAGALHAES</v>
      </c>
      <c r="D1159" s="22" t="str">
        <f>IFERROR(VLOOKUP(B1159,Colaboradores!A:D,3,),"")</f>
        <v>GESTÃO INTEGRADA</v>
      </c>
      <c r="E1159" s="22" t="str">
        <f>IFERROR(VLOOKUP(B1159,Colaboradores!A:D,4,),"")</f>
        <v>GERENTE DE GESTÃO INTEGRADA</v>
      </c>
      <c r="F1159" s="22" t="s">
        <v>26</v>
      </c>
      <c r="G1159" s="24" t="str">
        <f>IFERROR(VLOOKUP(F1159,Procedimentos!A:C,2,),"")</f>
        <v>RESPONSABILIDADES E AUTORIDADES DO SGQ</v>
      </c>
      <c r="H1159" s="22" t="s">
        <v>7</v>
      </c>
      <c r="I1159" s="43"/>
      <c r="J1159" s="22">
        <v>12</v>
      </c>
      <c r="K1159" s="25" t="str">
        <f t="shared" si="59"/>
        <v/>
      </c>
      <c r="L1159" s="7"/>
      <c r="M1159" s="4"/>
      <c r="N1159" s="7"/>
      <c r="O1159" s="22" t="s">
        <v>28</v>
      </c>
      <c r="P1159" s="51"/>
      <c r="Q1159" s="51"/>
      <c r="R1159" s="51"/>
      <c r="S1159" s="7"/>
      <c r="T1159" s="7"/>
    </row>
    <row r="1160" spans="1:20" ht="14.25" customHeight="1">
      <c r="A1160" s="22">
        <v>1282</v>
      </c>
      <c r="B1160" s="33">
        <v>12712</v>
      </c>
      <c r="C1160" s="22" t="str">
        <f>IFERROR(VLOOKUP(B1160,Colaboradores!A:D,2,),"")</f>
        <v>JOYCE CLEIA MIRANDA BARROS</v>
      </c>
      <c r="D1160" s="22" t="str">
        <f>IFERROR(VLOOKUP(B1160,Colaboradores!A:D,3,),"")</f>
        <v>GESTÃO INTEGRADA</v>
      </c>
      <c r="E1160" s="22" t="str">
        <f>IFERROR(VLOOKUP(B1160,Colaboradores!A:D,4,),"")</f>
        <v>ANALISTA DE GESTÃO INTEGRADA</v>
      </c>
      <c r="F1160" s="22" t="s">
        <v>73</v>
      </c>
      <c r="G1160" s="24" t="str">
        <f>IFERROR(VLOOKUP(F1160,Procedimentos!A:C,2,),"")</f>
        <v>AQUISIÇÃO DE BENS E SERVIÇOS E AVALIAÇÃO PROVEDORES EXTERNOS</v>
      </c>
      <c r="H1160" s="25"/>
      <c r="I1160" s="43">
        <v>45911</v>
      </c>
      <c r="J1160" s="22">
        <v>12</v>
      </c>
      <c r="K1160" s="25">
        <f t="shared" si="59"/>
        <v>46276</v>
      </c>
      <c r="L1160" s="7"/>
      <c r="M1160" s="4"/>
      <c r="N1160" s="7"/>
      <c r="O1160" s="4"/>
      <c r="P1160" s="51"/>
      <c r="Q1160" s="51"/>
      <c r="R1160" s="51"/>
      <c r="S1160" s="7"/>
      <c r="T1160" s="7"/>
    </row>
    <row r="1161" spans="1:20" ht="14.25" customHeight="1">
      <c r="A1161" s="22">
        <v>1283</v>
      </c>
      <c r="B1161" s="33">
        <v>12712</v>
      </c>
      <c r="C1161" s="22" t="str">
        <f>IFERROR(VLOOKUP(B1161,Colaboradores!A:D,2,),"")</f>
        <v>JOYCE CLEIA MIRANDA BARROS</v>
      </c>
      <c r="D1161" s="22" t="str">
        <f>IFERROR(VLOOKUP(B1161,Colaboradores!A:D,3,),"")</f>
        <v>GESTÃO INTEGRADA</v>
      </c>
      <c r="E1161" s="22" t="str">
        <f>IFERROR(VLOOKUP(B1161,Colaboradores!A:D,4,),"")</f>
        <v>ANALISTA DE GESTÃO INTEGRADA</v>
      </c>
      <c r="F1161" s="22" t="s">
        <v>19</v>
      </c>
      <c r="G1161" s="24" t="str">
        <f>IFERROR(VLOOKUP(F1161,Procedimentos!A:C,2,),"")</f>
        <v>DIRETRIZES PARA DOCUMENTOS NORMATIVOS</v>
      </c>
      <c r="H1161" s="22" t="s">
        <v>7</v>
      </c>
      <c r="I1161" s="43"/>
      <c r="J1161" s="22">
        <v>12</v>
      </c>
      <c r="K1161" s="25" t="str">
        <f t="shared" si="59"/>
        <v/>
      </c>
      <c r="L1161" s="7"/>
      <c r="M1161" s="4"/>
      <c r="N1161" s="7"/>
      <c r="O1161" s="22" t="s">
        <v>28</v>
      </c>
      <c r="P1161" s="51"/>
      <c r="Q1161" s="51"/>
      <c r="R1161" s="51"/>
      <c r="S1161" s="7"/>
      <c r="T1161" s="7"/>
    </row>
    <row r="1162" spans="1:20" ht="14.25" customHeight="1">
      <c r="A1162" s="22">
        <v>1284</v>
      </c>
      <c r="B1162" s="33">
        <v>12712</v>
      </c>
      <c r="C1162" s="22" t="str">
        <f>IFERROR(VLOOKUP(B1162,Colaboradores!A:D,2,),"")</f>
        <v>JOYCE CLEIA MIRANDA BARROS</v>
      </c>
      <c r="D1162" s="22" t="str">
        <f>IFERROR(VLOOKUP(B1162,Colaboradores!A:D,3,),"")</f>
        <v>GESTÃO INTEGRADA</v>
      </c>
      <c r="E1162" s="22" t="str">
        <f>IFERROR(VLOOKUP(B1162,Colaboradores!A:D,4,),"")</f>
        <v>ANALISTA DE GESTÃO INTEGRADA</v>
      </c>
      <c r="F1162" s="22" t="s">
        <v>24</v>
      </c>
      <c r="G1162" s="24" t="str">
        <f>IFERROR(VLOOKUP(F1162,Procedimentos!A:C,2,),"")</f>
        <v>DIRETRIZES  PARA PROGRAMA 5S</v>
      </c>
      <c r="H1162" s="22" t="s">
        <v>7</v>
      </c>
      <c r="I1162" s="43"/>
      <c r="J1162" s="22">
        <v>12</v>
      </c>
      <c r="K1162" s="25" t="str">
        <f t="shared" si="59"/>
        <v/>
      </c>
      <c r="L1162" s="7"/>
      <c r="M1162" s="4"/>
      <c r="N1162" s="7"/>
      <c r="O1162" s="22" t="s">
        <v>28</v>
      </c>
      <c r="P1162" s="51"/>
      <c r="Q1162" s="51"/>
      <c r="R1162" s="51"/>
      <c r="S1162" s="7"/>
      <c r="T1162" s="7"/>
    </row>
    <row r="1163" spans="1:20" ht="14.25" customHeight="1">
      <c r="A1163" s="22">
        <v>1285</v>
      </c>
      <c r="B1163" s="33">
        <v>12712</v>
      </c>
      <c r="C1163" s="22" t="str">
        <f>IFERROR(VLOOKUP(B1163,Colaboradores!A:D,2,),"")</f>
        <v>JOYCE CLEIA MIRANDA BARROS</v>
      </c>
      <c r="D1163" s="22" t="str">
        <f>IFERROR(VLOOKUP(B1163,Colaboradores!A:D,3,),"")</f>
        <v>GESTÃO INTEGRADA</v>
      </c>
      <c r="E1163" s="22" t="str">
        <f>IFERROR(VLOOKUP(B1163,Colaboradores!A:D,4,),"")</f>
        <v>ANALISTA DE GESTÃO INTEGRADA</v>
      </c>
      <c r="F1163" s="22" t="s">
        <v>25</v>
      </c>
      <c r="G1163" s="24" t="str">
        <f>IFERROR(VLOOKUP(F1163,Procedimentos!A:C,2,),"")</f>
        <v>GARANTIA DA QUALIDADE</v>
      </c>
      <c r="H1163" s="22" t="s">
        <v>7</v>
      </c>
      <c r="I1163" s="43"/>
      <c r="J1163" s="22">
        <v>12</v>
      </c>
      <c r="K1163" s="25" t="str">
        <f t="shared" si="59"/>
        <v/>
      </c>
      <c r="L1163" s="7"/>
      <c r="M1163" s="4"/>
      <c r="N1163" s="7"/>
      <c r="O1163" s="22" t="s">
        <v>28</v>
      </c>
      <c r="P1163" s="51"/>
      <c r="Q1163" s="51"/>
      <c r="R1163" s="51"/>
      <c r="S1163" s="7"/>
      <c r="T1163" s="7"/>
    </row>
    <row r="1164" spans="1:20" ht="14.25" customHeight="1">
      <c r="A1164" s="22">
        <v>1286</v>
      </c>
      <c r="B1164" s="33">
        <v>12712</v>
      </c>
      <c r="C1164" s="22" t="str">
        <f>IFERROR(VLOOKUP(B1164,Colaboradores!A:D,2,),"")</f>
        <v>JOYCE CLEIA MIRANDA BARROS</v>
      </c>
      <c r="D1164" s="22" t="str">
        <f>IFERROR(VLOOKUP(B1164,Colaboradores!A:D,3,),"")</f>
        <v>GESTÃO INTEGRADA</v>
      </c>
      <c r="E1164" s="22" t="str">
        <f>IFERROR(VLOOKUP(B1164,Colaboradores!A:D,4,),"")</f>
        <v>ANALISTA DE GESTÃO INTEGRADA</v>
      </c>
      <c r="F1164" s="22" t="s">
        <v>26</v>
      </c>
      <c r="G1164" s="24" t="str">
        <f>IFERROR(VLOOKUP(F1164,Procedimentos!A:C,2,),"")</f>
        <v>RESPONSABILIDADES E AUTORIDADES DO SGQ</v>
      </c>
      <c r="H1164" s="22" t="s">
        <v>7</v>
      </c>
      <c r="I1164" s="43"/>
      <c r="J1164" s="22">
        <v>12</v>
      </c>
      <c r="K1164" s="25" t="str">
        <f t="shared" si="59"/>
        <v/>
      </c>
      <c r="L1164" s="7"/>
      <c r="M1164" s="4"/>
      <c r="N1164" s="7"/>
      <c r="O1164" s="22" t="s">
        <v>28</v>
      </c>
      <c r="P1164" s="51"/>
      <c r="Q1164" s="51"/>
      <c r="R1164" s="51"/>
      <c r="S1164" s="7"/>
      <c r="T1164" s="7"/>
    </row>
    <row r="1165" spans="1:20" ht="14.25" customHeight="1">
      <c r="A1165" s="22">
        <v>1287</v>
      </c>
      <c r="B1165" s="33">
        <v>13787</v>
      </c>
      <c r="C1165" s="22" t="str">
        <f>IFERROR(VLOOKUP(B1165,Colaboradores!A:D,2,),"")</f>
        <v>KELLE SOCORRO MENDES GUIGNONI</v>
      </c>
      <c r="D1165" s="22" t="str">
        <f>IFERROR(VLOOKUP(B1165,Colaboradores!A:D,3,),"")</f>
        <v>GESTÃO INTEGRADA</v>
      </c>
      <c r="E1165" s="22" t="str">
        <f>IFERROR(VLOOKUP(B1165,Colaboradores!A:D,4,),"")</f>
        <v>ANALISTA DE GESTÃO INTEGRADA</v>
      </c>
      <c r="F1165" s="22" t="s">
        <v>19</v>
      </c>
      <c r="G1165" s="24" t="str">
        <f>IFERROR(VLOOKUP(F1165,Procedimentos!A:C,2,),"")</f>
        <v>DIRETRIZES PARA DOCUMENTOS NORMATIVOS</v>
      </c>
      <c r="H1165" s="22" t="s">
        <v>7</v>
      </c>
      <c r="I1165" s="43"/>
      <c r="J1165" s="22">
        <v>12</v>
      </c>
      <c r="K1165" s="25" t="str">
        <f t="shared" si="59"/>
        <v/>
      </c>
      <c r="L1165" s="7"/>
      <c r="M1165" s="4"/>
      <c r="N1165" s="7"/>
      <c r="O1165" s="22" t="s">
        <v>28</v>
      </c>
      <c r="P1165" s="51"/>
      <c r="Q1165" s="51"/>
      <c r="R1165" s="51"/>
      <c r="S1165" s="7"/>
      <c r="T1165" s="7"/>
    </row>
    <row r="1166" spans="1:20" ht="14.25" customHeight="1">
      <c r="A1166" s="22">
        <v>1288</v>
      </c>
      <c r="B1166" s="33">
        <v>13787</v>
      </c>
      <c r="C1166" s="22" t="str">
        <f>IFERROR(VLOOKUP(B1166,Colaboradores!A:D,2,),"")</f>
        <v>KELLE SOCORRO MENDES GUIGNONI</v>
      </c>
      <c r="D1166" s="22" t="str">
        <f>IFERROR(VLOOKUP(B1166,Colaboradores!A:D,3,),"")</f>
        <v>GESTÃO INTEGRADA</v>
      </c>
      <c r="E1166" s="22" t="str">
        <f>IFERROR(VLOOKUP(B1166,Colaboradores!A:D,4,),"")</f>
        <v>ANALISTA DE GESTÃO INTEGRADA</v>
      </c>
      <c r="F1166" s="22" t="s">
        <v>24</v>
      </c>
      <c r="G1166" s="24" t="str">
        <f>IFERROR(VLOOKUP(F1166,Procedimentos!A:C,2,),"")</f>
        <v>DIRETRIZES  PARA PROGRAMA 5S</v>
      </c>
      <c r="H1166" s="22" t="s">
        <v>7</v>
      </c>
      <c r="I1166" s="43"/>
      <c r="J1166" s="22">
        <v>12</v>
      </c>
      <c r="K1166" s="25" t="str">
        <f t="shared" si="59"/>
        <v/>
      </c>
      <c r="L1166" s="7"/>
      <c r="M1166" s="4"/>
      <c r="N1166" s="7"/>
      <c r="O1166" s="22" t="s">
        <v>28</v>
      </c>
      <c r="P1166" s="51"/>
      <c r="Q1166" s="51"/>
      <c r="R1166" s="51"/>
      <c r="S1166" s="7"/>
      <c r="T1166" s="7"/>
    </row>
    <row r="1167" spans="1:20" ht="14.25" customHeight="1">
      <c r="A1167" s="22">
        <v>1290</v>
      </c>
      <c r="B1167" s="33">
        <v>13787</v>
      </c>
      <c r="C1167" s="22" t="str">
        <f>IFERROR(VLOOKUP(B1167,Colaboradores!A:D,2,),"")</f>
        <v>KELLE SOCORRO MENDES GUIGNONI</v>
      </c>
      <c r="D1167" s="22" t="str">
        <f>IFERROR(VLOOKUP(B1167,Colaboradores!A:D,3,),"")</f>
        <v>GESTÃO INTEGRADA</v>
      </c>
      <c r="E1167" s="22" t="str">
        <f>IFERROR(VLOOKUP(B1167,Colaboradores!A:D,4,),"")</f>
        <v>ANALISTA DE GESTÃO INTEGRADA</v>
      </c>
      <c r="F1167" s="22" t="s">
        <v>26</v>
      </c>
      <c r="G1167" s="24" t="str">
        <f>IFERROR(VLOOKUP(F1167,Procedimentos!A:C,2,),"")</f>
        <v>RESPONSABILIDADES E AUTORIDADES DO SGQ</v>
      </c>
      <c r="H1167" s="22" t="s">
        <v>7</v>
      </c>
      <c r="I1167" s="43"/>
      <c r="J1167" s="22">
        <v>12</v>
      </c>
      <c r="K1167" s="25" t="str">
        <f t="shared" si="59"/>
        <v/>
      </c>
      <c r="L1167" s="7"/>
      <c r="M1167" s="4"/>
      <c r="N1167" s="7"/>
      <c r="O1167" s="22" t="s">
        <v>28</v>
      </c>
      <c r="P1167" s="51"/>
      <c r="Q1167" s="51"/>
      <c r="R1167" s="51"/>
      <c r="S1167" s="7"/>
      <c r="T1167" s="7"/>
    </row>
    <row r="1168" spans="1:20" ht="14.25" customHeight="1">
      <c r="A1168" s="22">
        <v>1291</v>
      </c>
      <c r="B1168" s="33">
        <v>13787</v>
      </c>
      <c r="C1168" s="22" t="str">
        <f>IFERROR(VLOOKUP(B1168,Colaboradores!A:D,2,),"")</f>
        <v>KELLE SOCORRO MENDES GUIGNONI</v>
      </c>
      <c r="D1168" s="22" t="str">
        <f>IFERROR(VLOOKUP(B1168,Colaboradores!A:D,3,),"")</f>
        <v>GESTÃO INTEGRADA</v>
      </c>
      <c r="E1168" s="22" t="str">
        <f>IFERROR(VLOOKUP(B1168,Colaboradores!A:D,4,),"")</f>
        <v>ANALISTA DE GESTÃO INTEGRADA</v>
      </c>
      <c r="F1168" s="22" t="s">
        <v>73</v>
      </c>
      <c r="G1168" s="24" t="str">
        <f>IFERROR(VLOOKUP(F1168,Procedimentos!A:C,2,),"")</f>
        <v>AQUISIÇÃO DE BENS E SERVIÇOS E AVALIAÇÃO PROVEDORES EXTERNOS</v>
      </c>
      <c r="H1168" s="25"/>
      <c r="I1168" s="43">
        <v>45911</v>
      </c>
      <c r="J1168" s="22">
        <v>12</v>
      </c>
      <c r="K1168" s="25">
        <f t="shared" si="59"/>
        <v>46276</v>
      </c>
      <c r="L1168" s="7"/>
      <c r="M1168" s="4"/>
      <c r="N1168" s="7"/>
      <c r="O1168" s="4"/>
      <c r="P1168" s="51"/>
      <c r="Q1168" s="51"/>
      <c r="R1168" s="51"/>
      <c r="S1168" s="7"/>
      <c r="T1168" s="7"/>
    </row>
    <row r="1169" spans="1:20" ht="14.25" customHeight="1">
      <c r="A1169" s="22">
        <v>1292</v>
      </c>
      <c r="B1169" s="33">
        <v>12685</v>
      </c>
      <c r="C1169" s="22" t="str">
        <f>IFERROR(VLOOKUP(B1169,Colaboradores!A:D,2,),"")</f>
        <v>LIDIANA CRISTINA MIRANDA FERREIRA</v>
      </c>
      <c r="D1169" s="22" t="str">
        <f>IFERROR(VLOOKUP(B1169,Colaboradores!A:D,3,),"")</f>
        <v>GESTÃO INTEGRADA</v>
      </c>
      <c r="E1169" s="22" t="str">
        <f>IFERROR(VLOOKUP(B1169,Colaboradores!A:D,4,),"")</f>
        <v>COORDENADOR DE GESTÃO INTEGRADA</v>
      </c>
      <c r="F1169" s="22" t="s">
        <v>19</v>
      </c>
      <c r="G1169" s="24" t="str">
        <f>IFERROR(VLOOKUP(F1169,Procedimentos!A:C,2,),"")</f>
        <v>DIRETRIZES PARA DOCUMENTOS NORMATIVOS</v>
      </c>
      <c r="H1169" s="22" t="s">
        <v>7</v>
      </c>
      <c r="I1169" s="43"/>
      <c r="J1169" s="22">
        <v>12</v>
      </c>
      <c r="K1169" s="25" t="str">
        <f t="shared" si="59"/>
        <v/>
      </c>
      <c r="L1169" s="7"/>
      <c r="M1169" s="4"/>
      <c r="N1169" s="7"/>
      <c r="O1169" s="22" t="s">
        <v>28</v>
      </c>
      <c r="P1169" s="51"/>
      <c r="Q1169" s="51"/>
      <c r="R1169" s="51"/>
      <c r="S1169" s="7"/>
      <c r="T1169" s="7"/>
    </row>
    <row r="1170" spans="1:20" ht="14.25" customHeight="1">
      <c r="A1170" s="22">
        <v>1293</v>
      </c>
      <c r="B1170" s="33">
        <v>12685</v>
      </c>
      <c r="C1170" s="22" t="str">
        <f>IFERROR(VLOOKUP(B1170,Colaboradores!A:D,2,),"")</f>
        <v>LIDIANA CRISTINA MIRANDA FERREIRA</v>
      </c>
      <c r="D1170" s="22" t="str">
        <f>IFERROR(VLOOKUP(B1170,Colaboradores!A:D,3,),"")</f>
        <v>GESTÃO INTEGRADA</v>
      </c>
      <c r="E1170" s="22" t="str">
        <f>IFERROR(VLOOKUP(B1170,Colaboradores!A:D,4,),"")</f>
        <v>COORDENADOR DE GESTÃO INTEGRADA</v>
      </c>
      <c r="F1170" s="22" t="s">
        <v>24</v>
      </c>
      <c r="G1170" s="24" t="str">
        <f>IFERROR(VLOOKUP(F1170,Procedimentos!A:C,2,),"")</f>
        <v>DIRETRIZES  PARA PROGRAMA 5S</v>
      </c>
      <c r="H1170" s="22" t="s">
        <v>7</v>
      </c>
      <c r="I1170" s="43"/>
      <c r="J1170" s="22">
        <v>12</v>
      </c>
      <c r="K1170" s="25" t="str">
        <f t="shared" si="59"/>
        <v/>
      </c>
      <c r="L1170" s="7"/>
      <c r="M1170" s="4"/>
      <c r="N1170" s="7"/>
      <c r="O1170" s="22" t="s">
        <v>28</v>
      </c>
      <c r="P1170" s="51"/>
      <c r="Q1170" s="51"/>
      <c r="R1170" s="51"/>
      <c r="S1170" s="7"/>
      <c r="T1170" s="7"/>
    </row>
    <row r="1171" spans="1:20" ht="14.25" customHeight="1">
      <c r="A1171" s="22">
        <v>1294</v>
      </c>
      <c r="B1171" s="33">
        <v>12685</v>
      </c>
      <c r="C1171" s="22" t="str">
        <f>IFERROR(VLOOKUP(B1171,Colaboradores!A:D,2,),"")</f>
        <v>LIDIANA CRISTINA MIRANDA FERREIRA</v>
      </c>
      <c r="D1171" s="22" t="str">
        <f>IFERROR(VLOOKUP(B1171,Colaboradores!A:D,3,),"")</f>
        <v>GESTÃO INTEGRADA</v>
      </c>
      <c r="E1171" s="22" t="str">
        <f>IFERROR(VLOOKUP(B1171,Colaboradores!A:D,4,),"")</f>
        <v>COORDENADOR DE GESTÃO INTEGRADA</v>
      </c>
      <c r="F1171" s="22" t="s">
        <v>67</v>
      </c>
      <c r="G1171" s="24" t="str">
        <f>IFERROR(VLOOKUP(F1171,Procedimentos!A:C,2,),"")</f>
        <v>SISTEMATICA DE ROTINA DE REUNIÕES DA DESSMA</v>
      </c>
      <c r="H1171" s="22" t="s">
        <v>7</v>
      </c>
      <c r="I1171" s="43"/>
      <c r="J1171" s="22">
        <v>12</v>
      </c>
      <c r="K1171" s="25" t="str">
        <f t="shared" si="59"/>
        <v/>
      </c>
      <c r="L1171" s="7"/>
      <c r="M1171" s="4"/>
      <c r="N1171" s="7"/>
      <c r="O1171" s="22" t="s">
        <v>28</v>
      </c>
      <c r="P1171" s="51"/>
      <c r="Q1171" s="51"/>
      <c r="R1171" s="51"/>
      <c r="S1171" s="7"/>
      <c r="T1171" s="7"/>
    </row>
    <row r="1172" spans="1:20" ht="14.25" customHeight="1">
      <c r="A1172" s="22">
        <v>1295</v>
      </c>
      <c r="B1172" s="33">
        <v>12685</v>
      </c>
      <c r="C1172" s="22" t="str">
        <f>IFERROR(VLOOKUP(B1172,Colaboradores!A:D,2,),"")</f>
        <v>LIDIANA CRISTINA MIRANDA FERREIRA</v>
      </c>
      <c r="D1172" s="22" t="str">
        <f>IFERROR(VLOOKUP(B1172,Colaboradores!A:D,3,),"")</f>
        <v>GESTÃO INTEGRADA</v>
      </c>
      <c r="E1172" s="22" t="str">
        <f>IFERROR(VLOOKUP(B1172,Colaboradores!A:D,4,),"")</f>
        <v>COORDENADOR DE GESTÃO INTEGRADA</v>
      </c>
      <c r="F1172" s="22" t="s">
        <v>25</v>
      </c>
      <c r="G1172" s="24" t="str">
        <f>IFERROR(VLOOKUP(F1172,Procedimentos!A:C,2,),"")</f>
        <v>GARANTIA DA QUALIDADE</v>
      </c>
      <c r="H1172" s="22" t="s">
        <v>7</v>
      </c>
      <c r="I1172" s="43"/>
      <c r="J1172" s="22">
        <v>12</v>
      </c>
      <c r="K1172" s="25" t="str">
        <f t="shared" si="59"/>
        <v/>
      </c>
      <c r="L1172" s="7"/>
      <c r="M1172" s="4"/>
      <c r="N1172" s="7"/>
      <c r="O1172" s="22" t="s">
        <v>28</v>
      </c>
      <c r="P1172" s="51"/>
      <c r="Q1172" s="51"/>
      <c r="R1172" s="51"/>
      <c r="S1172" s="7"/>
      <c r="T1172" s="7"/>
    </row>
    <row r="1173" spans="1:20" ht="14.25" customHeight="1">
      <c r="A1173" s="22">
        <v>1296</v>
      </c>
      <c r="B1173" s="33">
        <v>12685</v>
      </c>
      <c r="C1173" s="22" t="str">
        <f>IFERROR(VLOOKUP(B1173,Colaboradores!A:D,2,),"")</f>
        <v>LIDIANA CRISTINA MIRANDA FERREIRA</v>
      </c>
      <c r="D1173" s="22" t="str">
        <f>IFERROR(VLOOKUP(B1173,Colaboradores!A:D,3,),"")</f>
        <v>GESTÃO INTEGRADA</v>
      </c>
      <c r="E1173" s="22" t="str">
        <f>IFERROR(VLOOKUP(B1173,Colaboradores!A:D,4,),"")</f>
        <v>COORDENADOR DE GESTÃO INTEGRADA</v>
      </c>
      <c r="F1173" s="22" t="s">
        <v>26</v>
      </c>
      <c r="G1173" s="24" t="str">
        <f>IFERROR(VLOOKUP(F1173,Procedimentos!A:C,2,),"")</f>
        <v>RESPONSABILIDADES E AUTORIDADES DO SGQ</v>
      </c>
      <c r="H1173" s="22" t="s">
        <v>7</v>
      </c>
      <c r="I1173" s="43"/>
      <c r="J1173" s="22">
        <v>12</v>
      </c>
      <c r="K1173" s="25" t="str">
        <f t="shared" si="59"/>
        <v/>
      </c>
      <c r="L1173" s="7"/>
      <c r="M1173" s="4"/>
      <c r="N1173" s="7"/>
      <c r="O1173" s="22" t="s">
        <v>28</v>
      </c>
      <c r="P1173" s="51"/>
      <c r="Q1173" s="51"/>
      <c r="R1173" s="51"/>
      <c r="S1173" s="7"/>
      <c r="T1173" s="7"/>
    </row>
    <row r="1174" spans="1:20" ht="14.25" customHeight="1">
      <c r="A1174" s="22">
        <v>1297</v>
      </c>
      <c r="B1174" s="33">
        <v>12685</v>
      </c>
      <c r="C1174" s="22" t="str">
        <f>IFERROR(VLOOKUP(B1174,Colaboradores!A:D,2,),"")</f>
        <v>LIDIANA CRISTINA MIRANDA FERREIRA</v>
      </c>
      <c r="D1174" s="22" t="str">
        <f>IFERROR(VLOOKUP(B1174,Colaboradores!A:D,3,),"")</f>
        <v>GESTÃO INTEGRADA</v>
      </c>
      <c r="E1174" s="22" t="str">
        <f>IFERROR(VLOOKUP(B1174,Colaboradores!A:D,4,),"")</f>
        <v>COORDENADOR DE GESTÃO INTEGRADA</v>
      </c>
      <c r="F1174" s="22" t="s">
        <v>73</v>
      </c>
      <c r="G1174" s="24" t="str">
        <f>IFERROR(VLOOKUP(F1174,Procedimentos!A:C,2,),"")</f>
        <v>AQUISIÇÃO DE BENS E SERVIÇOS E AVALIAÇÃO PROVEDORES EXTERNOS</v>
      </c>
      <c r="H1174" s="25"/>
      <c r="I1174" s="43">
        <v>45911</v>
      </c>
      <c r="J1174" s="22">
        <v>12</v>
      </c>
      <c r="K1174" s="25">
        <f t="shared" si="59"/>
        <v>46276</v>
      </c>
      <c r="L1174" s="7"/>
      <c r="M1174" s="4"/>
      <c r="N1174" s="7"/>
      <c r="O1174" s="4"/>
      <c r="P1174" s="51"/>
      <c r="Q1174" s="51"/>
      <c r="R1174" s="51"/>
      <c r="S1174" s="7"/>
      <c r="T1174" s="7"/>
    </row>
    <row r="1175" spans="1:20" ht="14.25" customHeight="1">
      <c r="A1175" s="22">
        <v>1298</v>
      </c>
      <c r="B1175" s="33">
        <v>15011</v>
      </c>
      <c r="C1175" s="22" t="str">
        <f>IFERROR(VLOOKUP(B1175,Colaboradores!A:D,2,),"")</f>
        <v>RAFAEL FREITAS DE PAULA</v>
      </c>
      <c r="D1175" s="22" t="str">
        <f>IFERROR(VLOOKUP(B1175,Colaboradores!A:D,3,),"")</f>
        <v>GESTÃO INTEGRADA</v>
      </c>
      <c r="E1175" s="22" t="str">
        <f>IFERROR(VLOOKUP(B1175,Colaboradores!A:D,4,),"")</f>
        <v>ANALISTA DA QUALIDADE</v>
      </c>
      <c r="F1175" s="22" t="s">
        <v>67</v>
      </c>
      <c r="G1175" s="24" t="str">
        <f>IFERROR(VLOOKUP(F1175,Procedimentos!A:C,2,),"")</f>
        <v>SISTEMATICA DE ROTINA DE REUNIÕES DA DESSMA</v>
      </c>
      <c r="H1175" s="25"/>
      <c r="I1175" s="43"/>
      <c r="J1175" s="22">
        <v>12</v>
      </c>
      <c r="K1175" s="25" t="str">
        <f t="shared" si="59"/>
        <v/>
      </c>
      <c r="L1175" s="7"/>
      <c r="M1175" s="4"/>
      <c r="N1175" s="7"/>
      <c r="O1175" s="4"/>
      <c r="P1175" s="51"/>
      <c r="Q1175" s="51"/>
      <c r="R1175" s="51"/>
      <c r="S1175" s="7"/>
      <c r="T1175" s="7"/>
    </row>
    <row r="1176" spans="1:20" ht="14.25" customHeight="1">
      <c r="A1176" s="22">
        <v>1299</v>
      </c>
      <c r="B1176" s="33">
        <v>15011</v>
      </c>
      <c r="C1176" s="22" t="str">
        <f>IFERROR(VLOOKUP(B1176,Colaboradores!A:D,2,),"")</f>
        <v>RAFAEL FREITAS DE PAULA</v>
      </c>
      <c r="D1176" s="22" t="str">
        <f>IFERROR(VLOOKUP(B1176,Colaboradores!A:D,3,),"")</f>
        <v>GESTÃO INTEGRADA</v>
      </c>
      <c r="E1176" s="22" t="str">
        <f>IFERROR(VLOOKUP(B1176,Colaboradores!A:D,4,),"")</f>
        <v>ANALISTA DA QUALIDADE</v>
      </c>
      <c r="F1176" s="22" t="s">
        <v>68</v>
      </c>
      <c r="G1176" s="24" t="str">
        <f>IFERROR(VLOOKUP(F1176,Procedimentos!A:C,2,),"")</f>
        <v>GESTÃO INDICADORES</v>
      </c>
      <c r="H1176" s="25"/>
      <c r="I1176" s="43"/>
      <c r="J1176" s="22">
        <v>12</v>
      </c>
      <c r="K1176" s="25" t="str">
        <f t="shared" si="59"/>
        <v/>
      </c>
      <c r="L1176" s="7"/>
      <c r="M1176" s="4"/>
      <c r="N1176" s="7"/>
      <c r="O1176" s="4"/>
      <c r="P1176" s="51"/>
      <c r="Q1176" s="51"/>
      <c r="R1176" s="51"/>
      <c r="S1176" s="7"/>
      <c r="T1176" s="7"/>
    </row>
    <row r="1177" spans="1:20" ht="14.25" customHeight="1">
      <c r="A1177" s="22">
        <v>1300</v>
      </c>
      <c r="B1177" s="33">
        <v>15011</v>
      </c>
      <c r="C1177" s="22" t="str">
        <f>IFERROR(VLOOKUP(B1177,Colaboradores!A:D,2,),"")</f>
        <v>RAFAEL FREITAS DE PAULA</v>
      </c>
      <c r="D1177" s="22" t="str">
        <f>IFERROR(VLOOKUP(B1177,Colaboradores!A:D,3,),"")</f>
        <v>GESTÃO INTEGRADA</v>
      </c>
      <c r="E1177" s="22" t="str">
        <f>IFERROR(VLOOKUP(B1177,Colaboradores!A:D,4,),"")</f>
        <v>ANALISTA DA QUALIDADE</v>
      </c>
      <c r="F1177" s="22" t="s">
        <v>69</v>
      </c>
      <c r="G1177" s="24" t="str">
        <f>IFERROR(VLOOKUP(F1177,Procedimentos!A:C,2,),"")</f>
        <v>PROCEDIMENTO GESTÃO DE MUDANÇA SGQ</v>
      </c>
      <c r="H1177" s="25"/>
      <c r="I1177" s="43"/>
      <c r="J1177" s="22">
        <v>12</v>
      </c>
      <c r="K1177" s="25" t="str">
        <f t="shared" si="59"/>
        <v/>
      </c>
      <c r="L1177" s="7"/>
      <c r="M1177" s="4"/>
      <c r="N1177" s="7"/>
      <c r="O1177" s="4"/>
      <c r="P1177" s="51"/>
      <c r="Q1177" s="51"/>
      <c r="R1177" s="51"/>
      <c r="S1177" s="7"/>
      <c r="T1177" s="7"/>
    </row>
    <row r="1178" spans="1:20" ht="14.25" customHeight="1">
      <c r="A1178" s="22">
        <v>1301</v>
      </c>
      <c r="B1178" s="33">
        <v>15011</v>
      </c>
      <c r="C1178" s="22" t="str">
        <f>IFERROR(VLOOKUP(B1178,Colaboradores!A:D,2,),"")</f>
        <v>RAFAEL FREITAS DE PAULA</v>
      </c>
      <c r="D1178" s="22" t="str">
        <f>IFERROR(VLOOKUP(B1178,Colaboradores!A:D,3,),"")</f>
        <v>GESTÃO INTEGRADA</v>
      </c>
      <c r="E1178" s="22" t="str">
        <f>IFERROR(VLOOKUP(B1178,Colaboradores!A:D,4,),"")</f>
        <v>ANALISTA DA QUALIDADE</v>
      </c>
      <c r="F1178" s="22" t="s">
        <v>29</v>
      </c>
      <c r="G1178" s="24" t="str">
        <f>IFERROR(VLOOKUP(F1178,Procedimentos!A:C,2,),"")</f>
        <v>COLETA SELETIVA DESSMA</v>
      </c>
      <c r="H1178" s="25"/>
      <c r="I1178" s="53">
        <v>45889</v>
      </c>
      <c r="J1178" s="22">
        <v>12</v>
      </c>
      <c r="K1178" s="25">
        <f t="shared" si="59"/>
        <v>46254</v>
      </c>
      <c r="L1178" s="7"/>
      <c r="M1178" s="4"/>
      <c r="N1178" s="7"/>
      <c r="O1178" s="4"/>
      <c r="P1178" s="51"/>
      <c r="Q1178" s="51"/>
      <c r="R1178" s="51"/>
      <c r="S1178" s="7"/>
      <c r="T1178" s="7"/>
    </row>
    <row r="1179" spans="1:20" ht="14.25" customHeight="1">
      <c r="A1179" s="22">
        <v>1302</v>
      </c>
      <c r="B1179" s="33">
        <v>15011</v>
      </c>
      <c r="C1179" s="22" t="str">
        <f>IFERROR(VLOOKUP(B1179,Colaboradores!A:D,2,),"")</f>
        <v>RAFAEL FREITAS DE PAULA</v>
      </c>
      <c r="D1179" s="22" t="str">
        <f>IFERROR(VLOOKUP(B1179,Colaboradores!A:D,3,),"")</f>
        <v>GESTÃO INTEGRADA</v>
      </c>
      <c r="E1179" s="22" t="str">
        <f>IFERROR(VLOOKUP(B1179,Colaboradores!A:D,4,),"")</f>
        <v>ANALISTA DA QUALIDADE</v>
      </c>
      <c r="F1179" s="22" t="s">
        <v>32</v>
      </c>
      <c r="G1179" s="24" t="str">
        <f>IFERROR(VLOOKUP(F1179,Procedimentos!A:C,2,),"")</f>
        <v>GESTÃO DE LEVANTAMENTO DE ASPECTOS E IMPACTOS AMBIENTAIS</v>
      </c>
      <c r="H1179" s="25"/>
      <c r="I1179" s="53">
        <v>45889</v>
      </c>
      <c r="J1179" s="22">
        <v>12</v>
      </c>
      <c r="K1179" s="25">
        <f t="shared" si="59"/>
        <v>46254</v>
      </c>
      <c r="L1179" s="7"/>
      <c r="M1179" s="4"/>
      <c r="N1179" s="7"/>
      <c r="O1179" s="4"/>
      <c r="P1179" s="51"/>
      <c r="Q1179" s="51"/>
      <c r="R1179" s="51"/>
      <c r="S1179" s="7"/>
      <c r="T1179" s="7"/>
    </row>
    <row r="1180" spans="1:20" ht="14.25" customHeight="1">
      <c r="A1180" s="22">
        <v>1303</v>
      </c>
      <c r="B1180" s="33">
        <v>15011</v>
      </c>
      <c r="C1180" s="22" t="str">
        <f>IFERROR(VLOOKUP(B1180,Colaboradores!A:D,2,),"")</f>
        <v>RAFAEL FREITAS DE PAULA</v>
      </c>
      <c r="D1180" s="22" t="str">
        <f>IFERROR(VLOOKUP(B1180,Colaboradores!A:D,3,),"")</f>
        <v>GESTÃO INTEGRADA</v>
      </c>
      <c r="E1180" s="22" t="str">
        <f>IFERROR(VLOOKUP(B1180,Colaboradores!A:D,4,),"")</f>
        <v>ANALISTA DA QUALIDADE</v>
      </c>
      <c r="F1180" s="22" t="s">
        <v>31</v>
      </c>
      <c r="G1180" s="24" t="str">
        <f>IFERROR(VLOOKUP(F1180,Procedimentos!A:C,2,),"")</f>
        <v>GESTÃO DE COMUNICAÇÃO, CLASSIFICAÇÃO E INVESTIGAÇÃO DE OCORRÊNCIAS AMBIENTAIS</v>
      </c>
      <c r="H1180" s="25"/>
      <c r="I1180" s="53">
        <v>45889</v>
      </c>
      <c r="J1180" s="22">
        <v>12</v>
      </c>
      <c r="K1180" s="25">
        <f t="shared" si="59"/>
        <v>46254</v>
      </c>
      <c r="L1180" s="7"/>
      <c r="M1180" s="4"/>
      <c r="N1180" s="7"/>
      <c r="O1180" s="4"/>
      <c r="P1180" s="51"/>
      <c r="Q1180" s="51"/>
      <c r="R1180" s="51"/>
      <c r="S1180" s="7"/>
      <c r="T1180" s="7"/>
    </row>
    <row r="1181" spans="1:20" ht="14.25" customHeight="1">
      <c r="A1181" s="22">
        <v>1304</v>
      </c>
      <c r="B1181" s="33">
        <v>15011</v>
      </c>
      <c r="C1181" s="22" t="str">
        <f>IFERROR(VLOOKUP(B1181,Colaboradores!A:D,2,),"")</f>
        <v>RAFAEL FREITAS DE PAULA</v>
      </c>
      <c r="D1181" s="22" t="str">
        <f>IFERROR(VLOOKUP(B1181,Colaboradores!A:D,3,),"")</f>
        <v>GESTÃO INTEGRADA</v>
      </c>
      <c r="E1181" s="22" t="str">
        <f>IFERROR(VLOOKUP(B1181,Colaboradores!A:D,4,),"")</f>
        <v>ANALISTA DA QUALIDADE</v>
      </c>
      <c r="F1181" s="22" t="s">
        <v>33</v>
      </c>
      <c r="G1181" s="24" t="str">
        <f>IFERROR(VLOOKUP(F1181,Procedimentos!A:C,2,),"")</f>
        <v>GESTÃO DE INSPEÇÕES AMBIENTAIS</v>
      </c>
      <c r="H1181" s="25"/>
      <c r="I1181" s="53">
        <v>45889</v>
      </c>
      <c r="J1181" s="22">
        <v>12</v>
      </c>
      <c r="K1181" s="25">
        <f t="shared" si="59"/>
        <v>46254</v>
      </c>
      <c r="L1181" s="7"/>
      <c r="M1181" s="4"/>
      <c r="N1181" s="7"/>
      <c r="O1181" s="4"/>
      <c r="P1181" s="51"/>
      <c r="Q1181" s="51"/>
      <c r="R1181" s="51"/>
      <c r="S1181" s="7"/>
      <c r="T1181" s="7"/>
    </row>
    <row r="1182" spans="1:20" ht="14.25" customHeight="1">
      <c r="A1182" s="22">
        <v>1305</v>
      </c>
      <c r="B1182" s="33">
        <v>15011</v>
      </c>
      <c r="C1182" s="22" t="str">
        <f>IFERROR(VLOOKUP(B1182,Colaboradores!A:D,2,),"")</f>
        <v>RAFAEL FREITAS DE PAULA</v>
      </c>
      <c r="D1182" s="22" t="str">
        <f>IFERROR(VLOOKUP(B1182,Colaboradores!A:D,3,),"")</f>
        <v>GESTÃO INTEGRADA</v>
      </c>
      <c r="E1182" s="22" t="str">
        <f>IFERROR(VLOOKUP(B1182,Colaboradores!A:D,4,),"")</f>
        <v>ANALISTA DA QUALIDADE</v>
      </c>
      <c r="F1182" s="22" t="s">
        <v>49</v>
      </c>
      <c r="G1182" s="24" t="str">
        <f>IFERROR(VLOOKUP(F1182,Procedimentos!A:C,2,),"")</f>
        <v>DIRETRIZES PARA REALIZAÇÃO DE EXAMES OCUPACIONAIS</v>
      </c>
      <c r="H1182" s="25"/>
      <c r="I1182" s="43">
        <v>45890</v>
      </c>
      <c r="J1182" s="22">
        <v>12</v>
      </c>
      <c r="K1182" s="25">
        <f t="shared" si="59"/>
        <v>46255</v>
      </c>
      <c r="L1182" s="7"/>
      <c r="M1182" s="4"/>
      <c r="N1182" s="7"/>
      <c r="O1182" s="4"/>
      <c r="P1182" s="51"/>
      <c r="Q1182" s="51"/>
      <c r="R1182" s="51"/>
      <c r="S1182" s="7"/>
      <c r="T1182" s="7"/>
    </row>
    <row r="1183" spans="1:20" ht="14.25" customHeight="1">
      <c r="A1183" s="22">
        <v>1306</v>
      </c>
      <c r="B1183" s="33">
        <v>15011</v>
      </c>
      <c r="C1183" s="22" t="str">
        <f>IFERROR(VLOOKUP(B1183,Colaboradores!A:D,2,),"")</f>
        <v>RAFAEL FREITAS DE PAULA</v>
      </c>
      <c r="D1183" s="22" t="str">
        <f>IFERROR(VLOOKUP(B1183,Colaboradores!A:D,3,),"")</f>
        <v>GESTÃO INTEGRADA</v>
      </c>
      <c r="E1183" s="22" t="str">
        <f>IFERROR(VLOOKUP(B1183,Colaboradores!A:D,4,),"")</f>
        <v>ANALISTA DA QUALIDADE</v>
      </c>
      <c r="F1183" s="22" t="s">
        <v>51</v>
      </c>
      <c r="G1183" s="24" t="str">
        <f>IFERROR(VLOOKUP(F1183,Procedimentos!A:C,2,),"")</f>
        <v>DIRETRIZES PARA ENTREGA DE ATESTADOS MÉDICOS E ODONTOLÓGICOS</v>
      </c>
      <c r="H1183" s="25"/>
      <c r="I1183" s="43">
        <v>45890</v>
      </c>
      <c r="J1183" s="22">
        <v>12</v>
      </c>
      <c r="K1183" s="25">
        <f t="shared" si="59"/>
        <v>46255</v>
      </c>
      <c r="L1183" s="7"/>
      <c r="M1183" s="4"/>
      <c r="N1183" s="7"/>
      <c r="O1183" s="4"/>
      <c r="P1183" s="51"/>
      <c r="Q1183" s="51"/>
      <c r="R1183" s="51"/>
      <c r="S1183" s="7"/>
      <c r="T1183" s="7"/>
    </row>
    <row r="1184" spans="1:20" ht="14.25" customHeight="1">
      <c r="A1184" s="22">
        <v>1307</v>
      </c>
      <c r="B1184" s="33">
        <v>15011</v>
      </c>
      <c r="C1184" s="22" t="str">
        <f>IFERROR(VLOOKUP(B1184,Colaboradores!A:D,2,),"")</f>
        <v>RAFAEL FREITAS DE PAULA</v>
      </c>
      <c r="D1184" s="22" t="str">
        <f>IFERROR(VLOOKUP(B1184,Colaboradores!A:D,3,),"")</f>
        <v>GESTÃO INTEGRADA</v>
      </c>
      <c r="E1184" s="22" t="str">
        <f>IFERROR(VLOOKUP(B1184,Colaboradores!A:D,4,),"")</f>
        <v>ANALISTA DA QUALIDADE</v>
      </c>
      <c r="F1184" s="22" t="s">
        <v>52</v>
      </c>
      <c r="G1184" s="24" t="str">
        <f>IFERROR(VLOOKUP(F1184,Procedimentos!A:C,2,),"")</f>
        <v>DIRETRIZES E ACOMPANHAMENTO  DE ACIDENTE COM MATERIAL BIOLOGICO</v>
      </c>
      <c r="H1184" s="25"/>
      <c r="I1184" s="43">
        <v>45890</v>
      </c>
      <c r="J1184" s="22">
        <v>12</v>
      </c>
      <c r="K1184" s="25">
        <f t="shared" si="59"/>
        <v>46255</v>
      </c>
      <c r="L1184" s="7"/>
      <c r="M1184" s="4"/>
      <c r="N1184" s="7"/>
      <c r="O1184" s="4"/>
      <c r="P1184" s="51"/>
      <c r="Q1184" s="51"/>
      <c r="R1184" s="51"/>
      <c r="S1184" s="7"/>
      <c r="T1184" s="7"/>
    </row>
    <row r="1185" spans="1:20" ht="14.25" customHeight="1">
      <c r="A1185" s="22">
        <v>1308</v>
      </c>
      <c r="B1185" s="33">
        <v>15011</v>
      </c>
      <c r="C1185" s="22" t="str">
        <f>IFERROR(VLOOKUP(B1185,Colaboradores!A:D,2,),"")</f>
        <v>RAFAEL FREITAS DE PAULA</v>
      </c>
      <c r="D1185" s="22" t="str">
        <f>IFERROR(VLOOKUP(B1185,Colaboradores!A:D,3,),"")</f>
        <v>GESTÃO INTEGRADA</v>
      </c>
      <c r="E1185" s="22" t="str">
        <f>IFERROR(VLOOKUP(B1185,Colaboradores!A:D,4,),"")</f>
        <v>ANALISTA DA QUALIDADE</v>
      </c>
      <c r="F1185" s="22" t="s">
        <v>53</v>
      </c>
      <c r="G1185" s="24" t="str">
        <f>IFERROR(VLOOKUP(F1185,Procedimentos!A:C,2,),"")</f>
        <v>DIRETRIZES PARA MONITORAMENTO DE GESTANTE</v>
      </c>
      <c r="H1185" s="25"/>
      <c r="I1185" s="43">
        <v>45890</v>
      </c>
      <c r="J1185" s="22">
        <v>12</v>
      </c>
      <c r="K1185" s="25">
        <f t="shared" si="59"/>
        <v>46255</v>
      </c>
      <c r="L1185" s="7"/>
      <c r="M1185" s="4"/>
      <c r="N1185" s="7"/>
      <c r="O1185" s="4"/>
      <c r="P1185" s="51"/>
      <c r="Q1185" s="51"/>
      <c r="R1185" s="51"/>
      <c r="S1185" s="7"/>
      <c r="T1185" s="7"/>
    </row>
    <row r="1186" spans="1:20" ht="14.25" customHeight="1">
      <c r="A1186" s="22">
        <v>1309</v>
      </c>
      <c r="B1186" s="33">
        <v>15011</v>
      </c>
      <c r="C1186" s="22" t="str">
        <f>IFERROR(VLOOKUP(B1186,Colaboradores!A:D,2,),"")</f>
        <v>RAFAEL FREITAS DE PAULA</v>
      </c>
      <c r="D1186" s="22" t="str">
        <f>IFERROR(VLOOKUP(B1186,Colaboradores!A:D,3,),"")</f>
        <v>GESTÃO INTEGRADA</v>
      </c>
      <c r="E1186" s="22" t="str">
        <f>IFERROR(VLOOKUP(B1186,Colaboradores!A:D,4,),"")</f>
        <v>ANALISTA DA QUALIDADE</v>
      </c>
      <c r="F1186" s="22" t="s">
        <v>54</v>
      </c>
      <c r="G1186" s="24" t="str">
        <f>IFERROR(VLOOKUP(F1186,Procedimentos!A:C,2,),"")</f>
        <v>DIRETRIZES DE IMUNIZAÇÃO OCUPACIONAL</v>
      </c>
      <c r="H1186" s="25"/>
      <c r="I1186" s="43">
        <v>45890</v>
      </c>
      <c r="J1186" s="22">
        <v>12</v>
      </c>
      <c r="K1186" s="25">
        <f t="shared" si="59"/>
        <v>46255</v>
      </c>
      <c r="L1186" s="7"/>
      <c r="M1186" s="4"/>
      <c r="N1186" s="7"/>
      <c r="O1186" s="4"/>
      <c r="P1186" s="51"/>
      <c r="Q1186" s="51"/>
      <c r="R1186" s="51"/>
      <c r="S1186" s="7"/>
      <c r="T1186" s="7"/>
    </row>
    <row r="1187" spans="1:20" ht="14.25" customHeight="1">
      <c r="A1187" s="22">
        <v>1310</v>
      </c>
      <c r="B1187" s="33">
        <v>15011</v>
      </c>
      <c r="C1187" s="22" t="str">
        <f>IFERROR(VLOOKUP(B1187,Colaboradores!A:D,2,),"")</f>
        <v>RAFAEL FREITAS DE PAULA</v>
      </c>
      <c r="D1187" s="22" t="str">
        <f>IFERROR(VLOOKUP(B1187,Colaboradores!A:D,3,),"")</f>
        <v>GESTÃO INTEGRADA</v>
      </c>
      <c r="E1187" s="22" t="str">
        <f>IFERROR(VLOOKUP(B1187,Colaboradores!A:D,4,),"")</f>
        <v>ANALISTA DA QUALIDADE</v>
      </c>
      <c r="F1187" s="22" t="s">
        <v>55</v>
      </c>
      <c r="G1187" s="24" t="str">
        <f>IFERROR(VLOOKUP(F1187,Procedimentos!A:C,2,),"")</f>
        <v>DIRETRIZES PARA ACOMPANHAMENTO DE AFASTADOS</v>
      </c>
      <c r="H1187" s="25"/>
      <c r="I1187" s="43">
        <v>45890</v>
      </c>
      <c r="J1187" s="22">
        <v>12</v>
      </c>
      <c r="K1187" s="25">
        <f t="shared" si="59"/>
        <v>46255</v>
      </c>
      <c r="L1187" s="7"/>
      <c r="M1187" s="4"/>
      <c r="N1187" s="7"/>
      <c r="O1187" s="4"/>
      <c r="P1187" s="51"/>
      <c r="Q1187" s="51"/>
      <c r="R1187" s="51"/>
      <c r="S1187" s="7"/>
      <c r="T1187" s="7"/>
    </row>
    <row r="1188" spans="1:20" ht="14.25" customHeight="1">
      <c r="A1188" s="22">
        <v>1311</v>
      </c>
      <c r="B1188" s="33">
        <v>15011</v>
      </c>
      <c r="C1188" s="22" t="str">
        <f>IFERROR(VLOOKUP(B1188,Colaboradores!A:D,2,),"")</f>
        <v>RAFAEL FREITAS DE PAULA</v>
      </c>
      <c r="D1188" s="22" t="str">
        <f>IFERROR(VLOOKUP(B1188,Colaboradores!A:D,3,),"")</f>
        <v>GESTÃO INTEGRADA</v>
      </c>
      <c r="E1188" s="22" t="str">
        <f>IFERROR(VLOOKUP(B1188,Colaboradores!A:D,4,),"")</f>
        <v>ANALISTA DA QUALIDADE</v>
      </c>
      <c r="F1188" s="22" t="s">
        <v>41</v>
      </c>
      <c r="G1188" s="24" t="str">
        <f>IFERROR(VLOOKUP(F1188,Procedimentos!A:C,2,),"")</f>
        <v>DIRETRIZES PARA COMUNICAÇÃO E INVESTIGAÇÃO DE ACIDENTES</v>
      </c>
      <c r="H1188" s="25"/>
      <c r="I1188" s="43">
        <v>45888</v>
      </c>
      <c r="J1188" s="22">
        <v>12</v>
      </c>
      <c r="K1188" s="25">
        <f t="shared" si="59"/>
        <v>46253</v>
      </c>
      <c r="L1188" s="7"/>
      <c r="M1188" s="4"/>
      <c r="N1188" s="7"/>
      <c r="O1188" s="4"/>
      <c r="P1188" s="51"/>
      <c r="Q1188" s="51"/>
      <c r="R1188" s="51"/>
      <c r="S1188" s="7"/>
      <c r="T1188" s="7"/>
    </row>
    <row r="1189" spans="1:20" ht="14.25" customHeight="1">
      <c r="A1189" s="22">
        <v>1312</v>
      </c>
      <c r="B1189" s="33">
        <v>15011</v>
      </c>
      <c r="C1189" s="22" t="str">
        <f>IFERROR(VLOOKUP(B1189,Colaboradores!A:D,2,),"")</f>
        <v>RAFAEL FREITAS DE PAULA</v>
      </c>
      <c r="D1189" s="22" t="str">
        <f>IFERROR(VLOOKUP(B1189,Colaboradores!A:D,3,),"")</f>
        <v>GESTÃO INTEGRADA</v>
      </c>
      <c r="E1189" s="22" t="str">
        <f>IFERROR(VLOOKUP(B1189,Colaboradores!A:D,4,),"")</f>
        <v>ANALISTA DA QUALIDADE</v>
      </c>
      <c r="F1189" s="22" t="s">
        <v>43</v>
      </c>
      <c r="G1189" s="24" t="str">
        <f>IFERROR(VLOOKUP(F1189,Procedimentos!A:C,2,),"")</f>
        <v>DIÁLOGO DE SAÚDE E SEGURANÇA - DSS</v>
      </c>
      <c r="H1189" s="25"/>
      <c r="I1189" s="43">
        <v>45888</v>
      </c>
      <c r="J1189" s="22">
        <v>12</v>
      </c>
      <c r="K1189" s="25">
        <f t="shared" si="59"/>
        <v>46253</v>
      </c>
      <c r="L1189" s="7"/>
      <c r="M1189" s="4"/>
      <c r="N1189" s="7"/>
      <c r="O1189" s="4"/>
      <c r="P1189" s="51"/>
      <c r="Q1189" s="51"/>
      <c r="R1189" s="51"/>
      <c r="S1189" s="7"/>
      <c r="T1189" s="7"/>
    </row>
    <row r="1190" spans="1:20" ht="14.25" customHeight="1">
      <c r="A1190" s="22">
        <v>1313</v>
      </c>
      <c r="B1190" s="33">
        <v>15011</v>
      </c>
      <c r="C1190" s="22" t="str">
        <f>IFERROR(VLOOKUP(B1190,Colaboradores!A:D,2,),"")</f>
        <v>RAFAEL FREITAS DE PAULA</v>
      </c>
      <c r="D1190" s="22" t="str">
        <f>IFERROR(VLOOKUP(B1190,Colaboradores!A:D,3,),"")</f>
        <v>GESTÃO INTEGRADA</v>
      </c>
      <c r="E1190" s="22" t="str">
        <f>IFERROR(VLOOKUP(B1190,Colaboradores!A:D,4,),"")</f>
        <v>ANALISTA DA QUALIDADE</v>
      </c>
      <c r="F1190" s="22" t="s">
        <v>44</v>
      </c>
      <c r="G1190" s="24" t="str">
        <f>IFERROR(VLOOKUP(F1190,Procedimentos!A:C,2,),"")</f>
        <v>DIRETRIZES PARA GESTÃO DE EQUIPAMENTOS DE PROTEÇÃO INDIVIDUAL - EPI'S</v>
      </c>
      <c r="H1190" s="25"/>
      <c r="I1190" s="43">
        <v>45888</v>
      </c>
      <c r="J1190" s="22">
        <v>12</v>
      </c>
      <c r="K1190" s="25">
        <f t="shared" si="59"/>
        <v>46253</v>
      </c>
      <c r="L1190" s="7"/>
      <c r="M1190" s="4"/>
      <c r="N1190" s="7"/>
      <c r="O1190" s="4"/>
      <c r="P1190" s="51"/>
      <c r="Q1190" s="51"/>
      <c r="R1190" s="51"/>
      <c r="S1190" s="7"/>
      <c r="T1190" s="7"/>
    </row>
    <row r="1191" spans="1:20" ht="14.25" customHeight="1">
      <c r="A1191" s="22">
        <v>1314</v>
      </c>
      <c r="B1191" s="33">
        <v>15011</v>
      </c>
      <c r="C1191" s="22" t="str">
        <f>IFERROR(VLOOKUP(B1191,Colaboradores!A:D,2,),"")</f>
        <v>RAFAEL FREITAS DE PAULA</v>
      </c>
      <c r="D1191" s="22" t="str">
        <f>IFERROR(VLOOKUP(B1191,Colaboradores!A:D,3,),"")</f>
        <v>GESTÃO INTEGRADA</v>
      </c>
      <c r="E1191" s="22" t="str">
        <f>IFERROR(VLOOKUP(B1191,Colaboradores!A:D,4,),"")</f>
        <v>ANALISTA DA QUALIDADE</v>
      </c>
      <c r="F1191" s="22" t="s">
        <v>45</v>
      </c>
      <c r="G1191" s="24" t="str">
        <f>IFERROR(VLOOKUP(F1191,Procedimentos!A:C,2,),"")</f>
        <v>CONSTITUIÇÃO INTERNA DE PREVENÇÃO DE ACIDENTES E DE ASSÉDIOS - CIPA</v>
      </c>
      <c r="H1191" s="25"/>
      <c r="I1191" s="43">
        <v>45888</v>
      </c>
      <c r="J1191" s="22">
        <v>12</v>
      </c>
      <c r="K1191" s="25">
        <f t="shared" si="59"/>
        <v>46253</v>
      </c>
      <c r="L1191" s="7"/>
      <c r="M1191" s="4"/>
      <c r="N1191" s="7"/>
      <c r="O1191" s="4"/>
      <c r="P1191" s="51"/>
      <c r="Q1191" s="51"/>
      <c r="R1191" s="51"/>
      <c r="S1191" s="7"/>
      <c r="T1191" s="7"/>
    </row>
    <row r="1192" spans="1:20" ht="14.25" customHeight="1">
      <c r="A1192" s="22">
        <v>1315</v>
      </c>
      <c r="B1192" s="33">
        <v>15011</v>
      </c>
      <c r="C1192" s="22" t="str">
        <f>IFERROR(VLOOKUP(B1192,Colaboradores!A:D,2,),"")</f>
        <v>RAFAEL FREITAS DE PAULA</v>
      </c>
      <c r="D1192" s="22" t="str">
        <f>IFERROR(VLOOKUP(B1192,Colaboradores!A:D,3,),"")</f>
        <v>GESTÃO INTEGRADA</v>
      </c>
      <c r="E1192" s="22" t="str">
        <f>IFERROR(VLOOKUP(B1192,Colaboradores!A:D,4,),"")</f>
        <v>ANALISTA DA QUALIDADE</v>
      </c>
      <c r="F1192" s="22" t="s">
        <v>73</v>
      </c>
      <c r="G1192" s="24" t="str">
        <f>IFERROR(VLOOKUP(F1192,Procedimentos!A:C,2,),"")</f>
        <v>AQUISIÇÃO DE BENS E SERVIÇOS E AVALIAÇÃO PROVEDORES EXTERNOS</v>
      </c>
      <c r="H1192" s="25"/>
      <c r="I1192" s="43">
        <v>45911</v>
      </c>
      <c r="J1192" s="22">
        <v>12</v>
      </c>
      <c r="K1192" s="25">
        <f t="shared" si="59"/>
        <v>46276</v>
      </c>
      <c r="L1192" s="7"/>
      <c r="M1192" s="4"/>
      <c r="N1192" s="7"/>
      <c r="O1192" s="4"/>
      <c r="P1192" s="51"/>
      <c r="Q1192" s="51"/>
      <c r="R1192" s="51"/>
      <c r="S1192" s="7"/>
      <c r="T1192" s="7"/>
    </row>
    <row r="1193" spans="1:20" ht="14.25" customHeight="1">
      <c r="A1193" s="22">
        <v>1318</v>
      </c>
      <c r="B1193" s="33">
        <v>12486</v>
      </c>
      <c r="C1193" s="22" t="str">
        <f>IFERROR(VLOOKUP(B1193,Colaboradores!A:D,2,),"")</f>
        <v>ENEAS GALVAO MAGALHAES BRITO</v>
      </c>
      <c r="D1193" s="22" t="str">
        <f>IFERROR(VLOOKUP(B1193,Colaboradores!A:D,3,),"")</f>
        <v>MEIO AMBIENTE</v>
      </c>
      <c r="E1193" s="22" t="str">
        <f>IFERROR(VLOOKUP(B1193,Colaboradores!A:D,4,),"")</f>
        <v>ENGENHEIRO DE MEIO AMBIENTE</v>
      </c>
      <c r="F1193" s="22" t="s">
        <v>73</v>
      </c>
      <c r="G1193" s="24" t="str">
        <f>IFERROR(VLOOKUP(F1193,Procedimentos!A:C,2,),"")</f>
        <v>AQUISIÇÃO DE BENS E SERVIÇOS E AVALIAÇÃO PROVEDORES EXTERNOS</v>
      </c>
      <c r="H1193" s="25"/>
      <c r="I1193" s="43">
        <v>45911</v>
      </c>
      <c r="J1193" s="22">
        <v>12</v>
      </c>
      <c r="K1193" s="25">
        <f t="shared" si="59"/>
        <v>46276</v>
      </c>
      <c r="L1193" s="7"/>
      <c r="M1193" s="4"/>
      <c r="N1193" s="7"/>
      <c r="O1193" s="4"/>
      <c r="P1193" s="51"/>
      <c r="Q1193" s="51"/>
      <c r="R1193" s="51"/>
      <c r="S1193" s="7"/>
      <c r="T1193" s="7"/>
    </row>
    <row r="1194" spans="1:20" ht="14.25" customHeight="1">
      <c r="A1194" s="22">
        <v>1319</v>
      </c>
      <c r="B1194" s="33">
        <v>14013</v>
      </c>
      <c r="C1194" s="22" t="str">
        <f>IFERROR(VLOOKUP(B1194,Colaboradores!A:D,2,),"")</f>
        <v>IGOR WARWICK SANTOS DE CASTRO</v>
      </c>
      <c r="D1194" s="22" t="str">
        <f>IFERROR(VLOOKUP(B1194,Colaboradores!A:D,3,),"")</f>
        <v>MEIO AMBIENTE</v>
      </c>
      <c r="E1194" s="22" t="str">
        <f>IFERROR(VLOOKUP(B1194,Colaboradores!A:D,4,),"")</f>
        <v>ASSISTENTE ADMINISTRATIVO</v>
      </c>
      <c r="F1194" s="22" t="s">
        <v>73</v>
      </c>
      <c r="G1194" s="24" t="str">
        <f>IFERROR(VLOOKUP(F1194,Procedimentos!A:C,2,),"")</f>
        <v>AQUISIÇÃO DE BENS E SERVIÇOS E AVALIAÇÃO PROVEDORES EXTERNOS</v>
      </c>
      <c r="H1194" s="25"/>
      <c r="I1194" s="43">
        <v>45911</v>
      </c>
      <c r="J1194" s="22">
        <v>12</v>
      </c>
      <c r="K1194" s="25">
        <f t="shared" si="59"/>
        <v>46276</v>
      </c>
      <c r="L1194" s="7"/>
      <c r="M1194" s="4"/>
      <c r="N1194" s="7"/>
      <c r="O1194" s="4"/>
      <c r="P1194" s="51"/>
      <c r="Q1194" s="51"/>
      <c r="R1194" s="51"/>
      <c r="S1194" s="7"/>
      <c r="T1194" s="7"/>
    </row>
    <row r="1195" spans="1:20" ht="14.25" customHeight="1">
      <c r="A1195" s="22">
        <v>1320</v>
      </c>
      <c r="B1195" s="33">
        <v>14246</v>
      </c>
      <c r="C1195" s="22" t="str">
        <f>IFERROR(VLOOKUP(B1195,Colaboradores!A:D,2,),"")</f>
        <v>THIALISSON SILVA MORAES</v>
      </c>
      <c r="D1195" s="22" t="str">
        <f>IFERROR(VLOOKUP(B1195,Colaboradores!A:D,3,),"")</f>
        <v>MEIO AMBIENTE</v>
      </c>
      <c r="E1195" s="22" t="str">
        <f>IFERROR(VLOOKUP(B1195,Colaboradores!A:D,4,),"")</f>
        <v>ANALISTA DE MEIO AMBIENTE</v>
      </c>
      <c r="F1195" s="22" t="s">
        <v>73</v>
      </c>
      <c r="G1195" s="24" t="str">
        <f>IFERROR(VLOOKUP(F1195,Procedimentos!A:C,2,),"")</f>
        <v>AQUISIÇÃO DE BENS E SERVIÇOS E AVALIAÇÃO PROVEDORES EXTERNOS</v>
      </c>
      <c r="H1195" s="25"/>
      <c r="I1195" s="43">
        <v>45911</v>
      </c>
      <c r="J1195" s="22">
        <v>12</v>
      </c>
      <c r="K1195" s="25">
        <f t="shared" si="59"/>
        <v>46276</v>
      </c>
      <c r="L1195" s="7"/>
      <c r="M1195" s="4"/>
      <c r="N1195" s="7"/>
      <c r="O1195" s="4"/>
      <c r="P1195" s="51"/>
      <c r="Q1195" s="51"/>
      <c r="R1195" s="51"/>
      <c r="S1195" s="7"/>
      <c r="T1195" s="7"/>
    </row>
    <row r="1196" spans="1:20" ht="14.25" customHeight="1">
      <c r="A1196" s="22">
        <v>1321</v>
      </c>
      <c r="B1196" s="33">
        <v>13741</v>
      </c>
      <c r="C1196" s="22" t="str">
        <f>IFERROR(VLOOKUP(B1196,Colaboradores!A:D,2,),"")</f>
        <v>LUCAS LOPES VIEIRA</v>
      </c>
      <c r="D1196" s="22" t="str">
        <f>IFERROR(VLOOKUP(B1196,Colaboradores!A:D,3,),"")</f>
        <v>MEIO AMBIENTE</v>
      </c>
      <c r="E1196" s="22" t="str">
        <f>IFERROR(VLOOKUP(B1196,Colaboradores!A:D,4,),"")</f>
        <v>ENGENHEIRO DE MEIO AMBIENTE</v>
      </c>
      <c r="F1196" s="22" t="s">
        <v>73</v>
      </c>
      <c r="G1196" s="24" t="str">
        <f>IFERROR(VLOOKUP(F1196,Procedimentos!A:C,2,),"")</f>
        <v>AQUISIÇÃO DE BENS E SERVIÇOS E AVALIAÇÃO PROVEDORES EXTERNOS</v>
      </c>
      <c r="H1196" s="25"/>
      <c r="I1196" s="43">
        <v>45911</v>
      </c>
      <c r="J1196" s="22">
        <v>12</v>
      </c>
      <c r="K1196" s="25">
        <f t="shared" si="59"/>
        <v>46276</v>
      </c>
      <c r="L1196" s="7"/>
      <c r="M1196" s="4"/>
      <c r="N1196" s="7"/>
      <c r="O1196" s="4"/>
      <c r="P1196" s="51"/>
      <c r="Q1196" s="51"/>
      <c r="R1196" s="51"/>
      <c r="S1196" s="7"/>
      <c r="T1196" s="7"/>
    </row>
    <row r="1197" spans="1:20" ht="14.25" customHeight="1">
      <c r="A1197" s="22">
        <v>1322</v>
      </c>
      <c r="B1197" s="33">
        <v>13741</v>
      </c>
      <c r="C1197" s="22" t="str">
        <f>IFERROR(VLOOKUP(B1197,Colaboradores!A:D,2,),"")</f>
        <v>LUCAS LOPES VIEIRA</v>
      </c>
      <c r="D1197" s="22" t="str">
        <f>IFERROR(VLOOKUP(B1197,Colaboradores!A:D,3,),"")</f>
        <v>MEIO AMBIENTE</v>
      </c>
      <c r="E1197" s="22" t="str">
        <f>IFERROR(VLOOKUP(B1197,Colaboradores!A:D,4,),"")</f>
        <v>ENGENHEIRO DE MEIO AMBIENTE</v>
      </c>
      <c r="F1197" s="22" t="s">
        <v>29</v>
      </c>
      <c r="G1197" s="24" t="str">
        <f>IFERROR(VLOOKUP(F1197,Procedimentos!A:C,2,),"")</f>
        <v>COLETA SELETIVA DESSMA</v>
      </c>
      <c r="H1197" s="22" t="s">
        <v>7</v>
      </c>
      <c r="I1197" s="43"/>
      <c r="J1197" s="22">
        <v>12</v>
      </c>
      <c r="K1197" s="25" t="str">
        <f t="shared" si="59"/>
        <v/>
      </c>
      <c r="L1197" s="7"/>
      <c r="M1197" s="4"/>
      <c r="N1197" s="7"/>
      <c r="O1197" s="22" t="s">
        <v>28</v>
      </c>
      <c r="P1197" s="51"/>
      <c r="Q1197" s="51"/>
      <c r="R1197" s="51"/>
      <c r="S1197" s="7"/>
      <c r="T1197" s="7"/>
    </row>
    <row r="1198" spans="1:20" ht="14.25" customHeight="1">
      <c r="A1198" s="22">
        <v>1323</v>
      </c>
      <c r="B1198" s="33">
        <v>13741</v>
      </c>
      <c r="C1198" s="22" t="str">
        <f>IFERROR(VLOOKUP(B1198,Colaboradores!A:D,2,),"")</f>
        <v>LUCAS LOPES VIEIRA</v>
      </c>
      <c r="D1198" s="22" t="str">
        <f>IFERROR(VLOOKUP(B1198,Colaboradores!A:D,3,),"")</f>
        <v>MEIO AMBIENTE</v>
      </c>
      <c r="E1198" s="22" t="str">
        <f>IFERROR(VLOOKUP(B1198,Colaboradores!A:D,4,),"")</f>
        <v>ENGENHEIRO DE MEIO AMBIENTE</v>
      </c>
      <c r="F1198" s="22" t="s">
        <v>36</v>
      </c>
      <c r="G1198" s="24" t="str">
        <f>IFERROR(VLOOKUP(F1198,Procedimentos!A:C,2,),"")</f>
        <v>GESTÃO DE PRODUTOS QUÍMICOS</v>
      </c>
      <c r="H1198" s="22" t="s">
        <v>7</v>
      </c>
      <c r="I1198" s="43"/>
      <c r="J1198" s="22">
        <v>12</v>
      </c>
      <c r="K1198" s="25" t="str">
        <f t="shared" si="59"/>
        <v/>
      </c>
      <c r="L1198" s="7"/>
      <c r="M1198" s="4"/>
      <c r="N1198" s="7"/>
      <c r="O1198" s="22" t="s">
        <v>28</v>
      </c>
      <c r="P1198" s="51"/>
      <c r="Q1198" s="51"/>
      <c r="R1198" s="51"/>
      <c r="S1198" s="7"/>
      <c r="T1198" s="7"/>
    </row>
    <row r="1199" spans="1:20" ht="14.25" customHeight="1">
      <c r="A1199" s="22">
        <v>1324</v>
      </c>
      <c r="B1199" s="33">
        <v>13741</v>
      </c>
      <c r="C1199" s="22" t="str">
        <f>IFERROR(VLOOKUP(B1199,Colaboradores!A:D,2,),"")</f>
        <v>LUCAS LOPES VIEIRA</v>
      </c>
      <c r="D1199" s="22" t="str">
        <f>IFERROR(VLOOKUP(B1199,Colaboradores!A:D,3,),"")</f>
        <v>MEIO AMBIENTE</v>
      </c>
      <c r="E1199" s="22" t="str">
        <f>IFERROR(VLOOKUP(B1199,Colaboradores!A:D,4,),"")</f>
        <v>ENGENHEIRO DE MEIO AMBIENTE</v>
      </c>
      <c r="F1199" s="22" t="s">
        <v>32</v>
      </c>
      <c r="G1199" s="24" t="str">
        <f>IFERROR(VLOOKUP(F1199,Procedimentos!A:C,2,),"")</f>
        <v>GESTÃO DE LEVANTAMENTO DE ASPECTOS E IMPACTOS AMBIENTAIS</v>
      </c>
      <c r="H1199" s="22" t="s">
        <v>7</v>
      </c>
      <c r="I1199" s="43"/>
      <c r="J1199" s="22">
        <v>12</v>
      </c>
      <c r="K1199" s="25" t="str">
        <f t="shared" si="59"/>
        <v/>
      </c>
      <c r="L1199" s="7"/>
      <c r="M1199" s="4"/>
      <c r="N1199" s="7"/>
      <c r="O1199" s="22" t="s">
        <v>28</v>
      </c>
      <c r="P1199" s="51"/>
      <c r="Q1199" s="51"/>
      <c r="R1199" s="51"/>
      <c r="S1199" s="7"/>
      <c r="T1199" s="7"/>
    </row>
    <row r="1200" spans="1:20" ht="14.25" customHeight="1">
      <c r="A1200" s="22">
        <v>1325</v>
      </c>
      <c r="B1200" s="33">
        <v>13741</v>
      </c>
      <c r="C1200" s="22" t="str">
        <f>IFERROR(VLOOKUP(B1200,Colaboradores!A:D,2,),"")</f>
        <v>LUCAS LOPES VIEIRA</v>
      </c>
      <c r="D1200" s="22" t="str">
        <f>IFERROR(VLOOKUP(B1200,Colaboradores!A:D,3,),"")</f>
        <v>MEIO AMBIENTE</v>
      </c>
      <c r="E1200" s="22" t="str">
        <f>IFERROR(VLOOKUP(B1200,Colaboradores!A:D,4,),"")</f>
        <v>ENGENHEIRO DE MEIO AMBIENTE</v>
      </c>
      <c r="F1200" s="22" t="s">
        <v>31</v>
      </c>
      <c r="G1200" s="24" t="str">
        <f>IFERROR(VLOOKUP(F1200,Procedimentos!A:C,2,),"")</f>
        <v>GESTÃO DE COMUNICAÇÃO, CLASSIFICAÇÃO E INVESTIGAÇÃO DE OCORRÊNCIAS AMBIENTAIS</v>
      </c>
      <c r="H1200" s="22" t="s">
        <v>7</v>
      </c>
      <c r="I1200" s="43"/>
      <c r="J1200" s="22">
        <v>12</v>
      </c>
      <c r="K1200" s="25" t="str">
        <f t="shared" si="59"/>
        <v/>
      </c>
      <c r="L1200" s="7"/>
      <c r="M1200" s="4"/>
      <c r="N1200" s="7"/>
      <c r="O1200" s="22" t="s">
        <v>28</v>
      </c>
      <c r="P1200" s="51"/>
      <c r="Q1200" s="51"/>
      <c r="R1200" s="51"/>
      <c r="S1200" s="7"/>
      <c r="T1200" s="7"/>
    </row>
    <row r="1201" spans="1:20" ht="14.25" customHeight="1">
      <c r="A1201" s="22">
        <v>1326</v>
      </c>
      <c r="B1201" s="33">
        <v>12684</v>
      </c>
      <c r="C1201" s="22" t="str">
        <f>IFERROR(VLOOKUP(B1201,Colaboradores!A:D,2,),"")</f>
        <v>JACIARA VIEIRA DA CRUZ DE AGUIAR</v>
      </c>
      <c r="D1201" s="22" t="str">
        <f>IFERROR(VLOOKUP(B1201,Colaboradores!A:D,3,),"")</f>
        <v>MEIO AMBIENTE</v>
      </c>
      <c r="E1201" s="22" t="str">
        <f>IFERROR(VLOOKUP(B1201,Colaboradores!A:D,4,),"")</f>
        <v>GERENTE DE MEIO AMBIENTE</v>
      </c>
      <c r="F1201" s="22" t="s">
        <v>29</v>
      </c>
      <c r="G1201" s="24" t="str">
        <f>IFERROR(VLOOKUP(F1201,Procedimentos!A:C,2,),"")</f>
        <v>COLETA SELETIVA DESSMA</v>
      </c>
      <c r="H1201" s="22" t="s">
        <v>7</v>
      </c>
      <c r="I1201" s="43"/>
      <c r="J1201" s="22">
        <v>12</v>
      </c>
      <c r="K1201" s="25" t="str">
        <f t="shared" si="59"/>
        <v/>
      </c>
      <c r="L1201" s="7"/>
      <c r="M1201" s="4"/>
      <c r="N1201" s="7"/>
      <c r="O1201" s="22" t="s">
        <v>28</v>
      </c>
      <c r="P1201" s="51"/>
      <c r="Q1201" s="51"/>
      <c r="R1201" s="51"/>
      <c r="S1201" s="7"/>
      <c r="T1201" s="7"/>
    </row>
    <row r="1202" spans="1:20" ht="14.25" customHeight="1">
      <c r="A1202" s="22">
        <v>1327</v>
      </c>
      <c r="B1202" s="33">
        <v>12684</v>
      </c>
      <c r="C1202" s="22" t="str">
        <f>IFERROR(VLOOKUP(B1202,Colaboradores!A:D,2,),"")</f>
        <v>JACIARA VIEIRA DA CRUZ DE AGUIAR</v>
      </c>
      <c r="D1202" s="22" t="str">
        <f>IFERROR(VLOOKUP(B1202,Colaboradores!A:D,3,),"")</f>
        <v>MEIO AMBIENTE</v>
      </c>
      <c r="E1202" s="22" t="str">
        <f>IFERROR(VLOOKUP(B1202,Colaboradores!A:D,4,),"")</f>
        <v>GERENTE DE MEIO AMBIENTE</v>
      </c>
      <c r="F1202" s="22" t="s">
        <v>36</v>
      </c>
      <c r="G1202" s="24" t="str">
        <f>IFERROR(VLOOKUP(F1202,Procedimentos!A:C,2,),"")</f>
        <v>GESTÃO DE PRODUTOS QUÍMICOS</v>
      </c>
      <c r="H1202" s="22" t="s">
        <v>7</v>
      </c>
      <c r="I1202" s="43"/>
      <c r="J1202" s="22">
        <v>12</v>
      </c>
      <c r="K1202" s="25" t="str">
        <f t="shared" si="59"/>
        <v/>
      </c>
      <c r="L1202" s="7"/>
      <c r="M1202" s="4"/>
      <c r="N1202" s="7"/>
      <c r="O1202" s="22" t="s">
        <v>28</v>
      </c>
      <c r="P1202" s="51"/>
      <c r="Q1202" s="51"/>
      <c r="R1202" s="51"/>
      <c r="S1202" s="7"/>
      <c r="T1202" s="7"/>
    </row>
    <row r="1203" spans="1:20" ht="14.25" customHeight="1">
      <c r="A1203" s="22">
        <v>1328</v>
      </c>
      <c r="B1203" s="33">
        <v>12684</v>
      </c>
      <c r="C1203" s="22" t="str">
        <f>IFERROR(VLOOKUP(B1203,Colaboradores!A:D,2,),"")</f>
        <v>JACIARA VIEIRA DA CRUZ DE AGUIAR</v>
      </c>
      <c r="D1203" s="22" t="str">
        <f>IFERROR(VLOOKUP(B1203,Colaboradores!A:D,3,),"")</f>
        <v>MEIO AMBIENTE</v>
      </c>
      <c r="E1203" s="22" t="str">
        <f>IFERROR(VLOOKUP(B1203,Colaboradores!A:D,4,),"")</f>
        <v>GERENTE DE MEIO AMBIENTE</v>
      </c>
      <c r="F1203" s="22" t="s">
        <v>32</v>
      </c>
      <c r="G1203" s="24" t="str">
        <f>IFERROR(VLOOKUP(F1203,Procedimentos!A:C,2,),"")</f>
        <v>GESTÃO DE LEVANTAMENTO DE ASPECTOS E IMPACTOS AMBIENTAIS</v>
      </c>
      <c r="H1203" s="22" t="s">
        <v>7</v>
      </c>
      <c r="I1203" s="43"/>
      <c r="J1203" s="22">
        <v>12</v>
      </c>
      <c r="K1203" s="25" t="str">
        <f t="shared" si="59"/>
        <v/>
      </c>
      <c r="L1203" s="7"/>
      <c r="M1203" s="4"/>
      <c r="N1203" s="7"/>
      <c r="O1203" s="22" t="s">
        <v>28</v>
      </c>
      <c r="P1203" s="51"/>
      <c r="Q1203" s="51"/>
      <c r="R1203" s="51"/>
      <c r="S1203" s="7"/>
      <c r="T1203" s="7"/>
    </row>
    <row r="1204" spans="1:20" ht="14.25" customHeight="1">
      <c r="A1204" s="22">
        <v>1329</v>
      </c>
      <c r="B1204" s="33">
        <v>12684</v>
      </c>
      <c r="C1204" s="22" t="str">
        <f>IFERROR(VLOOKUP(B1204,Colaboradores!A:D,2,),"")</f>
        <v>JACIARA VIEIRA DA CRUZ DE AGUIAR</v>
      </c>
      <c r="D1204" s="22" t="str">
        <f>IFERROR(VLOOKUP(B1204,Colaboradores!A:D,3,),"")</f>
        <v>MEIO AMBIENTE</v>
      </c>
      <c r="E1204" s="22" t="str">
        <f>IFERROR(VLOOKUP(B1204,Colaboradores!A:D,4,),"")</f>
        <v>GERENTE DE MEIO AMBIENTE</v>
      </c>
      <c r="F1204" s="22" t="s">
        <v>31</v>
      </c>
      <c r="G1204" s="24" t="str">
        <f>IFERROR(VLOOKUP(F1204,Procedimentos!A:C,2,),"")</f>
        <v>GESTÃO DE COMUNICAÇÃO, CLASSIFICAÇÃO E INVESTIGAÇÃO DE OCORRÊNCIAS AMBIENTAIS</v>
      </c>
      <c r="H1204" s="22" t="s">
        <v>7</v>
      </c>
      <c r="I1204" s="43"/>
      <c r="J1204" s="22">
        <v>12</v>
      </c>
      <c r="K1204" s="25" t="str">
        <f t="shared" si="59"/>
        <v/>
      </c>
      <c r="L1204" s="7"/>
      <c r="M1204" s="4"/>
      <c r="N1204" s="7"/>
      <c r="O1204" s="22" t="s">
        <v>28</v>
      </c>
      <c r="P1204" s="51"/>
      <c r="Q1204" s="51"/>
      <c r="R1204" s="51"/>
      <c r="S1204" s="7"/>
      <c r="T1204" s="7"/>
    </row>
    <row r="1205" spans="1:20" ht="14.25" customHeight="1">
      <c r="A1205" s="22">
        <v>1330</v>
      </c>
      <c r="B1205" s="33">
        <v>12684</v>
      </c>
      <c r="C1205" s="22" t="str">
        <f>IFERROR(VLOOKUP(B1205,Colaboradores!A:D,2,),"")</f>
        <v>JACIARA VIEIRA DA CRUZ DE AGUIAR</v>
      </c>
      <c r="D1205" s="22" t="str">
        <f>IFERROR(VLOOKUP(B1205,Colaboradores!A:D,3,),"")</f>
        <v>MEIO AMBIENTE</v>
      </c>
      <c r="E1205" s="22" t="str">
        <f>IFERROR(VLOOKUP(B1205,Colaboradores!A:D,4,),"")</f>
        <v>GERENTE DE MEIO AMBIENTE</v>
      </c>
      <c r="F1205" s="22" t="s">
        <v>33</v>
      </c>
      <c r="G1205" s="24" t="str">
        <f>IFERROR(VLOOKUP(F1205,Procedimentos!A:C,2,),"")</f>
        <v>GESTÃO DE INSPEÇÕES AMBIENTAIS</v>
      </c>
      <c r="H1205" s="22" t="s">
        <v>7</v>
      </c>
      <c r="I1205" s="43"/>
      <c r="J1205" s="22">
        <v>12</v>
      </c>
      <c r="K1205" s="25" t="str">
        <f t="shared" si="59"/>
        <v/>
      </c>
      <c r="L1205" s="7"/>
      <c r="M1205" s="4"/>
      <c r="N1205" s="7"/>
      <c r="O1205" s="22" t="s">
        <v>28</v>
      </c>
      <c r="P1205" s="51"/>
      <c r="Q1205" s="51"/>
      <c r="R1205" s="51"/>
      <c r="S1205" s="7"/>
      <c r="T1205" s="7"/>
    </row>
    <row r="1206" spans="1:20" ht="14.25" customHeight="1">
      <c r="A1206" s="22">
        <v>1331</v>
      </c>
      <c r="B1206" s="33">
        <v>12684</v>
      </c>
      <c r="C1206" s="22" t="str">
        <f>IFERROR(VLOOKUP(B1206,Colaboradores!A:D,2,),"")</f>
        <v>JACIARA VIEIRA DA CRUZ DE AGUIAR</v>
      </c>
      <c r="D1206" s="22" t="str">
        <f>IFERROR(VLOOKUP(B1206,Colaboradores!A:D,3,),"")</f>
        <v>MEIO AMBIENTE</v>
      </c>
      <c r="E1206" s="22" t="str">
        <f>IFERROR(VLOOKUP(B1206,Colaboradores!A:D,4,),"")</f>
        <v>GERENTE DE MEIO AMBIENTE</v>
      </c>
      <c r="F1206" s="22" t="s">
        <v>39</v>
      </c>
      <c r="G1206" s="24" t="str">
        <f>IFERROR(VLOOKUP(F1206,Procedimentos!A:C,2,),"")</f>
        <v>GESTÃO DE ÁGUAS E EFLUENTES</v>
      </c>
      <c r="H1206" s="22" t="s">
        <v>7</v>
      </c>
      <c r="I1206" s="43"/>
      <c r="J1206" s="22">
        <v>12</v>
      </c>
      <c r="K1206" s="25" t="str">
        <f t="shared" si="59"/>
        <v/>
      </c>
      <c r="L1206" s="7"/>
      <c r="M1206" s="4"/>
      <c r="N1206" s="7"/>
      <c r="O1206" s="22" t="s">
        <v>28</v>
      </c>
      <c r="P1206" s="51"/>
      <c r="Q1206" s="51"/>
      <c r="R1206" s="51"/>
      <c r="S1206" s="7"/>
      <c r="T1206" s="7"/>
    </row>
    <row r="1207" spans="1:20" ht="14.25" customHeight="1">
      <c r="A1207" s="22">
        <v>1332</v>
      </c>
      <c r="B1207" s="33">
        <v>12684</v>
      </c>
      <c r="C1207" s="22" t="str">
        <f>IFERROR(VLOOKUP(B1207,Colaboradores!A:D,2,),"")</f>
        <v>JACIARA VIEIRA DA CRUZ DE AGUIAR</v>
      </c>
      <c r="D1207" s="22" t="str">
        <f>IFERROR(VLOOKUP(B1207,Colaboradores!A:D,3,),"")</f>
        <v>MEIO AMBIENTE</v>
      </c>
      <c r="E1207" s="22" t="str">
        <f>IFERROR(VLOOKUP(B1207,Colaboradores!A:D,4,),"")</f>
        <v>GERENTE DE MEIO AMBIENTE</v>
      </c>
      <c r="F1207" s="22" t="s">
        <v>34</v>
      </c>
      <c r="G1207" s="24" t="str">
        <f>IFERROR(VLOOKUP(F1207,Procedimentos!A:C,2,),"")</f>
        <v>GESTÃO DE LICENCIAMENTO AMBIENTAL</v>
      </c>
      <c r="H1207" s="22" t="s">
        <v>7</v>
      </c>
      <c r="I1207" s="43"/>
      <c r="J1207" s="22">
        <v>12</v>
      </c>
      <c r="K1207" s="25" t="str">
        <f t="shared" si="59"/>
        <v/>
      </c>
      <c r="L1207" s="7"/>
      <c r="M1207" s="4"/>
      <c r="N1207" s="7"/>
      <c r="O1207" s="22" t="s">
        <v>28</v>
      </c>
      <c r="P1207" s="51"/>
      <c r="Q1207" s="51"/>
      <c r="R1207" s="51"/>
      <c r="S1207" s="7"/>
      <c r="T1207" s="7"/>
    </row>
    <row r="1208" spans="1:20" ht="14.25" customHeight="1">
      <c r="A1208" s="22">
        <v>1333</v>
      </c>
      <c r="B1208" s="33">
        <v>12684</v>
      </c>
      <c r="C1208" s="22" t="str">
        <f>IFERROR(VLOOKUP(B1208,Colaboradores!A:D,2,),"")</f>
        <v>JACIARA VIEIRA DA CRUZ DE AGUIAR</v>
      </c>
      <c r="D1208" s="22" t="str">
        <f>IFERROR(VLOOKUP(B1208,Colaboradores!A:D,3,),"")</f>
        <v>MEIO AMBIENTE</v>
      </c>
      <c r="E1208" s="22" t="str">
        <f>IFERROR(VLOOKUP(B1208,Colaboradores!A:D,4,),"")</f>
        <v>GERENTE DE MEIO AMBIENTE</v>
      </c>
      <c r="F1208" s="22" t="s">
        <v>38</v>
      </c>
      <c r="G1208" s="24" t="str">
        <f>IFERROR(VLOOKUP(F1208,Procedimentos!A:C,2,),"")</f>
        <v>GESTÃO DE CONDICIONANTES DE LICENCIAMENTO AMBIENTAL</v>
      </c>
      <c r="H1208" s="22" t="s">
        <v>7</v>
      </c>
      <c r="I1208" s="43"/>
      <c r="J1208" s="22">
        <v>12</v>
      </c>
      <c r="K1208" s="25" t="str">
        <f t="shared" si="59"/>
        <v/>
      </c>
      <c r="L1208" s="7"/>
      <c r="M1208" s="4"/>
      <c r="N1208" s="7"/>
      <c r="O1208" s="22" t="s">
        <v>28</v>
      </c>
      <c r="P1208" s="51"/>
      <c r="Q1208" s="51"/>
      <c r="R1208" s="51"/>
      <c r="S1208" s="7"/>
      <c r="T1208" s="7"/>
    </row>
    <row r="1209" spans="1:20" ht="14.25" customHeight="1">
      <c r="A1209" s="22">
        <v>1334</v>
      </c>
      <c r="B1209" s="33">
        <v>12684</v>
      </c>
      <c r="C1209" s="22" t="str">
        <f>IFERROR(VLOOKUP(B1209,Colaboradores!A:D,2,),"")</f>
        <v>JACIARA VIEIRA DA CRUZ DE AGUIAR</v>
      </c>
      <c r="D1209" s="22" t="str">
        <f>IFERROR(VLOOKUP(B1209,Colaboradores!A:D,3,),"")</f>
        <v>MEIO AMBIENTE</v>
      </c>
      <c r="E1209" s="22" t="str">
        <f>IFERROR(VLOOKUP(B1209,Colaboradores!A:D,4,),"")</f>
        <v>GERENTE DE MEIO AMBIENTE</v>
      </c>
      <c r="F1209" s="22" t="s">
        <v>37</v>
      </c>
      <c r="G1209" s="24" t="str">
        <f>IFERROR(VLOOKUP(F1209,Procedimentos!A:C,2,),"")</f>
        <v>GESTÃO DE RESÍDUOS SÓLIDOS DE SERVIÇOS DE SAÚDE</v>
      </c>
      <c r="H1209" s="22" t="s">
        <v>7</v>
      </c>
      <c r="I1209" s="43"/>
      <c r="J1209" s="22">
        <v>12</v>
      </c>
      <c r="K1209" s="25" t="str">
        <f t="shared" si="59"/>
        <v/>
      </c>
      <c r="L1209" s="7"/>
      <c r="M1209" s="4"/>
      <c r="N1209" s="7"/>
      <c r="O1209" s="22" t="s">
        <v>28</v>
      </c>
      <c r="P1209" s="51"/>
      <c r="Q1209" s="51"/>
      <c r="R1209" s="51"/>
      <c r="S1209" s="7"/>
      <c r="T1209" s="7"/>
    </row>
    <row r="1210" spans="1:20" ht="14.25" customHeight="1">
      <c r="A1210" s="22">
        <v>1335</v>
      </c>
      <c r="B1210" s="33">
        <v>12684</v>
      </c>
      <c r="C1210" s="22" t="str">
        <f>IFERROR(VLOOKUP(B1210,Colaboradores!A:D,2,),"")</f>
        <v>JACIARA VIEIRA DA CRUZ DE AGUIAR</v>
      </c>
      <c r="D1210" s="22" t="str">
        <f>IFERROR(VLOOKUP(B1210,Colaboradores!A:D,3,),"")</f>
        <v>MEIO AMBIENTE</v>
      </c>
      <c r="E1210" s="22" t="str">
        <f>IFERROR(VLOOKUP(B1210,Colaboradores!A:D,4,),"")</f>
        <v>GERENTE DE MEIO AMBIENTE</v>
      </c>
      <c r="F1210" s="22" t="s">
        <v>35</v>
      </c>
      <c r="G1210" s="24" t="str">
        <f>IFERROR(VLOOKUP(F1210,Procedimentos!A:C,2,),"")</f>
        <v>PROCEDIMENTO DE AFERIÇÃO DE FUMAÇA PRETA</v>
      </c>
      <c r="H1210" s="22" t="s">
        <v>7</v>
      </c>
      <c r="I1210" s="43"/>
      <c r="J1210" s="22">
        <v>12</v>
      </c>
      <c r="K1210" s="25" t="str">
        <f t="shared" si="59"/>
        <v/>
      </c>
      <c r="L1210" s="7"/>
      <c r="M1210" s="4"/>
      <c r="N1210" s="7"/>
      <c r="O1210" s="22" t="s">
        <v>28</v>
      </c>
      <c r="P1210" s="51"/>
      <c r="Q1210" s="51"/>
      <c r="R1210" s="51"/>
      <c r="S1210" s="7"/>
      <c r="T1210" s="7"/>
    </row>
    <row r="1211" spans="1:20" ht="14.25" customHeight="1">
      <c r="A1211" s="22">
        <v>1336</v>
      </c>
      <c r="B1211" s="33">
        <v>12684</v>
      </c>
      <c r="C1211" s="22" t="str">
        <f>IFERROR(VLOOKUP(B1211,Colaboradores!A:D,2,),"")</f>
        <v>JACIARA VIEIRA DA CRUZ DE AGUIAR</v>
      </c>
      <c r="D1211" s="22" t="str">
        <f>IFERROR(VLOOKUP(B1211,Colaboradores!A:D,3,),"")</f>
        <v>MEIO AMBIENTE</v>
      </c>
      <c r="E1211" s="22" t="str">
        <f>IFERROR(VLOOKUP(B1211,Colaboradores!A:D,4,),"")</f>
        <v>GERENTE DE MEIO AMBIENTE</v>
      </c>
      <c r="F1211" s="22" t="s">
        <v>73</v>
      </c>
      <c r="G1211" s="24" t="str">
        <f>IFERROR(VLOOKUP(F1211,Procedimentos!A:C,2,),"")</f>
        <v>AQUISIÇÃO DE BENS E SERVIÇOS E AVALIAÇÃO PROVEDORES EXTERNOS</v>
      </c>
      <c r="H1211" s="25"/>
      <c r="I1211" s="43">
        <v>45911</v>
      </c>
      <c r="J1211" s="22">
        <v>12</v>
      </c>
      <c r="K1211" s="25">
        <f t="shared" si="59"/>
        <v>46276</v>
      </c>
      <c r="L1211" s="7"/>
      <c r="M1211" s="4"/>
      <c r="N1211" s="7"/>
      <c r="O1211" s="4"/>
      <c r="P1211" s="51"/>
      <c r="Q1211" s="51"/>
      <c r="R1211" s="51"/>
      <c r="S1211" s="7"/>
      <c r="T1211" s="7"/>
    </row>
    <row r="1212" spans="1:20" ht="14.25" customHeight="1">
      <c r="A1212" s="22">
        <v>1337</v>
      </c>
      <c r="B1212" s="33">
        <v>14526</v>
      </c>
      <c r="C1212" s="22" t="str">
        <f>IFERROR(VLOOKUP(B1212,Colaboradores!A:D,2,),"")</f>
        <v>VINNICYUS ANTONIO DE CARVALHO RIBEIRO</v>
      </c>
      <c r="D1212" s="22" t="str">
        <f>IFERROR(VLOOKUP(B1212,Colaboradores!A:D,3,),"")</f>
        <v>MEIO AMBIENTE</v>
      </c>
      <c r="E1212" s="22" t="str">
        <f>IFERROR(VLOOKUP(B1212,Colaboradores!A:D,4,),"")</f>
        <v>ENGENHEIRO DE MEIO AMBIENTE</v>
      </c>
      <c r="F1212" s="22" t="s">
        <v>73</v>
      </c>
      <c r="G1212" s="24" t="str">
        <f>IFERROR(VLOOKUP(F1212,Procedimentos!A:C,2,),"")</f>
        <v>AQUISIÇÃO DE BENS E SERVIÇOS E AVALIAÇÃO PROVEDORES EXTERNOS</v>
      </c>
      <c r="H1212" s="25"/>
      <c r="I1212" s="43">
        <v>45911</v>
      </c>
      <c r="J1212" s="22">
        <v>12</v>
      </c>
      <c r="K1212" s="25">
        <f t="shared" si="59"/>
        <v>46276</v>
      </c>
      <c r="L1212" s="7"/>
      <c r="M1212" s="4"/>
      <c r="N1212" s="7"/>
      <c r="O1212" s="4"/>
      <c r="P1212" s="51"/>
      <c r="Q1212" s="51"/>
      <c r="R1212" s="51"/>
      <c r="S1212" s="7"/>
      <c r="T1212" s="7"/>
    </row>
    <row r="1213" spans="1:20" ht="14.25" customHeight="1">
      <c r="A1213" s="22">
        <v>1338</v>
      </c>
      <c r="B1213" s="33">
        <v>14565</v>
      </c>
      <c r="C1213" s="22" t="str">
        <f>IFERROR(VLOOKUP(B1213,Colaboradores!A:D,2,),"")</f>
        <v>CAMILA RODRIGUES GOMES</v>
      </c>
      <c r="D1213" s="22" t="str">
        <f>IFERROR(VLOOKUP(B1213,Colaboradores!A:D,3,),"")</f>
        <v>SEGURANÇA DO TRABALHO</v>
      </c>
      <c r="E1213" s="22" t="str">
        <f>IFERROR(VLOOKUP(B1213,Colaboradores!A:D,4,),"")</f>
        <v>TÉCNICO DE SEGURANÇA DO TRABALHO</v>
      </c>
      <c r="F1213" s="22" t="s">
        <v>73</v>
      </c>
      <c r="G1213" s="24" t="str">
        <f>IFERROR(VLOOKUP(F1213,Procedimentos!A:C,2,),"")</f>
        <v>AQUISIÇÃO DE BENS E SERVIÇOS E AVALIAÇÃO PROVEDORES EXTERNOS</v>
      </c>
      <c r="H1213" s="25"/>
      <c r="I1213" s="43">
        <v>45911</v>
      </c>
      <c r="J1213" s="22">
        <v>12</v>
      </c>
      <c r="K1213" s="25">
        <f t="shared" si="59"/>
        <v>46276</v>
      </c>
      <c r="L1213" s="7"/>
      <c r="M1213" s="4"/>
      <c r="N1213" s="7"/>
      <c r="O1213" s="4"/>
      <c r="P1213" s="51"/>
      <c r="Q1213" s="51"/>
      <c r="R1213" s="51"/>
      <c r="S1213" s="7"/>
      <c r="T1213" s="7"/>
    </row>
    <row r="1214" spans="1:20" ht="14.25" customHeight="1">
      <c r="A1214" s="22">
        <v>1348</v>
      </c>
      <c r="B1214" s="33">
        <v>2740</v>
      </c>
      <c r="C1214" s="22" t="str">
        <f>IFERROR(VLOOKUP(B1214,Colaboradores!A:D,2,),"")</f>
        <v>LUCIANA BARBOSA SODRE</v>
      </c>
      <c r="D1214" s="22" t="str">
        <f>IFERROR(VLOOKUP(B1214,Colaboradores!A:D,3,),"")</f>
        <v>SEGURANÇA DO TRABALHO</v>
      </c>
      <c r="E1214" s="22" t="str">
        <f>IFERROR(VLOOKUP(B1214,Colaboradores!A:D,4,),"")</f>
        <v>TÉCNICO DE SEGURANÇA DO TRABALHO</v>
      </c>
      <c r="F1214" s="22" t="s">
        <v>73</v>
      </c>
      <c r="G1214" s="24" t="str">
        <f>IFERROR(VLOOKUP(F1214,Procedimentos!A:C,2,),"")</f>
        <v>AQUISIÇÃO DE BENS E SERVIÇOS E AVALIAÇÃO PROVEDORES EXTERNOS</v>
      </c>
      <c r="H1214" s="25"/>
      <c r="I1214" s="43">
        <v>45911</v>
      </c>
      <c r="J1214" s="22">
        <v>12</v>
      </c>
      <c r="K1214" s="25">
        <f t="shared" si="59"/>
        <v>46276</v>
      </c>
      <c r="L1214" s="7"/>
      <c r="M1214" s="4"/>
      <c r="N1214" s="7"/>
      <c r="O1214" s="4"/>
      <c r="P1214" s="51"/>
      <c r="Q1214" s="51"/>
      <c r="R1214" s="51"/>
      <c r="S1214" s="7"/>
      <c r="T1214" s="7"/>
    </row>
    <row r="1215" spans="1:20" ht="14.25" customHeight="1">
      <c r="A1215" s="22">
        <v>1349</v>
      </c>
      <c r="B1215" s="33">
        <v>7580</v>
      </c>
      <c r="C1215" s="22" t="str">
        <f>IFERROR(VLOOKUP(B1215,Colaboradores!A:D,2,),"")</f>
        <v>LUCIO JOSE DA COSTA LOPES</v>
      </c>
      <c r="D1215" s="22" t="str">
        <f>IFERROR(VLOOKUP(B1215,Colaboradores!A:D,3,),"")</f>
        <v>SEGURANÇA DO TRABALHO</v>
      </c>
      <c r="E1215" s="22" t="str">
        <f>IFERROR(VLOOKUP(B1215,Colaboradores!A:D,4,),"")</f>
        <v>TÉCNICO DE SEGURANÇA DO TRABALHO</v>
      </c>
      <c r="F1215" s="22" t="s">
        <v>73</v>
      </c>
      <c r="G1215" s="24" t="str">
        <f>IFERROR(VLOOKUP(F1215,Procedimentos!A:C,2,),"")</f>
        <v>AQUISIÇÃO DE BENS E SERVIÇOS E AVALIAÇÃO PROVEDORES EXTERNOS</v>
      </c>
      <c r="H1215" s="25"/>
      <c r="I1215" s="43">
        <v>45911</v>
      </c>
      <c r="J1215" s="22">
        <v>12</v>
      </c>
      <c r="K1215" s="25">
        <f t="shared" si="59"/>
        <v>46276</v>
      </c>
      <c r="L1215" s="7"/>
      <c r="M1215" s="4"/>
      <c r="N1215" s="7"/>
      <c r="O1215" s="4"/>
      <c r="P1215" s="51"/>
      <c r="Q1215" s="51"/>
      <c r="R1215" s="51"/>
      <c r="S1215" s="7"/>
      <c r="T1215" s="7"/>
    </row>
    <row r="1216" spans="1:20" ht="14.25" customHeight="1">
      <c r="A1216" s="22">
        <v>1350</v>
      </c>
      <c r="B1216" s="33">
        <v>13524</v>
      </c>
      <c r="C1216" s="22" t="str">
        <f>IFERROR(VLOOKUP(B1216,Colaboradores!A:D,2,),"")</f>
        <v>JOAO WILKER RIBEIRO BARROS LIMA</v>
      </c>
      <c r="D1216" s="22" t="str">
        <f>IFERROR(VLOOKUP(B1216,Colaboradores!A:D,3,),"")</f>
        <v>SEGURANÇA DO TRABALHO</v>
      </c>
      <c r="E1216" s="22" t="str">
        <f>IFERROR(VLOOKUP(B1216,Colaboradores!A:D,4,),"")</f>
        <v>COORDENADOR DE SEGURANÇA DO TRABALHO</v>
      </c>
      <c r="F1216" s="22" t="s">
        <v>41</v>
      </c>
      <c r="G1216" s="24" t="str">
        <f>IFERROR(VLOOKUP(F1216,Procedimentos!A:C,2,),"")</f>
        <v>DIRETRIZES PARA COMUNICAÇÃO E INVESTIGAÇÃO DE ACIDENTES</v>
      </c>
      <c r="H1216" s="22" t="s">
        <v>7</v>
      </c>
      <c r="I1216" s="43"/>
      <c r="J1216" s="22">
        <v>12</v>
      </c>
      <c r="K1216" s="25" t="str">
        <f t="shared" si="59"/>
        <v/>
      </c>
      <c r="L1216" s="7"/>
      <c r="M1216" s="4"/>
      <c r="N1216" s="7"/>
      <c r="O1216" s="22" t="s">
        <v>28</v>
      </c>
      <c r="P1216" s="51"/>
      <c r="Q1216" s="51"/>
      <c r="R1216" s="51"/>
      <c r="S1216" s="7"/>
      <c r="T1216" s="7"/>
    </row>
    <row r="1217" spans="1:20" ht="14.25" customHeight="1">
      <c r="A1217" s="22">
        <v>1351</v>
      </c>
      <c r="B1217" s="33">
        <v>13524</v>
      </c>
      <c r="C1217" s="22" t="str">
        <f>IFERROR(VLOOKUP(B1217,Colaboradores!A:D,2,),"")</f>
        <v>JOAO WILKER RIBEIRO BARROS LIMA</v>
      </c>
      <c r="D1217" s="22" t="str">
        <f>IFERROR(VLOOKUP(B1217,Colaboradores!A:D,3,),"")</f>
        <v>SEGURANÇA DO TRABALHO</v>
      </c>
      <c r="E1217" s="22" t="str">
        <f>IFERROR(VLOOKUP(B1217,Colaboradores!A:D,4,),"")</f>
        <v>COORDENADOR DE SEGURANÇA DO TRABALHO</v>
      </c>
      <c r="F1217" s="22" t="s">
        <v>43</v>
      </c>
      <c r="G1217" s="24" t="str">
        <f>IFERROR(VLOOKUP(F1217,Procedimentos!A:C,2,),"")</f>
        <v>DIÁLOGO DE SAÚDE E SEGURANÇA - DSS</v>
      </c>
      <c r="H1217" s="22" t="s">
        <v>7</v>
      </c>
      <c r="I1217" s="43"/>
      <c r="J1217" s="22">
        <v>12</v>
      </c>
      <c r="K1217" s="25" t="str">
        <f t="shared" si="59"/>
        <v/>
      </c>
      <c r="L1217" s="7"/>
      <c r="M1217" s="4"/>
      <c r="N1217" s="7"/>
      <c r="O1217" s="22" t="s">
        <v>28</v>
      </c>
      <c r="P1217" s="51"/>
      <c r="Q1217" s="51"/>
      <c r="R1217" s="51"/>
      <c r="S1217" s="7"/>
      <c r="T1217" s="7"/>
    </row>
    <row r="1218" spans="1:20" ht="14.25" customHeight="1">
      <c r="A1218" s="22">
        <v>1352</v>
      </c>
      <c r="B1218" s="33">
        <v>13524</v>
      </c>
      <c r="C1218" s="22" t="str">
        <f>IFERROR(VLOOKUP(B1218,Colaboradores!A:D,2,),"")</f>
        <v>JOAO WILKER RIBEIRO BARROS LIMA</v>
      </c>
      <c r="D1218" s="22" t="str">
        <f>IFERROR(VLOOKUP(B1218,Colaboradores!A:D,3,),"")</f>
        <v>SEGURANÇA DO TRABALHO</v>
      </c>
      <c r="E1218" s="22" t="str">
        <f>IFERROR(VLOOKUP(B1218,Colaboradores!A:D,4,),"")</f>
        <v>COORDENADOR DE SEGURANÇA DO TRABALHO</v>
      </c>
      <c r="F1218" s="22" t="s">
        <v>44</v>
      </c>
      <c r="G1218" s="24" t="str">
        <f>IFERROR(VLOOKUP(F1218,Procedimentos!A:C,2,),"")</f>
        <v>DIRETRIZES PARA GESTÃO DE EQUIPAMENTOS DE PROTEÇÃO INDIVIDUAL - EPI'S</v>
      </c>
      <c r="H1218" s="22" t="s">
        <v>7</v>
      </c>
      <c r="I1218" s="43"/>
      <c r="J1218" s="22">
        <v>12</v>
      </c>
      <c r="K1218" s="25" t="str">
        <f t="shared" si="59"/>
        <v/>
      </c>
      <c r="L1218" s="7"/>
      <c r="M1218" s="4"/>
      <c r="N1218" s="7"/>
      <c r="O1218" s="22" t="s">
        <v>28</v>
      </c>
      <c r="P1218" s="51"/>
      <c r="Q1218" s="51"/>
      <c r="R1218" s="51"/>
      <c r="S1218" s="7"/>
      <c r="T1218" s="7"/>
    </row>
    <row r="1219" spans="1:20" ht="14.25" customHeight="1">
      <c r="A1219" s="22">
        <v>1353</v>
      </c>
      <c r="B1219" s="33">
        <v>13524</v>
      </c>
      <c r="C1219" s="22" t="str">
        <f>IFERROR(VLOOKUP(B1219,Colaboradores!A:D,2,),"")</f>
        <v>JOAO WILKER RIBEIRO BARROS LIMA</v>
      </c>
      <c r="D1219" s="22" t="str">
        <f>IFERROR(VLOOKUP(B1219,Colaboradores!A:D,3,),"")</f>
        <v>SEGURANÇA DO TRABALHO</v>
      </c>
      <c r="E1219" s="22" t="str">
        <f>IFERROR(VLOOKUP(B1219,Colaboradores!A:D,4,),"")</f>
        <v>COORDENADOR DE SEGURANÇA DO TRABALHO</v>
      </c>
      <c r="F1219" s="22" t="s">
        <v>45</v>
      </c>
      <c r="G1219" s="24" t="str">
        <f>IFERROR(VLOOKUP(F1219,Procedimentos!A:C,2,),"")</f>
        <v>CONSTITUIÇÃO INTERNA DE PREVENÇÃO DE ACIDENTES E DE ASSÉDIOS - CIPA</v>
      </c>
      <c r="H1219" s="22" t="s">
        <v>7</v>
      </c>
      <c r="I1219" s="43"/>
      <c r="J1219" s="22">
        <v>12</v>
      </c>
      <c r="K1219" s="25" t="str">
        <f t="shared" ref="K1219:K1282" si="60">IF(AND(I1219&lt;&gt;"",J1219&lt;&gt;""),DATE(YEAR(I1219),MONTH(I1219)+J1219,DAY(I1219)),"")</f>
        <v/>
      </c>
      <c r="L1219" s="7"/>
      <c r="M1219" s="4"/>
      <c r="N1219" s="7"/>
      <c r="O1219" s="22" t="s">
        <v>28</v>
      </c>
      <c r="P1219" s="51"/>
      <c r="Q1219" s="51"/>
      <c r="R1219" s="51"/>
      <c r="S1219" s="7"/>
      <c r="T1219" s="7"/>
    </row>
    <row r="1220" spans="1:20" ht="14.25" customHeight="1">
      <c r="A1220" s="22">
        <v>1354</v>
      </c>
      <c r="B1220" s="33">
        <v>13524</v>
      </c>
      <c r="C1220" s="22" t="str">
        <f>IFERROR(VLOOKUP(B1220,Colaboradores!A:D,2,),"")</f>
        <v>JOAO WILKER RIBEIRO BARROS LIMA</v>
      </c>
      <c r="D1220" s="22" t="str">
        <f>IFERROR(VLOOKUP(B1220,Colaboradores!A:D,3,),"")</f>
        <v>SEGURANÇA DO TRABALHO</v>
      </c>
      <c r="E1220" s="22" t="str">
        <f>IFERROR(VLOOKUP(B1220,Colaboradores!A:D,4,),"")</f>
        <v>COORDENADOR DE SEGURANÇA DO TRABALHO</v>
      </c>
      <c r="F1220" s="22" t="s">
        <v>59</v>
      </c>
      <c r="G1220" s="24" t="str">
        <f>IFERROR(VLOOKUP(F1220,Procedimentos!A:C,2,),"")</f>
        <v>GERENCIAMENTO DE RISCOS DE SAÚDE, SEGURANÇA E PROCESSOS</v>
      </c>
      <c r="H1220" s="22" t="s">
        <v>7</v>
      </c>
      <c r="I1220" s="43"/>
      <c r="J1220" s="22">
        <v>12</v>
      </c>
      <c r="K1220" s="25" t="str">
        <f t="shared" si="60"/>
        <v/>
      </c>
      <c r="L1220" s="7"/>
      <c r="M1220" s="4"/>
      <c r="N1220" s="7"/>
      <c r="O1220" s="22" t="s">
        <v>28</v>
      </c>
      <c r="P1220" s="51"/>
      <c r="Q1220" s="51"/>
      <c r="R1220" s="51"/>
      <c r="S1220" s="7"/>
      <c r="T1220" s="7"/>
    </row>
    <row r="1221" spans="1:20" ht="14.25" customHeight="1">
      <c r="A1221" s="22">
        <v>1355</v>
      </c>
      <c r="B1221" s="33">
        <v>13524</v>
      </c>
      <c r="C1221" s="22" t="str">
        <f>IFERROR(VLOOKUP(B1221,Colaboradores!A:D,2,),"")</f>
        <v>JOAO WILKER RIBEIRO BARROS LIMA</v>
      </c>
      <c r="D1221" s="22" t="str">
        <f>IFERROR(VLOOKUP(B1221,Colaboradores!A:D,3,),"")</f>
        <v>SEGURANÇA DO TRABALHO</v>
      </c>
      <c r="E1221" s="22" t="str">
        <f>IFERROR(VLOOKUP(B1221,Colaboradores!A:D,4,),"")</f>
        <v>COORDENADOR DE SEGURANÇA DO TRABALHO</v>
      </c>
      <c r="F1221" s="22" t="s">
        <v>61</v>
      </c>
      <c r="G1221" s="24" t="str">
        <f>IFERROR(VLOOKUP(F1221,Procedimentos!A:C,2,),"")</f>
        <v>PROCEDIMENTO DE INSPEÇÃO DE SEGURANÇA</v>
      </c>
      <c r="H1221" s="22" t="s">
        <v>7</v>
      </c>
      <c r="I1221" s="43"/>
      <c r="J1221" s="22">
        <v>12</v>
      </c>
      <c r="K1221" s="25" t="str">
        <f t="shared" si="60"/>
        <v/>
      </c>
      <c r="L1221" s="7"/>
      <c r="M1221" s="4"/>
      <c r="N1221" s="7"/>
      <c r="O1221" s="22" t="s">
        <v>28</v>
      </c>
      <c r="P1221" s="51"/>
      <c r="Q1221" s="51"/>
      <c r="R1221" s="51"/>
      <c r="S1221" s="7"/>
      <c r="T1221" s="7"/>
    </row>
    <row r="1222" spans="1:20" ht="14.25" customHeight="1">
      <c r="A1222" s="22">
        <v>1356</v>
      </c>
      <c r="B1222" s="33">
        <v>13524</v>
      </c>
      <c r="C1222" s="22" t="str">
        <f>IFERROR(VLOOKUP(B1222,Colaboradores!A:D,2,),"")</f>
        <v>JOAO WILKER RIBEIRO BARROS LIMA</v>
      </c>
      <c r="D1222" s="22" t="str">
        <f>IFERROR(VLOOKUP(B1222,Colaboradores!A:D,3,),"")</f>
        <v>SEGURANÇA DO TRABALHO</v>
      </c>
      <c r="E1222" s="22" t="str">
        <f>IFERROR(VLOOKUP(B1222,Colaboradores!A:D,4,),"")</f>
        <v>COORDENADOR DE SEGURANÇA DO TRABALHO</v>
      </c>
      <c r="F1222" s="22" t="s">
        <v>62</v>
      </c>
      <c r="G1222" s="24" t="str">
        <f>IFERROR(VLOOKUP(F1222,Procedimentos!A:C,2,),"")</f>
        <v>DIRETRIZES PARA ENVIO E RECEBIMENTO DE DOSÍMETRO</v>
      </c>
      <c r="H1222" s="22" t="s">
        <v>7</v>
      </c>
      <c r="I1222" s="43"/>
      <c r="J1222" s="22">
        <v>12</v>
      </c>
      <c r="K1222" s="25" t="str">
        <f t="shared" si="60"/>
        <v/>
      </c>
      <c r="L1222" s="7"/>
      <c r="M1222" s="4"/>
      <c r="N1222" s="7"/>
      <c r="O1222" s="22" t="s">
        <v>28</v>
      </c>
      <c r="P1222" s="51"/>
      <c r="Q1222" s="51"/>
      <c r="R1222" s="51"/>
      <c r="S1222" s="7"/>
      <c r="T1222" s="7"/>
    </row>
    <row r="1223" spans="1:20" ht="14.25" customHeight="1">
      <c r="A1223" s="22">
        <v>1357</v>
      </c>
      <c r="B1223" s="33">
        <v>13524</v>
      </c>
      <c r="C1223" s="22" t="str">
        <f>IFERROR(VLOOKUP(B1223,Colaboradores!A:D,2,),"")</f>
        <v>JOAO WILKER RIBEIRO BARROS LIMA</v>
      </c>
      <c r="D1223" s="22" t="str">
        <f>IFERROR(VLOOKUP(B1223,Colaboradores!A:D,3,),"")</f>
        <v>SEGURANÇA DO TRABALHO</v>
      </c>
      <c r="E1223" s="22" t="str">
        <f>IFERROR(VLOOKUP(B1223,Colaboradores!A:D,4,),"")</f>
        <v>COORDENADOR DE SEGURANÇA DO TRABALHO</v>
      </c>
      <c r="F1223" s="22" t="s">
        <v>63</v>
      </c>
      <c r="G1223" s="24" t="str">
        <f>IFERROR(VLOOKUP(F1223,Procedimentos!A:C,2,),"")</f>
        <v>DIÁRIO DE BORDO DOS TÉCNICOS DE SEGURANÇA DO TRABALHO DA EMSERH E IADVH</v>
      </c>
      <c r="H1223" s="22" t="s">
        <v>7</v>
      </c>
      <c r="I1223" s="43"/>
      <c r="J1223" s="22">
        <v>12</v>
      </c>
      <c r="K1223" s="25" t="str">
        <f t="shared" si="60"/>
        <v/>
      </c>
      <c r="L1223" s="7"/>
      <c r="M1223" s="4"/>
      <c r="N1223" s="7"/>
      <c r="O1223" s="22" t="s">
        <v>28</v>
      </c>
      <c r="P1223" s="51"/>
      <c r="Q1223" s="51"/>
      <c r="R1223" s="51"/>
      <c r="S1223" s="7"/>
      <c r="T1223" s="7"/>
    </row>
    <row r="1224" spans="1:20" ht="14.25" customHeight="1">
      <c r="A1224" s="22">
        <v>1358</v>
      </c>
      <c r="B1224" s="33">
        <v>13524</v>
      </c>
      <c r="C1224" s="22" t="str">
        <f>IFERROR(VLOOKUP(B1224,Colaboradores!A:D,2,),"")</f>
        <v>JOAO WILKER RIBEIRO BARROS LIMA</v>
      </c>
      <c r="D1224" s="22" t="str">
        <f>IFERROR(VLOOKUP(B1224,Colaboradores!A:D,3,),"")</f>
        <v>SEGURANÇA DO TRABALHO</v>
      </c>
      <c r="E1224" s="22" t="str">
        <f>IFERROR(VLOOKUP(B1224,Colaboradores!A:D,4,),"")</f>
        <v>COORDENADOR DE SEGURANÇA DO TRABALHO</v>
      </c>
      <c r="F1224" s="22" t="s">
        <v>73</v>
      </c>
      <c r="G1224" s="24" t="str">
        <f>IFERROR(VLOOKUP(F1224,Procedimentos!A:C,2,),"")</f>
        <v>AQUISIÇÃO DE BENS E SERVIÇOS E AVALIAÇÃO PROVEDORES EXTERNOS</v>
      </c>
      <c r="H1224" s="25"/>
      <c r="I1224" s="43">
        <v>45911</v>
      </c>
      <c r="J1224" s="22">
        <v>12</v>
      </c>
      <c r="K1224" s="25">
        <f t="shared" si="60"/>
        <v>46276</v>
      </c>
      <c r="L1224" s="7"/>
      <c r="M1224" s="4"/>
      <c r="N1224" s="7"/>
      <c r="O1224" s="4"/>
      <c r="P1224" s="51"/>
      <c r="Q1224" s="51"/>
      <c r="R1224" s="51"/>
      <c r="S1224" s="7"/>
      <c r="T1224" s="7"/>
    </row>
    <row r="1225" spans="1:20" ht="14.25" customHeight="1">
      <c r="A1225" s="22">
        <v>1359</v>
      </c>
      <c r="B1225" s="38">
        <v>15295</v>
      </c>
      <c r="C1225" s="22" t="str">
        <f>IFERROR(VLOOKUP(B1225,Colaboradores!A:D,2,),"")</f>
        <v>ANA CRISTINA GONÇALVES NUNES</v>
      </c>
      <c r="D1225" s="22" t="str">
        <f>IFERROR(VLOOKUP(B1225,Colaboradores!A:D,3,),"")</f>
        <v>SAÚDE OCUPACIONAL</v>
      </c>
      <c r="E1225" s="22" t="str">
        <f>IFERROR(VLOOKUP(B1225,Colaboradores!A:D,4,),"")</f>
        <v>ENFERMEIRA</v>
      </c>
      <c r="F1225" s="22" t="s">
        <v>73</v>
      </c>
      <c r="G1225" s="24" t="str">
        <f>IFERROR(VLOOKUP(F1225,Procedimentos!A:C,2,),"")</f>
        <v>AQUISIÇÃO DE BENS E SERVIÇOS E AVALIAÇÃO PROVEDORES EXTERNOS</v>
      </c>
      <c r="H1225" s="25"/>
      <c r="I1225" s="43">
        <v>45911</v>
      </c>
      <c r="J1225" s="22">
        <v>12</v>
      </c>
      <c r="K1225" s="25">
        <f t="shared" si="60"/>
        <v>46276</v>
      </c>
      <c r="L1225" s="7"/>
      <c r="M1225" s="4"/>
      <c r="N1225" s="7"/>
      <c r="O1225" s="4"/>
      <c r="P1225" s="51"/>
      <c r="Q1225" s="51"/>
      <c r="R1225" s="51"/>
      <c r="S1225" s="7"/>
      <c r="T1225" s="7"/>
    </row>
    <row r="1226" spans="1:20" ht="14.25" customHeight="1">
      <c r="A1226" s="22">
        <v>1360</v>
      </c>
      <c r="B1226" s="38">
        <v>15295</v>
      </c>
      <c r="C1226" s="22" t="str">
        <f>IFERROR(VLOOKUP(B1226,Colaboradores!A:D,2,),"")</f>
        <v>ANA CRISTINA GONÇALVES NUNES</v>
      </c>
      <c r="D1226" s="22" t="str">
        <f>IFERROR(VLOOKUP(B1226,Colaboradores!A:D,3,),"")</f>
        <v>SAÚDE OCUPACIONAL</v>
      </c>
      <c r="E1226" s="22" t="str">
        <f>IFERROR(VLOOKUP(B1226,Colaboradores!A:D,4,),"")</f>
        <v>ENFERMEIRA</v>
      </c>
      <c r="F1226" s="22" t="s">
        <v>41</v>
      </c>
      <c r="G1226" s="24" t="str">
        <f>IFERROR(VLOOKUP(F1226,Procedimentos!A:C,2,),"")</f>
        <v>DIRETRIZES PARA COMUNICAÇÃO E INVESTIGAÇÃO DE ACIDENTES</v>
      </c>
      <c r="H1226" s="25"/>
      <c r="I1226" s="43">
        <v>45888</v>
      </c>
      <c r="J1226" s="22">
        <v>12</v>
      </c>
      <c r="K1226" s="25">
        <f t="shared" si="60"/>
        <v>46253</v>
      </c>
      <c r="L1226" s="7"/>
      <c r="M1226" s="4"/>
      <c r="N1226" s="7"/>
      <c r="O1226" s="4"/>
      <c r="P1226" s="51"/>
      <c r="Q1226" s="51"/>
      <c r="R1226" s="51"/>
      <c r="S1226" s="7"/>
      <c r="T1226" s="7"/>
    </row>
    <row r="1227" spans="1:20" ht="14.25" customHeight="1">
      <c r="A1227" s="22">
        <v>1361</v>
      </c>
      <c r="B1227" s="38">
        <v>15295</v>
      </c>
      <c r="C1227" s="22" t="str">
        <f>IFERROR(VLOOKUP(B1227,Colaboradores!A:D,2,),"")</f>
        <v>ANA CRISTINA GONÇALVES NUNES</v>
      </c>
      <c r="D1227" s="22" t="str">
        <f>IFERROR(VLOOKUP(B1227,Colaboradores!A:D,3,),"")</f>
        <v>SAÚDE OCUPACIONAL</v>
      </c>
      <c r="E1227" s="22" t="str">
        <f>IFERROR(VLOOKUP(B1227,Colaboradores!A:D,4,),"")</f>
        <v>ENFERMEIRA</v>
      </c>
      <c r="F1227" s="22" t="s">
        <v>43</v>
      </c>
      <c r="G1227" s="24" t="str">
        <f>IFERROR(VLOOKUP(F1227,Procedimentos!A:C,2,),"")</f>
        <v>DIÁLOGO DE SAÚDE E SEGURANÇA - DSS</v>
      </c>
      <c r="H1227" s="25"/>
      <c r="I1227" s="43">
        <v>45888</v>
      </c>
      <c r="J1227" s="22">
        <v>12</v>
      </c>
      <c r="K1227" s="25">
        <f t="shared" si="60"/>
        <v>46253</v>
      </c>
      <c r="L1227" s="7"/>
      <c r="M1227" s="4"/>
      <c r="N1227" s="7"/>
      <c r="O1227" s="4"/>
      <c r="P1227" s="51"/>
      <c r="Q1227" s="51"/>
      <c r="R1227" s="51"/>
      <c r="S1227" s="7"/>
      <c r="T1227" s="7"/>
    </row>
    <row r="1228" spans="1:20" ht="14.25" customHeight="1">
      <c r="A1228" s="22">
        <v>1362</v>
      </c>
      <c r="B1228" s="38">
        <v>15295</v>
      </c>
      <c r="C1228" s="22" t="str">
        <f>IFERROR(VLOOKUP(B1228,Colaboradores!A:D,2,),"")</f>
        <v>ANA CRISTINA GONÇALVES NUNES</v>
      </c>
      <c r="D1228" s="22" t="str">
        <f>IFERROR(VLOOKUP(B1228,Colaboradores!A:D,3,),"")</f>
        <v>SAÚDE OCUPACIONAL</v>
      </c>
      <c r="E1228" s="22" t="str">
        <f>IFERROR(VLOOKUP(B1228,Colaboradores!A:D,4,),"")</f>
        <v>ENFERMEIRA</v>
      </c>
      <c r="F1228" s="22" t="s">
        <v>44</v>
      </c>
      <c r="G1228" s="24" t="str">
        <f>IFERROR(VLOOKUP(F1228,Procedimentos!A:C,2,),"")</f>
        <v>DIRETRIZES PARA GESTÃO DE EQUIPAMENTOS DE PROTEÇÃO INDIVIDUAL - EPI'S</v>
      </c>
      <c r="H1228" s="25"/>
      <c r="I1228" s="43">
        <v>45888</v>
      </c>
      <c r="J1228" s="22">
        <v>12</v>
      </c>
      <c r="K1228" s="25">
        <f t="shared" si="60"/>
        <v>46253</v>
      </c>
      <c r="L1228" s="7"/>
      <c r="M1228" s="4"/>
      <c r="N1228" s="7"/>
      <c r="O1228" s="4"/>
      <c r="P1228" s="51"/>
      <c r="Q1228" s="51"/>
      <c r="R1228" s="51"/>
      <c r="S1228" s="7"/>
      <c r="T1228" s="7"/>
    </row>
    <row r="1229" spans="1:20" ht="14.25" customHeight="1">
      <c r="A1229" s="22">
        <v>1363</v>
      </c>
      <c r="B1229" s="38">
        <v>15295</v>
      </c>
      <c r="C1229" s="22" t="str">
        <f>IFERROR(VLOOKUP(B1229,Colaboradores!A:D,2,),"")</f>
        <v>ANA CRISTINA GONÇALVES NUNES</v>
      </c>
      <c r="D1229" s="22" t="str">
        <f>IFERROR(VLOOKUP(B1229,Colaboradores!A:D,3,),"")</f>
        <v>SAÚDE OCUPACIONAL</v>
      </c>
      <c r="E1229" s="22" t="str">
        <f>IFERROR(VLOOKUP(B1229,Colaboradores!A:D,4,),"")</f>
        <v>ENFERMEIRA</v>
      </c>
      <c r="F1229" s="22" t="s">
        <v>45</v>
      </c>
      <c r="G1229" s="24" t="str">
        <f>IFERROR(VLOOKUP(F1229,Procedimentos!A:C,2,),"")</f>
        <v>CONSTITUIÇÃO INTERNA DE PREVENÇÃO DE ACIDENTES E DE ASSÉDIOS - CIPA</v>
      </c>
      <c r="H1229" s="25"/>
      <c r="I1229" s="43">
        <v>45888</v>
      </c>
      <c r="J1229" s="22">
        <v>12</v>
      </c>
      <c r="K1229" s="25">
        <f t="shared" si="60"/>
        <v>46253</v>
      </c>
      <c r="L1229" s="7"/>
      <c r="M1229" s="4"/>
      <c r="N1229" s="7"/>
      <c r="O1229" s="4"/>
      <c r="P1229" s="51"/>
      <c r="Q1229" s="51"/>
      <c r="R1229" s="51"/>
      <c r="S1229" s="7"/>
      <c r="T1229" s="7"/>
    </row>
    <row r="1230" spans="1:20" ht="14.25" customHeight="1">
      <c r="A1230" s="22">
        <v>1364</v>
      </c>
      <c r="B1230" s="38">
        <v>12330</v>
      </c>
      <c r="C1230" s="22" t="str">
        <f>IFERROR(VLOOKUP(B1230,Colaboradores!A:D,2,),"")</f>
        <v>BIANCA GUEDES SILVA ALMEIDA</v>
      </c>
      <c r="D1230" s="22" t="str">
        <f>IFERROR(VLOOKUP(B1230,Colaboradores!A:D,3,),"")</f>
        <v>SAÚDE OCUPACIONAL</v>
      </c>
      <c r="E1230" s="22" t="str">
        <f>IFERROR(VLOOKUP(B1230,Colaboradores!A:D,4,),"")</f>
        <v>NUTRICIONISTA</v>
      </c>
      <c r="F1230" s="22" t="s">
        <v>73</v>
      </c>
      <c r="G1230" s="24" t="str">
        <f>IFERROR(VLOOKUP(F1230,Procedimentos!A:C,2,),"")</f>
        <v>AQUISIÇÃO DE BENS E SERVIÇOS E AVALIAÇÃO PROVEDORES EXTERNOS</v>
      </c>
      <c r="H1230" s="25"/>
      <c r="I1230" s="43">
        <v>45888</v>
      </c>
      <c r="J1230" s="22">
        <v>12</v>
      </c>
      <c r="K1230" s="25">
        <f t="shared" si="60"/>
        <v>46253</v>
      </c>
      <c r="L1230" s="7"/>
      <c r="M1230" s="4"/>
      <c r="N1230" s="7"/>
      <c r="O1230" s="4"/>
      <c r="P1230" s="51"/>
      <c r="Q1230" s="51"/>
      <c r="R1230" s="51"/>
      <c r="S1230" s="7"/>
      <c r="T1230" s="7"/>
    </row>
    <row r="1231" spans="1:20" ht="14.25" customHeight="1">
      <c r="A1231" s="22">
        <v>1365</v>
      </c>
      <c r="B1231" s="38">
        <v>15295</v>
      </c>
      <c r="C1231" s="22" t="str">
        <f>IFERROR(VLOOKUP(B1231,Colaboradores!A:D,2,),"")</f>
        <v>ANA CRISTINA GONÇALVES NUNES</v>
      </c>
      <c r="D1231" s="22" t="str">
        <f>IFERROR(VLOOKUP(B1231,Colaboradores!A:D,3,),"")</f>
        <v>SAÚDE OCUPACIONAL</v>
      </c>
      <c r="E1231" s="22" t="str">
        <f>IFERROR(VLOOKUP(B1231,Colaboradores!A:D,4,),"")</f>
        <v>ENFERMEIRA</v>
      </c>
      <c r="F1231" s="22" t="s">
        <v>49</v>
      </c>
      <c r="G1231" s="24" t="str">
        <f>IFERROR(VLOOKUP(F1231,Procedimentos!A:C,2,),"")</f>
        <v>DIRETRIZES PARA REALIZAÇÃO DE EXAMES OCUPACIONAIS</v>
      </c>
      <c r="H1231" s="25"/>
      <c r="I1231" s="43">
        <v>45890</v>
      </c>
      <c r="J1231" s="22">
        <v>12</v>
      </c>
      <c r="K1231" s="25">
        <f t="shared" si="60"/>
        <v>46255</v>
      </c>
      <c r="L1231" s="7"/>
      <c r="M1231" s="4"/>
      <c r="N1231" s="7"/>
      <c r="O1231" s="4"/>
      <c r="P1231" s="51"/>
      <c r="Q1231" s="51"/>
      <c r="R1231" s="51"/>
      <c r="S1231" s="7"/>
      <c r="T1231" s="7"/>
    </row>
    <row r="1232" spans="1:20" ht="14.25" customHeight="1">
      <c r="A1232" s="22">
        <v>1366</v>
      </c>
      <c r="B1232" s="38">
        <v>15295</v>
      </c>
      <c r="C1232" s="22" t="str">
        <f>IFERROR(VLOOKUP(B1232,Colaboradores!A:D,2,),"")</f>
        <v>ANA CRISTINA GONÇALVES NUNES</v>
      </c>
      <c r="D1232" s="22" t="str">
        <f>IFERROR(VLOOKUP(B1232,Colaboradores!A:D,3,),"")</f>
        <v>SAÚDE OCUPACIONAL</v>
      </c>
      <c r="E1232" s="22" t="str">
        <f>IFERROR(VLOOKUP(B1232,Colaboradores!A:D,4,),"")</f>
        <v>ENFERMEIRA</v>
      </c>
      <c r="F1232" s="22" t="s">
        <v>51</v>
      </c>
      <c r="G1232" s="24" t="str">
        <f>IFERROR(VLOOKUP(F1232,Procedimentos!A:C,2,),"")</f>
        <v>DIRETRIZES PARA ENTREGA DE ATESTADOS MÉDICOS E ODONTOLÓGICOS</v>
      </c>
      <c r="H1232" s="25"/>
      <c r="I1232" s="43">
        <v>45890</v>
      </c>
      <c r="J1232" s="22">
        <v>12</v>
      </c>
      <c r="K1232" s="25">
        <f t="shared" si="60"/>
        <v>46255</v>
      </c>
      <c r="L1232" s="7"/>
      <c r="M1232" s="4"/>
      <c r="N1232" s="7"/>
      <c r="O1232" s="4"/>
      <c r="P1232" s="51"/>
      <c r="Q1232" s="51"/>
      <c r="R1232" s="51"/>
      <c r="S1232" s="7"/>
      <c r="T1232" s="7"/>
    </row>
    <row r="1233" spans="1:20" ht="14.25" customHeight="1">
      <c r="A1233" s="22">
        <v>1367</v>
      </c>
      <c r="B1233" s="38">
        <v>15295</v>
      </c>
      <c r="C1233" s="22" t="str">
        <f>IFERROR(VLOOKUP(B1233,Colaboradores!A:D,2,),"")</f>
        <v>ANA CRISTINA GONÇALVES NUNES</v>
      </c>
      <c r="D1233" s="22" t="str">
        <f>IFERROR(VLOOKUP(B1233,Colaboradores!A:D,3,),"")</f>
        <v>SAÚDE OCUPACIONAL</v>
      </c>
      <c r="E1233" s="22" t="str">
        <f>IFERROR(VLOOKUP(B1233,Colaboradores!A:D,4,),"")</f>
        <v>ENFERMEIRA</v>
      </c>
      <c r="F1233" s="22" t="s">
        <v>52</v>
      </c>
      <c r="G1233" s="24" t="str">
        <f>IFERROR(VLOOKUP(F1233,Procedimentos!A:C,2,),"")</f>
        <v>DIRETRIZES E ACOMPANHAMENTO  DE ACIDENTE COM MATERIAL BIOLOGICO</v>
      </c>
      <c r="H1233" s="25"/>
      <c r="I1233" s="43">
        <v>45890</v>
      </c>
      <c r="J1233" s="22">
        <v>12</v>
      </c>
      <c r="K1233" s="25">
        <f t="shared" si="60"/>
        <v>46255</v>
      </c>
      <c r="L1233" s="7"/>
      <c r="M1233" s="4"/>
      <c r="N1233" s="7"/>
      <c r="O1233" s="4"/>
      <c r="P1233" s="51"/>
      <c r="Q1233" s="51"/>
      <c r="R1233" s="51"/>
      <c r="S1233" s="7"/>
      <c r="T1233" s="7"/>
    </row>
    <row r="1234" spans="1:20" ht="14.25" customHeight="1">
      <c r="A1234" s="22">
        <v>1368</v>
      </c>
      <c r="B1234" s="38">
        <v>15295</v>
      </c>
      <c r="C1234" s="22" t="str">
        <f>IFERROR(VLOOKUP(B1234,Colaboradores!A:D,2,),"")</f>
        <v>ANA CRISTINA GONÇALVES NUNES</v>
      </c>
      <c r="D1234" s="22" t="str">
        <f>IFERROR(VLOOKUP(B1234,Colaboradores!A:D,3,),"")</f>
        <v>SAÚDE OCUPACIONAL</v>
      </c>
      <c r="E1234" s="22" t="str">
        <f>IFERROR(VLOOKUP(B1234,Colaboradores!A:D,4,),"")</f>
        <v>ENFERMEIRA</v>
      </c>
      <c r="F1234" s="22" t="s">
        <v>53</v>
      </c>
      <c r="G1234" s="24" t="str">
        <f>IFERROR(VLOOKUP(F1234,Procedimentos!A:C,2,),"")</f>
        <v>DIRETRIZES PARA MONITORAMENTO DE GESTANTE</v>
      </c>
      <c r="H1234" s="25"/>
      <c r="I1234" s="43">
        <v>45890</v>
      </c>
      <c r="J1234" s="22">
        <v>12</v>
      </c>
      <c r="K1234" s="25">
        <f t="shared" si="60"/>
        <v>46255</v>
      </c>
      <c r="L1234" s="7"/>
      <c r="M1234" s="4"/>
      <c r="N1234" s="7"/>
      <c r="O1234" s="4"/>
      <c r="P1234" s="51"/>
      <c r="Q1234" s="51"/>
      <c r="R1234" s="51"/>
      <c r="S1234" s="7"/>
      <c r="T1234" s="7"/>
    </row>
    <row r="1235" spans="1:20" ht="14.25" customHeight="1">
      <c r="A1235" s="22">
        <v>1369</v>
      </c>
      <c r="B1235" s="38">
        <v>15295</v>
      </c>
      <c r="C1235" s="22" t="str">
        <f>IFERROR(VLOOKUP(B1235,Colaboradores!A:D,2,),"")</f>
        <v>ANA CRISTINA GONÇALVES NUNES</v>
      </c>
      <c r="D1235" s="22" t="str">
        <f>IFERROR(VLOOKUP(B1235,Colaboradores!A:D,3,),"")</f>
        <v>SAÚDE OCUPACIONAL</v>
      </c>
      <c r="E1235" s="22" t="str">
        <f>IFERROR(VLOOKUP(B1235,Colaboradores!A:D,4,),"")</f>
        <v>ENFERMEIRA</v>
      </c>
      <c r="F1235" s="22" t="s">
        <v>54</v>
      </c>
      <c r="G1235" s="24" t="str">
        <f>IFERROR(VLOOKUP(F1235,Procedimentos!A:C,2,),"")</f>
        <v>DIRETRIZES DE IMUNIZAÇÃO OCUPACIONAL</v>
      </c>
      <c r="H1235" s="25"/>
      <c r="I1235" s="43">
        <v>45890</v>
      </c>
      <c r="J1235" s="22">
        <v>12</v>
      </c>
      <c r="K1235" s="25">
        <f t="shared" si="60"/>
        <v>46255</v>
      </c>
      <c r="L1235" s="7"/>
      <c r="M1235" s="4"/>
      <c r="N1235" s="7"/>
      <c r="O1235" s="4"/>
      <c r="P1235" s="51"/>
      <c r="Q1235" s="51"/>
      <c r="R1235" s="51"/>
      <c r="S1235" s="7"/>
      <c r="T1235" s="7"/>
    </row>
    <row r="1236" spans="1:20" ht="14.25" customHeight="1">
      <c r="A1236" s="22">
        <v>1370</v>
      </c>
      <c r="B1236" s="38">
        <v>15295</v>
      </c>
      <c r="C1236" s="22" t="str">
        <f>IFERROR(VLOOKUP(B1236,Colaboradores!A:D,2,),"")</f>
        <v>ANA CRISTINA GONÇALVES NUNES</v>
      </c>
      <c r="D1236" s="22" t="str">
        <f>IFERROR(VLOOKUP(B1236,Colaboradores!A:D,3,),"")</f>
        <v>SAÚDE OCUPACIONAL</v>
      </c>
      <c r="E1236" s="22" t="str">
        <f>IFERROR(VLOOKUP(B1236,Colaboradores!A:D,4,),"")</f>
        <v>ENFERMEIRA</v>
      </c>
      <c r="F1236" s="22" t="s">
        <v>55</v>
      </c>
      <c r="G1236" s="24" t="str">
        <f>IFERROR(VLOOKUP(F1236,Procedimentos!A:C,2,),"")</f>
        <v>DIRETRIZES PARA ACOMPANHAMENTO DE AFASTADOS</v>
      </c>
      <c r="H1236" s="25"/>
      <c r="I1236" s="43">
        <v>45890</v>
      </c>
      <c r="J1236" s="22">
        <v>12</v>
      </c>
      <c r="K1236" s="25">
        <f t="shared" si="60"/>
        <v>46255</v>
      </c>
      <c r="L1236" s="7"/>
      <c r="M1236" s="4"/>
      <c r="N1236" s="7"/>
      <c r="O1236" s="4"/>
      <c r="P1236" s="51"/>
      <c r="Q1236" s="51"/>
      <c r="R1236" s="51"/>
      <c r="S1236" s="7"/>
      <c r="T1236" s="7"/>
    </row>
    <row r="1237" spans="1:20" ht="14.25" customHeight="1">
      <c r="A1237" s="22">
        <v>1371</v>
      </c>
      <c r="B1237" s="38">
        <v>15295</v>
      </c>
      <c r="C1237" s="22" t="str">
        <f>IFERROR(VLOOKUP(B1237,Colaboradores!A:D,2,),"")</f>
        <v>ANA CRISTINA GONÇALVES NUNES</v>
      </c>
      <c r="D1237" s="22" t="str">
        <f>IFERROR(VLOOKUP(B1237,Colaboradores!A:D,3,),"")</f>
        <v>SAÚDE OCUPACIONAL</v>
      </c>
      <c r="E1237" s="22" t="str">
        <f>IFERROR(VLOOKUP(B1237,Colaboradores!A:D,4,),"")</f>
        <v>ENFERMEIRA</v>
      </c>
      <c r="F1237" s="22" t="s">
        <v>29</v>
      </c>
      <c r="G1237" s="24" t="str">
        <f>IFERROR(VLOOKUP(F1237,Procedimentos!A:C,2,),"")</f>
        <v>COLETA SELETIVA DESSMA</v>
      </c>
      <c r="H1237" s="25"/>
      <c r="I1237" s="51"/>
      <c r="J1237" s="22">
        <v>12</v>
      </c>
      <c r="K1237" s="25" t="str">
        <f t="shared" si="60"/>
        <v/>
      </c>
      <c r="L1237" s="7"/>
      <c r="M1237" s="4"/>
      <c r="N1237" s="7"/>
      <c r="O1237" s="4"/>
      <c r="P1237" s="51"/>
      <c r="Q1237" s="51"/>
      <c r="R1237" s="51"/>
      <c r="S1237" s="7"/>
      <c r="T1237" s="7"/>
    </row>
    <row r="1238" spans="1:20" ht="14.25" customHeight="1">
      <c r="A1238" s="22">
        <v>1372</v>
      </c>
      <c r="B1238" s="38">
        <v>15295</v>
      </c>
      <c r="C1238" s="22" t="str">
        <f>IFERROR(VLOOKUP(B1238,Colaboradores!A:D,2,),"")</f>
        <v>ANA CRISTINA GONÇALVES NUNES</v>
      </c>
      <c r="D1238" s="22" t="str">
        <f>IFERROR(VLOOKUP(B1238,Colaboradores!A:D,3,),"")</f>
        <v>SAÚDE OCUPACIONAL</v>
      </c>
      <c r="E1238" s="22" t="str">
        <f>IFERROR(VLOOKUP(B1238,Colaboradores!A:D,4,),"")</f>
        <v>ENFERMEIRA</v>
      </c>
      <c r="F1238" s="22" t="s">
        <v>36</v>
      </c>
      <c r="G1238" s="24" t="str">
        <f>IFERROR(VLOOKUP(F1238,Procedimentos!A:C,2,),"")</f>
        <v>GESTÃO DE PRODUTOS QUÍMICOS</v>
      </c>
      <c r="H1238" s="25"/>
      <c r="I1238" s="51"/>
      <c r="J1238" s="22">
        <v>12</v>
      </c>
      <c r="K1238" s="25" t="str">
        <f t="shared" si="60"/>
        <v/>
      </c>
      <c r="L1238" s="7"/>
      <c r="M1238" s="4"/>
      <c r="N1238" s="7"/>
      <c r="O1238" s="4"/>
      <c r="P1238" s="51"/>
      <c r="Q1238" s="51"/>
      <c r="R1238" s="51"/>
      <c r="S1238" s="7"/>
      <c r="T1238" s="7"/>
    </row>
    <row r="1239" spans="1:20" ht="14.25" customHeight="1">
      <c r="A1239" s="22">
        <v>1373</v>
      </c>
      <c r="B1239" s="38">
        <v>15295</v>
      </c>
      <c r="C1239" s="22" t="str">
        <f>IFERROR(VLOOKUP(B1239,Colaboradores!A:D,2,),"")</f>
        <v>ANA CRISTINA GONÇALVES NUNES</v>
      </c>
      <c r="D1239" s="22" t="str">
        <f>IFERROR(VLOOKUP(B1239,Colaboradores!A:D,3,),"")</f>
        <v>SAÚDE OCUPACIONAL</v>
      </c>
      <c r="E1239" s="22" t="str">
        <f>IFERROR(VLOOKUP(B1239,Colaboradores!A:D,4,),"")</f>
        <v>ENFERMEIRA</v>
      </c>
      <c r="F1239" s="22" t="s">
        <v>32</v>
      </c>
      <c r="G1239" s="24" t="str">
        <f>IFERROR(VLOOKUP(F1239,Procedimentos!A:C,2,),"")</f>
        <v>GESTÃO DE LEVANTAMENTO DE ASPECTOS E IMPACTOS AMBIENTAIS</v>
      </c>
      <c r="H1239" s="25"/>
      <c r="I1239" s="51"/>
      <c r="J1239" s="22">
        <v>12</v>
      </c>
      <c r="K1239" s="25" t="str">
        <f t="shared" si="60"/>
        <v/>
      </c>
      <c r="L1239" s="7"/>
      <c r="M1239" s="4"/>
      <c r="N1239" s="7"/>
      <c r="O1239" s="4"/>
      <c r="P1239" s="51"/>
      <c r="Q1239" s="51"/>
      <c r="R1239" s="51"/>
      <c r="S1239" s="7"/>
      <c r="T1239" s="7"/>
    </row>
    <row r="1240" spans="1:20" ht="14.25" customHeight="1">
      <c r="A1240" s="22">
        <v>1374</v>
      </c>
      <c r="B1240" s="38">
        <v>15295</v>
      </c>
      <c r="C1240" s="22" t="str">
        <f>IFERROR(VLOOKUP(B1240,Colaboradores!A:D,2,),"")</f>
        <v>ANA CRISTINA GONÇALVES NUNES</v>
      </c>
      <c r="D1240" s="22" t="str">
        <f>IFERROR(VLOOKUP(B1240,Colaboradores!A:D,3,),"")</f>
        <v>SAÚDE OCUPACIONAL</v>
      </c>
      <c r="E1240" s="22" t="str">
        <f>IFERROR(VLOOKUP(B1240,Colaboradores!A:D,4,),"")</f>
        <v>ENFERMEIRA</v>
      </c>
      <c r="F1240" s="22" t="s">
        <v>31</v>
      </c>
      <c r="G1240" s="24" t="str">
        <f>IFERROR(VLOOKUP(F1240,Procedimentos!A:C,2,),"")</f>
        <v>GESTÃO DE COMUNICAÇÃO, CLASSIFICAÇÃO E INVESTIGAÇÃO DE OCORRÊNCIAS AMBIENTAIS</v>
      </c>
      <c r="H1240" s="25"/>
      <c r="I1240" s="51"/>
      <c r="J1240" s="22">
        <v>12</v>
      </c>
      <c r="K1240" s="25" t="str">
        <f t="shared" si="60"/>
        <v/>
      </c>
      <c r="L1240" s="7"/>
      <c r="M1240" s="4"/>
      <c r="N1240" s="7"/>
      <c r="O1240" s="4"/>
      <c r="P1240" s="51"/>
      <c r="Q1240" s="51"/>
      <c r="R1240" s="51"/>
      <c r="S1240" s="7"/>
      <c r="T1240" s="7"/>
    </row>
    <row r="1241" spans="1:20" ht="14.25" customHeight="1">
      <c r="A1241" s="22">
        <v>1375</v>
      </c>
      <c r="B1241" s="38">
        <v>15295</v>
      </c>
      <c r="C1241" s="22" t="str">
        <f>IFERROR(VLOOKUP(B1241,Colaboradores!A:D,2,),"")</f>
        <v>ANA CRISTINA GONÇALVES NUNES</v>
      </c>
      <c r="D1241" s="22" t="str">
        <f>IFERROR(VLOOKUP(B1241,Colaboradores!A:D,3,),"")</f>
        <v>SAÚDE OCUPACIONAL</v>
      </c>
      <c r="E1241" s="22" t="str">
        <f>IFERROR(VLOOKUP(B1241,Colaboradores!A:D,4,),"")</f>
        <v>ENFERMEIRA</v>
      </c>
      <c r="F1241" s="22" t="s">
        <v>33</v>
      </c>
      <c r="G1241" s="24" t="str">
        <f>IFERROR(VLOOKUP(F1241,Procedimentos!A:C,2,),"")</f>
        <v>GESTÃO DE INSPEÇÕES AMBIENTAIS</v>
      </c>
      <c r="H1241" s="25"/>
      <c r="I1241" s="51"/>
      <c r="J1241" s="22">
        <v>12</v>
      </c>
      <c r="K1241" s="25" t="str">
        <f t="shared" si="60"/>
        <v/>
      </c>
      <c r="L1241" s="7"/>
      <c r="M1241" s="4"/>
      <c r="N1241" s="7"/>
      <c r="O1241" s="4"/>
      <c r="P1241" s="51"/>
      <c r="Q1241" s="51"/>
      <c r="R1241" s="51"/>
      <c r="S1241" s="7"/>
      <c r="T1241" s="7"/>
    </row>
    <row r="1242" spans="1:20" ht="14.25" customHeight="1">
      <c r="A1242" s="22">
        <v>1376</v>
      </c>
      <c r="B1242" s="38">
        <v>15295</v>
      </c>
      <c r="C1242" s="22" t="str">
        <f>IFERROR(VLOOKUP(B1242,Colaboradores!A:D,2,),"")</f>
        <v>ANA CRISTINA GONÇALVES NUNES</v>
      </c>
      <c r="D1242" s="22" t="str">
        <f>IFERROR(VLOOKUP(B1242,Colaboradores!A:D,3,),"")</f>
        <v>SAÚDE OCUPACIONAL</v>
      </c>
      <c r="E1242" s="22" t="str">
        <f>IFERROR(VLOOKUP(B1242,Colaboradores!A:D,4,),"")</f>
        <v>ENFERMEIRA</v>
      </c>
      <c r="F1242" s="22" t="s">
        <v>48</v>
      </c>
      <c r="G1242" s="24" t="str">
        <f>IFERROR(VLOOKUP(F1242,Procedimentos!A:C,2,),"")</f>
        <v>POLÍTICA MEIO AMBIENTE EMSERH</v>
      </c>
      <c r="H1242" s="25"/>
      <c r="I1242" s="51"/>
      <c r="J1242" s="22">
        <v>12</v>
      </c>
      <c r="K1242" s="25" t="str">
        <f t="shared" si="60"/>
        <v/>
      </c>
      <c r="L1242" s="7"/>
      <c r="M1242" s="4"/>
      <c r="N1242" s="7"/>
      <c r="O1242" s="4"/>
      <c r="P1242" s="51"/>
      <c r="Q1242" s="51"/>
      <c r="R1242" s="51"/>
      <c r="S1242" s="7"/>
      <c r="T1242" s="7"/>
    </row>
    <row r="1243" spans="1:20" ht="14.25" customHeight="1">
      <c r="A1243" s="22">
        <v>1377</v>
      </c>
      <c r="B1243" s="38">
        <v>15295</v>
      </c>
      <c r="C1243" s="22" t="str">
        <f>IFERROR(VLOOKUP(B1243,Colaboradores!A:D,2,),"")</f>
        <v>ANA CRISTINA GONÇALVES NUNES</v>
      </c>
      <c r="D1243" s="22" t="str">
        <f>IFERROR(VLOOKUP(B1243,Colaboradores!A:D,3,),"")</f>
        <v>SAÚDE OCUPACIONAL</v>
      </c>
      <c r="E1243" s="22" t="str">
        <f>IFERROR(VLOOKUP(B1243,Colaboradores!A:D,4,),"")</f>
        <v>ENFERMEIRA</v>
      </c>
      <c r="F1243" s="22" t="s">
        <v>46</v>
      </c>
      <c r="G1243" s="24" t="str">
        <f>IFERROR(VLOOKUP(F1243,Procedimentos!A:C,2,),"")</f>
        <v>POLÍTICA DE SAÚDE E SEGURANÇA DO TRABALHO EMSERH</v>
      </c>
      <c r="H1243" s="25"/>
      <c r="I1243" s="51"/>
      <c r="J1243" s="22">
        <v>12</v>
      </c>
      <c r="K1243" s="25" t="str">
        <f t="shared" si="60"/>
        <v/>
      </c>
      <c r="L1243" s="7"/>
      <c r="M1243" s="4"/>
      <c r="N1243" s="7"/>
      <c r="O1243" s="4"/>
      <c r="P1243" s="51"/>
      <c r="Q1243" s="51"/>
      <c r="R1243" s="51"/>
      <c r="S1243" s="7"/>
      <c r="T1243" s="7"/>
    </row>
    <row r="1244" spans="1:20" ht="14.25" customHeight="1">
      <c r="A1244" s="22">
        <v>1378</v>
      </c>
      <c r="B1244" s="38">
        <v>14508</v>
      </c>
      <c r="C1244" s="22" t="str">
        <f>IFERROR(VLOOKUP(B1244,Colaboradores!A:D,2,),"")</f>
        <v>FYAMA SANTOS SILVA</v>
      </c>
      <c r="D1244" s="22" t="str">
        <f>IFERROR(VLOOKUP(B1244,Colaboradores!A:D,3,),"")</f>
        <v>SAÚDE OCUPACIONAL</v>
      </c>
      <c r="E1244" s="22" t="str">
        <f>IFERROR(VLOOKUP(B1244,Colaboradores!A:D,4,),"")</f>
        <v>ASSISTENTE ADMINISTRATIVO</v>
      </c>
      <c r="F1244" s="22" t="s">
        <v>73</v>
      </c>
      <c r="G1244" s="24" t="str">
        <f>IFERROR(VLOOKUP(F1244,Procedimentos!A:C,2,),"")</f>
        <v>AQUISIÇÃO DE BENS E SERVIÇOS E AVALIAÇÃO PROVEDORES EXTERNOS</v>
      </c>
      <c r="H1244" s="25"/>
      <c r="I1244" s="43">
        <v>45911</v>
      </c>
      <c r="J1244" s="22">
        <v>12</v>
      </c>
      <c r="K1244" s="25">
        <f t="shared" si="60"/>
        <v>46276</v>
      </c>
      <c r="L1244" s="7"/>
      <c r="M1244" s="4"/>
      <c r="N1244" s="7"/>
      <c r="O1244" s="4"/>
      <c r="P1244" s="51"/>
      <c r="Q1244" s="51"/>
      <c r="R1244" s="51"/>
      <c r="S1244" s="7"/>
      <c r="T1244" s="7"/>
    </row>
    <row r="1245" spans="1:20" ht="14.25" customHeight="1">
      <c r="A1245" s="22">
        <v>1379</v>
      </c>
      <c r="B1245" s="38">
        <v>7590</v>
      </c>
      <c r="C1245" s="22" t="str">
        <f>IFERROR(VLOOKUP(B1245,Colaboradores!A:D,2,),"")</f>
        <v>FABIOLA SOUSA MOURA BORGES</v>
      </c>
      <c r="D1245" s="22" t="str">
        <f>IFERROR(VLOOKUP(B1245,Colaboradores!A:D,3,),"")</f>
        <v>SAÚDE OCUPACIONAL</v>
      </c>
      <c r="E1245" s="22" t="str">
        <f>IFERROR(VLOOKUP(B1245,Colaboradores!A:D,4,),"")</f>
        <v>GERENTE DE SAÚDE OCUPACIONAL</v>
      </c>
      <c r="F1245" s="22" t="s">
        <v>73</v>
      </c>
      <c r="G1245" s="24" t="str">
        <f>IFERROR(VLOOKUP(F1245,Procedimentos!A:C,2,),"")</f>
        <v>AQUISIÇÃO DE BENS E SERVIÇOS E AVALIAÇÃO PROVEDORES EXTERNOS</v>
      </c>
      <c r="H1245" s="22"/>
      <c r="I1245" s="43">
        <v>45911</v>
      </c>
      <c r="J1245" s="22">
        <v>12</v>
      </c>
      <c r="K1245" s="25">
        <f t="shared" si="60"/>
        <v>46276</v>
      </c>
      <c r="L1245" s="7"/>
      <c r="M1245" s="4"/>
      <c r="N1245" s="7"/>
      <c r="O1245" s="4"/>
      <c r="P1245" s="51"/>
      <c r="Q1245" s="51"/>
      <c r="R1245" s="51"/>
      <c r="S1245" s="7"/>
      <c r="T1245" s="7"/>
    </row>
    <row r="1246" spans="1:20" ht="14.25" customHeight="1">
      <c r="A1246" s="22">
        <v>1380</v>
      </c>
      <c r="B1246" s="38">
        <v>7590</v>
      </c>
      <c r="C1246" s="22" t="str">
        <f>IFERROR(VLOOKUP(B1246,Colaboradores!A:D,2,),"")</f>
        <v>FABIOLA SOUSA MOURA BORGES</v>
      </c>
      <c r="D1246" s="22" t="str">
        <f>IFERROR(VLOOKUP(B1246,Colaboradores!A:D,3,),"")</f>
        <v>SAÚDE OCUPACIONAL</v>
      </c>
      <c r="E1246" s="22" t="str">
        <f>IFERROR(VLOOKUP(B1246,Colaboradores!A:D,4,),"")</f>
        <v>GERENTE DE SAÚDE OCUPACIONAL</v>
      </c>
      <c r="F1246" s="22" t="s">
        <v>80</v>
      </c>
      <c r="G1246" s="24" t="str">
        <f>IFERROR(VLOOKUP(F1246,Procedimentos!A:C,2,),"")</f>
        <v>ATENDIMENTO FISIOTERÁPICO NO ESPAÇO CUIDARH</v>
      </c>
      <c r="H1246" s="22" t="s">
        <v>7</v>
      </c>
      <c r="I1246" s="43"/>
      <c r="J1246" s="22">
        <v>12</v>
      </c>
      <c r="K1246" s="25" t="str">
        <f t="shared" si="60"/>
        <v/>
      </c>
      <c r="L1246" s="7"/>
      <c r="M1246" s="4"/>
      <c r="N1246" s="7"/>
      <c r="O1246" s="22" t="s">
        <v>28</v>
      </c>
      <c r="P1246" s="51"/>
      <c r="Q1246" s="51"/>
      <c r="R1246" s="51"/>
      <c r="S1246" s="7"/>
      <c r="T1246" s="7"/>
    </row>
    <row r="1247" spans="1:20" ht="14.25" customHeight="1">
      <c r="A1247" s="22">
        <v>1381</v>
      </c>
      <c r="B1247" s="38">
        <v>7590</v>
      </c>
      <c r="C1247" s="22" t="str">
        <f>IFERROR(VLOOKUP(B1247,Colaboradores!A:D,2,),"")</f>
        <v>FABIOLA SOUSA MOURA BORGES</v>
      </c>
      <c r="D1247" s="22" t="str">
        <f>IFERROR(VLOOKUP(B1247,Colaboradores!A:D,3,),"")</f>
        <v>SAÚDE OCUPACIONAL</v>
      </c>
      <c r="E1247" s="22" t="str">
        <f>IFERROR(VLOOKUP(B1247,Colaboradores!A:D,4,),"")</f>
        <v>GERENTE DE SAÚDE OCUPACIONAL</v>
      </c>
      <c r="F1247" s="22" t="s">
        <v>81</v>
      </c>
      <c r="G1247" s="24" t="str">
        <f>IFERROR(VLOOKUP(F1247,Procedimentos!A:C,2,),"")</f>
        <v>ATENDIMENTO PSICOLÓGICO NO ESPAÇO CUIDARH</v>
      </c>
      <c r="H1247" s="22" t="s">
        <v>7</v>
      </c>
      <c r="I1247" s="43"/>
      <c r="J1247" s="22">
        <v>12</v>
      </c>
      <c r="K1247" s="25" t="str">
        <f t="shared" si="60"/>
        <v/>
      </c>
      <c r="L1247" s="7"/>
      <c r="M1247" s="4"/>
      <c r="N1247" s="7"/>
      <c r="O1247" s="22" t="s">
        <v>28</v>
      </c>
      <c r="P1247" s="51"/>
      <c r="Q1247" s="51"/>
      <c r="R1247" s="51"/>
      <c r="S1247" s="7"/>
      <c r="T1247" s="7"/>
    </row>
    <row r="1248" spans="1:20" ht="14.25" customHeight="1">
      <c r="A1248" s="22">
        <v>1382</v>
      </c>
      <c r="B1248" s="38">
        <v>3109</v>
      </c>
      <c r="C1248" s="22" t="str">
        <f>IFERROR(VLOOKUP(B1248,Colaboradores!A:D,2,),"")</f>
        <v>BRUNO ARRUDA DE AMORIM OLIVEIRA</v>
      </c>
      <c r="D1248" s="22" t="str">
        <f>IFERROR(VLOOKUP(B1248,Colaboradores!A:D,3,),"")</f>
        <v>SAÚDE OCUPACIONAL</v>
      </c>
      <c r="E1248" s="22" t="str">
        <f>IFERROR(VLOOKUP(B1248,Colaboradores!A:D,4,),"")</f>
        <v>MÉDICO DO TRABALHO</v>
      </c>
      <c r="F1248" s="22" t="s">
        <v>19</v>
      </c>
      <c r="G1248" s="24" t="str">
        <f>IFERROR(VLOOKUP(F1248,Procedimentos!A:C,2,),"")</f>
        <v>DIRETRIZES PARA DOCUMENTOS NORMATIVOS</v>
      </c>
      <c r="H1248" s="25"/>
      <c r="I1248" s="51"/>
      <c r="J1248" s="22">
        <v>12</v>
      </c>
      <c r="K1248" s="25" t="str">
        <f t="shared" si="60"/>
        <v/>
      </c>
      <c r="L1248" s="7"/>
      <c r="M1248" s="4"/>
      <c r="N1248" s="7"/>
      <c r="O1248" s="4"/>
      <c r="P1248" s="51"/>
      <c r="Q1248" s="51"/>
      <c r="R1248" s="51"/>
      <c r="S1248" s="7"/>
      <c r="T1248" s="7"/>
    </row>
    <row r="1249" spans="1:20" ht="14.25" customHeight="1">
      <c r="A1249" s="22">
        <v>1383</v>
      </c>
      <c r="B1249" s="38">
        <v>3109</v>
      </c>
      <c r="C1249" s="22" t="str">
        <f>IFERROR(VLOOKUP(B1249,Colaboradores!A:D,2,),"")</f>
        <v>BRUNO ARRUDA DE AMORIM OLIVEIRA</v>
      </c>
      <c r="D1249" s="22" t="str">
        <f>IFERROR(VLOOKUP(B1249,Colaboradores!A:D,3,),"")</f>
        <v>SAÚDE OCUPACIONAL</v>
      </c>
      <c r="E1249" s="22" t="str">
        <f>IFERROR(VLOOKUP(B1249,Colaboradores!A:D,4,),"")</f>
        <v>MÉDICO DO TRABALHO</v>
      </c>
      <c r="F1249" s="22" t="s">
        <v>49</v>
      </c>
      <c r="G1249" s="24" t="str">
        <f>IFERROR(VLOOKUP(F1249,Procedimentos!A:C,2,),"")</f>
        <v>DIRETRIZES PARA REALIZAÇÃO DE EXAMES OCUPACIONAIS</v>
      </c>
      <c r="H1249" s="25"/>
      <c r="I1249" s="52">
        <v>45875</v>
      </c>
      <c r="J1249" s="22">
        <v>12</v>
      </c>
      <c r="K1249" s="25">
        <f t="shared" si="60"/>
        <v>46240</v>
      </c>
      <c r="L1249" s="7"/>
      <c r="M1249" s="4"/>
      <c r="N1249" s="7"/>
      <c r="O1249" s="4"/>
      <c r="P1249" s="51"/>
      <c r="Q1249" s="51"/>
      <c r="R1249" s="51"/>
      <c r="S1249" s="7"/>
      <c r="T1249" s="7"/>
    </row>
    <row r="1250" spans="1:20" ht="14.25" customHeight="1">
      <c r="A1250" s="22">
        <v>1384</v>
      </c>
      <c r="B1250" s="38">
        <v>3109</v>
      </c>
      <c r="C1250" s="22" t="str">
        <f>IFERROR(VLOOKUP(B1250,Colaboradores!A:D,2,),"")</f>
        <v>BRUNO ARRUDA DE AMORIM OLIVEIRA</v>
      </c>
      <c r="D1250" s="22" t="str">
        <f>IFERROR(VLOOKUP(B1250,Colaboradores!A:D,3,),"")</f>
        <v>SAÚDE OCUPACIONAL</v>
      </c>
      <c r="E1250" s="22" t="str">
        <f>IFERROR(VLOOKUP(B1250,Colaboradores!A:D,4,),"")</f>
        <v>MÉDICO DO TRABALHO</v>
      </c>
      <c r="F1250" s="22" t="s">
        <v>51</v>
      </c>
      <c r="G1250" s="24" t="str">
        <f>IFERROR(VLOOKUP(F1250,Procedimentos!A:C,2,),"")</f>
        <v>DIRETRIZES PARA ENTREGA DE ATESTADOS MÉDICOS E ODONTOLÓGICOS</v>
      </c>
      <c r="H1250" s="25"/>
      <c r="I1250" s="52">
        <v>45875</v>
      </c>
      <c r="J1250" s="22">
        <v>12</v>
      </c>
      <c r="K1250" s="25">
        <f t="shared" si="60"/>
        <v>46240</v>
      </c>
      <c r="L1250" s="7"/>
      <c r="M1250" s="4"/>
      <c r="N1250" s="7"/>
      <c r="O1250" s="4"/>
      <c r="P1250" s="51"/>
      <c r="Q1250" s="51"/>
      <c r="R1250" s="51"/>
      <c r="S1250" s="7"/>
      <c r="T1250" s="7"/>
    </row>
    <row r="1251" spans="1:20" ht="14.25" customHeight="1">
      <c r="A1251" s="22">
        <v>1385</v>
      </c>
      <c r="B1251" s="38">
        <v>3109</v>
      </c>
      <c r="C1251" s="22" t="str">
        <f>IFERROR(VLOOKUP(B1251,Colaboradores!A:D,2,),"")</f>
        <v>BRUNO ARRUDA DE AMORIM OLIVEIRA</v>
      </c>
      <c r="D1251" s="22" t="str">
        <f>IFERROR(VLOOKUP(B1251,Colaboradores!A:D,3,),"")</f>
        <v>SAÚDE OCUPACIONAL</v>
      </c>
      <c r="E1251" s="22" t="str">
        <f>IFERROR(VLOOKUP(B1251,Colaboradores!A:D,4,),"")</f>
        <v>MÉDICO DO TRABALHO</v>
      </c>
      <c r="F1251" s="22" t="s">
        <v>52</v>
      </c>
      <c r="G1251" s="24" t="str">
        <f>IFERROR(VLOOKUP(F1251,Procedimentos!A:C,2,),"")</f>
        <v>DIRETRIZES E ACOMPANHAMENTO  DE ACIDENTE COM MATERIAL BIOLOGICO</v>
      </c>
      <c r="H1251" s="25"/>
      <c r="I1251" s="52">
        <v>45875</v>
      </c>
      <c r="J1251" s="22">
        <v>12</v>
      </c>
      <c r="K1251" s="25">
        <f t="shared" si="60"/>
        <v>46240</v>
      </c>
      <c r="L1251" s="7"/>
      <c r="M1251" s="4"/>
      <c r="N1251" s="7"/>
      <c r="O1251" s="4"/>
      <c r="P1251" s="51"/>
      <c r="Q1251" s="51"/>
      <c r="R1251" s="51"/>
      <c r="S1251" s="7"/>
      <c r="T1251" s="7"/>
    </row>
    <row r="1252" spans="1:20" ht="14.25" customHeight="1">
      <c r="A1252" s="22">
        <v>1386</v>
      </c>
      <c r="B1252" s="38">
        <v>3109</v>
      </c>
      <c r="C1252" s="22" t="str">
        <f>IFERROR(VLOOKUP(B1252,Colaboradores!A:D,2,),"")</f>
        <v>BRUNO ARRUDA DE AMORIM OLIVEIRA</v>
      </c>
      <c r="D1252" s="22" t="str">
        <f>IFERROR(VLOOKUP(B1252,Colaboradores!A:D,3,),"")</f>
        <v>SAÚDE OCUPACIONAL</v>
      </c>
      <c r="E1252" s="22" t="str">
        <f>IFERROR(VLOOKUP(B1252,Colaboradores!A:D,4,),"")</f>
        <v>MÉDICO DO TRABALHO</v>
      </c>
      <c r="F1252" s="22" t="s">
        <v>53</v>
      </c>
      <c r="G1252" s="24" t="str">
        <f>IFERROR(VLOOKUP(F1252,Procedimentos!A:C,2,),"")</f>
        <v>DIRETRIZES PARA MONITORAMENTO DE GESTANTE</v>
      </c>
      <c r="H1252" s="25"/>
      <c r="I1252" s="52">
        <v>45875</v>
      </c>
      <c r="J1252" s="22">
        <v>12</v>
      </c>
      <c r="K1252" s="25">
        <f t="shared" si="60"/>
        <v>46240</v>
      </c>
      <c r="L1252" s="7"/>
      <c r="M1252" s="4"/>
      <c r="N1252" s="7"/>
      <c r="O1252" s="4"/>
      <c r="P1252" s="51"/>
      <c r="Q1252" s="51"/>
      <c r="R1252" s="51"/>
      <c r="S1252" s="7"/>
      <c r="T1252" s="7"/>
    </row>
    <row r="1253" spans="1:20" ht="14.25" customHeight="1">
      <c r="A1253" s="22">
        <v>1387</v>
      </c>
      <c r="B1253" s="38">
        <v>3109</v>
      </c>
      <c r="C1253" s="22" t="str">
        <f>IFERROR(VLOOKUP(B1253,Colaboradores!A:D,2,),"")</f>
        <v>BRUNO ARRUDA DE AMORIM OLIVEIRA</v>
      </c>
      <c r="D1253" s="22" t="str">
        <f>IFERROR(VLOOKUP(B1253,Colaboradores!A:D,3,),"")</f>
        <v>SAÚDE OCUPACIONAL</v>
      </c>
      <c r="E1253" s="22" t="str">
        <f>IFERROR(VLOOKUP(B1253,Colaboradores!A:D,4,),"")</f>
        <v>MÉDICO DO TRABALHO</v>
      </c>
      <c r="F1253" s="22" t="s">
        <v>54</v>
      </c>
      <c r="G1253" s="24" t="str">
        <f>IFERROR(VLOOKUP(F1253,Procedimentos!A:C,2,),"")</f>
        <v>DIRETRIZES DE IMUNIZAÇÃO OCUPACIONAL</v>
      </c>
      <c r="H1253" s="25"/>
      <c r="I1253" s="52">
        <v>45875</v>
      </c>
      <c r="J1253" s="22">
        <v>12</v>
      </c>
      <c r="K1253" s="25">
        <f t="shared" si="60"/>
        <v>46240</v>
      </c>
      <c r="L1253" s="7"/>
      <c r="M1253" s="4"/>
      <c r="N1253" s="7"/>
      <c r="O1253" s="4"/>
      <c r="P1253" s="51"/>
      <c r="Q1253" s="51"/>
      <c r="R1253" s="51"/>
      <c r="S1253" s="7"/>
      <c r="T1253" s="7"/>
    </row>
    <row r="1254" spans="1:20" ht="14.25" customHeight="1">
      <c r="A1254" s="22">
        <v>1388</v>
      </c>
      <c r="B1254" s="38">
        <v>3109</v>
      </c>
      <c r="C1254" s="22" t="str">
        <f>IFERROR(VLOOKUP(B1254,Colaboradores!A:D,2,),"")</f>
        <v>BRUNO ARRUDA DE AMORIM OLIVEIRA</v>
      </c>
      <c r="D1254" s="22" t="str">
        <f>IFERROR(VLOOKUP(B1254,Colaboradores!A:D,3,),"")</f>
        <v>SAÚDE OCUPACIONAL</v>
      </c>
      <c r="E1254" s="22" t="str">
        <f>IFERROR(VLOOKUP(B1254,Colaboradores!A:D,4,),"")</f>
        <v>MÉDICO DO TRABALHO</v>
      </c>
      <c r="F1254" s="22" t="s">
        <v>55</v>
      </c>
      <c r="G1254" s="24" t="str">
        <f>IFERROR(VLOOKUP(F1254,Procedimentos!A:C,2,),"")</f>
        <v>DIRETRIZES PARA ACOMPANHAMENTO DE AFASTADOS</v>
      </c>
      <c r="H1254" s="25"/>
      <c r="I1254" s="52">
        <v>45875</v>
      </c>
      <c r="J1254" s="22">
        <v>12</v>
      </c>
      <c r="K1254" s="25">
        <f t="shared" si="60"/>
        <v>46240</v>
      </c>
      <c r="L1254" s="7"/>
      <c r="M1254" s="4"/>
      <c r="N1254" s="7"/>
      <c r="O1254" s="4"/>
      <c r="P1254" s="51"/>
      <c r="Q1254" s="51"/>
      <c r="R1254" s="51"/>
      <c r="S1254" s="7"/>
      <c r="T1254" s="7"/>
    </row>
    <row r="1255" spans="1:20" ht="14.25" customHeight="1">
      <c r="A1255" s="22">
        <v>1389</v>
      </c>
      <c r="B1255" s="38">
        <v>1866</v>
      </c>
      <c r="C1255" s="22" t="str">
        <f>IFERROR(VLOOKUP(B1255,Colaboradores!A:D,2,),"")</f>
        <v>FLAVIA AROUCHE GAMA</v>
      </c>
      <c r="D1255" s="22" t="str">
        <f>IFERROR(VLOOKUP(B1255,Colaboradores!A:D,3,),"")</f>
        <v>SAÚDE OCUPACIONAL</v>
      </c>
      <c r="E1255" s="22" t="str">
        <f>IFERROR(VLOOKUP(B1255,Colaboradores!A:D,4,),"")</f>
        <v>MÉDICO DO TRABALHO</v>
      </c>
      <c r="F1255" s="22" t="s">
        <v>49</v>
      </c>
      <c r="G1255" s="24" t="str">
        <f>IFERROR(VLOOKUP(F1255,Procedimentos!A:C,2,),"")</f>
        <v>DIRETRIZES PARA REALIZAÇÃO DE EXAMES OCUPACIONAIS</v>
      </c>
      <c r="H1255" s="25"/>
      <c r="I1255" s="52">
        <v>45875</v>
      </c>
      <c r="J1255" s="22">
        <v>12</v>
      </c>
      <c r="K1255" s="25">
        <f t="shared" si="60"/>
        <v>46240</v>
      </c>
      <c r="L1255" s="7"/>
      <c r="M1255" s="4"/>
      <c r="N1255" s="7"/>
      <c r="O1255" s="4"/>
      <c r="P1255" s="51"/>
      <c r="Q1255" s="51"/>
      <c r="R1255" s="51"/>
      <c r="S1255" s="7"/>
      <c r="T1255" s="7"/>
    </row>
    <row r="1256" spans="1:20" ht="14.25" customHeight="1">
      <c r="A1256" s="22">
        <v>1390</v>
      </c>
      <c r="B1256" s="38">
        <v>1866</v>
      </c>
      <c r="C1256" s="22" t="str">
        <f>IFERROR(VLOOKUP(B1256,Colaboradores!A:D,2,),"")</f>
        <v>FLAVIA AROUCHE GAMA</v>
      </c>
      <c r="D1256" s="22" t="str">
        <f>IFERROR(VLOOKUP(B1256,Colaboradores!A:D,3,),"")</f>
        <v>SAÚDE OCUPACIONAL</v>
      </c>
      <c r="E1256" s="22" t="str">
        <f>IFERROR(VLOOKUP(B1256,Colaboradores!A:D,4,),"")</f>
        <v>MÉDICO DO TRABALHO</v>
      </c>
      <c r="F1256" s="22" t="s">
        <v>51</v>
      </c>
      <c r="G1256" s="24" t="str">
        <f>IFERROR(VLOOKUP(F1256,Procedimentos!A:C,2,),"")</f>
        <v>DIRETRIZES PARA ENTREGA DE ATESTADOS MÉDICOS E ODONTOLÓGICOS</v>
      </c>
      <c r="H1256" s="25"/>
      <c r="I1256" s="52">
        <v>45875</v>
      </c>
      <c r="J1256" s="22">
        <v>12</v>
      </c>
      <c r="K1256" s="25">
        <f t="shared" si="60"/>
        <v>46240</v>
      </c>
      <c r="L1256" s="7"/>
      <c r="M1256" s="4"/>
      <c r="N1256" s="7"/>
      <c r="O1256" s="4"/>
      <c r="P1256" s="51"/>
      <c r="Q1256" s="51"/>
      <c r="R1256" s="51"/>
      <c r="S1256" s="7"/>
      <c r="T1256" s="7"/>
    </row>
    <row r="1257" spans="1:20" ht="14.25" customHeight="1">
      <c r="A1257" s="22">
        <v>1391</v>
      </c>
      <c r="B1257" s="38">
        <v>1866</v>
      </c>
      <c r="C1257" s="22" t="str">
        <f>IFERROR(VLOOKUP(B1257,Colaboradores!A:D,2,),"")</f>
        <v>FLAVIA AROUCHE GAMA</v>
      </c>
      <c r="D1257" s="22" t="str">
        <f>IFERROR(VLOOKUP(B1257,Colaboradores!A:D,3,),"")</f>
        <v>SAÚDE OCUPACIONAL</v>
      </c>
      <c r="E1257" s="22" t="str">
        <f>IFERROR(VLOOKUP(B1257,Colaboradores!A:D,4,),"")</f>
        <v>MÉDICO DO TRABALHO</v>
      </c>
      <c r="F1257" s="22" t="s">
        <v>52</v>
      </c>
      <c r="G1257" s="24" t="str">
        <f>IFERROR(VLOOKUP(F1257,Procedimentos!A:C,2,),"")</f>
        <v>DIRETRIZES E ACOMPANHAMENTO  DE ACIDENTE COM MATERIAL BIOLOGICO</v>
      </c>
      <c r="H1257" s="25"/>
      <c r="I1257" s="52">
        <v>45875</v>
      </c>
      <c r="J1257" s="22">
        <v>12</v>
      </c>
      <c r="K1257" s="25">
        <f t="shared" si="60"/>
        <v>46240</v>
      </c>
      <c r="L1257" s="7"/>
      <c r="M1257" s="4"/>
      <c r="N1257" s="7"/>
      <c r="O1257" s="4"/>
      <c r="P1257" s="51"/>
      <c r="Q1257" s="51"/>
      <c r="R1257" s="51"/>
      <c r="S1257" s="7"/>
      <c r="T1257" s="7"/>
    </row>
    <row r="1258" spans="1:20" ht="14.25" customHeight="1">
      <c r="A1258" s="22">
        <v>1392</v>
      </c>
      <c r="B1258" s="38">
        <v>1866</v>
      </c>
      <c r="C1258" s="22" t="str">
        <f>IFERROR(VLOOKUP(B1258,Colaboradores!A:D,2,),"")</f>
        <v>FLAVIA AROUCHE GAMA</v>
      </c>
      <c r="D1258" s="22" t="str">
        <f>IFERROR(VLOOKUP(B1258,Colaboradores!A:D,3,),"")</f>
        <v>SAÚDE OCUPACIONAL</v>
      </c>
      <c r="E1258" s="22" t="str">
        <f>IFERROR(VLOOKUP(B1258,Colaboradores!A:D,4,),"")</f>
        <v>MÉDICO DO TRABALHO</v>
      </c>
      <c r="F1258" s="22" t="s">
        <v>53</v>
      </c>
      <c r="G1258" s="24" t="str">
        <f>IFERROR(VLOOKUP(F1258,Procedimentos!A:C,2,),"")</f>
        <v>DIRETRIZES PARA MONITORAMENTO DE GESTANTE</v>
      </c>
      <c r="H1258" s="25"/>
      <c r="I1258" s="52">
        <v>45875</v>
      </c>
      <c r="J1258" s="22">
        <v>12</v>
      </c>
      <c r="K1258" s="25">
        <f t="shared" si="60"/>
        <v>46240</v>
      </c>
      <c r="L1258" s="7"/>
      <c r="M1258" s="4"/>
      <c r="N1258" s="7"/>
      <c r="O1258" s="4"/>
      <c r="P1258" s="51"/>
      <c r="Q1258" s="51"/>
      <c r="R1258" s="51"/>
      <c r="S1258" s="7"/>
      <c r="T1258" s="7"/>
    </row>
    <row r="1259" spans="1:20" ht="14.25" customHeight="1">
      <c r="A1259" s="22">
        <v>1393</v>
      </c>
      <c r="B1259" s="38">
        <v>1866</v>
      </c>
      <c r="C1259" s="22" t="str">
        <f>IFERROR(VLOOKUP(B1259,Colaboradores!A:D,2,),"")</f>
        <v>FLAVIA AROUCHE GAMA</v>
      </c>
      <c r="D1259" s="22" t="str">
        <f>IFERROR(VLOOKUP(B1259,Colaboradores!A:D,3,),"")</f>
        <v>SAÚDE OCUPACIONAL</v>
      </c>
      <c r="E1259" s="22" t="str">
        <f>IFERROR(VLOOKUP(B1259,Colaboradores!A:D,4,),"")</f>
        <v>MÉDICO DO TRABALHO</v>
      </c>
      <c r="F1259" s="22" t="s">
        <v>54</v>
      </c>
      <c r="G1259" s="24" t="str">
        <f>IFERROR(VLOOKUP(F1259,Procedimentos!A:C,2,),"")</f>
        <v>DIRETRIZES DE IMUNIZAÇÃO OCUPACIONAL</v>
      </c>
      <c r="H1259" s="25"/>
      <c r="I1259" s="52">
        <v>45875</v>
      </c>
      <c r="J1259" s="22">
        <v>12</v>
      </c>
      <c r="K1259" s="25">
        <f t="shared" si="60"/>
        <v>46240</v>
      </c>
      <c r="L1259" s="7"/>
      <c r="M1259" s="4"/>
      <c r="N1259" s="7"/>
      <c r="O1259" s="4"/>
      <c r="P1259" s="51"/>
      <c r="Q1259" s="51"/>
      <c r="R1259" s="51"/>
      <c r="S1259" s="7"/>
      <c r="T1259" s="7"/>
    </row>
    <row r="1260" spans="1:20" ht="14.25" customHeight="1">
      <c r="A1260" s="22">
        <v>1394</v>
      </c>
      <c r="B1260" s="38">
        <v>1866</v>
      </c>
      <c r="C1260" s="22" t="str">
        <f>IFERROR(VLOOKUP(B1260,Colaboradores!A:D,2,),"")</f>
        <v>FLAVIA AROUCHE GAMA</v>
      </c>
      <c r="D1260" s="22" t="str">
        <f>IFERROR(VLOOKUP(B1260,Colaboradores!A:D,3,),"")</f>
        <v>SAÚDE OCUPACIONAL</v>
      </c>
      <c r="E1260" s="22" t="str">
        <f>IFERROR(VLOOKUP(B1260,Colaboradores!A:D,4,),"")</f>
        <v>MÉDICO DO TRABALHO</v>
      </c>
      <c r="F1260" s="22" t="s">
        <v>55</v>
      </c>
      <c r="G1260" s="24" t="str">
        <f>IFERROR(VLOOKUP(F1260,Procedimentos!A:C,2,),"")</f>
        <v>DIRETRIZES PARA ACOMPANHAMENTO DE AFASTADOS</v>
      </c>
      <c r="H1260" s="25"/>
      <c r="I1260" s="52">
        <v>45875</v>
      </c>
      <c r="J1260" s="22">
        <v>12</v>
      </c>
      <c r="K1260" s="25">
        <f t="shared" si="60"/>
        <v>46240</v>
      </c>
      <c r="L1260" s="7"/>
      <c r="M1260" s="4"/>
      <c r="N1260" s="7"/>
      <c r="O1260" s="4"/>
      <c r="P1260" s="51"/>
      <c r="Q1260" s="51"/>
      <c r="R1260" s="51"/>
      <c r="S1260" s="7"/>
      <c r="T1260" s="7"/>
    </row>
    <row r="1261" spans="1:20" ht="14.25" customHeight="1">
      <c r="A1261" s="22">
        <v>1395</v>
      </c>
      <c r="B1261" s="38">
        <v>1866</v>
      </c>
      <c r="C1261" s="22" t="str">
        <f>IFERROR(VLOOKUP(B1261,Colaboradores!A:D,2,),"")</f>
        <v>FLAVIA AROUCHE GAMA</v>
      </c>
      <c r="D1261" s="22" t="str">
        <f>IFERROR(VLOOKUP(B1261,Colaboradores!A:D,3,),"")</f>
        <v>SAÚDE OCUPACIONAL</v>
      </c>
      <c r="E1261" s="22" t="str">
        <f>IFERROR(VLOOKUP(B1261,Colaboradores!A:D,4,),"")</f>
        <v>MÉDICO DO TRABALHO</v>
      </c>
      <c r="F1261" s="22" t="s">
        <v>19</v>
      </c>
      <c r="G1261" s="24" t="str">
        <f>IFERROR(VLOOKUP(F1261,Procedimentos!A:C,2,),"")</f>
        <v>DIRETRIZES PARA DOCUMENTOS NORMATIVOS</v>
      </c>
      <c r="H1261" s="25"/>
      <c r="I1261" s="51"/>
      <c r="J1261" s="22">
        <v>12</v>
      </c>
      <c r="K1261" s="25" t="str">
        <f t="shared" si="60"/>
        <v/>
      </c>
      <c r="L1261" s="7"/>
      <c r="M1261" s="4"/>
      <c r="N1261" s="7"/>
      <c r="O1261" s="4"/>
      <c r="P1261" s="51"/>
      <c r="Q1261" s="51"/>
      <c r="R1261" s="51"/>
      <c r="S1261" s="7"/>
      <c r="T1261" s="7"/>
    </row>
    <row r="1262" spans="1:20" ht="14.25" customHeight="1">
      <c r="A1262" s="22">
        <v>1396</v>
      </c>
      <c r="B1262" s="38">
        <v>14866</v>
      </c>
      <c r="C1262" s="22" t="str">
        <f>IFERROR(VLOOKUP(B1262,Colaboradores!A:D,2,),"")</f>
        <v>GERUSA LOURDES CHAVES ALVES DA SILVA</v>
      </c>
      <c r="D1262" s="22" t="str">
        <f>IFERROR(VLOOKUP(B1262,Colaboradores!A:D,3,),"")</f>
        <v>SAÚDE OCUPACIONAL</v>
      </c>
      <c r="E1262" s="22" t="str">
        <f>IFERROR(VLOOKUP(B1262,Colaboradores!A:D,4,),"")</f>
        <v>ASSESSOR CLINICO(A)</v>
      </c>
      <c r="F1262" s="22" t="s">
        <v>19</v>
      </c>
      <c r="G1262" s="24" t="str">
        <f>IFERROR(VLOOKUP(F1262,Procedimentos!A:C,2,),"")</f>
        <v>DIRETRIZES PARA DOCUMENTOS NORMATIVOS</v>
      </c>
      <c r="H1262" s="25"/>
      <c r="I1262" s="51"/>
      <c r="J1262" s="22">
        <v>12</v>
      </c>
      <c r="K1262" s="25" t="str">
        <f t="shared" si="60"/>
        <v/>
      </c>
      <c r="L1262" s="7"/>
      <c r="M1262" s="4"/>
      <c r="N1262" s="7"/>
      <c r="O1262" s="4"/>
      <c r="P1262" s="51"/>
      <c r="Q1262" s="51"/>
      <c r="R1262" s="51"/>
      <c r="S1262" s="7"/>
      <c r="T1262" s="7"/>
    </row>
    <row r="1263" spans="1:20" ht="14.25" customHeight="1">
      <c r="A1263" s="22">
        <v>1397</v>
      </c>
      <c r="B1263" s="38">
        <v>15059</v>
      </c>
      <c r="C1263" s="22" t="str">
        <f>IFERROR(VLOOKUP(B1263,Colaboradores!A:D,2,),"")</f>
        <v>GUILHERME LEÃO DOS SANTOS</v>
      </c>
      <c r="D1263" s="22" t="str">
        <f>IFERROR(VLOOKUP(B1263,Colaboradores!A:D,3,),"")</f>
        <v>SAÚDE OCUPACIONAL</v>
      </c>
      <c r="E1263" s="22" t="str">
        <f>IFERROR(VLOOKUP(B1263,Colaboradores!A:D,4,),"")</f>
        <v>ASSISTENTE ADMINISTRATIVO</v>
      </c>
      <c r="F1263" s="22" t="s">
        <v>73</v>
      </c>
      <c r="G1263" s="24" t="str">
        <f>IFERROR(VLOOKUP(F1263,Procedimentos!A:C,2,),"")</f>
        <v>AQUISIÇÃO DE BENS E SERVIÇOS E AVALIAÇÃO PROVEDORES EXTERNOS</v>
      </c>
      <c r="H1263" s="25"/>
      <c r="I1263" s="43">
        <v>45911</v>
      </c>
      <c r="J1263" s="22">
        <v>12</v>
      </c>
      <c r="K1263" s="25">
        <f t="shared" si="60"/>
        <v>46276</v>
      </c>
      <c r="L1263" s="7"/>
      <c r="M1263" s="4"/>
      <c r="N1263" s="7"/>
      <c r="O1263" s="4"/>
      <c r="P1263" s="51"/>
      <c r="Q1263" s="51"/>
      <c r="R1263" s="51"/>
      <c r="S1263" s="7"/>
      <c r="T1263" s="7"/>
    </row>
    <row r="1264" spans="1:20" ht="14.25" customHeight="1">
      <c r="A1264" s="22">
        <v>1398</v>
      </c>
      <c r="B1264" s="38">
        <v>15059</v>
      </c>
      <c r="C1264" s="22" t="str">
        <f>IFERROR(VLOOKUP(B1264,Colaboradores!A:D,2,),"")</f>
        <v>GUILHERME LEÃO DOS SANTOS</v>
      </c>
      <c r="D1264" s="22" t="str">
        <f>IFERROR(VLOOKUP(B1264,Colaboradores!A:D,3,),"")</f>
        <v>SAÚDE OCUPACIONAL</v>
      </c>
      <c r="E1264" s="22" t="str">
        <f>IFERROR(VLOOKUP(B1264,Colaboradores!A:D,4,),"")</f>
        <v>ASSISTENTE ADMINISTRATIVO</v>
      </c>
      <c r="F1264" s="22" t="s">
        <v>41</v>
      </c>
      <c r="G1264" s="24" t="str">
        <f>IFERROR(VLOOKUP(F1264,Procedimentos!A:C,2,),"")</f>
        <v>DIRETRIZES PARA COMUNICAÇÃO E INVESTIGAÇÃO DE ACIDENTES</v>
      </c>
      <c r="H1264" s="25"/>
      <c r="I1264" s="51"/>
      <c r="J1264" s="22">
        <v>12</v>
      </c>
      <c r="K1264" s="25" t="str">
        <f t="shared" si="60"/>
        <v/>
      </c>
      <c r="L1264" s="7"/>
      <c r="M1264" s="4"/>
      <c r="N1264" s="7"/>
      <c r="O1264" s="4"/>
      <c r="P1264" s="51"/>
      <c r="Q1264" s="51"/>
      <c r="R1264" s="51"/>
      <c r="S1264" s="7"/>
      <c r="T1264" s="7"/>
    </row>
    <row r="1265" spans="1:20" ht="14.25" customHeight="1">
      <c r="A1265" s="22">
        <v>1399</v>
      </c>
      <c r="B1265" s="38">
        <v>15059</v>
      </c>
      <c r="C1265" s="22" t="str">
        <f>IFERROR(VLOOKUP(B1265,Colaboradores!A:D,2,),"")</f>
        <v>GUILHERME LEÃO DOS SANTOS</v>
      </c>
      <c r="D1265" s="22" t="str">
        <f>IFERROR(VLOOKUP(B1265,Colaboradores!A:D,3,),"")</f>
        <v>SAÚDE OCUPACIONAL</v>
      </c>
      <c r="E1265" s="22" t="str">
        <f>IFERROR(VLOOKUP(B1265,Colaboradores!A:D,4,),"")</f>
        <v>ASSISTENTE ADMINISTRATIVO</v>
      </c>
      <c r="F1265" s="22" t="s">
        <v>43</v>
      </c>
      <c r="G1265" s="24" t="str">
        <f>IFERROR(VLOOKUP(F1265,Procedimentos!A:C,2,),"")</f>
        <v>DIÁLOGO DE SAÚDE E SEGURANÇA - DSS</v>
      </c>
      <c r="H1265" s="25"/>
      <c r="I1265" s="51"/>
      <c r="J1265" s="22">
        <v>12</v>
      </c>
      <c r="K1265" s="25" t="str">
        <f t="shared" si="60"/>
        <v/>
      </c>
      <c r="L1265" s="7"/>
      <c r="M1265" s="4"/>
      <c r="N1265" s="7"/>
      <c r="O1265" s="4"/>
      <c r="P1265" s="51"/>
      <c r="Q1265" s="51"/>
      <c r="R1265" s="51"/>
      <c r="S1265" s="7"/>
      <c r="T1265" s="7"/>
    </row>
    <row r="1266" spans="1:20" ht="14.25" customHeight="1">
      <c r="A1266" s="22">
        <v>1400</v>
      </c>
      <c r="B1266" s="38">
        <v>15059</v>
      </c>
      <c r="C1266" s="22" t="str">
        <f>IFERROR(VLOOKUP(B1266,Colaboradores!A:D,2,),"")</f>
        <v>GUILHERME LEÃO DOS SANTOS</v>
      </c>
      <c r="D1266" s="22" t="str">
        <f>IFERROR(VLOOKUP(B1266,Colaboradores!A:D,3,),"")</f>
        <v>SAÚDE OCUPACIONAL</v>
      </c>
      <c r="E1266" s="22" t="str">
        <f>IFERROR(VLOOKUP(B1266,Colaboradores!A:D,4,),"")</f>
        <v>ASSISTENTE ADMINISTRATIVO</v>
      </c>
      <c r="F1266" s="22" t="s">
        <v>44</v>
      </c>
      <c r="G1266" s="24" t="str">
        <f>IFERROR(VLOOKUP(F1266,Procedimentos!A:C,2,),"")</f>
        <v>DIRETRIZES PARA GESTÃO DE EQUIPAMENTOS DE PROTEÇÃO INDIVIDUAL - EPI'S</v>
      </c>
      <c r="H1266" s="25"/>
      <c r="I1266" s="51"/>
      <c r="J1266" s="22">
        <v>12</v>
      </c>
      <c r="K1266" s="25" t="str">
        <f t="shared" si="60"/>
        <v/>
      </c>
      <c r="L1266" s="7"/>
      <c r="M1266" s="4"/>
      <c r="N1266" s="7"/>
      <c r="O1266" s="4"/>
      <c r="P1266" s="51"/>
      <c r="Q1266" s="51"/>
      <c r="R1266" s="51"/>
      <c r="S1266" s="7"/>
      <c r="T1266" s="7"/>
    </row>
    <row r="1267" spans="1:20" ht="14.25" customHeight="1">
      <c r="A1267" s="22">
        <v>1401</v>
      </c>
      <c r="B1267" s="38">
        <v>15059</v>
      </c>
      <c r="C1267" s="22" t="str">
        <f>IFERROR(VLOOKUP(B1267,Colaboradores!A:D,2,),"")</f>
        <v>GUILHERME LEÃO DOS SANTOS</v>
      </c>
      <c r="D1267" s="22" t="str">
        <f>IFERROR(VLOOKUP(B1267,Colaboradores!A:D,3,),"")</f>
        <v>SAÚDE OCUPACIONAL</v>
      </c>
      <c r="E1267" s="22" t="str">
        <f>IFERROR(VLOOKUP(B1267,Colaboradores!A:D,4,),"")</f>
        <v>ASSISTENTE ADMINISTRATIVO</v>
      </c>
      <c r="F1267" s="22" t="s">
        <v>45</v>
      </c>
      <c r="G1267" s="24" t="str">
        <f>IFERROR(VLOOKUP(F1267,Procedimentos!A:C,2,),"")</f>
        <v>CONSTITUIÇÃO INTERNA DE PREVENÇÃO DE ACIDENTES E DE ASSÉDIOS - CIPA</v>
      </c>
      <c r="H1267" s="25"/>
      <c r="I1267" s="51"/>
      <c r="J1267" s="22">
        <v>12</v>
      </c>
      <c r="K1267" s="25" t="str">
        <f t="shared" si="60"/>
        <v/>
      </c>
      <c r="L1267" s="7"/>
      <c r="M1267" s="4"/>
      <c r="N1267" s="7"/>
      <c r="O1267" s="4"/>
      <c r="P1267" s="51"/>
      <c r="Q1267" s="51"/>
      <c r="R1267" s="51"/>
      <c r="S1267" s="7"/>
      <c r="T1267" s="7"/>
    </row>
    <row r="1268" spans="1:20" ht="14.25" customHeight="1">
      <c r="A1268" s="22">
        <v>1402</v>
      </c>
      <c r="B1268" s="38">
        <v>13778</v>
      </c>
      <c r="C1268" s="22" t="str">
        <f>IFERROR(VLOOKUP(B1268,Colaboradores!A:D,2,),"")</f>
        <v>LAIS FERREIRA CAMPOS MINEIRO</v>
      </c>
      <c r="D1268" s="22" t="str">
        <f>IFERROR(VLOOKUP(B1268,Colaboradores!A:D,3,),"")</f>
        <v>SAÚDE OCUPACIONAL</v>
      </c>
      <c r="E1268" s="22" t="str">
        <f>IFERROR(VLOOKUP(B1268,Colaboradores!A:D,4,),"")</f>
        <v>FISIOTERAPEUTA</v>
      </c>
      <c r="F1268" s="22" t="s">
        <v>41</v>
      </c>
      <c r="G1268" s="24" t="str">
        <f>IFERROR(VLOOKUP(F1268,Procedimentos!A:C,2,),"")</f>
        <v>DIRETRIZES PARA COMUNICAÇÃO E INVESTIGAÇÃO DE ACIDENTES</v>
      </c>
      <c r="H1268" s="25"/>
      <c r="I1268" s="51"/>
      <c r="J1268" s="22">
        <v>12</v>
      </c>
      <c r="K1268" s="25" t="str">
        <f t="shared" si="60"/>
        <v/>
      </c>
      <c r="L1268" s="7"/>
      <c r="M1268" s="4"/>
      <c r="N1268" s="7"/>
      <c r="O1268" s="4"/>
      <c r="P1268" s="51"/>
      <c r="Q1268" s="51"/>
      <c r="R1268" s="51"/>
      <c r="S1268" s="7"/>
      <c r="T1268" s="7"/>
    </row>
    <row r="1269" spans="1:20" ht="14.25" customHeight="1">
      <c r="A1269" s="22">
        <v>1403</v>
      </c>
      <c r="B1269" s="38">
        <v>13778</v>
      </c>
      <c r="C1269" s="22" t="str">
        <f>IFERROR(VLOOKUP(B1269,Colaboradores!A:D,2,),"")</f>
        <v>LAIS FERREIRA CAMPOS MINEIRO</v>
      </c>
      <c r="D1269" s="22" t="str">
        <f>IFERROR(VLOOKUP(B1269,Colaboradores!A:D,3,),"")</f>
        <v>SAÚDE OCUPACIONAL</v>
      </c>
      <c r="E1269" s="22" t="str">
        <f>IFERROR(VLOOKUP(B1269,Colaboradores!A:D,4,),"")</f>
        <v>FISIOTERAPEUTA</v>
      </c>
      <c r="F1269" s="22" t="s">
        <v>43</v>
      </c>
      <c r="G1269" s="24" t="str">
        <f>IFERROR(VLOOKUP(F1269,Procedimentos!A:C,2,),"")</f>
        <v>DIÁLOGO DE SAÚDE E SEGURANÇA - DSS</v>
      </c>
      <c r="H1269" s="25"/>
      <c r="I1269" s="51"/>
      <c r="J1269" s="22">
        <v>12</v>
      </c>
      <c r="K1269" s="25" t="str">
        <f t="shared" si="60"/>
        <v/>
      </c>
      <c r="L1269" s="7"/>
      <c r="M1269" s="4"/>
      <c r="N1269" s="7"/>
      <c r="O1269" s="4"/>
      <c r="P1269" s="51"/>
      <c r="Q1269" s="51"/>
      <c r="R1269" s="51"/>
      <c r="S1269" s="7"/>
      <c r="T1269" s="7"/>
    </row>
    <row r="1270" spans="1:20" ht="14.25" customHeight="1">
      <c r="A1270" s="22">
        <v>1404</v>
      </c>
      <c r="B1270" s="38">
        <v>13778</v>
      </c>
      <c r="C1270" s="22" t="str">
        <f>IFERROR(VLOOKUP(B1270,Colaboradores!A:D,2,),"")</f>
        <v>LAIS FERREIRA CAMPOS MINEIRO</v>
      </c>
      <c r="D1270" s="22" t="str">
        <f>IFERROR(VLOOKUP(B1270,Colaboradores!A:D,3,),"")</f>
        <v>SAÚDE OCUPACIONAL</v>
      </c>
      <c r="E1270" s="22" t="str">
        <f>IFERROR(VLOOKUP(B1270,Colaboradores!A:D,4,),"")</f>
        <v>FISIOTERAPEUTA</v>
      </c>
      <c r="F1270" s="22" t="s">
        <v>44</v>
      </c>
      <c r="G1270" s="24" t="str">
        <f>IFERROR(VLOOKUP(F1270,Procedimentos!A:C,2,),"")</f>
        <v>DIRETRIZES PARA GESTÃO DE EQUIPAMENTOS DE PROTEÇÃO INDIVIDUAL - EPI'S</v>
      </c>
      <c r="H1270" s="25"/>
      <c r="I1270" s="51"/>
      <c r="J1270" s="22">
        <v>12</v>
      </c>
      <c r="K1270" s="25" t="str">
        <f t="shared" si="60"/>
        <v/>
      </c>
      <c r="L1270" s="7"/>
      <c r="M1270" s="4"/>
      <c r="N1270" s="7"/>
      <c r="O1270" s="4"/>
      <c r="P1270" s="51"/>
      <c r="Q1270" s="51"/>
      <c r="R1270" s="51"/>
      <c r="S1270" s="7"/>
      <c r="T1270" s="7"/>
    </row>
    <row r="1271" spans="1:20" ht="14.25" customHeight="1">
      <c r="A1271" s="22">
        <v>1405</v>
      </c>
      <c r="B1271" s="38">
        <v>13778</v>
      </c>
      <c r="C1271" s="22" t="str">
        <f>IFERROR(VLOOKUP(B1271,Colaboradores!A:D,2,),"")</f>
        <v>LAIS FERREIRA CAMPOS MINEIRO</v>
      </c>
      <c r="D1271" s="22" t="str">
        <f>IFERROR(VLOOKUP(B1271,Colaboradores!A:D,3,),"")</f>
        <v>SAÚDE OCUPACIONAL</v>
      </c>
      <c r="E1271" s="22" t="str">
        <f>IFERROR(VLOOKUP(B1271,Colaboradores!A:D,4,),"")</f>
        <v>FISIOTERAPEUTA</v>
      </c>
      <c r="F1271" s="22" t="s">
        <v>45</v>
      </c>
      <c r="G1271" s="24" t="str">
        <f>IFERROR(VLOOKUP(F1271,Procedimentos!A:C,2,),"")</f>
        <v>CONSTITUIÇÃO INTERNA DE PREVENÇÃO DE ACIDENTES E DE ASSÉDIOS - CIPA</v>
      </c>
      <c r="H1271" s="25"/>
      <c r="I1271" s="51"/>
      <c r="J1271" s="22">
        <v>12</v>
      </c>
      <c r="K1271" s="25" t="str">
        <f t="shared" si="60"/>
        <v/>
      </c>
      <c r="L1271" s="7"/>
      <c r="M1271" s="4"/>
      <c r="N1271" s="7"/>
      <c r="O1271" s="4"/>
      <c r="P1271" s="51"/>
      <c r="Q1271" s="51"/>
      <c r="R1271" s="51"/>
      <c r="S1271" s="7"/>
      <c r="T1271" s="7"/>
    </row>
    <row r="1272" spans="1:20" ht="14.25" customHeight="1">
      <c r="A1272" s="22">
        <v>1406</v>
      </c>
      <c r="B1272" s="38">
        <v>13778</v>
      </c>
      <c r="C1272" s="22" t="str">
        <f>IFERROR(VLOOKUP(B1272,Colaboradores!A:D,2,),"")</f>
        <v>LAIS FERREIRA CAMPOS MINEIRO</v>
      </c>
      <c r="D1272" s="22" t="str">
        <f>IFERROR(VLOOKUP(B1272,Colaboradores!A:D,3,),"")</f>
        <v>SAÚDE OCUPACIONAL</v>
      </c>
      <c r="E1272" s="22" t="str">
        <f>IFERROR(VLOOKUP(B1272,Colaboradores!A:D,4,),"")</f>
        <v>FISIOTERAPEUTA</v>
      </c>
      <c r="F1272" s="22" t="s">
        <v>73</v>
      </c>
      <c r="G1272" s="24" t="str">
        <f>IFERROR(VLOOKUP(F1272,Procedimentos!A:C,2,),"")</f>
        <v>AQUISIÇÃO DE BENS E SERVIÇOS E AVALIAÇÃO PROVEDORES EXTERNOS</v>
      </c>
      <c r="H1272" s="25"/>
      <c r="I1272" s="51"/>
      <c r="J1272" s="22">
        <v>12</v>
      </c>
      <c r="K1272" s="25" t="str">
        <f t="shared" si="60"/>
        <v/>
      </c>
      <c r="L1272" s="7"/>
      <c r="M1272" s="4"/>
      <c r="N1272" s="7"/>
      <c r="O1272" s="4"/>
      <c r="P1272" s="51"/>
      <c r="Q1272" s="51"/>
      <c r="R1272" s="51"/>
      <c r="S1272" s="7"/>
      <c r="T1272" s="7"/>
    </row>
    <row r="1273" spans="1:20" ht="14.25" customHeight="1">
      <c r="A1273" s="22">
        <v>1407</v>
      </c>
      <c r="B1273" s="38">
        <v>13778</v>
      </c>
      <c r="C1273" s="22" t="str">
        <f>IFERROR(VLOOKUP(B1273,Colaboradores!A:D,2,),"")</f>
        <v>LAIS FERREIRA CAMPOS MINEIRO</v>
      </c>
      <c r="D1273" s="22" t="str">
        <f>IFERROR(VLOOKUP(B1273,Colaboradores!A:D,3,),"")</f>
        <v>SAÚDE OCUPACIONAL</v>
      </c>
      <c r="E1273" s="22" t="str">
        <f>IFERROR(VLOOKUP(B1273,Colaboradores!A:D,4,),"")</f>
        <v>FISIOTERAPEUTA</v>
      </c>
      <c r="F1273" s="4" t="s">
        <v>80</v>
      </c>
      <c r="G1273" s="24" t="str">
        <f>IFERROR(VLOOKUP(F1273,Procedimentos!A:C,2,),"")</f>
        <v>ATENDIMENTO FISIOTERÁPICO NO ESPAÇO CUIDARH</v>
      </c>
      <c r="H1273" s="22" t="s">
        <v>7</v>
      </c>
      <c r="I1273" s="43"/>
      <c r="J1273" s="22">
        <v>12</v>
      </c>
      <c r="K1273" s="25" t="str">
        <f t="shared" si="60"/>
        <v/>
      </c>
      <c r="L1273" s="7"/>
      <c r="M1273" s="4"/>
      <c r="N1273" s="7"/>
      <c r="O1273" s="22" t="s">
        <v>28</v>
      </c>
      <c r="P1273" s="51"/>
      <c r="Q1273" s="51"/>
      <c r="R1273" s="51"/>
      <c r="S1273" s="7"/>
      <c r="T1273" s="7"/>
    </row>
    <row r="1274" spans="1:20" ht="14.25" customHeight="1">
      <c r="A1274" s="22">
        <v>1408</v>
      </c>
      <c r="B1274" s="38">
        <v>7147</v>
      </c>
      <c r="C1274" s="22" t="str">
        <f>IFERROR(VLOOKUP(B1274,Colaboradores!A:D,2,),"")</f>
        <v>MAIARA MONTEIRO MARQUES CASTELO BRANCO</v>
      </c>
      <c r="D1274" s="22" t="str">
        <f>IFERROR(VLOOKUP(B1274,Colaboradores!A:D,3,),"")</f>
        <v>SAÚDE OCUPACIONAL</v>
      </c>
      <c r="E1274" s="22" t="str">
        <f>IFERROR(VLOOKUP(B1274,Colaboradores!A:D,4,),"")</f>
        <v>PSICÓLOGA</v>
      </c>
      <c r="F1274" s="22" t="s">
        <v>73</v>
      </c>
      <c r="G1274" s="24" t="str">
        <f>IFERROR(VLOOKUP(F1274,Procedimentos!A:C,2,),"")</f>
        <v>AQUISIÇÃO DE BENS E SERVIÇOS E AVALIAÇÃO PROVEDORES EXTERNOS</v>
      </c>
      <c r="H1274" s="25"/>
      <c r="I1274" s="51"/>
      <c r="J1274" s="22">
        <v>12</v>
      </c>
      <c r="K1274" s="25" t="str">
        <f t="shared" si="60"/>
        <v/>
      </c>
      <c r="L1274" s="7"/>
      <c r="M1274" s="4"/>
      <c r="N1274" s="7"/>
      <c r="O1274" s="4"/>
      <c r="P1274" s="51"/>
      <c r="Q1274" s="51"/>
      <c r="R1274" s="51"/>
      <c r="S1274" s="7"/>
      <c r="T1274" s="7"/>
    </row>
    <row r="1275" spans="1:20" ht="14.25" customHeight="1">
      <c r="A1275" s="22">
        <v>1409</v>
      </c>
      <c r="B1275" s="38">
        <v>7147</v>
      </c>
      <c r="C1275" s="22" t="str">
        <f>IFERROR(VLOOKUP(B1275,Colaboradores!A:D,2,),"")</f>
        <v>MAIARA MONTEIRO MARQUES CASTELO BRANCO</v>
      </c>
      <c r="D1275" s="22" t="str">
        <f>IFERROR(VLOOKUP(B1275,Colaboradores!A:D,3,),"")</f>
        <v>SAÚDE OCUPACIONAL</v>
      </c>
      <c r="E1275" s="22" t="str">
        <f>IFERROR(VLOOKUP(B1275,Colaboradores!A:D,4,),"")</f>
        <v>PSICÓLOGA</v>
      </c>
      <c r="F1275" s="22" t="s">
        <v>41</v>
      </c>
      <c r="G1275" s="24" t="str">
        <f>IFERROR(VLOOKUP(F1275,Procedimentos!A:C,2,),"")</f>
        <v>DIRETRIZES PARA COMUNICAÇÃO E INVESTIGAÇÃO DE ACIDENTES</v>
      </c>
      <c r="H1275" s="25"/>
      <c r="I1275" s="51"/>
      <c r="J1275" s="22">
        <v>12</v>
      </c>
      <c r="K1275" s="25" t="str">
        <f t="shared" si="60"/>
        <v/>
      </c>
      <c r="L1275" s="7"/>
      <c r="M1275" s="4"/>
      <c r="N1275" s="7"/>
      <c r="O1275" s="4"/>
      <c r="P1275" s="51"/>
      <c r="Q1275" s="51"/>
      <c r="R1275" s="51"/>
      <c r="S1275" s="7"/>
      <c r="T1275" s="7"/>
    </row>
    <row r="1276" spans="1:20" ht="14.25" customHeight="1">
      <c r="A1276" s="22">
        <v>1410</v>
      </c>
      <c r="B1276" s="38">
        <v>7147</v>
      </c>
      <c r="C1276" s="22" t="str">
        <f>IFERROR(VLOOKUP(B1276,Colaboradores!A:D,2,),"")</f>
        <v>MAIARA MONTEIRO MARQUES CASTELO BRANCO</v>
      </c>
      <c r="D1276" s="22" t="str">
        <f>IFERROR(VLOOKUP(B1276,Colaboradores!A:D,3,),"")</f>
        <v>SAÚDE OCUPACIONAL</v>
      </c>
      <c r="E1276" s="22" t="str">
        <f>IFERROR(VLOOKUP(B1276,Colaboradores!A:D,4,),"")</f>
        <v>PSICÓLOGA</v>
      </c>
      <c r="F1276" s="22" t="s">
        <v>43</v>
      </c>
      <c r="G1276" s="24" t="str">
        <f>IFERROR(VLOOKUP(F1276,Procedimentos!A:C,2,),"")</f>
        <v>DIÁLOGO DE SAÚDE E SEGURANÇA - DSS</v>
      </c>
      <c r="H1276" s="25"/>
      <c r="I1276" s="51"/>
      <c r="J1276" s="22">
        <v>12</v>
      </c>
      <c r="K1276" s="25" t="str">
        <f t="shared" si="60"/>
        <v/>
      </c>
      <c r="L1276" s="7"/>
      <c r="M1276" s="4"/>
      <c r="N1276" s="7"/>
      <c r="O1276" s="4"/>
      <c r="P1276" s="51"/>
      <c r="Q1276" s="51"/>
      <c r="R1276" s="51"/>
      <c r="S1276" s="7"/>
      <c r="T1276" s="7"/>
    </row>
    <row r="1277" spans="1:20" ht="14.25" customHeight="1">
      <c r="A1277" s="22">
        <v>1411</v>
      </c>
      <c r="B1277" s="38">
        <v>7147</v>
      </c>
      <c r="C1277" s="22" t="str">
        <f>IFERROR(VLOOKUP(B1277,Colaboradores!A:D,2,),"")</f>
        <v>MAIARA MONTEIRO MARQUES CASTELO BRANCO</v>
      </c>
      <c r="D1277" s="22" t="str">
        <f>IFERROR(VLOOKUP(B1277,Colaboradores!A:D,3,),"")</f>
        <v>SAÚDE OCUPACIONAL</v>
      </c>
      <c r="E1277" s="22" t="str">
        <f>IFERROR(VLOOKUP(B1277,Colaboradores!A:D,4,),"")</f>
        <v>PSICÓLOGA</v>
      </c>
      <c r="F1277" s="22" t="s">
        <v>44</v>
      </c>
      <c r="G1277" s="24" t="str">
        <f>IFERROR(VLOOKUP(F1277,Procedimentos!A:C,2,),"")</f>
        <v>DIRETRIZES PARA GESTÃO DE EQUIPAMENTOS DE PROTEÇÃO INDIVIDUAL - EPI'S</v>
      </c>
      <c r="H1277" s="25"/>
      <c r="I1277" s="51"/>
      <c r="J1277" s="22">
        <v>12</v>
      </c>
      <c r="K1277" s="25" t="str">
        <f t="shared" si="60"/>
        <v/>
      </c>
      <c r="L1277" s="7"/>
      <c r="M1277" s="4"/>
      <c r="N1277" s="7"/>
      <c r="O1277" s="4"/>
      <c r="P1277" s="51"/>
      <c r="Q1277" s="51"/>
      <c r="R1277" s="51"/>
      <c r="S1277" s="7"/>
      <c r="T1277" s="7"/>
    </row>
    <row r="1278" spans="1:20" ht="14.25" customHeight="1">
      <c r="A1278" s="22">
        <v>1412</v>
      </c>
      <c r="B1278" s="38">
        <v>7147</v>
      </c>
      <c r="C1278" s="22" t="str">
        <f>IFERROR(VLOOKUP(B1278,Colaboradores!A:D,2,),"")</f>
        <v>MAIARA MONTEIRO MARQUES CASTELO BRANCO</v>
      </c>
      <c r="D1278" s="22" t="str">
        <f>IFERROR(VLOOKUP(B1278,Colaboradores!A:D,3,),"")</f>
        <v>SAÚDE OCUPACIONAL</v>
      </c>
      <c r="E1278" s="22" t="str">
        <f>IFERROR(VLOOKUP(B1278,Colaboradores!A:D,4,),"")</f>
        <v>PSICÓLOGA</v>
      </c>
      <c r="F1278" s="22" t="s">
        <v>45</v>
      </c>
      <c r="G1278" s="24" t="str">
        <f>IFERROR(VLOOKUP(F1278,Procedimentos!A:C,2,),"")</f>
        <v>CONSTITUIÇÃO INTERNA DE PREVENÇÃO DE ACIDENTES E DE ASSÉDIOS - CIPA</v>
      </c>
      <c r="H1278" s="25"/>
      <c r="I1278" s="51"/>
      <c r="J1278" s="22">
        <v>12</v>
      </c>
      <c r="K1278" s="25" t="str">
        <f t="shared" si="60"/>
        <v/>
      </c>
      <c r="L1278" s="7"/>
      <c r="M1278" s="4"/>
      <c r="N1278" s="7"/>
      <c r="O1278" s="4"/>
      <c r="P1278" s="51"/>
      <c r="Q1278" s="51"/>
      <c r="R1278" s="51"/>
      <c r="S1278" s="7"/>
      <c r="T1278" s="7"/>
    </row>
    <row r="1279" spans="1:20" ht="14.25" customHeight="1">
      <c r="A1279" s="22">
        <v>1413</v>
      </c>
      <c r="B1279" s="38">
        <v>7147</v>
      </c>
      <c r="C1279" s="22" t="str">
        <f>IFERROR(VLOOKUP(B1279,Colaboradores!A:D,2,),"")</f>
        <v>MAIARA MONTEIRO MARQUES CASTELO BRANCO</v>
      </c>
      <c r="D1279" s="22" t="str">
        <f>IFERROR(VLOOKUP(B1279,Colaboradores!A:D,3,),"")</f>
        <v>SAÚDE OCUPACIONAL</v>
      </c>
      <c r="E1279" s="22" t="str">
        <f>IFERROR(VLOOKUP(B1279,Colaboradores!A:D,4,),"")</f>
        <v>PSICÓLOGA</v>
      </c>
      <c r="F1279" s="22" t="s">
        <v>81</v>
      </c>
      <c r="G1279" s="24" t="str">
        <f>IFERROR(VLOOKUP(F1279,Procedimentos!A:C,2,),"")</f>
        <v>ATENDIMENTO PSICOLÓGICO NO ESPAÇO CUIDARH</v>
      </c>
      <c r="H1279" s="22" t="s">
        <v>7</v>
      </c>
      <c r="I1279" s="43"/>
      <c r="J1279" s="22">
        <v>12</v>
      </c>
      <c r="K1279" s="25" t="str">
        <f t="shared" si="60"/>
        <v/>
      </c>
      <c r="L1279" s="7"/>
      <c r="M1279" s="4"/>
      <c r="N1279" s="7"/>
      <c r="O1279" s="22" t="s">
        <v>28</v>
      </c>
      <c r="P1279" s="51"/>
      <c r="Q1279" s="51"/>
      <c r="R1279" s="51"/>
      <c r="S1279" s="7"/>
      <c r="T1279" s="7"/>
    </row>
    <row r="1280" spans="1:20" ht="14.25" customHeight="1">
      <c r="A1280" s="22">
        <v>1414</v>
      </c>
      <c r="B1280" s="38">
        <v>7601</v>
      </c>
      <c r="C1280" s="22" t="str">
        <f>IFERROR(VLOOKUP(B1280,Colaboradores!A:D,2,),"")</f>
        <v>RAYANE BEZERRA DE JESUS</v>
      </c>
      <c r="D1280" s="22" t="str">
        <f>IFERROR(VLOOKUP(B1280,Colaboradores!A:D,3,),"")</f>
        <v>SAÚDE OCUPACIONAL</v>
      </c>
      <c r="E1280" s="22" t="str">
        <f>IFERROR(VLOOKUP(B1280,Colaboradores!A:D,4,),"")</f>
        <v>TÉCNICO DE ENFERMAGEM DO TRABALHO</v>
      </c>
      <c r="F1280" s="22" t="s">
        <v>49</v>
      </c>
      <c r="G1280" s="24" t="str">
        <f>IFERROR(VLOOKUP(F1280,Procedimentos!A:C,2,),"")</f>
        <v>DIRETRIZES PARA REALIZAÇÃO DE EXAMES OCUPACIONAIS</v>
      </c>
      <c r="H1280" s="22" t="s">
        <v>7</v>
      </c>
      <c r="I1280" s="43"/>
      <c r="J1280" s="22">
        <v>12</v>
      </c>
      <c r="K1280" s="25" t="str">
        <f t="shared" si="60"/>
        <v/>
      </c>
      <c r="L1280" s="7"/>
      <c r="M1280" s="4"/>
      <c r="N1280" s="7"/>
      <c r="O1280" s="22" t="s">
        <v>28</v>
      </c>
      <c r="P1280" s="51"/>
      <c r="Q1280" s="51"/>
      <c r="R1280" s="51"/>
      <c r="S1280" s="7"/>
      <c r="T1280" s="7"/>
    </row>
    <row r="1281" spans="1:20" ht="14.25" customHeight="1">
      <c r="A1281" s="22">
        <v>1415</v>
      </c>
      <c r="B1281" s="38">
        <v>7601</v>
      </c>
      <c r="C1281" s="22" t="str">
        <f>IFERROR(VLOOKUP(B1281,Colaboradores!A:D,2,),"")</f>
        <v>RAYANE BEZERRA DE JESUS</v>
      </c>
      <c r="D1281" s="22" t="str">
        <f>IFERROR(VLOOKUP(B1281,Colaboradores!A:D,3,),"")</f>
        <v>SAÚDE OCUPACIONAL</v>
      </c>
      <c r="E1281" s="22" t="str">
        <f>IFERROR(VLOOKUP(B1281,Colaboradores!A:D,4,),"")</f>
        <v>TÉCNICO DE ENFERMAGEM DO TRABALHO</v>
      </c>
      <c r="F1281" s="22" t="s">
        <v>52</v>
      </c>
      <c r="G1281" s="24" t="str">
        <f>IFERROR(VLOOKUP(F1281,Procedimentos!A:C,2,),"")</f>
        <v>DIRETRIZES E ACOMPANHAMENTO  DE ACIDENTE COM MATERIAL BIOLOGICO</v>
      </c>
      <c r="H1281" s="22" t="s">
        <v>7</v>
      </c>
      <c r="I1281" s="43"/>
      <c r="J1281" s="22">
        <v>12</v>
      </c>
      <c r="K1281" s="25" t="str">
        <f t="shared" si="60"/>
        <v/>
      </c>
      <c r="L1281" s="7"/>
      <c r="M1281" s="4"/>
      <c r="N1281" s="7"/>
      <c r="O1281" s="22" t="s">
        <v>28</v>
      </c>
      <c r="P1281" s="51"/>
      <c r="Q1281" s="51"/>
      <c r="R1281" s="51"/>
      <c r="S1281" s="7"/>
      <c r="T1281" s="7"/>
    </row>
    <row r="1282" spans="1:20" ht="14.25" customHeight="1">
      <c r="A1282" s="22">
        <v>1416</v>
      </c>
      <c r="B1282" s="38">
        <v>7601</v>
      </c>
      <c r="C1282" s="22" t="str">
        <f>IFERROR(VLOOKUP(B1282,Colaboradores!A:D,2,),"")</f>
        <v>RAYANE BEZERRA DE JESUS</v>
      </c>
      <c r="D1282" s="22" t="str">
        <f>IFERROR(VLOOKUP(B1282,Colaboradores!A:D,3,),"")</f>
        <v>SAÚDE OCUPACIONAL</v>
      </c>
      <c r="E1282" s="22" t="str">
        <f>IFERROR(VLOOKUP(B1282,Colaboradores!A:D,4,),"")</f>
        <v>TÉCNICO DE ENFERMAGEM DO TRABALHO</v>
      </c>
      <c r="F1282" s="22" t="s">
        <v>53</v>
      </c>
      <c r="G1282" s="24" t="str">
        <f>IFERROR(VLOOKUP(F1282,Procedimentos!A:C,2,),"")</f>
        <v>DIRETRIZES PARA MONITORAMENTO DE GESTANTE</v>
      </c>
      <c r="H1282" s="22" t="s">
        <v>7</v>
      </c>
      <c r="I1282" s="43"/>
      <c r="J1282" s="22">
        <v>12</v>
      </c>
      <c r="K1282" s="25" t="str">
        <f t="shared" si="60"/>
        <v/>
      </c>
      <c r="L1282" s="7"/>
      <c r="M1282" s="4"/>
      <c r="N1282" s="7"/>
      <c r="O1282" s="22" t="s">
        <v>28</v>
      </c>
      <c r="P1282" s="51"/>
      <c r="Q1282" s="51"/>
      <c r="R1282" s="51"/>
      <c r="S1282" s="7"/>
      <c r="T1282" s="7"/>
    </row>
    <row r="1283" spans="1:20" ht="14.25" customHeight="1">
      <c r="A1283" s="22">
        <v>1417</v>
      </c>
      <c r="B1283" s="38">
        <v>7601</v>
      </c>
      <c r="C1283" s="22" t="str">
        <f>IFERROR(VLOOKUP(B1283,Colaboradores!A:D,2,),"")</f>
        <v>RAYANE BEZERRA DE JESUS</v>
      </c>
      <c r="D1283" s="22" t="str">
        <f>IFERROR(VLOOKUP(B1283,Colaboradores!A:D,3,),"")</f>
        <v>SAÚDE OCUPACIONAL</v>
      </c>
      <c r="E1283" s="22" t="str">
        <f>IFERROR(VLOOKUP(B1283,Colaboradores!A:D,4,),"")</f>
        <v>TÉCNICO DE ENFERMAGEM DO TRABALHO</v>
      </c>
      <c r="F1283" s="22" t="s">
        <v>54</v>
      </c>
      <c r="G1283" s="24" t="str">
        <f>IFERROR(VLOOKUP(F1283,Procedimentos!A:C,2,),"")</f>
        <v>DIRETRIZES DE IMUNIZAÇÃO OCUPACIONAL</v>
      </c>
      <c r="H1283" s="22" t="s">
        <v>7</v>
      </c>
      <c r="I1283" s="43"/>
      <c r="J1283" s="22">
        <v>12</v>
      </c>
      <c r="K1283" s="25" t="str">
        <f t="shared" ref="K1283:K1346" si="61">IF(AND(I1283&lt;&gt;"",J1283&lt;&gt;""),DATE(YEAR(I1283),MONTH(I1283)+J1283,DAY(I1283)),"")</f>
        <v/>
      </c>
      <c r="L1283" s="7"/>
      <c r="M1283" s="4"/>
      <c r="N1283" s="7"/>
      <c r="O1283" s="22" t="s">
        <v>28</v>
      </c>
      <c r="P1283" s="51"/>
      <c r="Q1283" s="51"/>
      <c r="R1283" s="51"/>
      <c r="S1283" s="7"/>
      <c r="T1283" s="7"/>
    </row>
    <row r="1284" spans="1:20" ht="14.25" customHeight="1">
      <c r="A1284" s="22">
        <v>1418</v>
      </c>
      <c r="B1284" s="38">
        <v>7601</v>
      </c>
      <c r="C1284" s="22" t="str">
        <f>IFERROR(VLOOKUP(B1284,Colaboradores!A:D,2,),"")</f>
        <v>RAYANE BEZERRA DE JESUS</v>
      </c>
      <c r="D1284" s="22" t="str">
        <f>IFERROR(VLOOKUP(B1284,Colaboradores!A:D,3,),"")</f>
        <v>SAÚDE OCUPACIONAL</v>
      </c>
      <c r="E1284" s="22" t="str">
        <f>IFERROR(VLOOKUP(B1284,Colaboradores!A:D,4,),"")</f>
        <v>TÉCNICO DE ENFERMAGEM DO TRABALHO</v>
      </c>
      <c r="F1284" s="22" t="s">
        <v>55</v>
      </c>
      <c r="G1284" s="24" t="str">
        <f>IFERROR(VLOOKUP(F1284,Procedimentos!A:C,2,),"")</f>
        <v>DIRETRIZES PARA ACOMPANHAMENTO DE AFASTADOS</v>
      </c>
      <c r="H1284" s="22" t="s">
        <v>7</v>
      </c>
      <c r="I1284" s="43"/>
      <c r="J1284" s="22">
        <v>12</v>
      </c>
      <c r="K1284" s="25" t="str">
        <f t="shared" si="61"/>
        <v/>
      </c>
      <c r="L1284" s="7"/>
      <c r="M1284" s="4"/>
      <c r="N1284" s="7"/>
      <c r="O1284" s="22" t="s">
        <v>28</v>
      </c>
      <c r="P1284" s="51"/>
      <c r="Q1284" s="51"/>
      <c r="R1284" s="51"/>
      <c r="S1284" s="7"/>
      <c r="T1284" s="7"/>
    </row>
    <row r="1285" spans="1:20" ht="14.25" customHeight="1">
      <c r="A1285" s="22">
        <v>1419</v>
      </c>
      <c r="B1285" s="38">
        <v>7601</v>
      </c>
      <c r="C1285" s="22" t="str">
        <f>IFERROR(VLOOKUP(B1285,Colaboradores!A:D,2,),"")</f>
        <v>RAYANE BEZERRA DE JESUS</v>
      </c>
      <c r="D1285" s="22" t="str">
        <f>IFERROR(VLOOKUP(B1285,Colaboradores!A:D,3,),"")</f>
        <v>SAÚDE OCUPACIONAL</v>
      </c>
      <c r="E1285" s="22" t="str">
        <f>IFERROR(VLOOKUP(B1285,Colaboradores!A:D,4,),"")</f>
        <v>TÉCNICO DE ENFERMAGEM DO TRABALHO</v>
      </c>
      <c r="F1285" s="22" t="s">
        <v>73</v>
      </c>
      <c r="G1285" s="24" t="str">
        <f>IFERROR(VLOOKUP(F1285,Procedimentos!A:C,2,),"")</f>
        <v>AQUISIÇÃO DE BENS E SERVIÇOS E AVALIAÇÃO PROVEDORES EXTERNOS</v>
      </c>
      <c r="H1285" s="25"/>
      <c r="I1285" s="43">
        <v>45911</v>
      </c>
      <c r="J1285" s="22">
        <v>12</v>
      </c>
      <c r="K1285" s="25">
        <f t="shared" si="61"/>
        <v>46276</v>
      </c>
      <c r="L1285" s="7"/>
      <c r="M1285" s="4"/>
      <c r="N1285" s="7"/>
      <c r="O1285" s="4"/>
      <c r="P1285" s="51"/>
      <c r="Q1285" s="51"/>
      <c r="R1285" s="51"/>
      <c r="S1285" s="7"/>
      <c r="T1285" s="7"/>
    </row>
    <row r="1286" spans="1:20" ht="14.25" customHeight="1">
      <c r="A1286" s="22">
        <v>1420</v>
      </c>
      <c r="B1286" s="38">
        <v>14499</v>
      </c>
      <c r="C1286" s="22" t="str">
        <f>IFERROR(VLOOKUP(B1286,Colaboradores!A:D,2,),"")</f>
        <v>SAMIRIS COSTA DA SILVA</v>
      </c>
      <c r="D1286" s="22" t="str">
        <f>IFERROR(VLOOKUP(B1286,Colaboradores!A:D,3,),"")</f>
        <v>SAÚDE OCUPACIONAL</v>
      </c>
      <c r="E1286" s="22" t="str">
        <f>IFERROR(VLOOKUP(B1286,Colaboradores!A:D,4,),"")</f>
        <v>PSICÓLOGA</v>
      </c>
      <c r="F1286" s="22" t="s">
        <v>41</v>
      </c>
      <c r="G1286" s="24" t="str">
        <f>IFERROR(VLOOKUP(F1286,Procedimentos!A:C,2,),"")</f>
        <v>DIRETRIZES PARA COMUNICAÇÃO E INVESTIGAÇÃO DE ACIDENTES</v>
      </c>
      <c r="H1286" s="25"/>
      <c r="I1286" s="51"/>
      <c r="J1286" s="22">
        <v>12</v>
      </c>
      <c r="K1286" s="25" t="str">
        <f t="shared" si="61"/>
        <v/>
      </c>
      <c r="L1286" s="7"/>
      <c r="M1286" s="4"/>
      <c r="N1286" s="7"/>
      <c r="O1286" s="4"/>
      <c r="P1286" s="51"/>
      <c r="Q1286" s="51"/>
      <c r="R1286" s="51"/>
      <c r="S1286" s="7"/>
      <c r="T1286" s="7"/>
    </row>
    <row r="1287" spans="1:20" ht="14.25" customHeight="1">
      <c r="A1287" s="22">
        <v>1421</v>
      </c>
      <c r="B1287" s="38">
        <v>14499</v>
      </c>
      <c r="C1287" s="22" t="str">
        <f>IFERROR(VLOOKUP(B1287,Colaboradores!A:D,2,),"")</f>
        <v>SAMIRIS COSTA DA SILVA</v>
      </c>
      <c r="D1287" s="22" t="str">
        <f>IFERROR(VLOOKUP(B1287,Colaboradores!A:D,3,),"")</f>
        <v>SAÚDE OCUPACIONAL</v>
      </c>
      <c r="E1287" s="22" t="str">
        <f>IFERROR(VLOOKUP(B1287,Colaboradores!A:D,4,),"")</f>
        <v>PSICÓLOGA</v>
      </c>
      <c r="F1287" s="22" t="s">
        <v>43</v>
      </c>
      <c r="G1287" s="24" t="str">
        <f>IFERROR(VLOOKUP(F1287,Procedimentos!A:C,2,),"")</f>
        <v>DIÁLOGO DE SAÚDE E SEGURANÇA - DSS</v>
      </c>
      <c r="H1287" s="25"/>
      <c r="I1287" s="51"/>
      <c r="J1287" s="22">
        <v>12</v>
      </c>
      <c r="K1287" s="25" t="str">
        <f t="shared" si="61"/>
        <v/>
      </c>
      <c r="L1287" s="7"/>
      <c r="M1287" s="4"/>
      <c r="N1287" s="7"/>
      <c r="O1287" s="4"/>
      <c r="P1287" s="51"/>
      <c r="Q1287" s="51"/>
      <c r="R1287" s="51"/>
      <c r="S1287" s="7"/>
      <c r="T1287" s="7"/>
    </row>
    <row r="1288" spans="1:20" ht="14.25" customHeight="1">
      <c r="A1288" s="22">
        <v>1422</v>
      </c>
      <c r="B1288" s="38">
        <v>14499</v>
      </c>
      <c r="C1288" s="22" t="str">
        <f>IFERROR(VLOOKUP(B1288,Colaboradores!A:D,2,),"")</f>
        <v>SAMIRIS COSTA DA SILVA</v>
      </c>
      <c r="D1288" s="22" t="str">
        <f>IFERROR(VLOOKUP(B1288,Colaboradores!A:D,3,),"")</f>
        <v>SAÚDE OCUPACIONAL</v>
      </c>
      <c r="E1288" s="22" t="str">
        <f>IFERROR(VLOOKUP(B1288,Colaboradores!A:D,4,),"")</f>
        <v>PSICÓLOGA</v>
      </c>
      <c r="F1288" s="22" t="s">
        <v>44</v>
      </c>
      <c r="G1288" s="24" t="str">
        <f>IFERROR(VLOOKUP(F1288,Procedimentos!A:C,2,),"")</f>
        <v>DIRETRIZES PARA GESTÃO DE EQUIPAMENTOS DE PROTEÇÃO INDIVIDUAL - EPI'S</v>
      </c>
      <c r="H1288" s="25"/>
      <c r="I1288" s="51"/>
      <c r="J1288" s="22">
        <v>12</v>
      </c>
      <c r="K1288" s="25" t="str">
        <f t="shared" si="61"/>
        <v/>
      </c>
      <c r="L1288" s="7"/>
      <c r="M1288" s="4"/>
      <c r="N1288" s="7"/>
      <c r="O1288" s="4"/>
      <c r="P1288" s="51"/>
      <c r="Q1288" s="51"/>
      <c r="R1288" s="51"/>
      <c r="S1288" s="7"/>
      <c r="T1288" s="7"/>
    </row>
    <row r="1289" spans="1:20" ht="14.25" customHeight="1">
      <c r="A1289" s="22">
        <v>1423</v>
      </c>
      <c r="B1289" s="38">
        <v>14499</v>
      </c>
      <c r="C1289" s="22" t="str">
        <f>IFERROR(VLOOKUP(B1289,Colaboradores!A:D,2,),"")</f>
        <v>SAMIRIS COSTA DA SILVA</v>
      </c>
      <c r="D1289" s="22" t="str">
        <f>IFERROR(VLOOKUP(B1289,Colaboradores!A:D,3,),"")</f>
        <v>SAÚDE OCUPACIONAL</v>
      </c>
      <c r="E1289" s="22" t="str">
        <f>IFERROR(VLOOKUP(B1289,Colaboradores!A:D,4,),"")</f>
        <v>PSICÓLOGA</v>
      </c>
      <c r="F1289" s="22" t="s">
        <v>45</v>
      </c>
      <c r="G1289" s="24" t="str">
        <f>IFERROR(VLOOKUP(F1289,Procedimentos!A:C,2,),"")</f>
        <v>CONSTITUIÇÃO INTERNA DE PREVENÇÃO DE ACIDENTES E DE ASSÉDIOS - CIPA</v>
      </c>
      <c r="H1289" s="25"/>
      <c r="I1289" s="51"/>
      <c r="J1289" s="22">
        <v>12</v>
      </c>
      <c r="K1289" s="25" t="str">
        <f t="shared" si="61"/>
        <v/>
      </c>
      <c r="L1289" s="7"/>
      <c r="M1289" s="4"/>
      <c r="N1289" s="7"/>
      <c r="O1289" s="4"/>
      <c r="P1289" s="51"/>
      <c r="Q1289" s="51"/>
      <c r="R1289" s="51"/>
      <c r="S1289" s="7"/>
      <c r="T1289" s="7"/>
    </row>
    <row r="1290" spans="1:20" ht="14.25" customHeight="1">
      <c r="A1290" s="22">
        <v>1424</v>
      </c>
      <c r="B1290" s="38">
        <v>14499</v>
      </c>
      <c r="C1290" s="22" t="str">
        <f>IFERROR(VLOOKUP(B1290,Colaboradores!A:D,2,),"")</f>
        <v>SAMIRIS COSTA DA SILVA</v>
      </c>
      <c r="D1290" s="22" t="str">
        <f>IFERROR(VLOOKUP(B1290,Colaboradores!A:D,3,),"")</f>
        <v>SAÚDE OCUPACIONAL</v>
      </c>
      <c r="E1290" s="22" t="str">
        <f>IFERROR(VLOOKUP(B1290,Colaboradores!A:D,4,),"")</f>
        <v>PSICÓLOGA</v>
      </c>
      <c r="F1290" s="4" t="s">
        <v>55</v>
      </c>
      <c r="G1290" s="24" t="str">
        <f>IFERROR(VLOOKUP(F1290,Procedimentos!A:C,2,),"")</f>
        <v>DIRETRIZES PARA ACOMPANHAMENTO DE AFASTADOS</v>
      </c>
      <c r="H1290" s="25"/>
      <c r="I1290" s="52">
        <v>45875</v>
      </c>
      <c r="J1290" s="22">
        <v>12</v>
      </c>
      <c r="K1290" s="25">
        <f t="shared" si="61"/>
        <v>46240</v>
      </c>
      <c r="L1290" s="7"/>
      <c r="M1290" s="4"/>
      <c r="N1290" s="7"/>
      <c r="O1290" s="4"/>
      <c r="P1290" s="51"/>
      <c r="Q1290" s="51"/>
      <c r="R1290" s="51"/>
      <c r="S1290" s="7"/>
      <c r="T1290" s="7"/>
    </row>
    <row r="1291" spans="1:20" ht="14.25" customHeight="1">
      <c r="A1291" s="22">
        <v>1425</v>
      </c>
      <c r="B1291" s="38">
        <v>14499</v>
      </c>
      <c r="C1291" s="22" t="str">
        <f>IFERROR(VLOOKUP(B1291,Colaboradores!A:D,2,),"")</f>
        <v>SAMIRIS COSTA DA SILVA</v>
      </c>
      <c r="D1291" s="22" t="str">
        <f>IFERROR(VLOOKUP(B1291,Colaboradores!A:D,3,),"")</f>
        <v>SAÚDE OCUPACIONAL</v>
      </c>
      <c r="E1291" s="22" t="str">
        <f>IFERROR(VLOOKUP(B1291,Colaboradores!A:D,4,),"")</f>
        <v>PSICÓLOGA</v>
      </c>
      <c r="F1291" s="22" t="s">
        <v>81</v>
      </c>
      <c r="G1291" s="24" t="str">
        <f>IFERROR(VLOOKUP(F1291,Procedimentos!A:C,2,),"")</f>
        <v>ATENDIMENTO PSICOLÓGICO NO ESPAÇO CUIDARH</v>
      </c>
      <c r="H1291" s="22" t="s">
        <v>7</v>
      </c>
      <c r="I1291" s="43"/>
      <c r="J1291" s="22">
        <v>12</v>
      </c>
      <c r="K1291" s="25" t="str">
        <f t="shared" si="61"/>
        <v/>
      </c>
      <c r="L1291" s="7"/>
      <c r="M1291" s="4"/>
      <c r="N1291" s="7"/>
      <c r="O1291" s="22" t="s">
        <v>28</v>
      </c>
      <c r="P1291" s="51"/>
      <c r="Q1291" s="51"/>
      <c r="R1291" s="51"/>
      <c r="S1291" s="7"/>
      <c r="T1291" s="7"/>
    </row>
    <row r="1292" spans="1:20" ht="14.25" customHeight="1">
      <c r="A1292" s="22">
        <v>1426</v>
      </c>
      <c r="B1292" s="38">
        <v>14083</v>
      </c>
      <c r="C1292" s="22" t="str">
        <f>IFERROR(VLOOKUP(B1292,Colaboradores!A:D,2,),"")</f>
        <v>TAHYNAN FREITAS SILVA COSTA</v>
      </c>
      <c r="D1292" s="22" t="str">
        <f>IFERROR(VLOOKUP(B1292,Colaboradores!A:D,3,),"")</f>
        <v>SAÚDE OCUPACIONAL</v>
      </c>
      <c r="E1292" s="22" t="str">
        <f>IFERROR(VLOOKUP(B1292,Colaboradores!A:D,4,),"")</f>
        <v>TÉCNICO DE ENFERMAGEM DO TRABALHO</v>
      </c>
      <c r="F1292" s="22" t="s">
        <v>51</v>
      </c>
      <c r="G1292" s="24" t="str">
        <f>IFERROR(VLOOKUP(F1292,Procedimentos!A:C,2,),"")</f>
        <v>DIRETRIZES PARA ENTREGA DE ATESTADOS MÉDICOS E ODONTOLÓGICOS</v>
      </c>
      <c r="H1292" s="22" t="s">
        <v>7</v>
      </c>
      <c r="I1292" s="43"/>
      <c r="J1292" s="22">
        <v>12</v>
      </c>
      <c r="K1292" s="25" t="str">
        <f t="shared" si="61"/>
        <v/>
      </c>
      <c r="L1292" s="7"/>
      <c r="M1292" s="4"/>
      <c r="N1292" s="7"/>
      <c r="O1292" s="22" t="s">
        <v>28</v>
      </c>
      <c r="P1292" s="51"/>
      <c r="Q1292" s="51"/>
      <c r="R1292" s="51"/>
      <c r="S1292" s="7"/>
      <c r="T1292" s="7"/>
    </row>
    <row r="1293" spans="1:20" ht="14.25" customHeight="1">
      <c r="A1293" s="22">
        <v>1427</v>
      </c>
      <c r="B1293" s="38">
        <v>14083</v>
      </c>
      <c r="C1293" s="22" t="str">
        <f>IFERROR(VLOOKUP(B1293,Colaboradores!A:D,2,),"")</f>
        <v>TAHYNAN FREITAS SILVA COSTA</v>
      </c>
      <c r="D1293" s="22" t="str">
        <f>IFERROR(VLOOKUP(B1293,Colaboradores!A:D,3,),"")</f>
        <v>SAÚDE OCUPACIONAL</v>
      </c>
      <c r="E1293" s="22" t="str">
        <f>IFERROR(VLOOKUP(B1293,Colaboradores!A:D,4,),"")</f>
        <v>TÉCNICO DE ENFERMAGEM DO TRABALHO</v>
      </c>
      <c r="F1293" s="22" t="s">
        <v>52</v>
      </c>
      <c r="G1293" s="24" t="str">
        <f>IFERROR(VLOOKUP(F1293,Procedimentos!A:C,2,),"")</f>
        <v>DIRETRIZES E ACOMPANHAMENTO  DE ACIDENTE COM MATERIAL BIOLOGICO</v>
      </c>
      <c r="H1293" s="22" t="s">
        <v>7</v>
      </c>
      <c r="I1293" s="43"/>
      <c r="J1293" s="22">
        <v>12</v>
      </c>
      <c r="K1293" s="25" t="str">
        <f t="shared" si="61"/>
        <v/>
      </c>
      <c r="L1293" s="7"/>
      <c r="M1293" s="4"/>
      <c r="N1293" s="7"/>
      <c r="O1293" s="22" t="s">
        <v>28</v>
      </c>
      <c r="P1293" s="51"/>
      <c r="Q1293" s="51"/>
      <c r="R1293" s="51"/>
      <c r="S1293" s="7"/>
      <c r="T1293" s="7"/>
    </row>
    <row r="1294" spans="1:20" ht="14.25" customHeight="1">
      <c r="A1294" s="22">
        <v>1428</v>
      </c>
      <c r="B1294" s="38">
        <v>14083</v>
      </c>
      <c r="C1294" s="22" t="str">
        <f>IFERROR(VLOOKUP(B1294,Colaboradores!A:D,2,),"")</f>
        <v>TAHYNAN FREITAS SILVA COSTA</v>
      </c>
      <c r="D1294" s="22" t="str">
        <f>IFERROR(VLOOKUP(B1294,Colaboradores!A:D,3,),"")</f>
        <v>SAÚDE OCUPACIONAL</v>
      </c>
      <c r="E1294" s="22" t="str">
        <f>IFERROR(VLOOKUP(B1294,Colaboradores!A:D,4,),"")</f>
        <v>TÉCNICO DE ENFERMAGEM DO TRABALHO</v>
      </c>
      <c r="F1294" s="22" t="s">
        <v>73</v>
      </c>
      <c r="G1294" s="24" t="str">
        <f>IFERROR(VLOOKUP(F1294,Procedimentos!A:C,2,),"")</f>
        <v>AQUISIÇÃO DE BENS E SERVIÇOS E AVALIAÇÃO PROVEDORES EXTERNOS</v>
      </c>
      <c r="H1294" s="25"/>
      <c r="I1294" s="43">
        <v>45911</v>
      </c>
      <c r="J1294" s="22">
        <v>12</v>
      </c>
      <c r="K1294" s="25">
        <f t="shared" si="61"/>
        <v>46276</v>
      </c>
      <c r="L1294" s="7"/>
      <c r="M1294" s="4"/>
      <c r="N1294" s="7"/>
      <c r="O1294" s="4"/>
      <c r="P1294" s="51"/>
      <c r="Q1294" s="51"/>
      <c r="R1294" s="51"/>
      <c r="S1294" s="7"/>
      <c r="T1294" s="7"/>
    </row>
    <row r="1295" spans="1:20" ht="14.25" customHeight="1">
      <c r="A1295" s="22">
        <v>1429</v>
      </c>
      <c r="B1295" s="38">
        <v>14499</v>
      </c>
      <c r="C1295" s="22" t="str">
        <f>IFERROR(VLOOKUP(B1295,Colaboradores!A:D,2,),"")</f>
        <v>SAMIRIS COSTA DA SILVA</v>
      </c>
      <c r="D1295" s="22" t="str">
        <f>IFERROR(VLOOKUP(B1295,Colaboradores!A:D,3,),"")</f>
        <v>SAÚDE OCUPACIONAL</v>
      </c>
      <c r="E1295" s="22" t="str">
        <f>IFERROR(VLOOKUP(B1295,Colaboradores!A:D,4,),"")</f>
        <v>PSICÓLOGA</v>
      </c>
      <c r="F1295" s="22" t="s">
        <v>73</v>
      </c>
      <c r="G1295" s="24" t="str">
        <f>IFERROR(VLOOKUP(F1295,Procedimentos!A:C,2,),"")</f>
        <v>AQUISIÇÃO DE BENS E SERVIÇOS E AVALIAÇÃO PROVEDORES EXTERNOS</v>
      </c>
      <c r="H1295" s="25"/>
      <c r="I1295" s="43"/>
      <c r="J1295" s="22">
        <v>12</v>
      </c>
      <c r="K1295" s="25" t="str">
        <f t="shared" si="61"/>
        <v/>
      </c>
      <c r="L1295" s="7"/>
      <c r="M1295" s="4"/>
      <c r="N1295" s="7"/>
      <c r="O1295" s="4"/>
      <c r="P1295" s="51"/>
      <c r="Q1295" s="51"/>
      <c r="R1295" s="51"/>
      <c r="S1295" s="7"/>
      <c r="T1295" s="7"/>
    </row>
    <row r="1296" spans="1:20" ht="14.25" customHeight="1">
      <c r="A1296" s="22">
        <v>1430</v>
      </c>
      <c r="B1296" s="38">
        <v>14083</v>
      </c>
      <c r="C1296" s="22" t="str">
        <f>IFERROR(VLOOKUP(B1296,Colaboradores!A:D,2,),"")</f>
        <v>TAHYNAN FREITAS SILVA COSTA</v>
      </c>
      <c r="D1296" s="22" t="str">
        <f>IFERROR(VLOOKUP(B1296,Colaboradores!A:D,3,),"")</f>
        <v>SAÚDE OCUPACIONAL</v>
      </c>
      <c r="E1296" s="22" t="str">
        <f>IFERROR(VLOOKUP(B1296,Colaboradores!A:D,4,),"")</f>
        <v>TÉCNICO DE ENFERMAGEM DO TRABALHO</v>
      </c>
      <c r="F1296" s="22" t="s">
        <v>41</v>
      </c>
      <c r="G1296" s="24" t="str">
        <f>IFERROR(VLOOKUP(F1296,Procedimentos!A:C,2,),"")</f>
        <v>DIRETRIZES PARA COMUNICAÇÃO E INVESTIGAÇÃO DE ACIDENTES</v>
      </c>
      <c r="H1296" s="25"/>
      <c r="I1296" s="51"/>
      <c r="J1296" s="22">
        <v>12</v>
      </c>
      <c r="K1296" s="25" t="str">
        <f t="shared" si="61"/>
        <v/>
      </c>
      <c r="L1296" s="7"/>
      <c r="M1296" s="4"/>
      <c r="N1296" s="7"/>
      <c r="O1296" s="4"/>
      <c r="P1296" s="51"/>
      <c r="Q1296" s="51"/>
      <c r="R1296" s="51"/>
      <c r="S1296" s="7"/>
      <c r="T1296" s="7"/>
    </row>
    <row r="1297" spans="1:20" ht="14.25" customHeight="1">
      <c r="A1297" s="22">
        <v>1431</v>
      </c>
      <c r="B1297" s="38">
        <v>14083</v>
      </c>
      <c r="C1297" s="22" t="str">
        <f>IFERROR(VLOOKUP(B1297,Colaboradores!A:D,2,),"")</f>
        <v>TAHYNAN FREITAS SILVA COSTA</v>
      </c>
      <c r="D1297" s="22" t="str">
        <f>IFERROR(VLOOKUP(B1297,Colaboradores!A:D,3,),"")</f>
        <v>SAÚDE OCUPACIONAL</v>
      </c>
      <c r="E1297" s="22" t="str">
        <f>IFERROR(VLOOKUP(B1297,Colaboradores!A:D,4,),"")</f>
        <v>TÉCNICO DE ENFERMAGEM DO TRABALHO</v>
      </c>
      <c r="F1297" s="22" t="s">
        <v>43</v>
      </c>
      <c r="G1297" s="24" t="str">
        <f>IFERROR(VLOOKUP(F1297,Procedimentos!A:C,2,),"")</f>
        <v>DIÁLOGO DE SAÚDE E SEGURANÇA - DSS</v>
      </c>
      <c r="H1297" s="25"/>
      <c r="I1297" s="51"/>
      <c r="J1297" s="22">
        <v>12</v>
      </c>
      <c r="K1297" s="25" t="str">
        <f t="shared" si="61"/>
        <v/>
      </c>
      <c r="L1297" s="7"/>
      <c r="M1297" s="4"/>
      <c r="N1297" s="7"/>
      <c r="O1297" s="4"/>
      <c r="P1297" s="51"/>
      <c r="Q1297" s="51"/>
      <c r="R1297" s="51"/>
      <c r="S1297" s="7"/>
      <c r="T1297" s="7"/>
    </row>
    <row r="1298" spans="1:20" ht="14.25" customHeight="1">
      <c r="A1298" s="22">
        <v>1432</v>
      </c>
      <c r="B1298" s="38">
        <v>14083</v>
      </c>
      <c r="C1298" s="22" t="str">
        <f>IFERROR(VLOOKUP(B1298,Colaboradores!A:D,2,),"")</f>
        <v>TAHYNAN FREITAS SILVA COSTA</v>
      </c>
      <c r="D1298" s="22" t="str">
        <f>IFERROR(VLOOKUP(B1298,Colaboradores!A:D,3,),"")</f>
        <v>SAÚDE OCUPACIONAL</v>
      </c>
      <c r="E1298" s="22" t="str">
        <f>IFERROR(VLOOKUP(B1298,Colaboradores!A:D,4,),"")</f>
        <v>TÉCNICO DE ENFERMAGEM DO TRABALHO</v>
      </c>
      <c r="F1298" s="22" t="s">
        <v>44</v>
      </c>
      <c r="G1298" s="24" t="str">
        <f>IFERROR(VLOOKUP(F1298,Procedimentos!A:C,2,),"")</f>
        <v>DIRETRIZES PARA GESTÃO DE EQUIPAMENTOS DE PROTEÇÃO INDIVIDUAL - EPI'S</v>
      </c>
      <c r="H1298" s="25"/>
      <c r="I1298" s="51"/>
      <c r="J1298" s="22">
        <v>12</v>
      </c>
      <c r="K1298" s="25" t="str">
        <f t="shared" si="61"/>
        <v/>
      </c>
      <c r="L1298" s="7"/>
      <c r="M1298" s="4"/>
      <c r="N1298" s="7"/>
      <c r="O1298" s="4"/>
      <c r="P1298" s="51"/>
      <c r="Q1298" s="51"/>
      <c r="R1298" s="51"/>
      <c r="S1298" s="7"/>
      <c r="T1298" s="7"/>
    </row>
    <row r="1299" spans="1:20" ht="14.25" customHeight="1">
      <c r="A1299" s="22">
        <v>1433</v>
      </c>
      <c r="B1299" s="38">
        <v>14083</v>
      </c>
      <c r="C1299" s="22" t="str">
        <f>IFERROR(VLOOKUP(B1299,Colaboradores!A:D,2,),"")</f>
        <v>TAHYNAN FREITAS SILVA COSTA</v>
      </c>
      <c r="D1299" s="22" t="str">
        <f>IFERROR(VLOOKUP(B1299,Colaboradores!A:D,3,),"")</f>
        <v>SAÚDE OCUPACIONAL</v>
      </c>
      <c r="E1299" s="22" t="str">
        <f>IFERROR(VLOOKUP(B1299,Colaboradores!A:D,4,),"")</f>
        <v>TÉCNICO DE ENFERMAGEM DO TRABALHO</v>
      </c>
      <c r="F1299" s="22" t="s">
        <v>45</v>
      </c>
      <c r="G1299" s="24" t="str">
        <f>IFERROR(VLOOKUP(F1299,Procedimentos!A:C,2,),"")</f>
        <v>CONSTITUIÇÃO INTERNA DE PREVENÇÃO DE ACIDENTES E DE ASSÉDIOS - CIPA</v>
      </c>
      <c r="H1299" s="25"/>
      <c r="I1299" s="51"/>
      <c r="J1299" s="22">
        <v>12</v>
      </c>
      <c r="K1299" s="25" t="str">
        <f t="shared" si="61"/>
        <v/>
      </c>
      <c r="L1299" s="7"/>
      <c r="M1299" s="4"/>
      <c r="N1299" s="7"/>
      <c r="O1299" s="4"/>
      <c r="P1299" s="51"/>
      <c r="Q1299" s="51"/>
      <c r="R1299" s="51"/>
      <c r="S1299" s="7"/>
      <c r="T1299" s="7"/>
    </row>
    <row r="1300" spans="1:20" ht="14.25" customHeight="1">
      <c r="A1300" s="22">
        <v>1440</v>
      </c>
      <c r="B1300" s="38">
        <v>15023</v>
      </c>
      <c r="C1300" s="22" t="str">
        <f>IFERROR(VLOOKUP(B1300,Colaboradores!A:D,2,),"")</f>
        <v>DANIEL ELISON GUSMÃO PEREIRA</v>
      </c>
      <c r="D1300" s="22" t="str">
        <f>IFERROR(VLOOKUP(B1300,Colaboradores!A:D,3,),"")</f>
        <v>GESTÃO INTEGRADA</v>
      </c>
      <c r="E1300" s="22" t="str">
        <f>IFERROR(VLOOKUP(B1300,Colaboradores!A:D,4,),"")</f>
        <v>ASSISTENTE ADMINISTRATIVO</v>
      </c>
      <c r="F1300" s="47" t="s">
        <v>64</v>
      </c>
      <c r="G1300" s="24" t="str">
        <f>IFERROR(VLOOKUP(F1300,Procedimentos!A:C,2,),"")</f>
        <v>AVALIAÇÃO DESEMPENHO</v>
      </c>
      <c r="H1300" s="25"/>
      <c r="I1300" s="51"/>
      <c r="J1300" s="22">
        <v>12</v>
      </c>
      <c r="K1300" s="25" t="str">
        <f t="shared" si="61"/>
        <v/>
      </c>
      <c r="L1300" s="7"/>
      <c r="M1300" s="4"/>
      <c r="N1300" s="7"/>
      <c r="O1300" s="4"/>
      <c r="P1300" s="51"/>
      <c r="Q1300" s="51"/>
      <c r="R1300" s="51"/>
      <c r="S1300" s="7"/>
      <c r="T1300" s="7"/>
    </row>
    <row r="1301" spans="1:20" ht="14.25" customHeight="1">
      <c r="A1301" s="22">
        <v>1441</v>
      </c>
      <c r="B1301" s="38">
        <v>14525</v>
      </c>
      <c r="C1301" s="22" t="str">
        <f>IFERROR(VLOOKUP(B1301,Colaboradores!A:D,2,),"")</f>
        <v>IANKA PRAZERES CUNHA</v>
      </c>
      <c r="D1301" s="22" t="str">
        <f>IFERROR(VLOOKUP(B1301,Colaboradores!A:D,3,),"")</f>
        <v>GESTÃO INTEGRADA</v>
      </c>
      <c r="E1301" s="22" t="str">
        <f>IFERROR(VLOOKUP(B1301,Colaboradores!A:D,4,),"")</f>
        <v>ANALISTA DE GESTÃO INTEGRADA</v>
      </c>
      <c r="F1301" s="47" t="s">
        <v>64</v>
      </c>
      <c r="G1301" s="24" t="str">
        <f>IFERROR(VLOOKUP(F1301,Procedimentos!A:C,2,),"")</f>
        <v>AVALIAÇÃO DESEMPENHO</v>
      </c>
      <c r="H1301" s="25"/>
      <c r="I1301" s="51"/>
      <c r="J1301" s="22">
        <v>12</v>
      </c>
      <c r="K1301" s="25" t="str">
        <f t="shared" si="61"/>
        <v/>
      </c>
      <c r="L1301" s="7"/>
      <c r="M1301" s="4"/>
      <c r="N1301" s="7"/>
      <c r="O1301" s="4"/>
      <c r="P1301" s="51"/>
      <c r="Q1301" s="51"/>
      <c r="R1301" s="51"/>
      <c r="S1301" s="7"/>
      <c r="T1301" s="7"/>
    </row>
    <row r="1302" spans="1:20" ht="14.25" customHeight="1">
      <c r="A1302" s="22">
        <v>1442</v>
      </c>
      <c r="B1302" s="38">
        <v>13750</v>
      </c>
      <c r="C1302" s="22" t="str">
        <f>IFERROR(VLOOKUP(B1302,Colaboradores!A:D,2,),"")</f>
        <v>JOSE ANTONIO ALVES MAGALHAES</v>
      </c>
      <c r="D1302" s="22" t="str">
        <f>IFERROR(VLOOKUP(B1302,Colaboradores!A:D,3,),"")</f>
        <v>GESTÃO INTEGRADA</v>
      </c>
      <c r="E1302" s="22" t="str">
        <f>IFERROR(VLOOKUP(B1302,Colaboradores!A:D,4,),"")</f>
        <v>GERENTE DE GESTÃO INTEGRADA</v>
      </c>
      <c r="F1302" s="47" t="s">
        <v>64</v>
      </c>
      <c r="G1302" s="24" t="str">
        <f>IFERROR(VLOOKUP(F1302,Procedimentos!A:C,2,),"")</f>
        <v>AVALIAÇÃO DESEMPENHO</v>
      </c>
      <c r="H1302" s="25"/>
      <c r="I1302" s="51"/>
      <c r="J1302" s="22">
        <v>12</v>
      </c>
      <c r="K1302" s="25" t="str">
        <f t="shared" si="61"/>
        <v/>
      </c>
      <c r="L1302" s="7"/>
      <c r="M1302" s="4"/>
      <c r="N1302" s="7"/>
      <c r="O1302" s="4"/>
      <c r="P1302" s="51"/>
      <c r="Q1302" s="51"/>
      <c r="R1302" s="51"/>
      <c r="S1302" s="7"/>
      <c r="T1302" s="7"/>
    </row>
    <row r="1303" spans="1:20" ht="14.25" customHeight="1">
      <c r="A1303" s="22">
        <v>1443</v>
      </c>
      <c r="B1303" s="38">
        <v>12712</v>
      </c>
      <c r="C1303" s="22" t="str">
        <f>IFERROR(VLOOKUP(B1303,Colaboradores!A:D,2,),"")</f>
        <v>JOYCE CLEIA MIRANDA BARROS</v>
      </c>
      <c r="D1303" s="22" t="str">
        <f>IFERROR(VLOOKUP(B1303,Colaboradores!A:D,3,),"")</f>
        <v>GESTÃO INTEGRADA</v>
      </c>
      <c r="E1303" s="22" t="str">
        <f>IFERROR(VLOOKUP(B1303,Colaboradores!A:D,4,),"")</f>
        <v>ANALISTA DE GESTÃO INTEGRADA</v>
      </c>
      <c r="F1303" s="47" t="s">
        <v>64</v>
      </c>
      <c r="G1303" s="24" t="str">
        <f>IFERROR(VLOOKUP(F1303,Procedimentos!A:C,2,),"")</f>
        <v>AVALIAÇÃO DESEMPENHO</v>
      </c>
      <c r="H1303" s="25"/>
      <c r="I1303" s="51"/>
      <c r="J1303" s="22">
        <v>12</v>
      </c>
      <c r="K1303" s="25" t="str">
        <f t="shared" si="61"/>
        <v/>
      </c>
      <c r="L1303" s="7"/>
      <c r="M1303" s="4"/>
      <c r="N1303" s="7"/>
      <c r="O1303" s="4"/>
      <c r="P1303" s="51"/>
      <c r="Q1303" s="51"/>
      <c r="R1303" s="51"/>
      <c r="S1303" s="7"/>
      <c r="T1303" s="7"/>
    </row>
    <row r="1304" spans="1:20" ht="14.25" customHeight="1">
      <c r="A1304" s="22">
        <v>1444</v>
      </c>
      <c r="B1304" s="38">
        <v>13787</v>
      </c>
      <c r="C1304" s="22" t="str">
        <f>IFERROR(VLOOKUP(B1304,Colaboradores!A:D,2,),"")</f>
        <v>KELLE SOCORRO MENDES GUIGNONI</v>
      </c>
      <c r="D1304" s="22" t="str">
        <f>IFERROR(VLOOKUP(B1304,Colaboradores!A:D,3,),"")</f>
        <v>GESTÃO INTEGRADA</v>
      </c>
      <c r="E1304" s="22" t="str">
        <f>IFERROR(VLOOKUP(B1304,Colaboradores!A:D,4,),"")</f>
        <v>ANALISTA DE GESTÃO INTEGRADA</v>
      </c>
      <c r="F1304" s="47" t="s">
        <v>64</v>
      </c>
      <c r="G1304" s="24" t="str">
        <f>IFERROR(VLOOKUP(F1304,Procedimentos!A:C,2,),"")</f>
        <v>AVALIAÇÃO DESEMPENHO</v>
      </c>
      <c r="H1304" s="25"/>
      <c r="I1304" s="51"/>
      <c r="J1304" s="22">
        <v>12</v>
      </c>
      <c r="K1304" s="25" t="str">
        <f t="shared" si="61"/>
        <v/>
      </c>
      <c r="L1304" s="7"/>
      <c r="M1304" s="4"/>
      <c r="N1304" s="7"/>
      <c r="O1304" s="4"/>
      <c r="P1304" s="51"/>
      <c r="Q1304" s="51"/>
      <c r="R1304" s="51"/>
      <c r="S1304" s="7"/>
      <c r="T1304" s="7"/>
    </row>
    <row r="1305" spans="1:20" ht="14.25" customHeight="1">
      <c r="A1305" s="22">
        <v>1444</v>
      </c>
      <c r="B1305" s="38">
        <v>12685</v>
      </c>
      <c r="C1305" s="22" t="str">
        <f>IFERROR(VLOOKUP(B1305,Colaboradores!A:D,2,),"")</f>
        <v>LIDIANA CRISTINA MIRANDA FERREIRA</v>
      </c>
      <c r="D1305" s="22" t="str">
        <f>IFERROR(VLOOKUP(B1305,Colaboradores!A:D,3,),"")</f>
        <v>GESTÃO INTEGRADA</v>
      </c>
      <c r="E1305" s="22" t="str">
        <f>IFERROR(VLOOKUP(B1305,Colaboradores!A:D,4,),"")</f>
        <v>COORDENADOR DE GESTÃO INTEGRADA</v>
      </c>
      <c r="F1305" s="47" t="s">
        <v>64</v>
      </c>
      <c r="G1305" s="24" t="str">
        <f>IFERROR(VLOOKUP(F1305,Procedimentos!A:C,2,),"")</f>
        <v>AVALIAÇÃO DESEMPENHO</v>
      </c>
      <c r="H1305" s="25"/>
      <c r="I1305" s="51"/>
      <c r="J1305" s="22">
        <v>12</v>
      </c>
      <c r="K1305" s="25" t="str">
        <f t="shared" si="61"/>
        <v/>
      </c>
      <c r="L1305" s="7"/>
      <c r="M1305" s="4"/>
      <c r="N1305" s="7"/>
      <c r="O1305" s="4"/>
      <c r="P1305" s="51"/>
      <c r="Q1305" s="51"/>
      <c r="R1305" s="51"/>
      <c r="S1305" s="7"/>
      <c r="T1305" s="7"/>
    </row>
    <row r="1306" spans="1:20" ht="14.25" customHeight="1">
      <c r="A1306" s="22">
        <v>1444</v>
      </c>
      <c r="B1306" s="38">
        <v>15011</v>
      </c>
      <c r="C1306" s="22" t="str">
        <f>IFERROR(VLOOKUP(B1306,Colaboradores!A:D,2,),"")</f>
        <v>RAFAEL FREITAS DE PAULA</v>
      </c>
      <c r="D1306" s="22" t="str">
        <f>IFERROR(VLOOKUP(B1306,Colaboradores!A:D,3,),"")</f>
        <v>GESTÃO INTEGRADA</v>
      </c>
      <c r="E1306" s="22" t="str">
        <f>IFERROR(VLOOKUP(B1306,Colaboradores!A:D,4,),"")</f>
        <v>ANALISTA DA QUALIDADE</v>
      </c>
      <c r="F1306" s="47" t="s">
        <v>64</v>
      </c>
      <c r="G1306" s="24" t="str">
        <f>IFERROR(VLOOKUP(F1306,Procedimentos!A:C,2,),"")</f>
        <v>AVALIAÇÃO DESEMPENHO</v>
      </c>
      <c r="H1306" s="25"/>
      <c r="I1306" s="51"/>
      <c r="J1306" s="22">
        <v>12</v>
      </c>
      <c r="K1306" s="25" t="str">
        <f t="shared" si="61"/>
        <v/>
      </c>
      <c r="L1306" s="7"/>
      <c r="M1306" s="4"/>
      <c r="N1306" s="7"/>
      <c r="O1306" s="22" t="s">
        <v>28</v>
      </c>
      <c r="P1306" s="51"/>
      <c r="Q1306" s="51"/>
      <c r="R1306" s="51"/>
      <c r="S1306" s="7"/>
      <c r="T1306" s="7"/>
    </row>
    <row r="1307" spans="1:20" ht="14.25" customHeight="1">
      <c r="A1307" s="22">
        <v>1444</v>
      </c>
      <c r="B1307" s="38">
        <v>15068</v>
      </c>
      <c r="C1307" s="22" t="str">
        <f>IFERROR(VLOOKUP(B1307,Colaboradores!A:D,2,),"")</f>
        <v>TASSO CHAVES DE OLIVEIRA</v>
      </c>
      <c r="D1307" s="22" t="str">
        <f>IFERROR(VLOOKUP(B1307,Colaboradores!A:D,3,),"")</f>
        <v>GESTÃO INTEGRADA</v>
      </c>
      <c r="E1307" s="22" t="str">
        <f>IFERROR(VLOOKUP(B1307,Colaboradores!A:D,4,),"")</f>
        <v>ASSESSOR DE GESTÃO INTEGRADA</v>
      </c>
      <c r="F1307" s="47" t="s">
        <v>64</v>
      </c>
      <c r="G1307" s="24" t="str">
        <f>IFERROR(VLOOKUP(F1307,Procedimentos!A:C,2,),"")</f>
        <v>AVALIAÇÃO DESEMPENHO</v>
      </c>
      <c r="H1307" s="25"/>
      <c r="I1307" s="51"/>
      <c r="J1307" s="22">
        <v>12</v>
      </c>
      <c r="K1307" s="25" t="str">
        <f t="shared" si="61"/>
        <v/>
      </c>
      <c r="L1307" s="7"/>
      <c r="M1307" s="4"/>
      <c r="N1307" s="7"/>
      <c r="O1307" s="22" t="s">
        <v>28</v>
      </c>
      <c r="P1307" s="51"/>
      <c r="Q1307" s="51"/>
      <c r="R1307" s="51"/>
      <c r="S1307" s="7"/>
      <c r="T1307" s="7"/>
    </row>
    <row r="1308" spans="1:20" ht="14.25" customHeight="1">
      <c r="A1308" s="22">
        <v>1444</v>
      </c>
      <c r="B1308" s="38">
        <v>15068</v>
      </c>
      <c r="C1308" s="22" t="str">
        <f>IFERROR(VLOOKUP(B1308,Colaboradores!A:D,2,),"")</f>
        <v>TASSO CHAVES DE OLIVEIRA</v>
      </c>
      <c r="D1308" s="22" t="str">
        <f>IFERROR(VLOOKUP(B1308,Colaboradores!A:D,3,),"")</f>
        <v>GESTÃO INTEGRADA</v>
      </c>
      <c r="E1308" s="22" t="str">
        <f>IFERROR(VLOOKUP(B1308,Colaboradores!A:D,4,),"")</f>
        <v>ASSESSOR DE GESTÃO INTEGRADA</v>
      </c>
      <c r="F1308" s="47" t="s">
        <v>64</v>
      </c>
      <c r="G1308" s="24" t="str">
        <f>IFERROR(VLOOKUP(F1308,Procedimentos!A:C,2,),"")</f>
        <v>AVALIAÇÃO DESEMPENHO</v>
      </c>
      <c r="H1308" s="25"/>
      <c r="I1308" s="51"/>
      <c r="J1308" s="22">
        <v>12</v>
      </c>
      <c r="K1308" s="25" t="str">
        <f t="shared" si="61"/>
        <v/>
      </c>
      <c r="L1308" s="7"/>
      <c r="M1308" s="4"/>
      <c r="N1308" s="7"/>
      <c r="O1308" s="22" t="s">
        <v>28</v>
      </c>
      <c r="P1308" s="51"/>
      <c r="Q1308" s="51"/>
      <c r="R1308" s="51"/>
      <c r="S1308" s="7"/>
      <c r="T1308" s="7"/>
    </row>
    <row r="1309" spans="1:20" ht="14.25" customHeight="1">
      <c r="A1309" s="22">
        <v>1444</v>
      </c>
      <c r="B1309" s="38">
        <v>15134</v>
      </c>
      <c r="C1309" s="22" t="str">
        <f>IFERROR(VLOOKUP(B1309,Colaboradores!A:D,2,),"")</f>
        <v>ADRIANE MENDES ROSA</v>
      </c>
      <c r="D1309" s="22" t="str">
        <f>IFERROR(VLOOKUP(B1309,Colaboradores!A:D,3,),"")</f>
        <v>REGIONAL CENTRAL</v>
      </c>
      <c r="E1309" s="22" t="str">
        <f>IFERROR(VLOOKUP(B1309,Colaboradores!A:D,4,),"")</f>
        <v>ENFERMEIRA DO TRABALHO</v>
      </c>
      <c r="F1309" s="47" t="s">
        <v>29</v>
      </c>
      <c r="G1309" s="24" t="str">
        <f>IFERROR(VLOOKUP(F1309,Procedimentos!A:C,2,),"")</f>
        <v>COLETA SELETIVA DESSMA</v>
      </c>
      <c r="H1309" s="25"/>
      <c r="I1309" s="51"/>
      <c r="J1309" s="22">
        <v>12</v>
      </c>
      <c r="K1309" s="25" t="str">
        <f t="shared" si="61"/>
        <v/>
      </c>
      <c r="L1309" s="7"/>
      <c r="M1309" s="4"/>
      <c r="N1309" s="7"/>
      <c r="O1309" s="22" t="s">
        <v>28</v>
      </c>
      <c r="P1309" s="51"/>
      <c r="Q1309" s="51"/>
      <c r="R1309" s="51"/>
      <c r="S1309" s="7"/>
      <c r="T1309" s="7"/>
    </row>
    <row r="1310" spans="1:20" ht="14.25" customHeight="1">
      <c r="A1310" s="22">
        <v>1444</v>
      </c>
      <c r="B1310" s="38">
        <v>15134</v>
      </c>
      <c r="C1310" s="22" t="str">
        <f>IFERROR(VLOOKUP(B1310,Colaboradores!A:D,2,),"")</f>
        <v>ADRIANE MENDES ROSA</v>
      </c>
      <c r="D1310" s="22" t="str">
        <f>IFERROR(VLOOKUP(B1310,Colaboradores!A:D,3,),"")</f>
        <v>REGIONAL CENTRAL</v>
      </c>
      <c r="E1310" s="22" t="str">
        <f>IFERROR(VLOOKUP(B1310,Colaboradores!A:D,4,),"")</f>
        <v>ENFERMEIRA DO TRABALHO</v>
      </c>
      <c r="F1310" s="47" t="s">
        <v>36</v>
      </c>
      <c r="G1310" s="24" t="str">
        <f>IFERROR(VLOOKUP(F1310,Procedimentos!A:C,2,),"")</f>
        <v>GESTÃO DE PRODUTOS QUÍMICOS</v>
      </c>
      <c r="H1310" s="25"/>
      <c r="I1310" s="51"/>
      <c r="J1310" s="22">
        <v>12</v>
      </c>
      <c r="K1310" s="25" t="str">
        <f t="shared" si="61"/>
        <v/>
      </c>
      <c r="L1310" s="7"/>
      <c r="M1310" s="4"/>
      <c r="N1310" s="7"/>
      <c r="O1310" s="22" t="s">
        <v>28</v>
      </c>
      <c r="P1310" s="51"/>
      <c r="Q1310" s="51"/>
      <c r="R1310" s="51"/>
      <c r="S1310" s="7"/>
      <c r="T1310" s="7"/>
    </row>
    <row r="1311" spans="1:20" ht="14.25" customHeight="1">
      <c r="A1311" s="4"/>
      <c r="B1311" s="38">
        <v>15134</v>
      </c>
      <c r="C1311" s="22" t="str">
        <f>IFERROR(VLOOKUP(B1311,Colaboradores!A:D,2,),"")</f>
        <v>ADRIANE MENDES ROSA</v>
      </c>
      <c r="D1311" s="22" t="str">
        <f>IFERROR(VLOOKUP(B1311,Colaboradores!A:D,3,),"")</f>
        <v>REGIONAL CENTRAL</v>
      </c>
      <c r="E1311" s="22" t="str">
        <f>IFERROR(VLOOKUP(B1311,Colaboradores!A:D,4,),"")</f>
        <v>ENFERMEIRA DO TRABALHO</v>
      </c>
      <c r="F1311" s="47" t="s">
        <v>32</v>
      </c>
      <c r="G1311" s="24" t="str">
        <f>IFERROR(VLOOKUP(F1311,Procedimentos!A:C,2,),"")</f>
        <v>GESTÃO DE LEVANTAMENTO DE ASPECTOS E IMPACTOS AMBIENTAIS</v>
      </c>
      <c r="H1311" s="25"/>
      <c r="I1311" s="51"/>
      <c r="J1311" s="22">
        <v>12</v>
      </c>
      <c r="K1311" s="25" t="str">
        <f t="shared" si="61"/>
        <v/>
      </c>
      <c r="L1311" s="7"/>
      <c r="M1311" s="4"/>
      <c r="N1311" s="7"/>
      <c r="O1311" s="22" t="s">
        <v>28</v>
      </c>
      <c r="P1311" s="51"/>
      <c r="Q1311" s="51"/>
      <c r="R1311" s="51"/>
      <c r="S1311" s="7"/>
      <c r="T1311" s="7"/>
    </row>
    <row r="1312" spans="1:20" ht="14.25" customHeight="1">
      <c r="A1312" s="4"/>
      <c r="B1312" s="38">
        <v>15134</v>
      </c>
      <c r="C1312" s="22" t="str">
        <f>IFERROR(VLOOKUP(B1312,Colaboradores!A:D,2,),"")</f>
        <v>ADRIANE MENDES ROSA</v>
      </c>
      <c r="D1312" s="22" t="str">
        <f>IFERROR(VLOOKUP(B1312,Colaboradores!A:D,3,),"")</f>
        <v>REGIONAL CENTRAL</v>
      </c>
      <c r="E1312" s="22" t="str">
        <f>IFERROR(VLOOKUP(B1312,Colaboradores!A:D,4,),"")</f>
        <v>ENFERMEIRA DO TRABALHO</v>
      </c>
      <c r="F1312" s="47" t="s">
        <v>31</v>
      </c>
      <c r="G1312" s="24" t="str">
        <f>IFERROR(VLOOKUP(F1312,Procedimentos!A:C,2,),"")</f>
        <v>GESTÃO DE COMUNICAÇÃO, CLASSIFICAÇÃO E INVESTIGAÇÃO DE OCORRÊNCIAS AMBIENTAIS</v>
      </c>
      <c r="H1312" s="25"/>
      <c r="I1312" s="51"/>
      <c r="J1312" s="22">
        <v>12</v>
      </c>
      <c r="K1312" s="25" t="str">
        <f t="shared" si="61"/>
        <v/>
      </c>
      <c r="L1312" s="7"/>
      <c r="M1312" s="4"/>
      <c r="N1312" s="7"/>
      <c r="O1312" s="22" t="s">
        <v>28</v>
      </c>
      <c r="P1312" s="51"/>
      <c r="Q1312" s="51"/>
      <c r="R1312" s="51"/>
      <c r="S1312" s="7"/>
      <c r="T1312" s="7"/>
    </row>
    <row r="1313" spans="1:20" ht="14.25" customHeight="1">
      <c r="A1313" s="4"/>
      <c r="B1313" s="38">
        <v>15134</v>
      </c>
      <c r="C1313" s="22" t="str">
        <f>IFERROR(VLOOKUP(B1313,Colaboradores!A:D,2,),"")</f>
        <v>ADRIANE MENDES ROSA</v>
      </c>
      <c r="D1313" s="22" t="str">
        <f>IFERROR(VLOOKUP(B1313,Colaboradores!A:D,3,),"")</f>
        <v>REGIONAL CENTRAL</v>
      </c>
      <c r="E1313" s="22" t="str">
        <f>IFERROR(VLOOKUP(B1313,Colaboradores!A:D,4,),"")</f>
        <v>ENFERMEIRA DO TRABALHO</v>
      </c>
      <c r="F1313" s="47" t="s">
        <v>33</v>
      </c>
      <c r="G1313" s="24" t="str">
        <f>IFERROR(VLOOKUP(F1313,Procedimentos!A:C,2,),"")</f>
        <v>GESTÃO DE INSPEÇÕES AMBIENTAIS</v>
      </c>
      <c r="H1313" s="25"/>
      <c r="I1313" s="51"/>
      <c r="J1313" s="22">
        <v>12</v>
      </c>
      <c r="K1313" s="25" t="str">
        <f t="shared" si="61"/>
        <v/>
      </c>
      <c r="L1313" s="7"/>
      <c r="M1313" s="4"/>
      <c r="N1313" s="7"/>
      <c r="O1313" s="22" t="s">
        <v>28</v>
      </c>
      <c r="P1313" s="51"/>
      <c r="Q1313" s="51"/>
      <c r="R1313" s="51"/>
      <c r="S1313" s="7"/>
      <c r="T1313" s="7"/>
    </row>
    <row r="1314" spans="1:20" ht="14.25" customHeight="1">
      <c r="A1314" s="4"/>
      <c r="B1314" s="38">
        <v>15134</v>
      </c>
      <c r="C1314" s="22" t="str">
        <f>IFERROR(VLOOKUP(B1314,Colaboradores!A:D,2,),"")</f>
        <v>ADRIANE MENDES ROSA</v>
      </c>
      <c r="D1314" s="22" t="str">
        <f>IFERROR(VLOOKUP(B1314,Colaboradores!A:D,3,),"")</f>
        <v>REGIONAL CENTRAL</v>
      </c>
      <c r="E1314" s="22" t="str">
        <f>IFERROR(VLOOKUP(B1314,Colaboradores!A:D,4,),"")</f>
        <v>ENFERMEIRA DO TRABALHO</v>
      </c>
      <c r="F1314" s="47" t="s">
        <v>39</v>
      </c>
      <c r="G1314" s="24" t="str">
        <f>IFERROR(VLOOKUP(F1314,Procedimentos!A:C,2,),"")</f>
        <v>GESTÃO DE ÁGUAS E EFLUENTES</v>
      </c>
      <c r="H1314" s="25"/>
      <c r="I1314" s="51"/>
      <c r="J1314" s="22">
        <v>12</v>
      </c>
      <c r="K1314" s="25" t="str">
        <f t="shared" si="61"/>
        <v/>
      </c>
      <c r="L1314" s="7"/>
      <c r="M1314" s="4"/>
      <c r="N1314" s="7"/>
      <c r="O1314" s="22" t="s">
        <v>28</v>
      </c>
      <c r="P1314" s="51"/>
      <c r="Q1314" s="51"/>
      <c r="R1314" s="51"/>
      <c r="S1314" s="7"/>
      <c r="T1314" s="7"/>
    </row>
    <row r="1315" spans="1:20" ht="14.25" customHeight="1">
      <c r="A1315" s="4"/>
      <c r="B1315" s="38">
        <v>15134</v>
      </c>
      <c r="C1315" s="22" t="str">
        <f>IFERROR(VLOOKUP(B1315,Colaboradores!A:D,2,),"")</f>
        <v>ADRIANE MENDES ROSA</v>
      </c>
      <c r="D1315" s="22" t="str">
        <f>IFERROR(VLOOKUP(B1315,Colaboradores!A:D,3,),"")</f>
        <v>REGIONAL CENTRAL</v>
      </c>
      <c r="E1315" s="22" t="str">
        <f>IFERROR(VLOOKUP(B1315,Colaboradores!A:D,4,),"")</f>
        <v>ENFERMEIRA DO TRABALHO</v>
      </c>
      <c r="F1315" s="47" t="s">
        <v>34</v>
      </c>
      <c r="G1315" s="24" t="str">
        <f>IFERROR(VLOOKUP(F1315,Procedimentos!A:C,2,),"")</f>
        <v>GESTÃO DE LICENCIAMENTO AMBIENTAL</v>
      </c>
      <c r="H1315" s="25"/>
      <c r="I1315" s="51"/>
      <c r="J1315" s="22">
        <v>12</v>
      </c>
      <c r="K1315" s="25" t="str">
        <f t="shared" si="61"/>
        <v/>
      </c>
      <c r="L1315" s="7"/>
      <c r="M1315" s="4"/>
      <c r="N1315" s="7"/>
      <c r="O1315" s="22" t="s">
        <v>28</v>
      </c>
      <c r="P1315" s="51"/>
      <c r="Q1315" s="51"/>
      <c r="R1315" s="51"/>
      <c r="S1315" s="7"/>
      <c r="T1315" s="7"/>
    </row>
    <row r="1316" spans="1:20" ht="14.25" customHeight="1">
      <c r="A1316" s="4"/>
      <c r="B1316" s="38">
        <v>15134</v>
      </c>
      <c r="C1316" s="22" t="str">
        <f>IFERROR(VLOOKUP(B1316,Colaboradores!A:D,2,),"")</f>
        <v>ADRIANE MENDES ROSA</v>
      </c>
      <c r="D1316" s="22" t="str">
        <f>IFERROR(VLOOKUP(B1316,Colaboradores!A:D,3,),"")</f>
        <v>REGIONAL CENTRAL</v>
      </c>
      <c r="E1316" s="22" t="str">
        <f>IFERROR(VLOOKUP(B1316,Colaboradores!A:D,4,),"")</f>
        <v>ENFERMEIRA DO TRABALHO</v>
      </c>
      <c r="F1316" s="47" t="s">
        <v>38</v>
      </c>
      <c r="G1316" s="24" t="str">
        <f>IFERROR(VLOOKUP(F1316,Procedimentos!A:C,2,),"")</f>
        <v>GESTÃO DE CONDICIONANTES DE LICENCIAMENTO AMBIENTAL</v>
      </c>
      <c r="H1316" s="25"/>
      <c r="I1316" s="51"/>
      <c r="J1316" s="22">
        <v>12</v>
      </c>
      <c r="K1316" s="25" t="str">
        <f t="shared" si="61"/>
        <v/>
      </c>
      <c r="L1316" s="7"/>
      <c r="M1316" s="4"/>
      <c r="N1316" s="7"/>
      <c r="O1316" s="22" t="s">
        <v>28</v>
      </c>
      <c r="P1316" s="51"/>
      <c r="Q1316" s="51"/>
      <c r="R1316" s="51"/>
      <c r="S1316" s="7"/>
      <c r="T1316" s="7"/>
    </row>
    <row r="1317" spans="1:20" ht="14.25" customHeight="1">
      <c r="A1317" s="4"/>
      <c r="B1317" s="38">
        <v>15134</v>
      </c>
      <c r="C1317" s="22" t="str">
        <f>IFERROR(VLOOKUP(B1317,Colaboradores!A:D,2,),"")</f>
        <v>ADRIANE MENDES ROSA</v>
      </c>
      <c r="D1317" s="22" t="str">
        <f>IFERROR(VLOOKUP(B1317,Colaboradores!A:D,3,),"")</f>
        <v>REGIONAL CENTRAL</v>
      </c>
      <c r="E1317" s="22" t="str">
        <f>IFERROR(VLOOKUP(B1317,Colaboradores!A:D,4,),"")</f>
        <v>ENFERMEIRA DO TRABALHO</v>
      </c>
      <c r="F1317" s="47" t="s">
        <v>37</v>
      </c>
      <c r="G1317" s="24" t="str">
        <f>IFERROR(VLOOKUP(F1317,Procedimentos!A:C,2,),"")</f>
        <v>GESTÃO DE RESÍDUOS SÓLIDOS DE SERVIÇOS DE SAÚDE</v>
      </c>
      <c r="H1317" s="25"/>
      <c r="I1317" s="51"/>
      <c r="J1317" s="22">
        <v>12</v>
      </c>
      <c r="K1317" s="25" t="str">
        <f t="shared" si="61"/>
        <v/>
      </c>
      <c r="L1317" s="7"/>
      <c r="M1317" s="4"/>
      <c r="N1317" s="7"/>
      <c r="O1317" s="22" t="s">
        <v>28</v>
      </c>
      <c r="P1317" s="51"/>
      <c r="Q1317" s="51"/>
      <c r="R1317" s="51"/>
      <c r="S1317" s="7"/>
      <c r="T1317" s="7"/>
    </row>
    <row r="1318" spans="1:20" ht="14.25" customHeight="1">
      <c r="A1318" s="4"/>
      <c r="B1318" s="38">
        <v>15134</v>
      </c>
      <c r="C1318" s="22" t="str">
        <f>IFERROR(VLOOKUP(B1318,Colaboradores!A:D,2,),"")</f>
        <v>ADRIANE MENDES ROSA</v>
      </c>
      <c r="D1318" s="22" t="str">
        <f>IFERROR(VLOOKUP(B1318,Colaboradores!A:D,3,),"")</f>
        <v>REGIONAL CENTRAL</v>
      </c>
      <c r="E1318" s="22" t="str">
        <f>IFERROR(VLOOKUP(B1318,Colaboradores!A:D,4,),"")</f>
        <v>ENFERMEIRA DO TRABALHO</v>
      </c>
      <c r="F1318" s="47" t="s">
        <v>35</v>
      </c>
      <c r="G1318" s="24" t="str">
        <f>IFERROR(VLOOKUP(F1318,Procedimentos!A:C,2,),"")</f>
        <v>PROCEDIMENTO DE AFERIÇÃO DE FUMAÇA PRETA</v>
      </c>
      <c r="H1318" s="25"/>
      <c r="I1318" s="51"/>
      <c r="J1318" s="22">
        <v>12</v>
      </c>
      <c r="K1318" s="25" t="str">
        <f t="shared" si="61"/>
        <v/>
      </c>
      <c r="L1318" s="7"/>
      <c r="M1318" s="4"/>
      <c r="N1318" s="7"/>
      <c r="O1318" s="22" t="s">
        <v>28</v>
      </c>
      <c r="P1318" s="51"/>
      <c r="Q1318" s="51"/>
      <c r="R1318" s="51"/>
      <c r="S1318" s="7"/>
      <c r="T1318" s="7"/>
    </row>
    <row r="1319" spans="1:20" ht="14.25" customHeight="1">
      <c r="A1319" s="4"/>
      <c r="B1319" s="38">
        <v>15134</v>
      </c>
      <c r="C1319" s="22" t="str">
        <f>IFERROR(VLOOKUP(B1319,Colaboradores!A:D,2,),"")</f>
        <v>ADRIANE MENDES ROSA</v>
      </c>
      <c r="D1319" s="22" t="str">
        <f>IFERROR(VLOOKUP(B1319,Colaboradores!A:D,3,),"")</f>
        <v>REGIONAL CENTRAL</v>
      </c>
      <c r="E1319" s="22" t="str">
        <f>IFERROR(VLOOKUP(B1319,Colaboradores!A:D,4,),"")</f>
        <v>ENFERMEIRA DO TRABALHO</v>
      </c>
      <c r="F1319" s="47" t="s">
        <v>48</v>
      </c>
      <c r="G1319" s="24" t="str">
        <f>IFERROR(VLOOKUP(F1319,Procedimentos!A:C,2,),"")</f>
        <v>POLÍTICA MEIO AMBIENTE EMSERH</v>
      </c>
      <c r="H1319" s="25"/>
      <c r="I1319" s="51"/>
      <c r="J1319" s="22">
        <v>12</v>
      </c>
      <c r="K1319" s="25" t="str">
        <f t="shared" si="61"/>
        <v/>
      </c>
      <c r="L1319" s="7"/>
      <c r="M1319" s="4"/>
      <c r="N1319" s="7"/>
      <c r="O1319" s="22" t="s">
        <v>28</v>
      </c>
      <c r="P1319" s="51"/>
      <c r="Q1319" s="51"/>
      <c r="R1319" s="51"/>
      <c r="S1319" s="7"/>
      <c r="T1319" s="7"/>
    </row>
    <row r="1320" spans="1:20" ht="14.25" customHeight="1">
      <c r="A1320" s="4"/>
      <c r="B1320" s="38">
        <v>14354</v>
      </c>
      <c r="C1320" s="22" t="str">
        <f>IFERROR(VLOOKUP(B1320,Colaboradores!A:D,2,),"")</f>
        <v>JOSE CLEITON SILVA DE OLIVEIRA</v>
      </c>
      <c r="D1320" s="22" t="str">
        <f>IFERROR(VLOOKUP(B1320,Colaboradores!A:D,3,),"")</f>
        <v>REGIONAL CENTRAL</v>
      </c>
      <c r="E1320" s="22" t="str">
        <f>IFERROR(VLOOKUP(B1320,Colaboradores!A:D,4,),"")</f>
        <v>TÉCNICO DE SEGURANÇA DO TRABALHO</v>
      </c>
      <c r="F1320" s="47" t="s">
        <v>41</v>
      </c>
      <c r="G1320" s="24" t="str">
        <f>IFERROR(VLOOKUP(F1320,Procedimentos!A:C,2,),"")</f>
        <v>DIRETRIZES PARA COMUNICAÇÃO E INVESTIGAÇÃO DE ACIDENTES</v>
      </c>
      <c r="H1320" s="25"/>
      <c r="I1320" s="51"/>
      <c r="J1320" s="22">
        <v>12</v>
      </c>
      <c r="K1320" s="25" t="str">
        <f t="shared" si="61"/>
        <v/>
      </c>
      <c r="L1320" s="7"/>
      <c r="M1320" s="4"/>
      <c r="N1320" s="7"/>
      <c r="O1320" s="22" t="s">
        <v>28</v>
      </c>
      <c r="P1320" s="51"/>
      <c r="Q1320" s="51"/>
      <c r="R1320" s="51"/>
      <c r="S1320" s="7"/>
      <c r="T1320" s="7"/>
    </row>
    <row r="1321" spans="1:20" ht="14.25" customHeight="1">
      <c r="A1321" s="4"/>
      <c r="B1321" s="38">
        <v>14354</v>
      </c>
      <c r="C1321" s="22" t="str">
        <f>IFERROR(VLOOKUP(B1321,Colaboradores!A:D,2,),"")</f>
        <v>JOSE CLEITON SILVA DE OLIVEIRA</v>
      </c>
      <c r="D1321" s="22" t="str">
        <f>IFERROR(VLOOKUP(B1321,Colaboradores!A:D,3,),"")</f>
        <v>REGIONAL CENTRAL</v>
      </c>
      <c r="E1321" s="22" t="str">
        <f>IFERROR(VLOOKUP(B1321,Colaboradores!A:D,4,),"")</f>
        <v>TÉCNICO DE SEGURANÇA DO TRABALHO</v>
      </c>
      <c r="F1321" s="47" t="s">
        <v>44</v>
      </c>
      <c r="G1321" s="24" t="str">
        <f>IFERROR(VLOOKUP(F1321,Procedimentos!A:C,2,),"")</f>
        <v>DIRETRIZES PARA GESTÃO DE EQUIPAMENTOS DE PROTEÇÃO INDIVIDUAL - EPI'S</v>
      </c>
      <c r="H1321" s="25"/>
      <c r="I1321" s="51"/>
      <c r="J1321" s="22">
        <v>12</v>
      </c>
      <c r="K1321" s="25" t="str">
        <f t="shared" si="61"/>
        <v/>
      </c>
      <c r="L1321" s="7"/>
      <c r="M1321" s="4"/>
      <c r="N1321" s="7"/>
      <c r="O1321" s="22" t="s">
        <v>28</v>
      </c>
      <c r="P1321" s="51"/>
      <c r="Q1321" s="51"/>
      <c r="R1321" s="51"/>
      <c r="S1321" s="7"/>
      <c r="T1321" s="7"/>
    </row>
    <row r="1322" spans="1:20" ht="14.25" customHeight="1">
      <c r="A1322" s="4"/>
      <c r="B1322" s="38">
        <v>14354</v>
      </c>
      <c r="C1322" s="22" t="str">
        <f>IFERROR(VLOOKUP(B1322,Colaboradores!A:D,2,),"")</f>
        <v>JOSE CLEITON SILVA DE OLIVEIRA</v>
      </c>
      <c r="D1322" s="22" t="str">
        <f>IFERROR(VLOOKUP(B1322,Colaboradores!A:D,3,),"")</f>
        <v>REGIONAL CENTRAL</v>
      </c>
      <c r="E1322" s="22" t="str">
        <f>IFERROR(VLOOKUP(B1322,Colaboradores!A:D,4,),"")</f>
        <v>TÉCNICO DE SEGURANÇA DO TRABALHO</v>
      </c>
      <c r="F1322" s="47" t="s">
        <v>45</v>
      </c>
      <c r="G1322" s="24" t="str">
        <f>IFERROR(VLOOKUP(F1322,Procedimentos!A:C,2,),"")</f>
        <v>CONSTITUIÇÃO INTERNA DE PREVENÇÃO DE ACIDENTES E DE ASSÉDIOS - CIPA</v>
      </c>
      <c r="H1322" s="25"/>
      <c r="I1322" s="51"/>
      <c r="J1322" s="22">
        <v>12</v>
      </c>
      <c r="K1322" s="25" t="str">
        <f t="shared" si="61"/>
        <v/>
      </c>
      <c r="L1322" s="7"/>
      <c r="M1322" s="4"/>
      <c r="N1322" s="7"/>
      <c r="O1322" s="22" t="s">
        <v>28</v>
      </c>
      <c r="P1322" s="51"/>
      <c r="Q1322" s="51"/>
      <c r="R1322" s="51"/>
      <c r="S1322" s="7"/>
      <c r="T1322" s="7"/>
    </row>
    <row r="1323" spans="1:20" ht="14.25" customHeight="1">
      <c r="A1323" s="4"/>
      <c r="B1323" s="38">
        <v>14354</v>
      </c>
      <c r="C1323" s="22" t="str">
        <f>IFERROR(VLOOKUP(B1323,Colaboradores!A:D,2,),"")</f>
        <v>JOSE CLEITON SILVA DE OLIVEIRA</v>
      </c>
      <c r="D1323" s="22" t="str">
        <f>IFERROR(VLOOKUP(B1323,Colaboradores!A:D,3,),"")</f>
        <v>REGIONAL CENTRAL</v>
      </c>
      <c r="E1323" s="22" t="str">
        <f>IFERROR(VLOOKUP(B1323,Colaboradores!A:D,4,),"")</f>
        <v>TÉCNICO DE SEGURANÇA DO TRABALHO</v>
      </c>
      <c r="F1323" s="47" t="s">
        <v>49</v>
      </c>
      <c r="G1323" s="24" t="str">
        <f>IFERROR(VLOOKUP(F1323,Procedimentos!A:C,2,),"")</f>
        <v>DIRETRIZES PARA REALIZAÇÃO DE EXAMES OCUPACIONAIS</v>
      </c>
      <c r="H1323" s="25"/>
      <c r="I1323" s="51"/>
      <c r="J1323" s="22">
        <v>12</v>
      </c>
      <c r="K1323" s="25" t="str">
        <f t="shared" si="61"/>
        <v/>
      </c>
      <c r="L1323" s="7"/>
      <c r="M1323" s="4"/>
      <c r="N1323" s="7"/>
      <c r="O1323" s="22" t="s">
        <v>28</v>
      </c>
      <c r="P1323" s="51"/>
      <c r="Q1323" s="51"/>
      <c r="R1323" s="51"/>
      <c r="S1323" s="7"/>
      <c r="T1323" s="7"/>
    </row>
    <row r="1324" spans="1:20" ht="14.25" customHeight="1">
      <c r="A1324" s="4"/>
      <c r="B1324" s="38">
        <v>14354</v>
      </c>
      <c r="C1324" s="22" t="str">
        <f>IFERROR(VLOOKUP(B1324,Colaboradores!A:D,2,),"")</f>
        <v>JOSE CLEITON SILVA DE OLIVEIRA</v>
      </c>
      <c r="D1324" s="22" t="str">
        <f>IFERROR(VLOOKUP(B1324,Colaboradores!A:D,3,),"")</f>
        <v>REGIONAL CENTRAL</v>
      </c>
      <c r="E1324" s="22" t="str">
        <f>IFERROR(VLOOKUP(B1324,Colaboradores!A:D,4,),"")</f>
        <v>TÉCNICO DE SEGURANÇA DO TRABALHO</v>
      </c>
      <c r="F1324" s="47" t="s">
        <v>51</v>
      </c>
      <c r="G1324" s="24" t="str">
        <f>IFERROR(VLOOKUP(F1324,Procedimentos!A:C,2,),"")</f>
        <v>DIRETRIZES PARA ENTREGA DE ATESTADOS MÉDICOS E ODONTOLÓGICOS</v>
      </c>
      <c r="H1324" s="25"/>
      <c r="I1324" s="51"/>
      <c r="J1324" s="22">
        <v>12</v>
      </c>
      <c r="K1324" s="25" t="str">
        <f t="shared" si="61"/>
        <v/>
      </c>
      <c r="L1324" s="7"/>
      <c r="M1324" s="4"/>
      <c r="N1324" s="7"/>
      <c r="O1324" s="22" t="s">
        <v>28</v>
      </c>
      <c r="P1324" s="51"/>
      <c r="Q1324" s="51"/>
      <c r="R1324" s="51"/>
      <c r="S1324" s="7"/>
      <c r="T1324" s="7"/>
    </row>
    <row r="1325" spans="1:20" ht="14.25" customHeight="1">
      <c r="A1325" s="4"/>
      <c r="B1325" s="38">
        <v>14354</v>
      </c>
      <c r="C1325" s="22" t="str">
        <f>IFERROR(VLOOKUP(B1325,Colaboradores!A:D,2,),"")</f>
        <v>JOSE CLEITON SILVA DE OLIVEIRA</v>
      </c>
      <c r="D1325" s="22" t="str">
        <f>IFERROR(VLOOKUP(B1325,Colaboradores!A:D,3,),"")</f>
        <v>REGIONAL CENTRAL</v>
      </c>
      <c r="E1325" s="22" t="str">
        <f>IFERROR(VLOOKUP(B1325,Colaboradores!A:D,4,),"")</f>
        <v>TÉCNICO DE SEGURANÇA DO TRABALHO</v>
      </c>
      <c r="F1325" s="47" t="s">
        <v>52</v>
      </c>
      <c r="G1325" s="24" t="str">
        <f>IFERROR(VLOOKUP(F1325,Procedimentos!A:C,2,),"")</f>
        <v>DIRETRIZES E ACOMPANHAMENTO  DE ACIDENTE COM MATERIAL BIOLOGICO</v>
      </c>
      <c r="H1325" s="25"/>
      <c r="I1325" s="51"/>
      <c r="J1325" s="22">
        <v>12</v>
      </c>
      <c r="K1325" s="25" t="str">
        <f t="shared" si="61"/>
        <v/>
      </c>
      <c r="L1325" s="7"/>
      <c r="M1325" s="4"/>
      <c r="N1325" s="7"/>
      <c r="O1325" s="22" t="s">
        <v>28</v>
      </c>
      <c r="P1325" s="51"/>
      <c r="Q1325" s="51"/>
      <c r="R1325" s="51"/>
      <c r="S1325" s="7"/>
      <c r="T1325" s="7"/>
    </row>
    <row r="1326" spans="1:20" ht="14.25" customHeight="1">
      <c r="A1326" s="4"/>
      <c r="B1326" s="38">
        <v>14354</v>
      </c>
      <c r="C1326" s="22" t="str">
        <f>IFERROR(VLOOKUP(B1326,Colaboradores!A:D,2,),"")</f>
        <v>JOSE CLEITON SILVA DE OLIVEIRA</v>
      </c>
      <c r="D1326" s="22" t="str">
        <f>IFERROR(VLOOKUP(B1326,Colaboradores!A:D,3,),"")</f>
        <v>REGIONAL CENTRAL</v>
      </c>
      <c r="E1326" s="22" t="str">
        <f>IFERROR(VLOOKUP(B1326,Colaboradores!A:D,4,),"")</f>
        <v>TÉCNICO DE SEGURANÇA DO TRABALHO</v>
      </c>
      <c r="F1326" s="47" t="s">
        <v>53</v>
      </c>
      <c r="G1326" s="24" t="str">
        <f>IFERROR(VLOOKUP(F1326,Procedimentos!A:C,2,),"")</f>
        <v>DIRETRIZES PARA MONITORAMENTO DE GESTANTE</v>
      </c>
      <c r="H1326" s="25"/>
      <c r="I1326" s="51"/>
      <c r="J1326" s="22">
        <v>12</v>
      </c>
      <c r="K1326" s="25" t="str">
        <f t="shared" si="61"/>
        <v/>
      </c>
      <c r="L1326" s="7"/>
      <c r="M1326" s="4"/>
      <c r="N1326" s="7"/>
      <c r="O1326" s="22" t="s">
        <v>28</v>
      </c>
      <c r="P1326" s="51"/>
      <c r="Q1326" s="51"/>
      <c r="R1326" s="51"/>
      <c r="S1326" s="7"/>
      <c r="T1326" s="7"/>
    </row>
    <row r="1327" spans="1:20" ht="14.25" customHeight="1">
      <c r="A1327" s="4"/>
      <c r="B1327" s="38">
        <v>14354</v>
      </c>
      <c r="C1327" s="22" t="str">
        <f>IFERROR(VLOOKUP(B1327,Colaboradores!A:D,2,),"")</f>
        <v>JOSE CLEITON SILVA DE OLIVEIRA</v>
      </c>
      <c r="D1327" s="22" t="str">
        <f>IFERROR(VLOOKUP(B1327,Colaboradores!A:D,3,),"")</f>
        <v>REGIONAL CENTRAL</v>
      </c>
      <c r="E1327" s="22" t="str">
        <f>IFERROR(VLOOKUP(B1327,Colaboradores!A:D,4,),"")</f>
        <v>TÉCNICO DE SEGURANÇA DO TRABALHO</v>
      </c>
      <c r="F1327" s="47" t="s">
        <v>54</v>
      </c>
      <c r="G1327" s="24" t="str">
        <f>IFERROR(VLOOKUP(F1327,Procedimentos!A:C,2,),"")</f>
        <v>DIRETRIZES DE IMUNIZAÇÃO OCUPACIONAL</v>
      </c>
      <c r="H1327" s="25"/>
      <c r="I1327" s="51"/>
      <c r="J1327" s="22">
        <v>12</v>
      </c>
      <c r="K1327" s="25" t="str">
        <f t="shared" si="61"/>
        <v/>
      </c>
      <c r="L1327" s="7"/>
      <c r="M1327" s="4"/>
      <c r="N1327" s="7"/>
      <c r="O1327" s="22" t="s">
        <v>28</v>
      </c>
      <c r="P1327" s="51"/>
      <c r="Q1327" s="51"/>
      <c r="R1327" s="51"/>
      <c r="S1327" s="7"/>
      <c r="T1327" s="7"/>
    </row>
    <row r="1328" spans="1:20" ht="14.25" customHeight="1">
      <c r="A1328" s="4"/>
      <c r="B1328" s="38">
        <v>14354</v>
      </c>
      <c r="C1328" s="22" t="str">
        <f>IFERROR(VLOOKUP(B1328,Colaboradores!A:D,2,),"")</f>
        <v>JOSE CLEITON SILVA DE OLIVEIRA</v>
      </c>
      <c r="D1328" s="22" t="str">
        <f>IFERROR(VLOOKUP(B1328,Colaboradores!A:D,3,),"")</f>
        <v>REGIONAL CENTRAL</v>
      </c>
      <c r="E1328" s="22" t="str">
        <f>IFERROR(VLOOKUP(B1328,Colaboradores!A:D,4,),"")</f>
        <v>TÉCNICO DE SEGURANÇA DO TRABALHO</v>
      </c>
      <c r="F1328" s="47" t="s">
        <v>55</v>
      </c>
      <c r="G1328" s="24" t="str">
        <f>IFERROR(VLOOKUP(F1328,Procedimentos!A:C,2,),"")</f>
        <v>DIRETRIZES PARA ACOMPANHAMENTO DE AFASTADOS</v>
      </c>
      <c r="H1328" s="25"/>
      <c r="I1328" s="51"/>
      <c r="J1328" s="22">
        <v>12</v>
      </c>
      <c r="K1328" s="25" t="str">
        <f t="shared" si="61"/>
        <v/>
      </c>
      <c r="L1328" s="7"/>
      <c r="M1328" s="4"/>
      <c r="N1328" s="7"/>
      <c r="O1328" s="22" t="s">
        <v>28</v>
      </c>
      <c r="P1328" s="51"/>
      <c r="Q1328" s="51"/>
      <c r="R1328" s="51"/>
      <c r="S1328" s="7"/>
      <c r="T1328" s="7"/>
    </row>
    <row r="1329" spans="1:20" ht="14.25" customHeight="1">
      <c r="A1329" s="4"/>
      <c r="B1329" s="38">
        <v>14354</v>
      </c>
      <c r="C1329" s="22" t="str">
        <f>IFERROR(VLOOKUP(B1329,Colaboradores!A:D,2,),"")</f>
        <v>JOSE CLEITON SILVA DE OLIVEIRA</v>
      </c>
      <c r="D1329" s="22" t="str">
        <f>IFERROR(VLOOKUP(B1329,Colaboradores!A:D,3,),"")</f>
        <v>REGIONAL CENTRAL</v>
      </c>
      <c r="E1329" s="22" t="str">
        <f>IFERROR(VLOOKUP(B1329,Colaboradores!A:D,4,),"")</f>
        <v>TÉCNICO DE SEGURANÇA DO TRABALHO</v>
      </c>
      <c r="F1329" s="47" t="s">
        <v>73</v>
      </c>
      <c r="G1329" s="24" t="str">
        <f>IFERROR(VLOOKUP(F1329,Procedimentos!A:C,2,),"")</f>
        <v>AQUISIÇÃO DE BENS E SERVIÇOS E AVALIAÇÃO PROVEDORES EXTERNOS</v>
      </c>
      <c r="H1329" s="25"/>
      <c r="I1329" s="51"/>
      <c r="J1329" s="22">
        <v>12</v>
      </c>
      <c r="K1329" s="25" t="str">
        <f t="shared" si="61"/>
        <v/>
      </c>
      <c r="L1329" s="7"/>
      <c r="M1329" s="4"/>
      <c r="N1329" s="7"/>
      <c r="O1329" s="22" t="s">
        <v>28</v>
      </c>
      <c r="P1329" s="51"/>
      <c r="Q1329" s="51"/>
      <c r="R1329" s="51"/>
      <c r="S1329" s="7"/>
      <c r="T1329" s="7"/>
    </row>
    <row r="1330" spans="1:20" ht="14.25" customHeight="1">
      <c r="A1330" s="4"/>
      <c r="B1330" s="38">
        <v>13822</v>
      </c>
      <c r="C1330" s="22" t="str">
        <f>IFERROR(VLOOKUP(B1330,Colaboradores!A:D,2,),"")</f>
        <v>JULIANA DE CASTRO ALMEIDA</v>
      </c>
      <c r="D1330" s="22" t="str">
        <f>IFERROR(VLOOKUP(B1330,Colaboradores!A:D,3,),"")</f>
        <v>REGIONAL CENTRAL</v>
      </c>
      <c r="E1330" s="22" t="str">
        <f>IFERROR(VLOOKUP(B1330,Colaboradores!A:D,4,),"")</f>
        <v>COORDENADOR DE SSMA</v>
      </c>
      <c r="F1330" s="47" t="s">
        <v>67</v>
      </c>
      <c r="G1330" s="24" t="str">
        <f>IFERROR(VLOOKUP(F1330,Procedimentos!A:C,2,),"")</f>
        <v>SISTEMATICA DE ROTINA DE REUNIÕES DA DESSMA</v>
      </c>
      <c r="H1330" s="25"/>
      <c r="I1330" s="51"/>
      <c r="J1330" s="22">
        <v>12</v>
      </c>
      <c r="K1330" s="25" t="str">
        <f t="shared" si="61"/>
        <v/>
      </c>
      <c r="L1330" s="7"/>
      <c r="M1330" s="4"/>
      <c r="N1330" s="7"/>
      <c r="O1330" s="22" t="s">
        <v>28</v>
      </c>
      <c r="P1330" s="51"/>
      <c r="Q1330" s="51"/>
      <c r="R1330" s="51"/>
      <c r="S1330" s="7"/>
      <c r="T1330" s="7"/>
    </row>
    <row r="1331" spans="1:20" ht="14.25" customHeight="1">
      <c r="A1331" s="4"/>
      <c r="B1331" s="38">
        <v>13822</v>
      </c>
      <c r="C1331" s="22" t="str">
        <f>IFERROR(VLOOKUP(B1331,Colaboradores!A:D,2,),"")</f>
        <v>JULIANA DE CASTRO ALMEIDA</v>
      </c>
      <c r="D1331" s="22" t="str">
        <f>IFERROR(VLOOKUP(B1331,Colaboradores!A:D,3,),"")</f>
        <v>REGIONAL CENTRAL</v>
      </c>
      <c r="E1331" s="22" t="str">
        <f>IFERROR(VLOOKUP(B1331,Colaboradores!A:D,4,),"")</f>
        <v>COORDENADOR DE SSMA</v>
      </c>
      <c r="F1331" s="47" t="s">
        <v>68</v>
      </c>
      <c r="G1331" s="24" t="str">
        <f>IFERROR(VLOOKUP(F1331,Procedimentos!A:C,2,),"")</f>
        <v>GESTÃO INDICADORES</v>
      </c>
      <c r="H1331" s="25"/>
      <c r="I1331" s="51"/>
      <c r="J1331" s="22">
        <v>12</v>
      </c>
      <c r="K1331" s="25" t="str">
        <f t="shared" si="61"/>
        <v/>
      </c>
      <c r="L1331" s="7"/>
      <c r="M1331" s="4"/>
      <c r="N1331" s="7"/>
      <c r="O1331" s="22" t="s">
        <v>28</v>
      </c>
      <c r="P1331" s="51"/>
      <c r="Q1331" s="51"/>
      <c r="R1331" s="51"/>
      <c r="S1331" s="7"/>
      <c r="T1331" s="7"/>
    </row>
    <row r="1332" spans="1:20" ht="14.25" customHeight="1">
      <c r="A1332" s="4"/>
      <c r="B1332" s="38">
        <v>13822</v>
      </c>
      <c r="C1332" s="22" t="str">
        <f>IFERROR(VLOOKUP(B1332,Colaboradores!A:D,2,),"")</f>
        <v>JULIANA DE CASTRO ALMEIDA</v>
      </c>
      <c r="D1332" s="22" t="str">
        <f>IFERROR(VLOOKUP(B1332,Colaboradores!A:D,3,),"")</f>
        <v>REGIONAL CENTRAL</v>
      </c>
      <c r="E1332" s="22" t="str">
        <f>IFERROR(VLOOKUP(B1332,Colaboradores!A:D,4,),"")</f>
        <v>COORDENADOR DE SSMA</v>
      </c>
      <c r="F1332" s="47" t="s">
        <v>69</v>
      </c>
      <c r="G1332" s="24" t="str">
        <f>IFERROR(VLOOKUP(F1332,Procedimentos!A:C,2,),"")</f>
        <v>PROCEDIMENTO GESTÃO DE MUDANÇA SGQ</v>
      </c>
      <c r="H1332" s="25"/>
      <c r="I1332" s="51"/>
      <c r="J1332" s="22">
        <v>12</v>
      </c>
      <c r="K1332" s="25" t="str">
        <f t="shared" si="61"/>
        <v/>
      </c>
      <c r="L1332" s="7"/>
      <c r="M1332" s="4"/>
      <c r="N1332" s="7"/>
      <c r="O1332" s="22" t="s">
        <v>28</v>
      </c>
      <c r="P1332" s="51"/>
      <c r="Q1332" s="51"/>
      <c r="R1332" s="51"/>
      <c r="S1332" s="7"/>
      <c r="T1332" s="7"/>
    </row>
    <row r="1333" spans="1:20" ht="14.25" customHeight="1">
      <c r="A1333" s="4"/>
      <c r="B1333" s="38">
        <v>13822</v>
      </c>
      <c r="C1333" s="22" t="str">
        <f>IFERROR(VLOOKUP(B1333,Colaboradores!A:D,2,),"")</f>
        <v>JULIANA DE CASTRO ALMEIDA</v>
      </c>
      <c r="D1333" s="22" t="str">
        <f>IFERROR(VLOOKUP(B1333,Colaboradores!A:D,3,),"")</f>
        <v>REGIONAL CENTRAL</v>
      </c>
      <c r="E1333" s="22" t="str">
        <f>IFERROR(VLOOKUP(B1333,Colaboradores!A:D,4,),"")</f>
        <v>COORDENADOR DE SSMA</v>
      </c>
      <c r="F1333" s="47" t="s">
        <v>64</v>
      </c>
      <c r="G1333" s="24" t="str">
        <f>IFERROR(VLOOKUP(F1333,Procedimentos!A:C,2,),"")</f>
        <v>AVALIAÇÃO DESEMPENHO</v>
      </c>
      <c r="H1333" s="25"/>
      <c r="I1333" s="51"/>
      <c r="J1333" s="22">
        <v>12</v>
      </c>
      <c r="K1333" s="25" t="str">
        <f t="shared" si="61"/>
        <v/>
      </c>
      <c r="L1333" s="7"/>
      <c r="M1333" s="4"/>
      <c r="N1333" s="7"/>
      <c r="O1333" s="22" t="s">
        <v>28</v>
      </c>
      <c r="P1333" s="51"/>
      <c r="Q1333" s="51"/>
      <c r="R1333" s="51"/>
      <c r="S1333" s="7"/>
      <c r="T1333" s="7"/>
    </row>
    <row r="1334" spans="1:20" ht="14.25" customHeight="1">
      <c r="A1334" s="4"/>
      <c r="B1334" s="38">
        <v>13822</v>
      </c>
      <c r="C1334" s="22" t="str">
        <f>IFERROR(VLOOKUP(B1334,Colaboradores!A:D,2,),"")</f>
        <v>JULIANA DE CASTRO ALMEIDA</v>
      </c>
      <c r="D1334" s="22" t="str">
        <f>IFERROR(VLOOKUP(B1334,Colaboradores!A:D,3,),"")</f>
        <v>REGIONAL CENTRAL</v>
      </c>
      <c r="E1334" s="22" t="str">
        <f>IFERROR(VLOOKUP(B1334,Colaboradores!A:D,4,),"")</f>
        <v>COORDENADOR DE SSMA</v>
      </c>
      <c r="F1334" s="47" t="s">
        <v>59</v>
      </c>
      <c r="G1334" s="24" t="str">
        <f>IFERROR(VLOOKUP(F1334,Procedimentos!A:C,2,),"")</f>
        <v>GERENCIAMENTO DE RISCOS DE SAÚDE, SEGURANÇA E PROCESSOS</v>
      </c>
      <c r="H1334" s="25"/>
      <c r="I1334" s="51"/>
      <c r="J1334" s="22">
        <v>12</v>
      </c>
      <c r="K1334" s="25" t="str">
        <f t="shared" si="61"/>
        <v/>
      </c>
      <c r="L1334" s="7"/>
      <c r="M1334" s="4"/>
      <c r="N1334" s="7"/>
      <c r="O1334" s="22" t="s">
        <v>28</v>
      </c>
      <c r="P1334" s="51"/>
      <c r="Q1334" s="51"/>
      <c r="R1334" s="51"/>
      <c r="S1334" s="7"/>
      <c r="T1334" s="7"/>
    </row>
    <row r="1335" spans="1:20" ht="14.25" customHeight="1">
      <c r="A1335" s="4"/>
      <c r="B1335" s="38">
        <v>13822</v>
      </c>
      <c r="C1335" s="22" t="str">
        <f>IFERROR(VLOOKUP(B1335,Colaboradores!A:D,2,),"")</f>
        <v>JULIANA DE CASTRO ALMEIDA</v>
      </c>
      <c r="D1335" s="22" t="str">
        <f>IFERROR(VLOOKUP(B1335,Colaboradores!A:D,3,),"")</f>
        <v>REGIONAL CENTRAL</v>
      </c>
      <c r="E1335" s="22" t="str">
        <f>IFERROR(VLOOKUP(B1335,Colaboradores!A:D,4,),"")</f>
        <v>COORDENADOR DE SSMA</v>
      </c>
      <c r="F1335" s="47" t="s">
        <v>61</v>
      </c>
      <c r="G1335" s="24" t="str">
        <f>IFERROR(VLOOKUP(F1335,Procedimentos!A:C,2,),"")</f>
        <v>PROCEDIMENTO DE INSPEÇÃO DE SEGURANÇA</v>
      </c>
      <c r="H1335" s="25"/>
      <c r="I1335" s="51"/>
      <c r="J1335" s="22">
        <v>12</v>
      </c>
      <c r="K1335" s="25" t="str">
        <f t="shared" si="61"/>
        <v/>
      </c>
      <c r="L1335" s="7"/>
      <c r="M1335" s="4"/>
      <c r="N1335" s="7"/>
      <c r="O1335" s="22" t="s">
        <v>28</v>
      </c>
      <c r="P1335" s="51"/>
      <c r="Q1335" s="51"/>
      <c r="R1335" s="51"/>
      <c r="S1335" s="7"/>
      <c r="T1335" s="7"/>
    </row>
    <row r="1336" spans="1:20" ht="14.25" customHeight="1">
      <c r="A1336" s="4"/>
      <c r="B1336" s="38">
        <v>13822</v>
      </c>
      <c r="C1336" s="22" t="str">
        <f>IFERROR(VLOOKUP(B1336,Colaboradores!A:D,2,),"")</f>
        <v>JULIANA DE CASTRO ALMEIDA</v>
      </c>
      <c r="D1336" s="22" t="str">
        <f>IFERROR(VLOOKUP(B1336,Colaboradores!A:D,3,),"")</f>
        <v>REGIONAL CENTRAL</v>
      </c>
      <c r="E1336" s="22" t="str">
        <f>IFERROR(VLOOKUP(B1336,Colaboradores!A:D,4,),"")</f>
        <v>COORDENADOR DE SSMA</v>
      </c>
      <c r="F1336" s="47" t="s">
        <v>62</v>
      </c>
      <c r="G1336" s="24" t="str">
        <f>IFERROR(VLOOKUP(F1336,Procedimentos!A:C,2,),"")</f>
        <v>DIRETRIZES PARA ENVIO E RECEBIMENTO DE DOSÍMETRO</v>
      </c>
      <c r="H1336" s="25"/>
      <c r="I1336" s="51"/>
      <c r="J1336" s="22">
        <v>12</v>
      </c>
      <c r="K1336" s="25" t="str">
        <f t="shared" si="61"/>
        <v/>
      </c>
      <c r="L1336" s="7"/>
      <c r="M1336" s="4"/>
      <c r="N1336" s="7"/>
      <c r="O1336" s="22" t="s">
        <v>28</v>
      </c>
      <c r="P1336" s="51"/>
      <c r="Q1336" s="51"/>
      <c r="R1336" s="51"/>
      <c r="S1336" s="7"/>
      <c r="T1336" s="7"/>
    </row>
    <row r="1337" spans="1:20" ht="14.25" customHeight="1">
      <c r="A1337" s="4"/>
      <c r="B1337" s="38">
        <v>13822</v>
      </c>
      <c r="C1337" s="22" t="str">
        <f>IFERROR(VLOOKUP(B1337,Colaboradores!A:D,2,),"")</f>
        <v>JULIANA DE CASTRO ALMEIDA</v>
      </c>
      <c r="D1337" s="22" t="str">
        <f>IFERROR(VLOOKUP(B1337,Colaboradores!A:D,3,),"")</f>
        <v>REGIONAL CENTRAL</v>
      </c>
      <c r="E1337" s="22" t="str">
        <f>IFERROR(VLOOKUP(B1337,Colaboradores!A:D,4,),"")</f>
        <v>COORDENADOR DE SSMA</v>
      </c>
      <c r="F1337" s="47" t="s">
        <v>63</v>
      </c>
      <c r="G1337" s="24" t="str">
        <f>IFERROR(VLOOKUP(F1337,Procedimentos!A:C,2,),"")</f>
        <v>DIÁRIO DE BORDO DOS TÉCNICOS DE SEGURANÇA DO TRABALHO DA EMSERH E IADVH</v>
      </c>
      <c r="H1337" s="25"/>
      <c r="I1337" s="51"/>
      <c r="J1337" s="22">
        <v>12</v>
      </c>
      <c r="K1337" s="25" t="str">
        <f t="shared" si="61"/>
        <v/>
      </c>
      <c r="L1337" s="7"/>
      <c r="M1337" s="4"/>
      <c r="N1337" s="7"/>
      <c r="O1337" s="22" t="s">
        <v>28</v>
      </c>
      <c r="P1337" s="51"/>
      <c r="Q1337" s="51"/>
      <c r="R1337" s="51"/>
      <c r="S1337" s="7"/>
      <c r="T1337" s="7"/>
    </row>
    <row r="1338" spans="1:20" ht="14.25" customHeight="1">
      <c r="A1338" s="4"/>
      <c r="B1338" s="38">
        <v>13822</v>
      </c>
      <c r="C1338" s="22" t="str">
        <f>IFERROR(VLOOKUP(B1338,Colaboradores!A:D,2,),"")</f>
        <v>JULIANA DE CASTRO ALMEIDA</v>
      </c>
      <c r="D1338" s="22" t="str">
        <f>IFERROR(VLOOKUP(B1338,Colaboradores!A:D,3,),"")</f>
        <v>REGIONAL CENTRAL</v>
      </c>
      <c r="E1338" s="22" t="str">
        <f>IFERROR(VLOOKUP(B1338,Colaboradores!A:D,4,),"")</f>
        <v>COORDENADOR DE SSMA</v>
      </c>
      <c r="F1338" s="47" t="s">
        <v>51</v>
      </c>
      <c r="G1338" s="24" t="str">
        <f>IFERROR(VLOOKUP(F1338,Procedimentos!A:C,2,),"")</f>
        <v>DIRETRIZES PARA ENTREGA DE ATESTADOS MÉDICOS E ODONTOLÓGICOS</v>
      </c>
      <c r="H1338" s="25"/>
      <c r="I1338" s="51"/>
      <c r="J1338" s="22">
        <v>12</v>
      </c>
      <c r="K1338" s="25" t="str">
        <f t="shared" si="61"/>
        <v/>
      </c>
      <c r="L1338" s="7"/>
      <c r="M1338" s="4"/>
      <c r="N1338" s="7"/>
      <c r="O1338" s="22" t="s">
        <v>28</v>
      </c>
      <c r="P1338" s="51"/>
      <c r="Q1338" s="51"/>
      <c r="R1338" s="51"/>
      <c r="S1338" s="7"/>
      <c r="T1338" s="7"/>
    </row>
    <row r="1339" spans="1:20" ht="14.25" customHeight="1">
      <c r="A1339" s="4"/>
      <c r="B1339" s="38">
        <v>14700</v>
      </c>
      <c r="C1339" s="22" t="str">
        <f>IFERROR(VLOOKUP(B1339,Colaboradores!A:D,2,),"")</f>
        <v>LEANNDRO JOSE SOUSA DA SILVA</v>
      </c>
      <c r="D1339" s="22" t="str">
        <f>IFERROR(VLOOKUP(B1339,Colaboradores!A:D,3,),"")</f>
        <v>REGIONAL CENTRAL</v>
      </c>
      <c r="E1339" s="22" t="str">
        <f>IFERROR(VLOOKUP(B1339,Colaboradores!A:D,4,),"")</f>
        <v>MÉDICO DO TRABALHO</v>
      </c>
      <c r="F1339" s="47" t="s">
        <v>19</v>
      </c>
      <c r="G1339" s="24" t="str">
        <f>IFERROR(VLOOKUP(F1339,Procedimentos!A:C,2,),"")</f>
        <v>DIRETRIZES PARA DOCUMENTOS NORMATIVOS</v>
      </c>
      <c r="H1339" s="25"/>
      <c r="I1339" s="51"/>
      <c r="J1339" s="22">
        <v>12</v>
      </c>
      <c r="K1339" s="25" t="str">
        <f t="shared" si="61"/>
        <v/>
      </c>
      <c r="L1339" s="7"/>
      <c r="M1339" s="4"/>
      <c r="N1339" s="7"/>
      <c r="O1339" s="22" t="s">
        <v>28</v>
      </c>
      <c r="P1339" s="51"/>
      <c r="Q1339" s="51"/>
      <c r="R1339" s="51"/>
      <c r="S1339" s="7"/>
      <c r="T1339" s="7"/>
    </row>
    <row r="1340" spans="1:20" ht="14.25" customHeight="1">
      <c r="A1340" s="4"/>
      <c r="B1340" s="38">
        <v>14700</v>
      </c>
      <c r="C1340" s="22" t="str">
        <f>IFERROR(VLOOKUP(B1340,Colaboradores!A:D,2,),"")</f>
        <v>LEANNDRO JOSE SOUSA DA SILVA</v>
      </c>
      <c r="D1340" s="22" t="str">
        <f>IFERROR(VLOOKUP(B1340,Colaboradores!A:D,3,),"")</f>
        <v>REGIONAL CENTRAL</v>
      </c>
      <c r="E1340" s="22" t="str">
        <f>IFERROR(VLOOKUP(B1340,Colaboradores!A:D,4,),"")</f>
        <v>MÉDICO DO TRABALHO</v>
      </c>
      <c r="F1340" s="47" t="s">
        <v>49</v>
      </c>
      <c r="G1340" s="24" t="str">
        <f>IFERROR(VLOOKUP(F1340,Procedimentos!A:C,2,),"")</f>
        <v>DIRETRIZES PARA REALIZAÇÃO DE EXAMES OCUPACIONAIS</v>
      </c>
      <c r="H1340" s="25"/>
      <c r="I1340" s="51"/>
      <c r="J1340" s="22">
        <v>12</v>
      </c>
      <c r="K1340" s="25" t="str">
        <f t="shared" si="61"/>
        <v/>
      </c>
      <c r="L1340" s="7"/>
      <c r="M1340" s="4"/>
      <c r="N1340" s="7"/>
      <c r="O1340" s="22" t="s">
        <v>28</v>
      </c>
      <c r="P1340" s="51"/>
      <c r="Q1340" s="51"/>
      <c r="R1340" s="51"/>
      <c r="S1340" s="7"/>
      <c r="T1340" s="7"/>
    </row>
    <row r="1341" spans="1:20" ht="14.25" customHeight="1">
      <c r="A1341" s="4"/>
      <c r="B1341" s="38">
        <v>14700</v>
      </c>
      <c r="C1341" s="22" t="str">
        <f>IFERROR(VLOOKUP(B1341,Colaboradores!A:D,2,),"")</f>
        <v>LEANNDRO JOSE SOUSA DA SILVA</v>
      </c>
      <c r="D1341" s="22" t="str">
        <f>IFERROR(VLOOKUP(B1341,Colaboradores!A:D,3,),"")</f>
        <v>REGIONAL CENTRAL</v>
      </c>
      <c r="E1341" s="22" t="str">
        <f>IFERROR(VLOOKUP(B1341,Colaboradores!A:D,4,),"")</f>
        <v>MÉDICO DO TRABALHO</v>
      </c>
      <c r="F1341" s="47" t="s">
        <v>51</v>
      </c>
      <c r="G1341" s="24" t="str">
        <f>IFERROR(VLOOKUP(F1341,Procedimentos!A:C,2,),"")</f>
        <v>DIRETRIZES PARA ENTREGA DE ATESTADOS MÉDICOS E ODONTOLÓGICOS</v>
      </c>
      <c r="H1341" s="25"/>
      <c r="I1341" s="51"/>
      <c r="J1341" s="22">
        <v>12</v>
      </c>
      <c r="K1341" s="25" t="str">
        <f t="shared" si="61"/>
        <v/>
      </c>
      <c r="L1341" s="7"/>
      <c r="M1341" s="4"/>
      <c r="N1341" s="7"/>
      <c r="O1341" s="22" t="s">
        <v>28</v>
      </c>
      <c r="P1341" s="51"/>
      <c r="Q1341" s="51"/>
      <c r="R1341" s="51"/>
      <c r="S1341" s="7"/>
      <c r="T1341" s="7"/>
    </row>
    <row r="1342" spans="1:20" ht="14.25" customHeight="1">
      <c r="A1342" s="4"/>
      <c r="B1342" s="38">
        <v>14700</v>
      </c>
      <c r="C1342" s="22" t="str">
        <f>IFERROR(VLOOKUP(B1342,Colaboradores!A:D,2,),"")</f>
        <v>LEANNDRO JOSE SOUSA DA SILVA</v>
      </c>
      <c r="D1342" s="22" t="str">
        <f>IFERROR(VLOOKUP(B1342,Colaboradores!A:D,3,),"")</f>
        <v>REGIONAL CENTRAL</v>
      </c>
      <c r="E1342" s="22" t="str">
        <f>IFERROR(VLOOKUP(B1342,Colaboradores!A:D,4,),"")</f>
        <v>MÉDICO DO TRABALHO</v>
      </c>
      <c r="F1342" s="47" t="s">
        <v>52</v>
      </c>
      <c r="G1342" s="24" t="str">
        <f>IFERROR(VLOOKUP(F1342,Procedimentos!A:C,2,),"")</f>
        <v>DIRETRIZES E ACOMPANHAMENTO  DE ACIDENTE COM MATERIAL BIOLOGICO</v>
      </c>
      <c r="H1342" s="25"/>
      <c r="I1342" s="51"/>
      <c r="J1342" s="22">
        <v>12</v>
      </c>
      <c r="K1342" s="25" t="str">
        <f t="shared" si="61"/>
        <v/>
      </c>
      <c r="L1342" s="7"/>
      <c r="M1342" s="4"/>
      <c r="N1342" s="7"/>
      <c r="O1342" s="22" t="s">
        <v>28</v>
      </c>
      <c r="P1342" s="51"/>
      <c r="Q1342" s="51"/>
      <c r="R1342" s="51"/>
      <c r="S1342" s="7"/>
      <c r="T1342" s="7"/>
    </row>
    <row r="1343" spans="1:20" ht="14.25" customHeight="1">
      <c r="A1343" s="4"/>
      <c r="B1343" s="38">
        <v>14700</v>
      </c>
      <c r="C1343" s="22" t="str">
        <f>IFERROR(VLOOKUP(B1343,Colaboradores!A:D,2,),"")</f>
        <v>LEANNDRO JOSE SOUSA DA SILVA</v>
      </c>
      <c r="D1343" s="22" t="str">
        <f>IFERROR(VLOOKUP(B1343,Colaboradores!A:D,3,),"")</f>
        <v>REGIONAL CENTRAL</v>
      </c>
      <c r="E1343" s="22" t="str">
        <f>IFERROR(VLOOKUP(B1343,Colaboradores!A:D,4,),"")</f>
        <v>MÉDICO DO TRABALHO</v>
      </c>
      <c r="F1343" s="47" t="s">
        <v>53</v>
      </c>
      <c r="G1343" s="24" t="str">
        <f>IFERROR(VLOOKUP(F1343,Procedimentos!A:C,2,),"")</f>
        <v>DIRETRIZES PARA MONITORAMENTO DE GESTANTE</v>
      </c>
      <c r="H1343" s="25"/>
      <c r="I1343" s="51"/>
      <c r="J1343" s="22">
        <v>12</v>
      </c>
      <c r="K1343" s="25" t="str">
        <f t="shared" si="61"/>
        <v/>
      </c>
      <c r="L1343" s="7"/>
      <c r="M1343" s="4"/>
      <c r="N1343" s="7"/>
      <c r="O1343" s="22" t="s">
        <v>28</v>
      </c>
      <c r="P1343" s="51"/>
      <c r="Q1343" s="51"/>
      <c r="R1343" s="51"/>
      <c r="S1343" s="7"/>
      <c r="T1343" s="7"/>
    </row>
    <row r="1344" spans="1:20" ht="14.25" customHeight="1">
      <c r="A1344" s="4"/>
      <c r="B1344" s="38">
        <v>14700</v>
      </c>
      <c r="C1344" s="22" t="str">
        <f>IFERROR(VLOOKUP(B1344,Colaboradores!A:D,2,),"")</f>
        <v>LEANNDRO JOSE SOUSA DA SILVA</v>
      </c>
      <c r="D1344" s="22" t="str">
        <f>IFERROR(VLOOKUP(B1344,Colaboradores!A:D,3,),"")</f>
        <v>REGIONAL CENTRAL</v>
      </c>
      <c r="E1344" s="22" t="str">
        <f>IFERROR(VLOOKUP(B1344,Colaboradores!A:D,4,),"")</f>
        <v>MÉDICO DO TRABALHO</v>
      </c>
      <c r="F1344" s="47" t="s">
        <v>54</v>
      </c>
      <c r="G1344" s="24" t="str">
        <f>IFERROR(VLOOKUP(F1344,Procedimentos!A:C,2,),"")</f>
        <v>DIRETRIZES DE IMUNIZAÇÃO OCUPACIONAL</v>
      </c>
      <c r="H1344" s="25"/>
      <c r="I1344" s="51"/>
      <c r="J1344" s="22">
        <v>12</v>
      </c>
      <c r="K1344" s="25" t="str">
        <f t="shared" si="61"/>
        <v/>
      </c>
      <c r="L1344" s="7"/>
      <c r="M1344" s="4"/>
      <c r="N1344" s="7"/>
      <c r="O1344" s="22" t="s">
        <v>28</v>
      </c>
      <c r="P1344" s="51"/>
      <c r="Q1344" s="51"/>
      <c r="R1344" s="51"/>
      <c r="S1344" s="7"/>
      <c r="T1344" s="7"/>
    </row>
    <row r="1345" spans="1:20" ht="14.25" customHeight="1">
      <c r="A1345" s="4"/>
      <c r="B1345" s="38">
        <v>14700</v>
      </c>
      <c r="C1345" s="22" t="str">
        <f>IFERROR(VLOOKUP(B1345,Colaboradores!A:D,2,),"")</f>
        <v>LEANNDRO JOSE SOUSA DA SILVA</v>
      </c>
      <c r="D1345" s="22" t="str">
        <f>IFERROR(VLOOKUP(B1345,Colaboradores!A:D,3,),"")</f>
        <v>REGIONAL CENTRAL</v>
      </c>
      <c r="E1345" s="22" t="str">
        <f>IFERROR(VLOOKUP(B1345,Colaboradores!A:D,4,),"")</f>
        <v>MÉDICO DO TRABALHO</v>
      </c>
      <c r="F1345" s="47" t="s">
        <v>55</v>
      </c>
      <c r="G1345" s="24" t="str">
        <f>IFERROR(VLOOKUP(F1345,Procedimentos!A:C,2,),"")</f>
        <v>DIRETRIZES PARA ACOMPANHAMENTO DE AFASTADOS</v>
      </c>
      <c r="H1345" s="25"/>
      <c r="I1345" s="51"/>
      <c r="J1345" s="22">
        <v>12</v>
      </c>
      <c r="K1345" s="25" t="str">
        <f t="shared" si="61"/>
        <v/>
      </c>
      <c r="L1345" s="7"/>
      <c r="M1345" s="4"/>
      <c r="N1345" s="7"/>
      <c r="O1345" s="22" t="s">
        <v>28</v>
      </c>
      <c r="P1345" s="51"/>
      <c r="Q1345" s="51"/>
      <c r="R1345" s="51"/>
      <c r="S1345" s="7"/>
      <c r="T1345" s="7"/>
    </row>
    <row r="1346" spans="1:20" ht="14.25" customHeight="1">
      <c r="A1346" s="4"/>
      <c r="B1346" s="38">
        <v>14785</v>
      </c>
      <c r="C1346" s="22" t="str">
        <f>IFERROR(VLOOKUP(B1346,Colaboradores!A:D,2,),"")</f>
        <v>ROSEANE CUSTODIO LIMA</v>
      </c>
      <c r="D1346" s="22" t="str">
        <f>IFERROR(VLOOKUP(B1346,Colaboradores!A:D,3,),"")</f>
        <v>REGIONAL CENTRAL</v>
      </c>
      <c r="E1346" s="22" t="str">
        <f>IFERROR(VLOOKUP(B1346,Colaboradores!A:D,4,),"")</f>
        <v>ASSISTENTE DE MEIO AMBIENTE</v>
      </c>
      <c r="F1346" s="47" t="s">
        <v>41</v>
      </c>
      <c r="G1346" s="24" t="str">
        <f>IFERROR(VLOOKUP(F1346,Procedimentos!A:C,2,),"")</f>
        <v>DIRETRIZES PARA COMUNICAÇÃO E INVESTIGAÇÃO DE ACIDENTES</v>
      </c>
      <c r="H1346" s="25"/>
      <c r="I1346" s="51"/>
      <c r="J1346" s="22">
        <v>12</v>
      </c>
      <c r="K1346" s="25" t="str">
        <f t="shared" si="61"/>
        <v/>
      </c>
      <c r="L1346" s="7"/>
      <c r="M1346" s="4"/>
      <c r="N1346" s="7"/>
      <c r="O1346" s="22" t="s">
        <v>28</v>
      </c>
      <c r="P1346" s="51"/>
      <c r="Q1346" s="51"/>
      <c r="R1346" s="51"/>
      <c r="S1346" s="7"/>
      <c r="T1346" s="7"/>
    </row>
    <row r="1347" spans="1:20" ht="14.25" customHeight="1">
      <c r="A1347" s="4"/>
      <c r="B1347" s="38">
        <v>14785</v>
      </c>
      <c r="C1347" s="22" t="str">
        <f>IFERROR(VLOOKUP(B1347,Colaboradores!A:D,2,),"")</f>
        <v>ROSEANE CUSTODIO LIMA</v>
      </c>
      <c r="D1347" s="22" t="str">
        <f>IFERROR(VLOOKUP(B1347,Colaboradores!A:D,3,),"")</f>
        <v>REGIONAL CENTRAL</v>
      </c>
      <c r="E1347" s="22" t="str">
        <f>IFERROR(VLOOKUP(B1347,Colaboradores!A:D,4,),"")</f>
        <v>ASSISTENTE DE MEIO AMBIENTE</v>
      </c>
      <c r="F1347" s="47" t="s">
        <v>44</v>
      </c>
      <c r="G1347" s="24" t="str">
        <f>IFERROR(VLOOKUP(F1347,Procedimentos!A:C,2,),"")</f>
        <v>DIRETRIZES PARA GESTÃO DE EQUIPAMENTOS DE PROTEÇÃO INDIVIDUAL - EPI'S</v>
      </c>
      <c r="H1347" s="25"/>
      <c r="I1347" s="51"/>
      <c r="J1347" s="22">
        <v>12</v>
      </c>
      <c r="K1347" s="25" t="str">
        <f t="shared" ref="K1347:K1410" si="62">IF(AND(I1347&lt;&gt;"",J1347&lt;&gt;""),DATE(YEAR(I1347),MONTH(I1347)+J1347,DAY(I1347)),"")</f>
        <v/>
      </c>
      <c r="L1347" s="7"/>
      <c r="M1347" s="4"/>
      <c r="N1347" s="7"/>
      <c r="O1347" s="22" t="s">
        <v>28</v>
      </c>
      <c r="P1347" s="51"/>
      <c r="Q1347" s="51"/>
      <c r="R1347" s="51"/>
      <c r="S1347" s="7"/>
      <c r="T1347" s="7"/>
    </row>
    <row r="1348" spans="1:20" ht="14.25" customHeight="1">
      <c r="A1348" s="4"/>
      <c r="B1348" s="38">
        <v>14785</v>
      </c>
      <c r="C1348" s="22" t="str">
        <f>IFERROR(VLOOKUP(B1348,Colaboradores!A:D,2,),"")</f>
        <v>ROSEANE CUSTODIO LIMA</v>
      </c>
      <c r="D1348" s="22" t="str">
        <f>IFERROR(VLOOKUP(B1348,Colaboradores!A:D,3,),"")</f>
        <v>REGIONAL CENTRAL</v>
      </c>
      <c r="E1348" s="22" t="str">
        <f>IFERROR(VLOOKUP(B1348,Colaboradores!A:D,4,),"")</f>
        <v>ASSISTENTE DE MEIO AMBIENTE</v>
      </c>
      <c r="F1348" s="47" t="s">
        <v>45</v>
      </c>
      <c r="G1348" s="24" t="str">
        <f>IFERROR(VLOOKUP(F1348,Procedimentos!A:C,2,),"")</f>
        <v>CONSTITUIÇÃO INTERNA DE PREVENÇÃO DE ACIDENTES E DE ASSÉDIOS - CIPA</v>
      </c>
      <c r="H1348" s="25"/>
      <c r="I1348" s="51"/>
      <c r="J1348" s="22">
        <v>12</v>
      </c>
      <c r="K1348" s="25" t="str">
        <f t="shared" si="62"/>
        <v/>
      </c>
      <c r="L1348" s="7"/>
      <c r="M1348" s="4"/>
      <c r="N1348" s="7"/>
      <c r="O1348" s="22" t="s">
        <v>28</v>
      </c>
      <c r="P1348" s="51"/>
      <c r="Q1348" s="51"/>
      <c r="R1348" s="51"/>
      <c r="S1348" s="7"/>
      <c r="T1348" s="7"/>
    </row>
    <row r="1349" spans="1:20" ht="14.25" customHeight="1">
      <c r="A1349" s="4"/>
      <c r="B1349" s="38">
        <v>13584</v>
      </c>
      <c r="C1349" s="22" t="str">
        <f>IFERROR(VLOOKUP(B1349,Colaboradores!A:D,2,),"")</f>
        <v>ALANA RODRIGUES FERREIRA</v>
      </c>
      <c r="D1349" s="22" t="str">
        <f>IFERROR(VLOOKUP(B1349,Colaboradores!A:D,3,),"")</f>
        <v>REGIONAL LESTE</v>
      </c>
      <c r="E1349" s="22" t="str">
        <f>IFERROR(VLOOKUP(B1349,Colaboradores!A:D,4,),"")</f>
        <v>COORDENADOR DE SSMA</v>
      </c>
      <c r="F1349" s="47" t="s">
        <v>49</v>
      </c>
      <c r="G1349" s="24" t="str">
        <f>IFERROR(VLOOKUP(F1349,Procedimentos!A:C,2,),"")</f>
        <v>DIRETRIZES PARA REALIZAÇÃO DE EXAMES OCUPACIONAIS</v>
      </c>
      <c r="H1349" s="25"/>
      <c r="I1349" s="51"/>
      <c r="J1349" s="22">
        <v>12</v>
      </c>
      <c r="K1349" s="25" t="str">
        <f t="shared" si="62"/>
        <v/>
      </c>
      <c r="L1349" s="7"/>
      <c r="M1349" s="4"/>
      <c r="N1349" s="7"/>
      <c r="O1349" s="22" t="s">
        <v>28</v>
      </c>
      <c r="P1349" s="51"/>
      <c r="Q1349" s="51"/>
      <c r="R1349" s="51"/>
      <c r="S1349" s="7"/>
      <c r="T1349" s="7"/>
    </row>
    <row r="1350" spans="1:20" ht="14.25" customHeight="1">
      <c r="A1350" s="4"/>
      <c r="B1350" s="38">
        <v>13584</v>
      </c>
      <c r="C1350" s="22" t="str">
        <f>IFERROR(VLOOKUP(B1350,Colaboradores!A:D,2,),"")</f>
        <v>ALANA RODRIGUES FERREIRA</v>
      </c>
      <c r="D1350" s="22" t="str">
        <f>IFERROR(VLOOKUP(B1350,Colaboradores!A:D,3,),"")</f>
        <v>REGIONAL LESTE</v>
      </c>
      <c r="E1350" s="22" t="str">
        <f>IFERROR(VLOOKUP(B1350,Colaboradores!A:D,4,),"")</f>
        <v>COORDENADOR DE SSMA</v>
      </c>
      <c r="F1350" s="47" t="s">
        <v>51</v>
      </c>
      <c r="G1350" s="24" t="str">
        <f>IFERROR(VLOOKUP(F1350,Procedimentos!A:C,2,),"")</f>
        <v>DIRETRIZES PARA ENTREGA DE ATESTADOS MÉDICOS E ODONTOLÓGICOS</v>
      </c>
      <c r="H1350" s="25"/>
      <c r="I1350" s="51"/>
      <c r="J1350" s="22">
        <v>12</v>
      </c>
      <c r="K1350" s="25" t="str">
        <f t="shared" si="62"/>
        <v/>
      </c>
      <c r="L1350" s="7"/>
      <c r="M1350" s="4"/>
      <c r="N1350" s="7"/>
      <c r="O1350" s="4"/>
      <c r="P1350" s="51"/>
      <c r="Q1350" s="51"/>
      <c r="R1350" s="51"/>
      <c r="S1350" s="7"/>
      <c r="T1350" s="7"/>
    </row>
    <row r="1351" spans="1:20" ht="14.25" customHeight="1">
      <c r="A1351" s="4"/>
      <c r="B1351" s="38">
        <v>13584</v>
      </c>
      <c r="C1351" s="22" t="str">
        <f>IFERROR(VLOOKUP(B1351,Colaboradores!A:D,2,),"")</f>
        <v>ALANA RODRIGUES FERREIRA</v>
      </c>
      <c r="D1351" s="22" t="str">
        <f>IFERROR(VLOOKUP(B1351,Colaboradores!A:D,3,),"")</f>
        <v>REGIONAL LESTE</v>
      </c>
      <c r="E1351" s="22" t="str">
        <f>IFERROR(VLOOKUP(B1351,Colaboradores!A:D,4,),"")</f>
        <v>COORDENADOR DE SSMA</v>
      </c>
      <c r="F1351" s="47" t="s">
        <v>52</v>
      </c>
      <c r="G1351" s="24" t="str">
        <f>IFERROR(VLOOKUP(F1351,Procedimentos!A:C,2,),"")</f>
        <v>DIRETRIZES E ACOMPANHAMENTO  DE ACIDENTE COM MATERIAL BIOLOGICO</v>
      </c>
      <c r="H1351" s="25"/>
      <c r="I1351" s="51"/>
      <c r="J1351" s="22">
        <v>12</v>
      </c>
      <c r="K1351" s="25" t="str">
        <f t="shared" si="62"/>
        <v/>
      </c>
      <c r="L1351" s="7"/>
      <c r="M1351" s="4"/>
      <c r="N1351" s="7"/>
      <c r="O1351" s="4"/>
      <c r="P1351" s="51"/>
      <c r="Q1351" s="51"/>
      <c r="R1351" s="51"/>
      <c r="S1351" s="7"/>
      <c r="T1351" s="7"/>
    </row>
    <row r="1352" spans="1:20" ht="14.25" customHeight="1">
      <c r="A1352" s="4"/>
      <c r="B1352" s="38">
        <v>13584</v>
      </c>
      <c r="C1352" s="22" t="str">
        <f>IFERROR(VLOOKUP(B1352,Colaboradores!A:D,2,),"")</f>
        <v>ALANA RODRIGUES FERREIRA</v>
      </c>
      <c r="D1352" s="22" t="str">
        <f>IFERROR(VLOOKUP(B1352,Colaboradores!A:D,3,),"")</f>
        <v>REGIONAL LESTE</v>
      </c>
      <c r="E1352" s="22" t="str">
        <f>IFERROR(VLOOKUP(B1352,Colaboradores!A:D,4,),"")</f>
        <v>COORDENADOR DE SSMA</v>
      </c>
      <c r="F1352" s="47" t="s">
        <v>53</v>
      </c>
      <c r="G1352" s="24" t="str">
        <f>IFERROR(VLOOKUP(F1352,Procedimentos!A:C,2,),"")</f>
        <v>DIRETRIZES PARA MONITORAMENTO DE GESTANTE</v>
      </c>
      <c r="H1352" s="25"/>
      <c r="I1352" s="51"/>
      <c r="J1352" s="4"/>
      <c r="K1352" s="25" t="str">
        <f t="shared" si="62"/>
        <v/>
      </c>
      <c r="L1352" s="7"/>
      <c r="M1352" s="4"/>
      <c r="N1352" s="7"/>
      <c r="O1352" s="4"/>
      <c r="P1352" s="51"/>
      <c r="Q1352" s="51"/>
      <c r="R1352" s="51"/>
      <c r="S1352" s="7"/>
      <c r="T1352" s="7"/>
    </row>
    <row r="1353" spans="1:20" ht="14.25" customHeight="1">
      <c r="A1353" s="4"/>
      <c r="B1353" s="38">
        <v>13584</v>
      </c>
      <c r="C1353" s="22" t="str">
        <f>IFERROR(VLOOKUP(B1353,Colaboradores!A:D,2,),"")</f>
        <v>ALANA RODRIGUES FERREIRA</v>
      </c>
      <c r="D1353" s="22" t="str">
        <f>IFERROR(VLOOKUP(B1353,Colaboradores!A:D,3,),"")</f>
        <v>REGIONAL LESTE</v>
      </c>
      <c r="E1353" s="22" t="str">
        <f>IFERROR(VLOOKUP(B1353,Colaboradores!A:D,4,),"")</f>
        <v>COORDENADOR DE SSMA</v>
      </c>
      <c r="F1353" s="47" t="s">
        <v>54</v>
      </c>
      <c r="G1353" s="24" t="str">
        <f>IFERROR(VLOOKUP(F1353,Procedimentos!A:C,2,),"")</f>
        <v>DIRETRIZES DE IMUNIZAÇÃO OCUPACIONAL</v>
      </c>
      <c r="H1353" s="25"/>
      <c r="I1353" s="51"/>
      <c r="J1353" s="4"/>
      <c r="K1353" s="25" t="str">
        <f t="shared" si="62"/>
        <v/>
      </c>
      <c r="L1353" s="7"/>
      <c r="M1353" s="4"/>
      <c r="N1353" s="7"/>
      <c r="O1353" s="4"/>
      <c r="P1353" s="51"/>
      <c r="Q1353" s="51"/>
      <c r="R1353" s="51"/>
      <c r="S1353" s="7"/>
      <c r="T1353" s="7"/>
    </row>
    <row r="1354" spans="1:20" ht="14.25" customHeight="1">
      <c r="A1354" s="4"/>
      <c r="B1354" s="38">
        <v>13584</v>
      </c>
      <c r="C1354" s="22" t="str">
        <f>IFERROR(VLOOKUP(B1354,Colaboradores!A:D,2,),"")</f>
        <v>ALANA RODRIGUES FERREIRA</v>
      </c>
      <c r="D1354" s="22" t="str">
        <f>IFERROR(VLOOKUP(B1354,Colaboradores!A:D,3,),"")</f>
        <v>REGIONAL LESTE</v>
      </c>
      <c r="E1354" s="22" t="str">
        <f>IFERROR(VLOOKUP(B1354,Colaboradores!A:D,4,),"")</f>
        <v>COORDENADOR DE SSMA</v>
      </c>
      <c r="F1354" s="47" t="s">
        <v>55</v>
      </c>
      <c r="G1354" s="24" t="str">
        <f>IFERROR(VLOOKUP(F1354,Procedimentos!A:C,2,),"")</f>
        <v>DIRETRIZES PARA ACOMPANHAMENTO DE AFASTADOS</v>
      </c>
      <c r="H1354" s="25"/>
      <c r="I1354" s="51"/>
      <c r="J1354" s="4"/>
      <c r="K1354" s="25" t="str">
        <f t="shared" si="62"/>
        <v/>
      </c>
      <c r="L1354" s="7"/>
      <c r="M1354" s="4"/>
      <c r="N1354" s="7"/>
      <c r="O1354" s="4"/>
      <c r="P1354" s="51"/>
      <c r="Q1354" s="51"/>
      <c r="R1354" s="51"/>
      <c r="S1354" s="7"/>
      <c r="T1354" s="7"/>
    </row>
    <row r="1355" spans="1:20" ht="14.25" customHeight="1">
      <c r="A1355" s="4"/>
      <c r="B1355" s="38">
        <v>13584</v>
      </c>
      <c r="C1355" s="22" t="str">
        <f>IFERROR(VLOOKUP(B1355,Colaboradores!A:D,2,),"")</f>
        <v>ALANA RODRIGUES FERREIRA</v>
      </c>
      <c r="D1355" s="22" t="str">
        <f>IFERROR(VLOOKUP(B1355,Colaboradores!A:D,3,),"")</f>
        <v>REGIONAL LESTE</v>
      </c>
      <c r="E1355" s="22" t="str">
        <f>IFERROR(VLOOKUP(B1355,Colaboradores!A:D,4,),"")</f>
        <v>COORDENADOR DE SSMA</v>
      </c>
      <c r="F1355" s="47" t="s">
        <v>67</v>
      </c>
      <c r="G1355" s="24" t="str">
        <f>IFERROR(VLOOKUP(F1355,Procedimentos!A:C,2,),"")</f>
        <v>SISTEMATICA DE ROTINA DE REUNIÕES DA DESSMA</v>
      </c>
      <c r="H1355" s="25"/>
      <c r="I1355" s="51"/>
      <c r="J1355" s="4"/>
      <c r="K1355" s="25" t="str">
        <f t="shared" si="62"/>
        <v/>
      </c>
      <c r="L1355" s="7"/>
      <c r="M1355" s="4"/>
      <c r="N1355" s="7"/>
      <c r="O1355" s="4"/>
      <c r="P1355" s="51"/>
      <c r="Q1355" s="51"/>
      <c r="R1355" s="51"/>
      <c r="S1355" s="7"/>
      <c r="T1355" s="7"/>
    </row>
    <row r="1356" spans="1:20" ht="14.25" customHeight="1">
      <c r="A1356" s="4"/>
      <c r="B1356" s="38">
        <v>13584</v>
      </c>
      <c r="C1356" s="22" t="str">
        <f>IFERROR(VLOOKUP(B1356,Colaboradores!A:D,2,),"")</f>
        <v>ALANA RODRIGUES FERREIRA</v>
      </c>
      <c r="D1356" s="22" t="str">
        <f>IFERROR(VLOOKUP(B1356,Colaboradores!A:D,3,),"")</f>
        <v>REGIONAL LESTE</v>
      </c>
      <c r="E1356" s="22" t="str">
        <f>IFERROR(VLOOKUP(B1356,Colaboradores!A:D,4,),"")</f>
        <v>COORDENADOR DE SSMA</v>
      </c>
      <c r="F1356" s="47" t="s">
        <v>68</v>
      </c>
      <c r="G1356" s="24" t="str">
        <f>IFERROR(VLOOKUP(F1356,Procedimentos!A:C,2,),"")</f>
        <v>GESTÃO INDICADORES</v>
      </c>
      <c r="H1356" s="25"/>
      <c r="I1356" s="51"/>
      <c r="J1356" s="4"/>
      <c r="K1356" s="25" t="str">
        <f t="shared" si="62"/>
        <v/>
      </c>
      <c r="L1356" s="7"/>
      <c r="M1356" s="4"/>
      <c r="N1356" s="7"/>
      <c r="O1356" s="4"/>
      <c r="P1356" s="51"/>
      <c r="Q1356" s="51"/>
      <c r="R1356" s="51"/>
      <c r="S1356" s="7"/>
      <c r="T1356" s="7"/>
    </row>
    <row r="1357" spans="1:20" ht="14.25" customHeight="1">
      <c r="A1357" s="4"/>
      <c r="B1357" s="38">
        <v>13584</v>
      </c>
      <c r="C1357" s="22" t="str">
        <f>IFERROR(VLOOKUP(B1357,Colaboradores!A:D,2,),"")</f>
        <v>ALANA RODRIGUES FERREIRA</v>
      </c>
      <c r="D1357" s="22" t="str">
        <f>IFERROR(VLOOKUP(B1357,Colaboradores!A:D,3,),"")</f>
        <v>REGIONAL LESTE</v>
      </c>
      <c r="E1357" s="22" t="str">
        <f>IFERROR(VLOOKUP(B1357,Colaboradores!A:D,4,),"")</f>
        <v>COORDENADOR DE SSMA</v>
      </c>
      <c r="F1357" s="47" t="s">
        <v>64</v>
      </c>
      <c r="G1357" s="24" t="str">
        <f>IFERROR(VLOOKUP(F1357,Procedimentos!A:C,2,),"")</f>
        <v>AVALIAÇÃO DESEMPENHO</v>
      </c>
      <c r="H1357" s="25"/>
      <c r="I1357" s="51"/>
      <c r="J1357" s="4"/>
      <c r="K1357" s="25" t="str">
        <f t="shared" si="62"/>
        <v/>
      </c>
      <c r="L1357" s="7"/>
      <c r="M1357" s="4"/>
      <c r="N1357" s="7"/>
      <c r="O1357" s="4"/>
      <c r="P1357" s="51"/>
      <c r="Q1357" s="51"/>
      <c r="R1357" s="51"/>
      <c r="S1357" s="7"/>
      <c r="T1357" s="7"/>
    </row>
    <row r="1358" spans="1:20" ht="14.25" customHeight="1">
      <c r="A1358" s="4"/>
      <c r="B1358" s="38">
        <v>13584</v>
      </c>
      <c r="C1358" s="22" t="str">
        <f>IFERROR(VLOOKUP(B1358,Colaboradores!A:D,2,),"")</f>
        <v>ALANA RODRIGUES FERREIRA</v>
      </c>
      <c r="D1358" s="22" t="str">
        <f>IFERROR(VLOOKUP(B1358,Colaboradores!A:D,3,),"")</f>
        <v>REGIONAL LESTE</v>
      </c>
      <c r="E1358" s="22" t="str">
        <f>IFERROR(VLOOKUP(B1358,Colaboradores!A:D,4,),"")</f>
        <v>COORDENADOR DE SSMA</v>
      </c>
      <c r="F1358" s="47" t="s">
        <v>69</v>
      </c>
      <c r="G1358" s="24" t="str">
        <f>IFERROR(VLOOKUP(F1358,Procedimentos!A:C,2,),"")</f>
        <v>PROCEDIMENTO GESTÃO DE MUDANÇA SGQ</v>
      </c>
      <c r="H1358" s="25"/>
      <c r="I1358" s="51"/>
      <c r="J1358" s="4"/>
      <c r="K1358" s="25" t="str">
        <f t="shared" si="62"/>
        <v/>
      </c>
      <c r="L1358" s="7"/>
      <c r="M1358" s="4"/>
      <c r="N1358" s="7"/>
      <c r="O1358" s="4"/>
      <c r="P1358" s="51"/>
      <c r="Q1358" s="51"/>
      <c r="R1358" s="51"/>
      <c r="S1358" s="7"/>
      <c r="T1358" s="7"/>
    </row>
    <row r="1359" spans="1:20" ht="14.25" customHeight="1">
      <c r="A1359" s="4"/>
      <c r="B1359" s="38">
        <v>13584</v>
      </c>
      <c r="C1359" s="22" t="str">
        <f>IFERROR(VLOOKUP(B1359,Colaboradores!A:D,2,),"")</f>
        <v>ALANA RODRIGUES FERREIRA</v>
      </c>
      <c r="D1359" s="22" t="str">
        <f>IFERROR(VLOOKUP(B1359,Colaboradores!A:D,3,),"")</f>
        <v>REGIONAL LESTE</v>
      </c>
      <c r="E1359" s="22" t="str">
        <f>IFERROR(VLOOKUP(B1359,Colaboradores!A:D,4,),"")</f>
        <v>COORDENADOR DE SSMA</v>
      </c>
      <c r="F1359" s="47" t="s">
        <v>73</v>
      </c>
      <c r="G1359" s="24" t="str">
        <f>IFERROR(VLOOKUP(F1359,Procedimentos!A:C,2,),"")</f>
        <v>AQUISIÇÃO DE BENS E SERVIÇOS E AVALIAÇÃO PROVEDORES EXTERNOS</v>
      </c>
      <c r="H1359" s="25"/>
      <c r="I1359" s="51"/>
      <c r="J1359" s="4"/>
      <c r="K1359" s="25" t="str">
        <f t="shared" si="62"/>
        <v/>
      </c>
      <c r="L1359" s="7"/>
      <c r="M1359" s="4"/>
      <c r="N1359" s="7"/>
      <c r="O1359" s="4"/>
      <c r="P1359" s="51"/>
      <c r="Q1359" s="51"/>
      <c r="R1359" s="51"/>
      <c r="S1359" s="7"/>
      <c r="T1359" s="7"/>
    </row>
    <row r="1360" spans="1:20" ht="14.25" customHeight="1">
      <c r="A1360" s="4"/>
      <c r="B1360" s="38">
        <v>13794</v>
      </c>
      <c r="C1360" s="22" t="str">
        <f>IFERROR(VLOOKUP(B1360,Colaboradores!A:D,2,),"")</f>
        <v>ERMANDO VIEIRA DE MOURA NETO</v>
      </c>
      <c r="D1360" s="22" t="str">
        <f>IFERROR(VLOOKUP(B1360,Colaboradores!A:D,3,),"")</f>
        <v>REGIONAL LESTE</v>
      </c>
      <c r="E1360" s="22" t="str">
        <f>IFERROR(VLOOKUP(B1360,Colaboradores!A:D,4,),"")</f>
        <v>MÉDICO DO TRABALHO</v>
      </c>
      <c r="F1360" s="47" t="s">
        <v>19</v>
      </c>
      <c r="G1360" s="24" t="str">
        <f>IFERROR(VLOOKUP(F1360,Procedimentos!A:C,2,),"")</f>
        <v>DIRETRIZES PARA DOCUMENTOS NORMATIVOS</v>
      </c>
      <c r="H1360" s="25"/>
      <c r="I1360" s="51"/>
      <c r="J1360" s="4"/>
      <c r="K1360" s="25" t="str">
        <f t="shared" si="62"/>
        <v/>
      </c>
      <c r="L1360" s="7"/>
      <c r="M1360" s="4"/>
      <c r="N1360" s="7"/>
      <c r="O1360" s="4"/>
      <c r="P1360" s="51"/>
      <c r="Q1360" s="51"/>
      <c r="R1360" s="51"/>
      <c r="S1360" s="7"/>
      <c r="T1360" s="7"/>
    </row>
    <row r="1361" spans="1:20" ht="14.25" customHeight="1">
      <c r="A1361" s="4"/>
      <c r="B1361" s="38">
        <v>13794</v>
      </c>
      <c r="C1361" s="22" t="str">
        <f>IFERROR(VLOOKUP(B1361,Colaboradores!A:D,2,),"")</f>
        <v>ERMANDO VIEIRA DE MOURA NETO</v>
      </c>
      <c r="D1361" s="22" t="str">
        <f>IFERROR(VLOOKUP(B1361,Colaboradores!A:D,3,),"")</f>
        <v>REGIONAL LESTE</v>
      </c>
      <c r="E1361" s="22" t="str">
        <f>IFERROR(VLOOKUP(B1361,Colaboradores!A:D,4,),"")</f>
        <v>MÉDICO DO TRABALHO</v>
      </c>
      <c r="F1361" s="47" t="s">
        <v>49</v>
      </c>
      <c r="G1361" s="24" t="str">
        <f>IFERROR(VLOOKUP(F1361,Procedimentos!A:C,2,),"")</f>
        <v>DIRETRIZES PARA REALIZAÇÃO DE EXAMES OCUPACIONAIS</v>
      </c>
      <c r="H1361" s="25"/>
      <c r="I1361" s="51"/>
      <c r="J1361" s="4"/>
      <c r="K1361" s="25" t="str">
        <f t="shared" si="62"/>
        <v/>
      </c>
      <c r="L1361" s="7"/>
      <c r="M1361" s="4"/>
      <c r="N1361" s="7"/>
      <c r="O1361" s="4"/>
      <c r="P1361" s="51"/>
      <c r="Q1361" s="51"/>
      <c r="R1361" s="51"/>
      <c r="S1361" s="7"/>
      <c r="T1361" s="7"/>
    </row>
    <row r="1362" spans="1:20" ht="14.25" customHeight="1">
      <c r="A1362" s="4"/>
      <c r="B1362" s="38">
        <v>13794</v>
      </c>
      <c r="C1362" s="22" t="str">
        <f>IFERROR(VLOOKUP(B1362,Colaboradores!A:D,2,),"")</f>
        <v>ERMANDO VIEIRA DE MOURA NETO</v>
      </c>
      <c r="D1362" s="22" t="str">
        <f>IFERROR(VLOOKUP(B1362,Colaboradores!A:D,3,),"")</f>
        <v>REGIONAL LESTE</v>
      </c>
      <c r="E1362" s="22" t="str">
        <f>IFERROR(VLOOKUP(B1362,Colaboradores!A:D,4,),"")</f>
        <v>MÉDICO DO TRABALHO</v>
      </c>
      <c r="F1362" s="47" t="s">
        <v>51</v>
      </c>
      <c r="G1362" s="24" t="str">
        <f>IFERROR(VLOOKUP(F1362,Procedimentos!A:C,2,),"")</f>
        <v>DIRETRIZES PARA ENTREGA DE ATESTADOS MÉDICOS E ODONTOLÓGICOS</v>
      </c>
      <c r="H1362" s="25"/>
      <c r="I1362" s="51"/>
      <c r="J1362" s="4"/>
      <c r="K1362" s="25" t="str">
        <f t="shared" si="62"/>
        <v/>
      </c>
      <c r="L1362" s="7"/>
      <c r="M1362" s="4"/>
      <c r="N1362" s="7"/>
      <c r="O1362" s="4"/>
      <c r="P1362" s="51"/>
      <c r="Q1362" s="51"/>
      <c r="R1362" s="51"/>
      <c r="S1362" s="7"/>
      <c r="T1362" s="7"/>
    </row>
    <row r="1363" spans="1:20" ht="14.25" customHeight="1">
      <c r="A1363" s="4"/>
      <c r="B1363" s="38">
        <v>13794</v>
      </c>
      <c r="C1363" s="22" t="str">
        <f>IFERROR(VLOOKUP(B1363,Colaboradores!A:D,2,),"")</f>
        <v>ERMANDO VIEIRA DE MOURA NETO</v>
      </c>
      <c r="D1363" s="22" t="str">
        <f>IFERROR(VLOOKUP(B1363,Colaboradores!A:D,3,),"")</f>
        <v>REGIONAL LESTE</v>
      </c>
      <c r="E1363" s="22" t="str">
        <f>IFERROR(VLOOKUP(B1363,Colaboradores!A:D,4,),"")</f>
        <v>MÉDICO DO TRABALHO</v>
      </c>
      <c r="F1363" s="47" t="s">
        <v>52</v>
      </c>
      <c r="G1363" s="24" t="str">
        <f>IFERROR(VLOOKUP(F1363,Procedimentos!A:C,2,),"")</f>
        <v>DIRETRIZES E ACOMPANHAMENTO  DE ACIDENTE COM MATERIAL BIOLOGICO</v>
      </c>
      <c r="H1363" s="25"/>
      <c r="I1363" s="51"/>
      <c r="J1363" s="4"/>
      <c r="K1363" s="25" t="str">
        <f t="shared" si="62"/>
        <v/>
      </c>
      <c r="L1363" s="7"/>
      <c r="M1363" s="4"/>
      <c r="N1363" s="7"/>
      <c r="O1363" s="4"/>
      <c r="P1363" s="51"/>
      <c r="Q1363" s="51"/>
      <c r="R1363" s="51"/>
      <c r="S1363" s="7"/>
      <c r="T1363" s="7"/>
    </row>
    <row r="1364" spans="1:20" ht="14.25" customHeight="1">
      <c r="A1364" s="4"/>
      <c r="B1364" s="38">
        <v>13794</v>
      </c>
      <c r="C1364" s="22" t="str">
        <f>IFERROR(VLOOKUP(B1364,Colaboradores!A:D,2,),"")</f>
        <v>ERMANDO VIEIRA DE MOURA NETO</v>
      </c>
      <c r="D1364" s="22" t="str">
        <f>IFERROR(VLOOKUP(B1364,Colaboradores!A:D,3,),"")</f>
        <v>REGIONAL LESTE</v>
      </c>
      <c r="E1364" s="22" t="str">
        <f>IFERROR(VLOOKUP(B1364,Colaboradores!A:D,4,),"")</f>
        <v>MÉDICO DO TRABALHO</v>
      </c>
      <c r="F1364" s="47" t="s">
        <v>53</v>
      </c>
      <c r="G1364" s="24" t="str">
        <f>IFERROR(VLOOKUP(F1364,Procedimentos!A:C,2,),"")</f>
        <v>DIRETRIZES PARA MONITORAMENTO DE GESTANTE</v>
      </c>
      <c r="H1364" s="25"/>
      <c r="I1364" s="51"/>
      <c r="J1364" s="4"/>
      <c r="K1364" s="25" t="str">
        <f t="shared" si="62"/>
        <v/>
      </c>
      <c r="L1364" s="7"/>
      <c r="M1364" s="4"/>
      <c r="N1364" s="7"/>
      <c r="O1364" s="4"/>
      <c r="P1364" s="51"/>
      <c r="Q1364" s="51"/>
      <c r="R1364" s="51"/>
      <c r="S1364" s="7"/>
      <c r="T1364" s="7"/>
    </row>
    <row r="1365" spans="1:20" ht="14.25" customHeight="1">
      <c r="A1365" s="4"/>
      <c r="B1365" s="38">
        <v>13794</v>
      </c>
      <c r="C1365" s="22" t="str">
        <f>IFERROR(VLOOKUP(B1365,Colaboradores!A:D,2,),"")</f>
        <v>ERMANDO VIEIRA DE MOURA NETO</v>
      </c>
      <c r="D1365" s="22" t="str">
        <f>IFERROR(VLOOKUP(B1365,Colaboradores!A:D,3,),"")</f>
        <v>REGIONAL LESTE</v>
      </c>
      <c r="E1365" s="22" t="str">
        <f>IFERROR(VLOOKUP(B1365,Colaboradores!A:D,4,),"")</f>
        <v>MÉDICO DO TRABALHO</v>
      </c>
      <c r="F1365" s="47" t="s">
        <v>54</v>
      </c>
      <c r="G1365" s="24" t="str">
        <f>IFERROR(VLOOKUP(F1365,Procedimentos!A:C,2,),"")</f>
        <v>DIRETRIZES DE IMUNIZAÇÃO OCUPACIONAL</v>
      </c>
      <c r="H1365" s="25"/>
      <c r="I1365" s="51"/>
      <c r="J1365" s="4"/>
      <c r="K1365" s="25" t="str">
        <f t="shared" si="62"/>
        <v/>
      </c>
      <c r="L1365" s="7"/>
      <c r="M1365" s="4"/>
      <c r="N1365" s="7"/>
      <c r="O1365" s="4"/>
      <c r="P1365" s="51"/>
      <c r="Q1365" s="51"/>
      <c r="R1365" s="51"/>
      <c r="S1365" s="7"/>
      <c r="T1365" s="7"/>
    </row>
    <row r="1366" spans="1:20" ht="14.25" customHeight="1">
      <c r="A1366" s="4"/>
      <c r="B1366" s="38">
        <v>13794</v>
      </c>
      <c r="C1366" s="22" t="str">
        <f>IFERROR(VLOOKUP(B1366,Colaboradores!A:D,2,),"")</f>
        <v>ERMANDO VIEIRA DE MOURA NETO</v>
      </c>
      <c r="D1366" s="22" t="str">
        <f>IFERROR(VLOOKUP(B1366,Colaboradores!A:D,3,),"")</f>
        <v>REGIONAL LESTE</v>
      </c>
      <c r="E1366" s="22" t="str">
        <f>IFERROR(VLOOKUP(B1366,Colaboradores!A:D,4,),"")</f>
        <v>MÉDICO DO TRABALHO</v>
      </c>
      <c r="F1366" s="47" t="s">
        <v>55</v>
      </c>
      <c r="G1366" s="24" t="str">
        <f>IFERROR(VLOOKUP(F1366,Procedimentos!A:C,2,),"")</f>
        <v>DIRETRIZES PARA ACOMPANHAMENTO DE AFASTADOS</v>
      </c>
      <c r="H1366" s="25"/>
      <c r="I1366" s="51"/>
      <c r="J1366" s="4"/>
      <c r="K1366" s="25" t="str">
        <f t="shared" si="62"/>
        <v/>
      </c>
      <c r="L1366" s="7"/>
      <c r="M1366" s="4"/>
      <c r="N1366" s="7"/>
      <c r="O1366" s="4"/>
      <c r="P1366" s="51"/>
      <c r="Q1366" s="51"/>
      <c r="R1366" s="51"/>
      <c r="S1366" s="7"/>
      <c r="T1366" s="7"/>
    </row>
    <row r="1367" spans="1:20" ht="14.25" customHeight="1">
      <c r="A1367" s="4"/>
      <c r="B1367" s="38">
        <v>14356</v>
      </c>
      <c r="C1367" s="22" t="str">
        <f>IFERROR(VLOOKUP(B1367,Colaboradores!A:D,2,),"")</f>
        <v>JACILENE BELO LIMA</v>
      </c>
      <c r="D1367" s="22" t="str">
        <f>IFERROR(VLOOKUP(B1367,Colaboradores!A:D,3,),"")</f>
        <v>REGIONAL LESTE</v>
      </c>
      <c r="E1367" s="22" t="str">
        <f>IFERROR(VLOOKUP(B1367,Colaboradores!A:D,4,),"")</f>
        <v>ASSISTENTE ADMINISTRATIVO</v>
      </c>
      <c r="F1367" s="47" t="s">
        <v>41</v>
      </c>
      <c r="G1367" s="24" t="str">
        <f>IFERROR(VLOOKUP(F1367,Procedimentos!A:C,2,),"")</f>
        <v>DIRETRIZES PARA COMUNICAÇÃO E INVESTIGAÇÃO DE ACIDENTES</v>
      </c>
      <c r="H1367" s="25"/>
      <c r="I1367" s="51"/>
      <c r="J1367" s="4"/>
      <c r="K1367" s="25" t="str">
        <f t="shared" si="62"/>
        <v/>
      </c>
      <c r="L1367" s="7"/>
      <c r="M1367" s="4"/>
      <c r="N1367" s="7"/>
      <c r="O1367" s="4"/>
      <c r="P1367" s="51"/>
      <c r="Q1367" s="51"/>
      <c r="R1367" s="51"/>
      <c r="S1367" s="7"/>
      <c r="T1367" s="7"/>
    </row>
    <row r="1368" spans="1:20" ht="14.25" customHeight="1">
      <c r="A1368" s="4"/>
      <c r="B1368" s="38">
        <v>14356</v>
      </c>
      <c r="C1368" s="22" t="str">
        <f>IFERROR(VLOOKUP(B1368,Colaboradores!A:D,2,),"")</f>
        <v>JACILENE BELO LIMA</v>
      </c>
      <c r="D1368" s="22" t="str">
        <f>IFERROR(VLOOKUP(B1368,Colaboradores!A:D,3,),"")</f>
        <v>REGIONAL LESTE</v>
      </c>
      <c r="E1368" s="22" t="str">
        <f>IFERROR(VLOOKUP(B1368,Colaboradores!A:D,4,),"")</f>
        <v>ASSISTENTE ADMINISTRATIVO</v>
      </c>
      <c r="F1368" s="47" t="s">
        <v>44</v>
      </c>
      <c r="G1368" s="24" t="str">
        <f>IFERROR(VLOOKUP(F1368,Procedimentos!A:C,2,),"")</f>
        <v>DIRETRIZES PARA GESTÃO DE EQUIPAMENTOS DE PROTEÇÃO INDIVIDUAL - EPI'S</v>
      </c>
      <c r="H1368" s="25"/>
      <c r="I1368" s="51"/>
      <c r="J1368" s="4"/>
      <c r="K1368" s="25" t="str">
        <f t="shared" si="62"/>
        <v/>
      </c>
      <c r="L1368" s="7"/>
      <c r="M1368" s="4"/>
      <c r="N1368" s="7"/>
      <c r="O1368" s="4"/>
      <c r="P1368" s="51"/>
      <c r="Q1368" s="51"/>
      <c r="R1368" s="51"/>
      <c r="S1368" s="7"/>
      <c r="T1368" s="7"/>
    </row>
    <row r="1369" spans="1:20" ht="14.25" customHeight="1">
      <c r="A1369" s="4"/>
      <c r="B1369" s="38">
        <v>14356</v>
      </c>
      <c r="C1369" s="22" t="str">
        <f>IFERROR(VLOOKUP(B1369,Colaboradores!A:D,2,),"")</f>
        <v>JACILENE BELO LIMA</v>
      </c>
      <c r="D1369" s="22" t="str">
        <f>IFERROR(VLOOKUP(B1369,Colaboradores!A:D,3,),"")</f>
        <v>REGIONAL LESTE</v>
      </c>
      <c r="E1369" s="22" t="str">
        <f>IFERROR(VLOOKUP(B1369,Colaboradores!A:D,4,),"")</f>
        <v>ASSISTENTE ADMINISTRATIVO</v>
      </c>
      <c r="F1369" s="47" t="s">
        <v>45</v>
      </c>
      <c r="G1369" s="24" t="str">
        <f>IFERROR(VLOOKUP(F1369,Procedimentos!A:C,2,),"")</f>
        <v>CONSTITUIÇÃO INTERNA DE PREVENÇÃO DE ACIDENTES E DE ASSÉDIOS - CIPA</v>
      </c>
      <c r="H1369" s="25"/>
      <c r="I1369" s="51"/>
      <c r="J1369" s="4"/>
      <c r="K1369" s="25" t="str">
        <f t="shared" si="62"/>
        <v/>
      </c>
      <c r="L1369" s="7"/>
      <c r="M1369" s="4"/>
      <c r="N1369" s="7"/>
      <c r="O1369" s="4"/>
      <c r="P1369" s="51"/>
      <c r="Q1369" s="51"/>
      <c r="R1369" s="51"/>
      <c r="S1369" s="7"/>
      <c r="T1369" s="7"/>
    </row>
    <row r="1370" spans="1:20" ht="14.25" customHeight="1">
      <c r="A1370" s="4"/>
      <c r="B1370" s="38">
        <v>14357</v>
      </c>
      <c r="C1370" s="22" t="str">
        <f>IFERROR(VLOOKUP(B1370,Colaboradores!A:D,2,),"")</f>
        <v>JAIME VIEIRA GALVAO</v>
      </c>
      <c r="D1370" s="22" t="str">
        <f>IFERROR(VLOOKUP(B1370,Colaboradores!A:D,3,),"")</f>
        <v>REGIONAL LESTE</v>
      </c>
      <c r="E1370" s="22" t="str">
        <f>IFERROR(VLOOKUP(B1370,Colaboradores!A:D,4,),"")</f>
        <v>ENFERMEIRO DO TRABALHO</v>
      </c>
      <c r="F1370" s="47" t="s">
        <v>19</v>
      </c>
      <c r="G1370" s="24" t="str">
        <f>IFERROR(VLOOKUP(F1370,Procedimentos!A:C,2,),"")</f>
        <v>DIRETRIZES PARA DOCUMENTOS NORMATIVOS</v>
      </c>
      <c r="H1370" s="25"/>
      <c r="I1370" s="51"/>
      <c r="J1370" s="4"/>
      <c r="K1370" s="25" t="str">
        <f t="shared" si="62"/>
        <v/>
      </c>
      <c r="L1370" s="7"/>
      <c r="M1370" s="4"/>
      <c r="N1370" s="7"/>
      <c r="O1370" s="4"/>
      <c r="P1370" s="51"/>
      <c r="Q1370" s="51"/>
      <c r="R1370" s="51"/>
      <c r="S1370" s="7"/>
      <c r="T1370" s="7"/>
    </row>
    <row r="1371" spans="1:20" ht="14.25" customHeight="1">
      <c r="A1371" s="4"/>
      <c r="B1371" s="38">
        <v>14357</v>
      </c>
      <c r="C1371" s="22" t="str">
        <f>IFERROR(VLOOKUP(B1371,Colaboradores!A:D,2,),"")</f>
        <v>JAIME VIEIRA GALVAO</v>
      </c>
      <c r="D1371" s="22" t="str">
        <f>IFERROR(VLOOKUP(B1371,Colaboradores!A:D,3,),"")</f>
        <v>REGIONAL LESTE</v>
      </c>
      <c r="E1371" s="22" t="str">
        <f>IFERROR(VLOOKUP(B1371,Colaboradores!A:D,4,),"")</f>
        <v>ENFERMEIRO DO TRABALHO</v>
      </c>
      <c r="F1371" s="47" t="s">
        <v>24</v>
      </c>
      <c r="G1371" s="24" t="str">
        <f>IFERROR(VLOOKUP(F1371,Procedimentos!A:C,2,),"")</f>
        <v>DIRETRIZES  PARA PROGRAMA 5S</v>
      </c>
      <c r="H1371" s="25"/>
      <c r="I1371" s="51"/>
      <c r="J1371" s="4"/>
      <c r="K1371" s="25" t="str">
        <f t="shared" si="62"/>
        <v/>
      </c>
      <c r="L1371" s="7"/>
      <c r="M1371" s="4"/>
      <c r="N1371" s="7"/>
      <c r="O1371" s="4"/>
      <c r="P1371" s="51"/>
      <c r="Q1371" s="51"/>
      <c r="R1371" s="51"/>
      <c r="S1371" s="7"/>
      <c r="T1371" s="7"/>
    </row>
    <row r="1372" spans="1:20" ht="14.25" customHeight="1">
      <c r="A1372" s="4"/>
      <c r="B1372" s="38">
        <v>14357</v>
      </c>
      <c r="C1372" s="22" t="str">
        <f>IFERROR(VLOOKUP(B1372,Colaboradores!A:D,2,),"")</f>
        <v>JAIME VIEIRA GALVAO</v>
      </c>
      <c r="D1372" s="22" t="str">
        <f>IFERROR(VLOOKUP(B1372,Colaboradores!A:D,3,),"")</f>
        <v>REGIONAL LESTE</v>
      </c>
      <c r="E1372" s="22" t="str">
        <f>IFERROR(VLOOKUP(B1372,Colaboradores!A:D,4,),"")</f>
        <v>ENFERMEIRO DO TRABALHO</v>
      </c>
      <c r="F1372" s="47" t="s">
        <v>25</v>
      </c>
      <c r="G1372" s="24" t="str">
        <f>IFERROR(VLOOKUP(F1372,Procedimentos!A:C,2,),"")</f>
        <v>GARANTIA DA QUALIDADE</v>
      </c>
      <c r="H1372" s="25"/>
      <c r="I1372" s="51"/>
      <c r="J1372" s="4"/>
      <c r="K1372" s="25" t="str">
        <f t="shared" si="62"/>
        <v/>
      </c>
      <c r="L1372" s="7"/>
      <c r="M1372" s="4"/>
      <c r="N1372" s="7"/>
      <c r="O1372" s="4"/>
      <c r="P1372" s="51"/>
      <c r="Q1372" s="51"/>
      <c r="R1372" s="51"/>
      <c r="S1372" s="7"/>
      <c r="T1372" s="7"/>
    </row>
    <row r="1373" spans="1:20" ht="14.25" customHeight="1">
      <c r="A1373" s="4"/>
      <c r="B1373" s="38">
        <v>14357</v>
      </c>
      <c r="C1373" s="22" t="str">
        <f>IFERROR(VLOOKUP(B1373,Colaboradores!A:D,2,),"")</f>
        <v>JAIME VIEIRA GALVAO</v>
      </c>
      <c r="D1373" s="22" t="str">
        <f>IFERROR(VLOOKUP(B1373,Colaboradores!A:D,3,),"")</f>
        <v>REGIONAL LESTE</v>
      </c>
      <c r="E1373" s="22" t="str">
        <f>IFERROR(VLOOKUP(B1373,Colaboradores!A:D,4,),"")</f>
        <v>ENFERMEIRO DO TRABALHO</v>
      </c>
      <c r="F1373" s="47" t="s">
        <v>26</v>
      </c>
      <c r="G1373" s="24" t="str">
        <f>IFERROR(VLOOKUP(F1373,Procedimentos!A:C,2,),"")</f>
        <v>RESPONSABILIDADES E AUTORIDADES DO SGQ</v>
      </c>
      <c r="H1373" s="25"/>
      <c r="I1373" s="51"/>
      <c r="J1373" s="4"/>
      <c r="K1373" s="25" t="str">
        <f t="shared" si="62"/>
        <v/>
      </c>
      <c r="L1373" s="7"/>
      <c r="M1373" s="4"/>
      <c r="N1373" s="7"/>
      <c r="O1373" s="4"/>
      <c r="P1373" s="51"/>
      <c r="Q1373" s="51"/>
      <c r="R1373" s="51"/>
      <c r="S1373" s="7"/>
      <c r="T1373" s="7"/>
    </row>
    <row r="1374" spans="1:20" ht="14.25" customHeight="1">
      <c r="A1374" s="4"/>
      <c r="B1374" s="38">
        <v>14357</v>
      </c>
      <c r="C1374" s="22" t="str">
        <f>IFERROR(VLOOKUP(B1374,Colaboradores!A:D,2,),"")</f>
        <v>JAIME VIEIRA GALVAO</v>
      </c>
      <c r="D1374" s="22" t="str">
        <f>IFERROR(VLOOKUP(B1374,Colaboradores!A:D,3,),"")</f>
        <v>REGIONAL LESTE</v>
      </c>
      <c r="E1374" s="22" t="str">
        <f>IFERROR(VLOOKUP(B1374,Colaboradores!A:D,4,),"")</f>
        <v>ENFERMEIRO DO TRABALHO</v>
      </c>
      <c r="F1374" s="47" t="s">
        <v>82</v>
      </c>
      <c r="G1374" s="24" t="str">
        <f>IFERROR(VLOOKUP(F1374,Procedimentos!A:C,2,),"")</f>
        <v/>
      </c>
      <c r="H1374" s="25"/>
      <c r="I1374" s="51"/>
      <c r="J1374" s="4"/>
      <c r="K1374" s="25" t="str">
        <f t="shared" si="62"/>
        <v/>
      </c>
      <c r="L1374" s="7"/>
      <c r="M1374" s="4"/>
      <c r="N1374" s="7"/>
      <c r="O1374" s="4"/>
      <c r="P1374" s="51"/>
      <c r="Q1374" s="51"/>
      <c r="R1374" s="51"/>
      <c r="S1374" s="7"/>
      <c r="T1374" s="7"/>
    </row>
    <row r="1375" spans="1:20" ht="14.25" customHeight="1">
      <c r="A1375" s="4"/>
      <c r="B1375" s="38">
        <v>14357</v>
      </c>
      <c r="C1375" s="22" t="str">
        <f>IFERROR(VLOOKUP(B1375,Colaboradores!A:D,2,),"")</f>
        <v>JAIME VIEIRA GALVAO</v>
      </c>
      <c r="D1375" s="22" t="str">
        <f>IFERROR(VLOOKUP(B1375,Colaboradores!A:D,3,),"")</f>
        <v>REGIONAL LESTE</v>
      </c>
      <c r="E1375" s="22" t="str">
        <f>IFERROR(VLOOKUP(B1375,Colaboradores!A:D,4,),"")</f>
        <v>ENFERMEIRO DO TRABALHO</v>
      </c>
      <c r="F1375" s="47" t="s">
        <v>43</v>
      </c>
      <c r="G1375" s="24" t="str">
        <f>IFERROR(VLOOKUP(F1375,Procedimentos!A:C,2,),"")</f>
        <v>DIÁLOGO DE SAÚDE E SEGURANÇA - DSS</v>
      </c>
      <c r="H1375" s="25"/>
      <c r="I1375" s="51"/>
      <c r="J1375" s="4"/>
      <c r="K1375" s="25" t="str">
        <f t="shared" si="62"/>
        <v/>
      </c>
      <c r="L1375" s="7"/>
      <c r="M1375" s="4"/>
      <c r="N1375" s="7"/>
      <c r="O1375" s="4"/>
      <c r="P1375" s="51"/>
      <c r="Q1375" s="51"/>
      <c r="R1375" s="51"/>
      <c r="S1375" s="7"/>
      <c r="T1375" s="7"/>
    </row>
    <row r="1376" spans="1:20" ht="14.25" customHeight="1">
      <c r="A1376" s="4"/>
      <c r="B1376" s="38">
        <v>14357</v>
      </c>
      <c r="C1376" s="22" t="str">
        <f>IFERROR(VLOOKUP(B1376,Colaboradores!A:D,2,),"")</f>
        <v>JAIME VIEIRA GALVAO</v>
      </c>
      <c r="D1376" s="22" t="str">
        <f>IFERROR(VLOOKUP(B1376,Colaboradores!A:D,3,),"")</f>
        <v>REGIONAL LESTE</v>
      </c>
      <c r="E1376" s="22" t="str">
        <f>IFERROR(VLOOKUP(B1376,Colaboradores!A:D,4,),"")</f>
        <v>ENFERMEIRO DO TRABALHO</v>
      </c>
      <c r="F1376" s="47" t="s">
        <v>44</v>
      </c>
      <c r="G1376" s="24" t="str">
        <f>IFERROR(VLOOKUP(F1376,Procedimentos!A:C,2,),"")</f>
        <v>DIRETRIZES PARA GESTÃO DE EQUIPAMENTOS DE PROTEÇÃO INDIVIDUAL - EPI'S</v>
      </c>
      <c r="H1376" s="25"/>
      <c r="I1376" s="51"/>
      <c r="J1376" s="4"/>
      <c r="K1376" s="25" t="str">
        <f t="shared" si="62"/>
        <v/>
      </c>
      <c r="L1376" s="7"/>
      <c r="M1376" s="4"/>
      <c r="N1376" s="7"/>
      <c r="O1376" s="4"/>
      <c r="P1376" s="51"/>
      <c r="Q1376" s="51"/>
      <c r="R1376" s="51"/>
      <c r="S1376" s="7"/>
      <c r="T1376" s="7"/>
    </row>
    <row r="1377" spans="1:20" ht="14.25" customHeight="1">
      <c r="A1377" s="4"/>
      <c r="B1377" s="38">
        <v>14357</v>
      </c>
      <c r="C1377" s="22" t="str">
        <f>IFERROR(VLOOKUP(B1377,Colaboradores!A:D,2,),"")</f>
        <v>JAIME VIEIRA GALVAO</v>
      </c>
      <c r="D1377" s="22" t="str">
        <f>IFERROR(VLOOKUP(B1377,Colaboradores!A:D,3,),"")</f>
        <v>REGIONAL LESTE</v>
      </c>
      <c r="E1377" s="22" t="str">
        <f>IFERROR(VLOOKUP(B1377,Colaboradores!A:D,4,),"")</f>
        <v>ENFERMEIRO DO TRABALHO</v>
      </c>
      <c r="F1377" s="47" t="s">
        <v>45</v>
      </c>
      <c r="G1377" s="24" t="str">
        <f>IFERROR(VLOOKUP(F1377,Procedimentos!A:C,2,),"")</f>
        <v>CONSTITUIÇÃO INTERNA DE PREVENÇÃO DE ACIDENTES E DE ASSÉDIOS - CIPA</v>
      </c>
      <c r="H1377" s="25"/>
      <c r="I1377" s="51"/>
      <c r="J1377" s="4"/>
      <c r="K1377" s="25" t="str">
        <f t="shared" si="62"/>
        <v/>
      </c>
      <c r="L1377" s="7"/>
      <c r="M1377" s="4"/>
      <c r="N1377" s="7"/>
      <c r="O1377" s="4"/>
      <c r="P1377" s="51"/>
      <c r="Q1377" s="51"/>
      <c r="R1377" s="51"/>
      <c r="S1377" s="7"/>
      <c r="T1377" s="7"/>
    </row>
    <row r="1378" spans="1:20" ht="14.25" customHeight="1">
      <c r="A1378" s="4"/>
      <c r="B1378" s="38">
        <v>14357</v>
      </c>
      <c r="C1378" s="22" t="str">
        <f>IFERROR(VLOOKUP(B1378,Colaboradores!A:D,2,),"")</f>
        <v>JAIME VIEIRA GALVAO</v>
      </c>
      <c r="D1378" s="22" t="str">
        <f>IFERROR(VLOOKUP(B1378,Colaboradores!A:D,3,),"")</f>
        <v>REGIONAL LESTE</v>
      </c>
      <c r="E1378" s="22" t="str">
        <f>IFERROR(VLOOKUP(B1378,Colaboradores!A:D,4,),"")</f>
        <v>ENFERMEIRO DO TRABALHO</v>
      </c>
      <c r="F1378" s="47" t="s">
        <v>59</v>
      </c>
      <c r="G1378" s="24" t="str">
        <f>IFERROR(VLOOKUP(F1378,Procedimentos!A:C,2,),"")</f>
        <v>GERENCIAMENTO DE RISCOS DE SAÚDE, SEGURANÇA E PROCESSOS</v>
      </c>
      <c r="H1378" s="25"/>
      <c r="I1378" s="51"/>
      <c r="J1378" s="4"/>
      <c r="K1378" s="25" t="str">
        <f t="shared" si="62"/>
        <v/>
      </c>
      <c r="L1378" s="7"/>
      <c r="M1378" s="4"/>
      <c r="N1378" s="7"/>
      <c r="O1378" s="4"/>
      <c r="P1378" s="51"/>
      <c r="Q1378" s="51"/>
      <c r="R1378" s="51"/>
      <c r="S1378" s="7"/>
      <c r="T1378" s="7"/>
    </row>
    <row r="1379" spans="1:20" ht="14.25" customHeight="1">
      <c r="A1379" s="4"/>
      <c r="B1379" s="38">
        <v>14357</v>
      </c>
      <c r="C1379" s="22" t="str">
        <f>IFERROR(VLOOKUP(B1379,Colaboradores!A:D,2,),"")</f>
        <v>JAIME VIEIRA GALVAO</v>
      </c>
      <c r="D1379" s="22" t="str">
        <f>IFERROR(VLOOKUP(B1379,Colaboradores!A:D,3,),"")</f>
        <v>REGIONAL LESTE</v>
      </c>
      <c r="E1379" s="22" t="str">
        <f>IFERROR(VLOOKUP(B1379,Colaboradores!A:D,4,),"")</f>
        <v>ENFERMEIRO DO TRABALHO</v>
      </c>
      <c r="F1379" s="47" t="s">
        <v>61</v>
      </c>
      <c r="G1379" s="24" t="str">
        <f>IFERROR(VLOOKUP(F1379,Procedimentos!A:C,2,),"")</f>
        <v>PROCEDIMENTO DE INSPEÇÃO DE SEGURANÇA</v>
      </c>
      <c r="H1379" s="25"/>
      <c r="I1379" s="51"/>
      <c r="J1379" s="4"/>
      <c r="K1379" s="25" t="str">
        <f t="shared" si="62"/>
        <v/>
      </c>
      <c r="L1379" s="7"/>
      <c r="M1379" s="4"/>
      <c r="N1379" s="7"/>
      <c r="O1379" s="4"/>
      <c r="P1379" s="51"/>
      <c r="Q1379" s="51"/>
      <c r="R1379" s="51"/>
      <c r="S1379" s="7"/>
      <c r="T1379" s="7"/>
    </row>
    <row r="1380" spans="1:20" ht="14.25" customHeight="1">
      <c r="A1380" s="4"/>
      <c r="B1380" s="38">
        <v>14357</v>
      </c>
      <c r="C1380" s="22" t="str">
        <f>IFERROR(VLOOKUP(B1380,Colaboradores!A:D,2,),"")</f>
        <v>JAIME VIEIRA GALVAO</v>
      </c>
      <c r="D1380" s="22" t="str">
        <f>IFERROR(VLOOKUP(B1380,Colaboradores!A:D,3,),"")</f>
        <v>REGIONAL LESTE</v>
      </c>
      <c r="E1380" s="22" t="str">
        <f>IFERROR(VLOOKUP(B1380,Colaboradores!A:D,4,),"")</f>
        <v>ENFERMEIRO DO TRABALHO</v>
      </c>
      <c r="F1380" s="47" t="s">
        <v>29</v>
      </c>
      <c r="G1380" s="24" t="str">
        <f>IFERROR(VLOOKUP(F1380,Procedimentos!A:C,2,),"")</f>
        <v>COLETA SELETIVA DESSMA</v>
      </c>
      <c r="H1380" s="25"/>
      <c r="I1380" s="51"/>
      <c r="J1380" s="4"/>
      <c r="K1380" s="25" t="str">
        <f t="shared" si="62"/>
        <v/>
      </c>
      <c r="L1380" s="7"/>
      <c r="M1380" s="4"/>
      <c r="N1380" s="7"/>
      <c r="O1380" s="4"/>
      <c r="P1380" s="51"/>
      <c r="Q1380" s="51"/>
      <c r="R1380" s="51"/>
      <c r="S1380" s="7"/>
      <c r="T1380" s="7"/>
    </row>
    <row r="1381" spans="1:20" ht="14.25" customHeight="1">
      <c r="A1381" s="4"/>
      <c r="B1381" s="38">
        <v>14357</v>
      </c>
      <c r="C1381" s="22" t="str">
        <f>IFERROR(VLOOKUP(B1381,Colaboradores!A:D,2,),"")</f>
        <v>JAIME VIEIRA GALVAO</v>
      </c>
      <c r="D1381" s="22" t="str">
        <f>IFERROR(VLOOKUP(B1381,Colaboradores!A:D,3,),"")</f>
        <v>REGIONAL LESTE</v>
      </c>
      <c r="E1381" s="22" t="str">
        <f>IFERROR(VLOOKUP(B1381,Colaboradores!A:D,4,),"")</f>
        <v>ENFERMEIRO DO TRABALHO</v>
      </c>
      <c r="F1381" s="47" t="s">
        <v>36</v>
      </c>
      <c r="G1381" s="24" t="str">
        <f>IFERROR(VLOOKUP(F1381,Procedimentos!A:C,2,),"")</f>
        <v>GESTÃO DE PRODUTOS QUÍMICOS</v>
      </c>
      <c r="H1381" s="25"/>
      <c r="I1381" s="51"/>
      <c r="J1381" s="4"/>
      <c r="K1381" s="25" t="str">
        <f t="shared" si="62"/>
        <v/>
      </c>
      <c r="L1381" s="7"/>
      <c r="M1381" s="4"/>
      <c r="N1381" s="7"/>
      <c r="O1381" s="4"/>
      <c r="P1381" s="51"/>
      <c r="Q1381" s="51"/>
      <c r="R1381" s="51"/>
      <c r="S1381" s="7"/>
      <c r="T1381" s="7"/>
    </row>
    <row r="1382" spans="1:20" ht="14.25" customHeight="1">
      <c r="A1382" s="4"/>
      <c r="B1382" s="38">
        <v>14357</v>
      </c>
      <c r="C1382" s="22" t="str">
        <f>IFERROR(VLOOKUP(B1382,Colaboradores!A:D,2,),"")</f>
        <v>JAIME VIEIRA GALVAO</v>
      </c>
      <c r="D1382" s="22" t="str">
        <f>IFERROR(VLOOKUP(B1382,Colaboradores!A:D,3,),"")</f>
        <v>REGIONAL LESTE</v>
      </c>
      <c r="E1382" s="22" t="str">
        <f>IFERROR(VLOOKUP(B1382,Colaboradores!A:D,4,),"")</f>
        <v>ENFERMEIRO DO TRABALHO</v>
      </c>
      <c r="F1382" s="47" t="s">
        <v>32</v>
      </c>
      <c r="G1382" s="24" t="str">
        <f>IFERROR(VLOOKUP(F1382,Procedimentos!A:C,2,),"")</f>
        <v>GESTÃO DE LEVANTAMENTO DE ASPECTOS E IMPACTOS AMBIENTAIS</v>
      </c>
      <c r="H1382" s="25"/>
      <c r="I1382" s="51"/>
      <c r="J1382" s="4"/>
      <c r="K1382" s="25" t="str">
        <f t="shared" si="62"/>
        <v/>
      </c>
      <c r="L1382" s="7"/>
      <c r="M1382" s="4"/>
      <c r="N1382" s="7"/>
      <c r="O1382" s="4"/>
      <c r="P1382" s="51"/>
      <c r="Q1382" s="51"/>
      <c r="R1382" s="51"/>
      <c r="S1382" s="7"/>
      <c r="T1382" s="7"/>
    </row>
    <row r="1383" spans="1:20" ht="14.25" customHeight="1">
      <c r="A1383" s="4"/>
      <c r="B1383" s="38">
        <v>14357</v>
      </c>
      <c r="C1383" s="22" t="str">
        <f>IFERROR(VLOOKUP(B1383,Colaboradores!A:D,2,),"")</f>
        <v>JAIME VIEIRA GALVAO</v>
      </c>
      <c r="D1383" s="22" t="str">
        <f>IFERROR(VLOOKUP(B1383,Colaboradores!A:D,3,),"")</f>
        <v>REGIONAL LESTE</v>
      </c>
      <c r="E1383" s="22" t="str">
        <f>IFERROR(VLOOKUP(B1383,Colaboradores!A:D,4,),"")</f>
        <v>ENFERMEIRO DO TRABALHO</v>
      </c>
      <c r="F1383" s="47" t="s">
        <v>31</v>
      </c>
      <c r="G1383" s="24" t="str">
        <f>IFERROR(VLOOKUP(F1383,Procedimentos!A:C,2,),"")</f>
        <v>GESTÃO DE COMUNICAÇÃO, CLASSIFICAÇÃO E INVESTIGAÇÃO DE OCORRÊNCIAS AMBIENTAIS</v>
      </c>
      <c r="H1383" s="25"/>
      <c r="I1383" s="51"/>
      <c r="J1383" s="4"/>
      <c r="K1383" s="25" t="str">
        <f t="shared" si="62"/>
        <v/>
      </c>
      <c r="L1383" s="7"/>
      <c r="M1383" s="4"/>
      <c r="N1383" s="7"/>
      <c r="O1383" s="4"/>
      <c r="P1383" s="51"/>
      <c r="Q1383" s="51"/>
      <c r="R1383" s="51"/>
      <c r="S1383" s="7"/>
      <c r="T1383" s="7"/>
    </row>
    <row r="1384" spans="1:20" ht="14.25" customHeight="1">
      <c r="A1384" s="4"/>
      <c r="B1384" s="38">
        <v>14357</v>
      </c>
      <c r="C1384" s="22" t="str">
        <f>IFERROR(VLOOKUP(B1384,Colaboradores!A:D,2,),"")</f>
        <v>JAIME VIEIRA GALVAO</v>
      </c>
      <c r="D1384" s="22" t="str">
        <f>IFERROR(VLOOKUP(B1384,Colaboradores!A:D,3,),"")</f>
        <v>REGIONAL LESTE</v>
      </c>
      <c r="E1384" s="22" t="str">
        <f>IFERROR(VLOOKUP(B1384,Colaboradores!A:D,4,),"")</f>
        <v>ENFERMEIRO DO TRABALHO</v>
      </c>
      <c r="F1384" s="47" t="s">
        <v>49</v>
      </c>
      <c r="G1384" s="24" t="str">
        <f>IFERROR(VLOOKUP(F1384,Procedimentos!A:C,2,),"")</f>
        <v>DIRETRIZES PARA REALIZAÇÃO DE EXAMES OCUPACIONAIS</v>
      </c>
      <c r="H1384" s="25"/>
      <c r="I1384" s="51"/>
      <c r="J1384" s="4"/>
      <c r="K1384" s="25" t="str">
        <f t="shared" si="62"/>
        <v/>
      </c>
      <c r="L1384" s="7"/>
      <c r="M1384" s="4"/>
      <c r="N1384" s="7"/>
      <c r="O1384" s="4"/>
      <c r="P1384" s="51"/>
      <c r="Q1384" s="51"/>
      <c r="R1384" s="51"/>
      <c r="S1384" s="7"/>
      <c r="T1384" s="7"/>
    </row>
    <row r="1385" spans="1:20" ht="14.25" customHeight="1">
      <c r="A1385" s="4"/>
      <c r="B1385" s="38">
        <v>14357</v>
      </c>
      <c r="C1385" s="22" t="str">
        <f>IFERROR(VLOOKUP(B1385,Colaboradores!A:D,2,),"")</f>
        <v>JAIME VIEIRA GALVAO</v>
      </c>
      <c r="D1385" s="22" t="str">
        <f>IFERROR(VLOOKUP(B1385,Colaboradores!A:D,3,),"")</f>
        <v>REGIONAL LESTE</v>
      </c>
      <c r="E1385" s="22" t="str">
        <f>IFERROR(VLOOKUP(B1385,Colaboradores!A:D,4,),"")</f>
        <v>ENFERMEIRO DO TRABALHO</v>
      </c>
      <c r="F1385" s="47" t="s">
        <v>51</v>
      </c>
      <c r="G1385" s="24" t="str">
        <f>IFERROR(VLOOKUP(F1385,Procedimentos!A:C,2,),"")</f>
        <v>DIRETRIZES PARA ENTREGA DE ATESTADOS MÉDICOS E ODONTOLÓGICOS</v>
      </c>
      <c r="H1385" s="25"/>
      <c r="I1385" s="51"/>
      <c r="J1385" s="4"/>
      <c r="K1385" s="25" t="str">
        <f t="shared" si="62"/>
        <v/>
      </c>
      <c r="L1385" s="7"/>
      <c r="M1385" s="4"/>
      <c r="N1385" s="7"/>
      <c r="O1385" s="4"/>
      <c r="P1385" s="51"/>
      <c r="Q1385" s="51"/>
      <c r="R1385" s="51"/>
      <c r="S1385" s="7"/>
      <c r="T1385" s="7"/>
    </row>
    <row r="1386" spans="1:20" ht="14.25" customHeight="1">
      <c r="A1386" s="4"/>
      <c r="B1386" s="38">
        <v>14357</v>
      </c>
      <c r="C1386" s="22" t="str">
        <f>IFERROR(VLOOKUP(B1386,Colaboradores!A:D,2,),"")</f>
        <v>JAIME VIEIRA GALVAO</v>
      </c>
      <c r="D1386" s="22" t="str">
        <f>IFERROR(VLOOKUP(B1386,Colaboradores!A:D,3,),"")</f>
        <v>REGIONAL LESTE</v>
      </c>
      <c r="E1386" s="22" t="str">
        <f>IFERROR(VLOOKUP(B1386,Colaboradores!A:D,4,),"")</f>
        <v>ENFERMEIRO DO TRABALHO</v>
      </c>
      <c r="F1386" s="47" t="s">
        <v>52</v>
      </c>
      <c r="G1386" s="24" t="str">
        <f>IFERROR(VLOOKUP(F1386,Procedimentos!A:C,2,),"")</f>
        <v>DIRETRIZES E ACOMPANHAMENTO  DE ACIDENTE COM MATERIAL BIOLOGICO</v>
      </c>
      <c r="H1386" s="25"/>
      <c r="I1386" s="51"/>
      <c r="J1386" s="4"/>
      <c r="K1386" s="25" t="str">
        <f t="shared" si="62"/>
        <v/>
      </c>
      <c r="L1386" s="7"/>
      <c r="M1386" s="4"/>
      <c r="N1386" s="7"/>
      <c r="O1386" s="4"/>
      <c r="P1386" s="51"/>
      <c r="Q1386" s="51"/>
      <c r="R1386" s="51"/>
      <c r="S1386" s="7"/>
      <c r="T1386" s="7"/>
    </row>
    <row r="1387" spans="1:20" ht="14.25" customHeight="1">
      <c r="A1387" s="4"/>
      <c r="B1387" s="38">
        <v>14357</v>
      </c>
      <c r="C1387" s="22" t="str">
        <f>IFERROR(VLOOKUP(B1387,Colaboradores!A:D,2,),"")</f>
        <v>JAIME VIEIRA GALVAO</v>
      </c>
      <c r="D1387" s="22" t="str">
        <f>IFERROR(VLOOKUP(B1387,Colaboradores!A:D,3,),"")</f>
        <v>REGIONAL LESTE</v>
      </c>
      <c r="E1387" s="22" t="str">
        <f>IFERROR(VLOOKUP(B1387,Colaboradores!A:D,4,),"")</f>
        <v>ENFERMEIRO DO TRABALHO</v>
      </c>
      <c r="F1387" s="47" t="s">
        <v>53</v>
      </c>
      <c r="G1387" s="24" t="str">
        <f>IFERROR(VLOOKUP(F1387,Procedimentos!A:C,2,),"")</f>
        <v>DIRETRIZES PARA MONITORAMENTO DE GESTANTE</v>
      </c>
      <c r="H1387" s="25"/>
      <c r="I1387" s="51"/>
      <c r="J1387" s="4"/>
      <c r="K1387" s="25" t="str">
        <f t="shared" si="62"/>
        <v/>
      </c>
      <c r="L1387" s="7"/>
      <c r="M1387" s="4"/>
      <c r="N1387" s="7"/>
      <c r="O1387" s="4"/>
      <c r="P1387" s="51"/>
      <c r="Q1387" s="51"/>
      <c r="R1387" s="51"/>
      <c r="S1387" s="7"/>
      <c r="T1387" s="7"/>
    </row>
    <row r="1388" spans="1:20" ht="14.25" customHeight="1">
      <c r="A1388" s="4"/>
      <c r="B1388" s="38">
        <v>14357</v>
      </c>
      <c r="C1388" s="22" t="str">
        <f>IFERROR(VLOOKUP(B1388,Colaboradores!A:D,2,),"")</f>
        <v>JAIME VIEIRA GALVAO</v>
      </c>
      <c r="D1388" s="22" t="str">
        <f>IFERROR(VLOOKUP(B1388,Colaboradores!A:D,3,),"")</f>
        <v>REGIONAL LESTE</v>
      </c>
      <c r="E1388" s="22" t="str">
        <f>IFERROR(VLOOKUP(B1388,Colaboradores!A:D,4,),"")</f>
        <v>ENFERMEIRO DO TRABALHO</v>
      </c>
      <c r="F1388" s="47" t="s">
        <v>54</v>
      </c>
      <c r="G1388" s="24" t="str">
        <f>IFERROR(VLOOKUP(F1388,Procedimentos!A:C,2,),"")</f>
        <v>DIRETRIZES DE IMUNIZAÇÃO OCUPACIONAL</v>
      </c>
      <c r="H1388" s="25"/>
      <c r="I1388" s="51"/>
      <c r="J1388" s="4"/>
      <c r="K1388" s="25" t="str">
        <f t="shared" si="62"/>
        <v/>
      </c>
      <c r="L1388" s="7"/>
      <c r="M1388" s="4"/>
      <c r="N1388" s="7"/>
      <c r="O1388" s="4"/>
      <c r="P1388" s="51"/>
      <c r="Q1388" s="51"/>
      <c r="R1388" s="51"/>
      <c r="S1388" s="7"/>
      <c r="T1388" s="7"/>
    </row>
    <row r="1389" spans="1:20" ht="14.25" customHeight="1">
      <c r="A1389" s="4"/>
      <c r="B1389" s="38">
        <v>14357</v>
      </c>
      <c r="C1389" s="22" t="str">
        <f>IFERROR(VLOOKUP(B1389,Colaboradores!A:D,2,),"")</f>
        <v>JAIME VIEIRA GALVAO</v>
      </c>
      <c r="D1389" s="22" t="str">
        <f>IFERROR(VLOOKUP(B1389,Colaboradores!A:D,3,),"")</f>
        <v>REGIONAL LESTE</v>
      </c>
      <c r="E1389" s="22" t="str">
        <f>IFERROR(VLOOKUP(B1389,Colaboradores!A:D,4,),"")</f>
        <v>ENFERMEIRO DO TRABALHO</v>
      </c>
      <c r="F1389" s="47" t="s">
        <v>55</v>
      </c>
      <c r="G1389" s="24" t="str">
        <f>IFERROR(VLOOKUP(F1389,Procedimentos!A:C,2,),"")</f>
        <v>DIRETRIZES PARA ACOMPANHAMENTO DE AFASTADOS</v>
      </c>
      <c r="H1389" s="25"/>
      <c r="I1389" s="51"/>
      <c r="J1389" s="4"/>
      <c r="K1389" s="25" t="str">
        <f t="shared" si="62"/>
        <v/>
      </c>
      <c r="L1389" s="7"/>
      <c r="M1389" s="4"/>
      <c r="N1389" s="7"/>
      <c r="O1389" s="4"/>
      <c r="P1389" s="51"/>
      <c r="Q1389" s="51"/>
      <c r="R1389" s="51"/>
      <c r="S1389" s="7"/>
      <c r="T1389" s="7"/>
    </row>
    <row r="1390" spans="1:20" ht="14.25" customHeight="1">
      <c r="A1390" s="4"/>
      <c r="B1390" s="38">
        <v>14357</v>
      </c>
      <c r="C1390" s="22" t="str">
        <f>IFERROR(VLOOKUP(B1390,Colaboradores!A:D,2,),"")</f>
        <v>JAIME VIEIRA GALVAO</v>
      </c>
      <c r="D1390" s="22" t="str">
        <f>IFERROR(VLOOKUP(B1390,Colaboradores!A:D,3,),"")</f>
        <v>REGIONAL LESTE</v>
      </c>
      <c r="E1390" s="22" t="str">
        <f>IFERROR(VLOOKUP(B1390,Colaboradores!A:D,4,),"")</f>
        <v>ENFERMEIRO DO TRABALHO</v>
      </c>
      <c r="F1390" s="47" t="s">
        <v>33</v>
      </c>
      <c r="G1390" s="24" t="str">
        <f>IFERROR(VLOOKUP(F1390,Procedimentos!A:C,2,),"")</f>
        <v>GESTÃO DE INSPEÇÕES AMBIENTAIS</v>
      </c>
      <c r="H1390" s="25"/>
      <c r="I1390" s="51"/>
      <c r="J1390" s="4"/>
      <c r="K1390" s="25" t="str">
        <f t="shared" si="62"/>
        <v/>
      </c>
      <c r="L1390" s="7"/>
      <c r="M1390" s="4"/>
      <c r="N1390" s="7"/>
      <c r="O1390" s="4"/>
      <c r="P1390" s="51"/>
      <c r="Q1390" s="51"/>
      <c r="R1390" s="51"/>
      <c r="S1390" s="7"/>
      <c r="T1390" s="7"/>
    </row>
    <row r="1391" spans="1:20" ht="14.25" customHeight="1">
      <c r="A1391" s="4"/>
      <c r="B1391" s="38">
        <v>14357</v>
      </c>
      <c r="C1391" s="22" t="str">
        <f>IFERROR(VLOOKUP(B1391,Colaboradores!A:D,2,),"")</f>
        <v>JAIME VIEIRA GALVAO</v>
      </c>
      <c r="D1391" s="22" t="str">
        <f>IFERROR(VLOOKUP(B1391,Colaboradores!A:D,3,),"")</f>
        <v>REGIONAL LESTE</v>
      </c>
      <c r="E1391" s="22" t="str">
        <f>IFERROR(VLOOKUP(B1391,Colaboradores!A:D,4,),"")</f>
        <v>ENFERMEIRO DO TRABALHO</v>
      </c>
      <c r="F1391" s="47" t="s">
        <v>39</v>
      </c>
      <c r="G1391" s="24" t="str">
        <f>IFERROR(VLOOKUP(F1391,Procedimentos!A:C,2,),"")</f>
        <v>GESTÃO DE ÁGUAS E EFLUENTES</v>
      </c>
      <c r="H1391" s="25"/>
      <c r="I1391" s="51"/>
      <c r="J1391" s="4"/>
      <c r="K1391" s="25" t="str">
        <f t="shared" si="62"/>
        <v/>
      </c>
      <c r="L1391" s="7"/>
      <c r="M1391" s="4"/>
      <c r="N1391" s="7"/>
      <c r="O1391" s="4"/>
      <c r="P1391" s="51"/>
      <c r="Q1391" s="51"/>
      <c r="R1391" s="51"/>
      <c r="S1391" s="7"/>
      <c r="T1391" s="7"/>
    </row>
    <row r="1392" spans="1:20" ht="14.25" customHeight="1">
      <c r="A1392" s="4"/>
      <c r="B1392" s="38">
        <v>14357</v>
      </c>
      <c r="C1392" s="22" t="str">
        <f>IFERROR(VLOOKUP(B1392,Colaboradores!A:D,2,),"")</f>
        <v>JAIME VIEIRA GALVAO</v>
      </c>
      <c r="D1392" s="22" t="str">
        <f>IFERROR(VLOOKUP(B1392,Colaboradores!A:D,3,),"")</f>
        <v>REGIONAL LESTE</v>
      </c>
      <c r="E1392" s="22" t="str">
        <f>IFERROR(VLOOKUP(B1392,Colaboradores!A:D,4,),"")</f>
        <v>ENFERMEIRO DO TRABALHO</v>
      </c>
      <c r="F1392" s="47" t="s">
        <v>34</v>
      </c>
      <c r="G1392" s="24" t="str">
        <f>IFERROR(VLOOKUP(F1392,Procedimentos!A:C,2,),"")</f>
        <v>GESTÃO DE LICENCIAMENTO AMBIENTAL</v>
      </c>
      <c r="H1392" s="25"/>
      <c r="I1392" s="51"/>
      <c r="J1392" s="4"/>
      <c r="K1392" s="25" t="str">
        <f t="shared" si="62"/>
        <v/>
      </c>
      <c r="L1392" s="7"/>
      <c r="M1392" s="4"/>
      <c r="N1392" s="7"/>
      <c r="O1392" s="4"/>
      <c r="P1392" s="51"/>
      <c r="Q1392" s="51"/>
      <c r="R1392" s="51"/>
      <c r="S1392" s="7"/>
      <c r="T1392" s="7"/>
    </row>
    <row r="1393" spans="1:20" ht="14.25" customHeight="1">
      <c r="A1393" s="4"/>
      <c r="B1393" s="38">
        <v>14357</v>
      </c>
      <c r="C1393" s="22" t="str">
        <f>IFERROR(VLOOKUP(B1393,Colaboradores!A:D,2,),"")</f>
        <v>JAIME VIEIRA GALVAO</v>
      </c>
      <c r="D1393" s="22" t="str">
        <f>IFERROR(VLOOKUP(B1393,Colaboradores!A:D,3,),"")</f>
        <v>REGIONAL LESTE</v>
      </c>
      <c r="E1393" s="22" t="str">
        <f>IFERROR(VLOOKUP(B1393,Colaboradores!A:D,4,),"")</f>
        <v>ENFERMEIRO DO TRABALHO</v>
      </c>
      <c r="F1393" s="47" t="s">
        <v>38</v>
      </c>
      <c r="G1393" s="24" t="str">
        <f>IFERROR(VLOOKUP(F1393,Procedimentos!A:C,2,),"")</f>
        <v>GESTÃO DE CONDICIONANTES DE LICENCIAMENTO AMBIENTAL</v>
      </c>
      <c r="H1393" s="25"/>
      <c r="I1393" s="51"/>
      <c r="J1393" s="4"/>
      <c r="K1393" s="25" t="str">
        <f t="shared" si="62"/>
        <v/>
      </c>
      <c r="L1393" s="7"/>
      <c r="M1393" s="4"/>
      <c r="N1393" s="7"/>
      <c r="O1393" s="4"/>
      <c r="P1393" s="51"/>
      <c r="Q1393" s="51"/>
      <c r="R1393" s="51"/>
      <c r="S1393" s="7"/>
      <c r="T1393" s="7"/>
    </row>
    <row r="1394" spans="1:20" ht="14.25" customHeight="1">
      <c r="A1394" s="4"/>
      <c r="B1394" s="38">
        <v>14357</v>
      </c>
      <c r="C1394" s="22" t="str">
        <f>IFERROR(VLOOKUP(B1394,Colaboradores!A:D,2,),"")</f>
        <v>JAIME VIEIRA GALVAO</v>
      </c>
      <c r="D1394" s="22" t="str">
        <f>IFERROR(VLOOKUP(B1394,Colaboradores!A:D,3,),"")</f>
        <v>REGIONAL LESTE</v>
      </c>
      <c r="E1394" s="22" t="str">
        <f>IFERROR(VLOOKUP(B1394,Colaboradores!A:D,4,),"")</f>
        <v>ENFERMEIRO DO TRABALHO</v>
      </c>
      <c r="F1394" s="47" t="s">
        <v>37</v>
      </c>
      <c r="G1394" s="24" t="str">
        <f>IFERROR(VLOOKUP(F1394,Procedimentos!A:C,2,),"")</f>
        <v>GESTÃO DE RESÍDUOS SÓLIDOS DE SERVIÇOS DE SAÚDE</v>
      </c>
      <c r="H1394" s="25"/>
      <c r="I1394" s="51"/>
      <c r="J1394" s="4"/>
      <c r="K1394" s="25" t="str">
        <f t="shared" si="62"/>
        <v/>
      </c>
      <c r="L1394" s="7"/>
      <c r="M1394" s="4"/>
      <c r="N1394" s="7"/>
      <c r="O1394" s="4"/>
      <c r="P1394" s="51"/>
      <c r="Q1394" s="51"/>
      <c r="R1394" s="51"/>
      <c r="S1394" s="7"/>
      <c r="T1394" s="7"/>
    </row>
    <row r="1395" spans="1:20" ht="14.25" customHeight="1">
      <c r="A1395" s="4"/>
      <c r="B1395" s="38">
        <v>14357</v>
      </c>
      <c r="C1395" s="22" t="str">
        <f>IFERROR(VLOOKUP(B1395,Colaboradores!A:D,2,),"")</f>
        <v>JAIME VIEIRA GALVAO</v>
      </c>
      <c r="D1395" s="22" t="str">
        <f>IFERROR(VLOOKUP(B1395,Colaboradores!A:D,3,),"")</f>
        <v>REGIONAL LESTE</v>
      </c>
      <c r="E1395" s="22" t="str">
        <f>IFERROR(VLOOKUP(B1395,Colaboradores!A:D,4,),"")</f>
        <v>ENFERMEIRO DO TRABALHO</v>
      </c>
      <c r="F1395" s="47" t="s">
        <v>35</v>
      </c>
      <c r="G1395" s="24" t="str">
        <f>IFERROR(VLOOKUP(F1395,Procedimentos!A:C,2,),"")</f>
        <v>PROCEDIMENTO DE AFERIÇÃO DE FUMAÇA PRETA</v>
      </c>
      <c r="H1395" s="25"/>
      <c r="I1395" s="51"/>
      <c r="J1395" s="4"/>
      <c r="K1395" s="25" t="str">
        <f t="shared" si="62"/>
        <v/>
      </c>
      <c r="L1395" s="7"/>
      <c r="M1395" s="4"/>
      <c r="N1395" s="7"/>
      <c r="O1395" s="4"/>
      <c r="P1395" s="51"/>
      <c r="Q1395" s="51"/>
      <c r="R1395" s="51"/>
      <c r="S1395" s="7"/>
      <c r="T1395" s="7"/>
    </row>
    <row r="1396" spans="1:20" ht="14.25" customHeight="1">
      <c r="A1396" s="4"/>
      <c r="B1396" s="38">
        <v>14357</v>
      </c>
      <c r="C1396" s="22" t="str">
        <f>IFERROR(VLOOKUP(B1396,Colaboradores!A:D,2,),"")</f>
        <v>JAIME VIEIRA GALVAO</v>
      </c>
      <c r="D1396" s="22" t="str">
        <f>IFERROR(VLOOKUP(B1396,Colaboradores!A:D,3,),"")</f>
        <v>REGIONAL LESTE</v>
      </c>
      <c r="E1396" s="22" t="str">
        <f>IFERROR(VLOOKUP(B1396,Colaboradores!A:D,4,),"")</f>
        <v>ENFERMEIRO DO TRABALHO</v>
      </c>
      <c r="F1396" s="47" t="s">
        <v>73</v>
      </c>
      <c r="G1396" s="24" t="str">
        <f>IFERROR(VLOOKUP(F1396,Procedimentos!A:C,2,),"")</f>
        <v>AQUISIÇÃO DE BENS E SERVIÇOS E AVALIAÇÃO PROVEDORES EXTERNOS</v>
      </c>
      <c r="H1396" s="25"/>
      <c r="I1396" s="51"/>
      <c r="J1396" s="4"/>
      <c r="K1396" s="25" t="str">
        <f t="shared" si="62"/>
        <v/>
      </c>
      <c r="L1396" s="7"/>
      <c r="M1396" s="4"/>
      <c r="N1396" s="7"/>
      <c r="O1396" s="4"/>
      <c r="P1396" s="51"/>
      <c r="Q1396" s="51"/>
      <c r="R1396" s="51"/>
      <c r="S1396" s="7"/>
      <c r="T1396" s="7"/>
    </row>
    <row r="1397" spans="1:20" ht="14.25" customHeight="1">
      <c r="A1397" s="4"/>
      <c r="B1397" s="38">
        <v>14357</v>
      </c>
      <c r="C1397" s="22" t="str">
        <f>IFERROR(VLOOKUP(B1397,Colaboradores!A:D,2,),"")</f>
        <v>JAIME VIEIRA GALVAO</v>
      </c>
      <c r="D1397" s="22" t="str">
        <f>IFERROR(VLOOKUP(B1397,Colaboradores!A:D,3,),"")</f>
        <v>REGIONAL LESTE</v>
      </c>
      <c r="E1397" s="22" t="str">
        <f>IFERROR(VLOOKUP(B1397,Colaboradores!A:D,4,),"")</f>
        <v>ENFERMEIRO DO TRABALHO</v>
      </c>
      <c r="F1397" s="47" t="s">
        <v>62</v>
      </c>
      <c r="G1397" s="24" t="str">
        <f>IFERROR(VLOOKUP(F1397,Procedimentos!A:C,2,),"")</f>
        <v>DIRETRIZES PARA ENVIO E RECEBIMENTO DE DOSÍMETRO</v>
      </c>
      <c r="H1397" s="25"/>
      <c r="I1397" s="51"/>
      <c r="J1397" s="4"/>
      <c r="K1397" s="25" t="str">
        <f t="shared" si="62"/>
        <v/>
      </c>
      <c r="L1397" s="7"/>
      <c r="M1397" s="4"/>
      <c r="N1397" s="7"/>
      <c r="O1397" s="4"/>
      <c r="P1397" s="51"/>
      <c r="Q1397" s="51"/>
      <c r="R1397" s="51"/>
      <c r="S1397" s="7"/>
      <c r="T1397" s="7"/>
    </row>
    <row r="1398" spans="1:20" ht="14.25" customHeight="1">
      <c r="A1398" s="4"/>
      <c r="B1398" s="38">
        <v>14357</v>
      </c>
      <c r="C1398" s="22" t="str">
        <f>IFERROR(VLOOKUP(B1398,Colaboradores!A:D,2,),"")</f>
        <v>JAIME VIEIRA GALVAO</v>
      </c>
      <c r="D1398" s="22" t="str">
        <f>IFERROR(VLOOKUP(B1398,Colaboradores!A:D,3,),"")</f>
        <v>REGIONAL LESTE</v>
      </c>
      <c r="E1398" s="22" t="str">
        <f>IFERROR(VLOOKUP(B1398,Colaboradores!A:D,4,),"")</f>
        <v>ENFERMEIRO DO TRABALHO</v>
      </c>
      <c r="F1398" s="47" t="s">
        <v>63</v>
      </c>
      <c r="G1398" s="24" t="str">
        <f>IFERROR(VLOOKUP(F1398,Procedimentos!A:C,2,),"")</f>
        <v>DIÁRIO DE BORDO DOS TÉCNICOS DE SEGURANÇA DO TRABALHO DA EMSERH E IADVH</v>
      </c>
      <c r="H1398" s="25"/>
      <c r="I1398" s="51"/>
      <c r="J1398" s="4"/>
      <c r="K1398" s="25" t="str">
        <f t="shared" si="62"/>
        <v/>
      </c>
      <c r="L1398" s="7"/>
      <c r="M1398" s="4"/>
      <c r="N1398" s="7"/>
      <c r="O1398" s="4"/>
      <c r="P1398" s="51"/>
      <c r="Q1398" s="51"/>
      <c r="R1398" s="51"/>
      <c r="S1398" s="7"/>
      <c r="T1398" s="7"/>
    </row>
    <row r="1399" spans="1:20" ht="14.25" customHeight="1">
      <c r="A1399" s="4"/>
      <c r="B1399" s="38">
        <v>14357</v>
      </c>
      <c r="C1399" s="22" t="str">
        <f>IFERROR(VLOOKUP(B1399,Colaboradores!A:D,2,),"")</f>
        <v>JAIME VIEIRA GALVAO</v>
      </c>
      <c r="D1399" s="22" t="str">
        <f>IFERROR(VLOOKUP(B1399,Colaboradores!A:D,3,),"")</f>
        <v>REGIONAL LESTE</v>
      </c>
      <c r="E1399" s="22" t="str">
        <f>IFERROR(VLOOKUP(B1399,Colaboradores!A:D,4,),"")</f>
        <v>ENFERMEIRO DO TRABALHO</v>
      </c>
      <c r="F1399" s="47" t="s">
        <v>58</v>
      </c>
      <c r="G1399" s="24" t="str">
        <f>IFERROR(VLOOKUP(F1399,Procedimentos!A:C,2,),"")</f>
        <v>POLÍTICA DE QUALIDADE DA DIRETORIA</v>
      </c>
      <c r="H1399" s="25"/>
      <c r="I1399" s="51"/>
      <c r="J1399" s="4"/>
      <c r="K1399" s="25" t="str">
        <f t="shared" si="62"/>
        <v/>
      </c>
      <c r="L1399" s="7"/>
      <c r="M1399" s="4"/>
      <c r="N1399" s="7"/>
      <c r="O1399" s="4"/>
      <c r="P1399" s="51"/>
      <c r="Q1399" s="51"/>
      <c r="R1399" s="51"/>
      <c r="S1399" s="7"/>
      <c r="T1399" s="7"/>
    </row>
    <row r="1400" spans="1:20" ht="14.25" customHeight="1">
      <c r="A1400" s="4"/>
      <c r="B1400" s="38">
        <v>14357</v>
      </c>
      <c r="C1400" s="22" t="str">
        <f>IFERROR(VLOOKUP(B1400,Colaboradores!A:D,2,),"")</f>
        <v>JAIME VIEIRA GALVAO</v>
      </c>
      <c r="D1400" s="22" t="str">
        <f>IFERROR(VLOOKUP(B1400,Colaboradores!A:D,3,),"")</f>
        <v>REGIONAL LESTE</v>
      </c>
      <c r="E1400" s="22" t="str">
        <f>IFERROR(VLOOKUP(B1400,Colaboradores!A:D,4,),"")</f>
        <v>ENFERMEIRO DO TRABALHO</v>
      </c>
      <c r="F1400" s="47" t="s">
        <v>46</v>
      </c>
      <c r="G1400" s="24" t="str">
        <f>IFERROR(VLOOKUP(F1400,Procedimentos!A:C,2,),"")</f>
        <v>POLÍTICA DE SAÚDE E SEGURANÇA DO TRABALHO EMSERH</v>
      </c>
      <c r="H1400" s="25"/>
      <c r="I1400" s="51"/>
      <c r="J1400" s="4"/>
      <c r="K1400" s="25" t="str">
        <f t="shared" si="62"/>
        <v/>
      </c>
      <c r="L1400" s="7"/>
      <c r="M1400" s="4"/>
      <c r="N1400" s="7"/>
      <c r="O1400" s="4"/>
      <c r="P1400" s="51"/>
      <c r="Q1400" s="51"/>
      <c r="R1400" s="51"/>
      <c r="S1400" s="7"/>
      <c r="T1400" s="7"/>
    </row>
    <row r="1401" spans="1:20" ht="14.25" customHeight="1">
      <c r="A1401" s="4"/>
      <c r="B1401" s="38">
        <v>14420</v>
      </c>
      <c r="C1401" s="22" t="str">
        <f>IFERROR(VLOOKUP(B1401,Colaboradores!A:D,2,),"")</f>
        <v>LAYLLA EMANUELLY DA SILVA ARAUJO</v>
      </c>
      <c r="D1401" s="22" t="str">
        <f>IFERROR(VLOOKUP(B1401,Colaboradores!A:D,3,),"")</f>
        <v>REGIONAL LESTE</v>
      </c>
      <c r="E1401" s="22" t="str">
        <f>IFERROR(VLOOKUP(B1401,Colaboradores!A:D,4,),"")</f>
        <v>ASSISTENTE ADMINISTRATIVO</v>
      </c>
      <c r="F1401" s="47" t="s">
        <v>41</v>
      </c>
      <c r="G1401" s="24" t="str">
        <f>IFERROR(VLOOKUP(F1401,Procedimentos!A:C,2,),"")</f>
        <v>DIRETRIZES PARA COMUNICAÇÃO E INVESTIGAÇÃO DE ACIDENTES</v>
      </c>
      <c r="H1401" s="25"/>
      <c r="I1401" s="51"/>
      <c r="J1401" s="4"/>
      <c r="K1401" s="25" t="str">
        <f t="shared" si="62"/>
        <v/>
      </c>
      <c r="L1401" s="7"/>
      <c r="M1401" s="4"/>
      <c r="N1401" s="7"/>
      <c r="O1401" s="4"/>
      <c r="P1401" s="51"/>
      <c r="Q1401" s="51"/>
      <c r="R1401" s="51"/>
      <c r="S1401" s="7"/>
      <c r="T1401" s="7"/>
    </row>
    <row r="1402" spans="1:20" ht="14.25" customHeight="1">
      <c r="A1402" s="4"/>
      <c r="B1402" s="38">
        <v>14420</v>
      </c>
      <c r="C1402" s="22" t="str">
        <f>IFERROR(VLOOKUP(B1402,Colaboradores!A:D,2,),"")</f>
        <v>LAYLLA EMANUELLY DA SILVA ARAUJO</v>
      </c>
      <c r="D1402" s="22" t="str">
        <f>IFERROR(VLOOKUP(B1402,Colaboradores!A:D,3,),"")</f>
        <v>REGIONAL LESTE</v>
      </c>
      <c r="E1402" s="22" t="str">
        <f>IFERROR(VLOOKUP(B1402,Colaboradores!A:D,4,),"")</f>
        <v>ASSISTENTE ADMINISTRATIVO</v>
      </c>
      <c r="F1402" s="47" t="s">
        <v>44</v>
      </c>
      <c r="G1402" s="24" t="str">
        <f>IFERROR(VLOOKUP(F1402,Procedimentos!A:C,2,),"")</f>
        <v>DIRETRIZES PARA GESTÃO DE EQUIPAMENTOS DE PROTEÇÃO INDIVIDUAL - EPI'S</v>
      </c>
      <c r="H1402" s="25"/>
      <c r="I1402" s="51"/>
      <c r="J1402" s="4"/>
      <c r="K1402" s="25" t="str">
        <f t="shared" si="62"/>
        <v/>
      </c>
      <c r="L1402" s="7"/>
      <c r="M1402" s="4"/>
      <c r="N1402" s="7"/>
      <c r="O1402" s="4"/>
      <c r="P1402" s="51"/>
      <c r="Q1402" s="51"/>
      <c r="R1402" s="51"/>
      <c r="S1402" s="7"/>
      <c r="T1402" s="7"/>
    </row>
    <row r="1403" spans="1:20" ht="14.25" customHeight="1">
      <c r="A1403" s="4"/>
      <c r="B1403" s="38">
        <v>14420</v>
      </c>
      <c r="C1403" s="22" t="str">
        <f>IFERROR(VLOOKUP(B1403,Colaboradores!A:D,2,),"")</f>
        <v>LAYLLA EMANUELLY DA SILVA ARAUJO</v>
      </c>
      <c r="D1403" s="22" t="str">
        <f>IFERROR(VLOOKUP(B1403,Colaboradores!A:D,3,),"")</f>
        <v>REGIONAL LESTE</v>
      </c>
      <c r="E1403" s="22" t="str">
        <f>IFERROR(VLOOKUP(B1403,Colaboradores!A:D,4,),"")</f>
        <v>ASSISTENTE ADMINISTRATIVO</v>
      </c>
      <c r="F1403" s="47" t="s">
        <v>45</v>
      </c>
      <c r="G1403" s="24" t="str">
        <f>IFERROR(VLOOKUP(F1403,Procedimentos!A:C,2,),"")</f>
        <v>CONSTITUIÇÃO INTERNA DE PREVENÇÃO DE ACIDENTES E DE ASSÉDIOS - CIPA</v>
      </c>
      <c r="H1403" s="25"/>
      <c r="I1403" s="51"/>
      <c r="J1403" s="4"/>
      <c r="K1403" s="25" t="str">
        <f t="shared" si="62"/>
        <v/>
      </c>
      <c r="L1403" s="7"/>
      <c r="M1403" s="4"/>
      <c r="N1403" s="7"/>
      <c r="O1403" s="4"/>
      <c r="P1403" s="51"/>
      <c r="Q1403" s="51"/>
      <c r="R1403" s="51"/>
      <c r="S1403" s="7"/>
      <c r="T1403" s="7"/>
    </row>
    <row r="1404" spans="1:20" ht="14.25" customHeight="1">
      <c r="A1404" s="4"/>
      <c r="B1404" s="38">
        <v>14420</v>
      </c>
      <c r="C1404" s="22" t="str">
        <f>IFERROR(VLOOKUP(B1404,Colaboradores!A:D,2,),"")</f>
        <v>LAYLLA EMANUELLY DA SILVA ARAUJO</v>
      </c>
      <c r="D1404" s="22" t="str">
        <f>IFERROR(VLOOKUP(B1404,Colaboradores!A:D,3,),"")</f>
        <v>REGIONAL LESTE</v>
      </c>
      <c r="E1404" s="22" t="str">
        <f>IFERROR(VLOOKUP(B1404,Colaboradores!A:D,4,),"")</f>
        <v>ASSISTENTE ADMINISTRATIVO</v>
      </c>
      <c r="F1404" s="47" t="s">
        <v>49</v>
      </c>
      <c r="G1404" s="24" t="str">
        <f>IFERROR(VLOOKUP(F1404,Procedimentos!A:C,2,),"")</f>
        <v>DIRETRIZES PARA REALIZAÇÃO DE EXAMES OCUPACIONAIS</v>
      </c>
      <c r="H1404" s="25"/>
      <c r="I1404" s="51"/>
      <c r="J1404" s="4"/>
      <c r="K1404" s="25" t="str">
        <f t="shared" si="62"/>
        <v/>
      </c>
      <c r="L1404" s="7"/>
      <c r="M1404" s="4"/>
      <c r="N1404" s="7"/>
      <c r="O1404" s="4"/>
      <c r="P1404" s="51"/>
      <c r="Q1404" s="51"/>
      <c r="R1404" s="51"/>
      <c r="S1404" s="7"/>
      <c r="T1404" s="7"/>
    </row>
    <row r="1405" spans="1:20" ht="14.25" customHeight="1">
      <c r="A1405" s="4"/>
      <c r="B1405" s="38">
        <v>14420</v>
      </c>
      <c r="C1405" s="22" t="str">
        <f>IFERROR(VLOOKUP(B1405,Colaboradores!A:D,2,),"")</f>
        <v>LAYLLA EMANUELLY DA SILVA ARAUJO</v>
      </c>
      <c r="D1405" s="22" t="str">
        <f>IFERROR(VLOOKUP(B1405,Colaboradores!A:D,3,),"")</f>
        <v>REGIONAL LESTE</v>
      </c>
      <c r="E1405" s="22" t="str">
        <f>IFERROR(VLOOKUP(B1405,Colaboradores!A:D,4,),"")</f>
        <v>ASSISTENTE ADMINISTRATIVO</v>
      </c>
      <c r="F1405" s="47" t="s">
        <v>51</v>
      </c>
      <c r="G1405" s="24" t="str">
        <f>IFERROR(VLOOKUP(F1405,Procedimentos!A:C,2,),"")</f>
        <v>DIRETRIZES PARA ENTREGA DE ATESTADOS MÉDICOS E ODONTOLÓGICOS</v>
      </c>
      <c r="H1405" s="25"/>
      <c r="I1405" s="51"/>
      <c r="J1405" s="4"/>
      <c r="K1405" s="25" t="str">
        <f t="shared" si="62"/>
        <v/>
      </c>
      <c r="L1405" s="7"/>
      <c r="M1405" s="4"/>
      <c r="N1405" s="7"/>
      <c r="O1405" s="4"/>
      <c r="P1405" s="51"/>
      <c r="Q1405" s="51"/>
      <c r="R1405" s="51"/>
      <c r="S1405" s="7"/>
      <c r="T1405" s="7"/>
    </row>
    <row r="1406" spans="1:20" ht="14.25" customHeight="1">
      <c r="A1406" s="4"/>
      <c r="B1406" s="38">
        <v>14420</v>
      </c>
      <c r="C1406" s="22" t="str">
        <f>IFERROR(VLOOKUP(B1406,Colaboradores!A:D,2,),"")</f>
        <v>LAYLLA EMANUELLY DA SILVA ARAUJO</v>
      </c>
      <c r="D1406" s="22" t="str">
        <f>IFERROR(VLOOKUP(B1406,Colaboradores!A:D,3,),"")</f>
        <v>REGIONAL LESTE</v>
      </c>
      <c r="E1406" s="22" t="str">
        <f>IFERROR(VLOOKUP(B1406,Colaboradores!A:D,4,),"")</f>
        <v>ASSISTENTE ADMINISTRATIVO</v>
      </c>
      <c r="F1406" s="47" t="s">
        <v>52</v>
      </c>
      <c r="G1406" s="24" t="str">
        <f>IFERROR(VLOOKUP(F1406,Procedimentos!A:C,2,),"")</f>
        <v>DIRETRIZES E ACOMPANHAMENTO  DE ACIDENTE COM MATERIAL BIOLOGICO</v>
      </c>
      <c r="H1406" s="25"/>
      <c r="I1406" s="51"/>
      <c r="J1406" s="4"/>
      <c r="K1406" s="25" t="str">
        <f t="shared" si="62"/>
        <v/>
      </c>
      <c r="L1406" s="7"/>
      <c r="M1406" s="4"/>
      <c r="N1406" s="7"/>
      <c r="O1406" s="4"/>
      <c r="P1406" s="51"/>
      <c r="Q1406" s="51"/>
      <c r="R1406" s="51"/>
      <c r="S1406" s="7"/>
      <c r="T1406" s="7"/>
    </row>
    <row r="1407" spans="1:20" ht="14.25" customHeight="1">
      <c r="A1407" s="4"/>
      <c r="B1407" s="38">
        <v>14420</v>
      </c>
      <c r="C1407" s="22" t="str">
        <f>IFERROR(VLOOKUP(B1407,Colaboradores!A:D,2,),"")</f>
        <v>LAYLLA EMANUELLY DA SILVA ARAUJO</v>
      </c>
      <c r="D1407" s="22" t="str">
        <f>IFERROR(VLOOKUP(B1407,Colaboradores!A:D,3,),"")</f>
        <v>REGIONAL LESTE</v>
      </c>
      <c r="E1407" s="22" t="str">
        <f>IFERROR(VLOOKUP(B1407,Colaboradores!A:D,4,),"")</f>
        <v>ASSISTENTE ADMINISTRATIVO</v>
      </c>
      <c r="F1407" s="47" t="s">
        <v>53</v>
      </c>
      <c r="G1407" s="24" t="str">
        <f>IFERROR(VLOOKUP(F1407,Procedimentos!A:C,2,),"")</f>
        <v>DIRETRIZES PARA MONITORAMENTO DE GESTANTE</v>
      </c>
      <c r="H1407" s="25"/>
      <c r="I1407" s="51"/>
      <c r="J1407" s="4"/>
      <c r="K1407" s="25" t="str">
        <f t="shared" si="62"/>
        <v/>
      </c>
      <c r="L1407" s="7"/>
      <c r="M1407" s="4"/>
      <c r="N1407" s="7"/>
      <c r="O1407" s="4"/>
      <c r="P1407" s="51"/>
      <c r="Q1407" s="51"/>
      <c r="R1407" s="51"/>
      <c r="S1407" s="7"/>
      <c r="T1407" s="7"/>
    </row>
    <row r="1408" spans="1:20" ht="14.25" customHeight="1">
      <c r="A1408" s="4"/>
      <c r="B1408" s="38">
        <v>14420</v>
      </c>
      <c r="C1408" s="22" t="str">
        <f>IFERROR(VLOOKUP(B1408,Colaboradores!A:D,2,),"")</f>
        <v>LAYLLA EMANUELLY DA SILVA ARAUJO</v>
      </c>
      <c r="D1408" s="22" t="str">
        <f>IFERROR(VLOOKUP(B1408,Colaboradores!A:D,3,),"")</f>
        <v>REGIONAL LESTE</v>
      </c>
      <c r="E1408" s="22" t="str">
        <f>IFERROR(VLOOKUP(B1408,Colaboradores!A:D,4,),"")</f>
        <v>ASSISTENTE ADMINISTRATIVO</v>
      </c>
      <c r="F1408" s="47" t="s">
        <v>54</v>
      </c>
      <c r="G1408" s="24" t="str">
        <f>IFERROR(VLOOKUP(F1408,Procedimentos!A:C,2,),"")</f>
        <v>DIRETRIZES DE IMUNIZAÇÃO OCUPACIONAL</v>
      </c>
      <c r="H1408" s="25"/>
      <c r="I1408" s="51"/>
      <c r="J1408" s="4"/>
      <c r="K1408" s="25" t="str">
        <f t="shared" si="62"/>
        <v/>
      </c>
      <c r="L1408" s="7"/>
      <c r="M1408" s="4"/>
      <c r="N1408" s="7"/>
      <c r="O1408" s="4"/>
      <c r="P1408" s="51"/>
      <c r="Q1408" s="51"/>
      <c r="R1408" s="51"/>
      <c r="S1408" s="7"/>
      <c r="T1408" s="7"/>
    </row>
    <row r="1409" spans="1:20" ht="14.25" customHeight="1">
      <c r="A1409" s="4"/>
      <c r="B1409" s="38">
        <v>14420</v>
      </c>
      <c r="C1409" s="22" t="str">
        <f>IFERROR(VLOOKUP(B1409,Colaboradores!A:D,2,),"")</f>
        <v>LAYLLA EMANUELLY DA SILVA ARAUJO</v>
      </c>
      <c r="D1409" s="22" t="str">
        <f>IFERROR(VLOOKUP(B1409,Colaboradores!A:D,3,),"")</f>
        <v>REGIONAL LESTE</v>
      </c>
      <c r="E1409" s="22" t="str">
        <f>IFERROR(VLOOKUP(B1409,Colaboradores!A:D,4,),"")</f>
        <v>ASSISTENTE ADMINISTRATIVO</v>
      </c>
      <c r="F1409" s="47" t="s">
        <v>55</v>
      </c>
      <c r="G1409" s="24" t="str">
        <f>IFERROR(VLOOKUP(F1409,Procedimentos!A:C,2,),"")</f>
        <v>DIRETRIZES PARA ACOMPANHAMENTO DE AFASTADOS</v>
      </c>
      <c r="H1409" s="25"/>
      <c r="I1409" s="51"/>
      <c r="J1409" s="4"/>
      <c r="K1409" s="25" t="str">
        <f t="shared" si="62"/>
        <v/>
      </c>
      <c r="L1409" s="7"/>
      <c r="M1409" s="4"/>
      <c r="N1409" s="7"/>
      <c r="O1409" s="4"/>
      <c r="P1409" s="51"/>
      <c r="Q1409" s="51"/>
      <c r="R1409" s="51"/>
      <c r="S1409" s="7"/>
      <c r="T1409" s="7"/>
    </row>
    <row r="1410" spans="1:20" ht="14.25" customHeight="1">
      <c r="A1410" s="4"/>
      <c r="B1410" s="38">
        <v>14815</v>
      </c>
      <c r="C1410" s="22" t="str">
        <f>IFERROR(VLOOKUP(B1410,Colaboradores!A:D,2,),"")</f>
        <v>NATHALIA CRISTINA DOS SANTOS RODRIGUES</v>
      </c>
      <c r="D1410" s="22" t="str">
        <f>IFERROR(VLOOKUP(B1410,Colaboradores!A:D,3,),"")</f>
        <v>REGIONAL LESTE</v>
      </c>
      <c r="E1410" s="22" t="str">
        <f>IFERROR(VLOOKUP(B1410,Colaboradores!A:D,4,),"")</f>
        <v>ASSISTENTE DE MEIO AMBIENTE</v>
      </c>
      <c r="F1410" s="47" t="s">
        <v>41</v>
      </c>
      <c r="G1410" s="24" t="str">
        <f>IFERROR(VLOOKUP(F1410,Procedimentos!A:C,2,),"")</f>
        <v>DIRETRIZES PARA COMUNICAÇÃO E INVESTIGAÇÃO DE ACIDENTES</v>
      </c>
      <c r="H1410" s="25"/>
      <c r="I1410" s="51"/>
      <c r="J1410" s="4"/>
      <c r="K1410" s="25" t="str">
        <f t="shared" si="62"/>
        <v/>
      </c>
      <c r="L1410" s="7"/>
      <c r="M1410" s="4"/>
      <c r="N1410" s="7"/>
      <c r="O1410" s="4"/>
      <c r="P1410" s="51"/>
      <c r="Q1410" s="51"/>
      <c r="R1410" s="51"/>
      <c r="S1410" s="7"/>
      <c r="T1410" s="7"/>
    </row>
    <row r="1411" spans="1:20" ht="14.25" customHeight="1">
      <c r="A1411" s="4"/>
      <c r="B1411" s="38">
        <v>14815</v>
      </c>
      <c r="C1411" s="22" t="str">
        <f>IFERROR(VLOOKUP(B1411,Colaboradores!A:D,2,),"")</f>
        <v>NATHALIA CRISTINA DOS SANTOS RODRIGUES</v>
      </c>
      <c r="D1411" s="22" t="str">
        <f>IFERROR(VLOOKUP(B1411,Colaboradores!A:D,3,),"")</f>
        <v>REGIONAL LESTE</v>
      </c>
      <c r="E1411" s="22" t="str">
        <f>IFERROR(VLOOKUP(B1411,Colaboradores!A:D,4,),"")</f>
        <v>ASSISTENTE DE MEIO AMBIENTE</v>
      </c>
      <c r="F1411" s="47" t="s">
        <v>44</v>
      </c>
      <c r="G1411" s="24" t="str">
        <f>IFERROR(VLOOKUP(F1411,Procedimentos!A:C,2,),"")</f>
        <v>DIRETRIZES PARA GESTÃO DE EQUIPAMENTOS DE PROTEÇÃO INDIVIDUAL - EPI'S</v>
      </c>
      <c r="H1411" s="25"/>
      <c r="I1411" s="51"/>
      <c r="J1411" s="4"/>
      <c r="K1411" s="25" t="str">
        <f t="shared" ref="K1411:K1474" si="63">IF(AND(I1411&lt;&gt;"",J1411&lt;&gt;""),DATE(YEAR(I1411),MONTH(I1411)+J1411,DAY(I1411)),"")</f>
        <v/>
      </c>
      <c r="L1411" s="7"/>
      <c r="M1411" s="4"/>
      <c r="N1411" s="7"/>
      <c r="O1411" s="4"/>
      <c r="P1411" s="51"/>
      <c r="Q1411" s="51"/>
      <c r="R1411" s="51"/>
      <c r="S1411" s="7"/>
      <c r="T1411" s="7"/>
    </row>
    <row r="1412" spans="1:20" ht="14.25" customHeight="1">
      <c r="A1412" s="4"/>
      <c r="B1412" s="38">
        <v>14815</v>
      </c>
      <c r="C1412" s="22" t="str">
        <f>IFERROR(VLOOKUP(B1412,Colaboradores!A:D,2,),"")</f>
        <v>NATHALIA CRISTINA DOS SANTOS RODRIGUES</v>
      </c>
      <c r="D1412" s="22" t="str">
        <f>IFERROR(VLOOKUP(B1412,Colaboradores!A:D,3,),"")</f>
        <v>REGIONAL LESTE</v>
      </c>
      <c r="E1412" s="22" t="str">
        <f>IFERROR(VLOOKUP(B1412,Colaboradores!A:D,4,),"")</f>
        <v>ASSISTENTE DE MEIO AMBIENTE</v>
      </c>
      <c r="F1412" s="47" t="s">
        <v>45</v>
      </c>
      <c r="G1412" s="24" t="str">
        <f>IFERROR(VLOOKUP(F1412,Procedimentos!A:C,2,),"")</f>
        <v>CONSTITUIÇÃO INTERNA DE PREVENÇÃO DE ACIDENTES E DE ASSÉDIOS - CIPA</v>
      </c>
      <c r="H1412" s="25"/>
      <c r="I1412" s="51"/>
      <c r="J1412" s="4"/>
      <c r="K1412" s="25" t="str">
        <f t="shared" si="63"/>
        <v/>
      </c>
      <c r="L1412" s="7"/>
      <c r="M1412" s="4"/>
      <c r="N1412" s="7"/>
      <c r="O1412" s="4"/>
      <c r="P1412" s="51"/>
      <c r="Q1412" s="51"/>
      <c r="R1412" s="51"/>
      <c r="S1412" s="7"/>
      <c r="T1412" s="7"/>
    </row>
    <row r="1413" spans="1:20" ht="14.25" customHeight="1">
      <c r="A1413" s="4"/>
      <c r="B1413" s="38">
        <v>14815</v>
      </c>
      <c r="C1413" s="22" t="str">
        <f>IFERROR(VLOOKUP(B1413,Colaboradores!A:D,2,),"")</f>
        <v>NATHALIA CRISTINA DOS SANTOS RODRIGUES</v>
      </c>
      <c r="D1413" s="22" t="str">
        <f>IFERROR(VLOOKUP(B1413,Colaboradores!A:D,3,),"")</f>
        <v>REGIONAL LESTE</v>
      </c>
      <c r="E1413" s="22" t="str">
        <f>IFERROR(VLOOKUP(B1413,Colaboradores!A:D,4,),"")</f>
        <v>ASSISTENTE DE MEIO AMBIENTE</v>
      </c>
      <c r="F1413" s="47" t="s">
        <v>29</v>
      </c>
      <c r="G1413" s="24" t="str">
        <f>IFERROR(VLOOKUP(F1413,Procedimentos!A:C,2,),"")</f>
        <v>COLETA SELETIVA DESSMA</v>
      </c>
      <c r="H1413" s="25"/>
      <c r="I1413" s="51"/>
      <c r="J1413" s="4"/>
      <c r="K1413" s="25" t="str">
        <f t="shared" si="63"/>
        <v/>
      </c>
      <c r="L1413" s="7"/>
      <c r="M1413" s="4"/>
      <c r="N1413" s="7"/>
      <c r="O1413" s="4"/>
      <c r="P1413" s="51"/>
      <c r="Q1413" s="51"/>
      <c r="R1413" s="51"/>
      <c r="S1413" s="7"/>
      <c r="T1413" s="7"/>
    </row>
    <row r="1414" spans="1:20" ht="14.25" customHeight="1">
      <c r="A1414" s="4"/>
      <c r="B1414" s="38">
        <v>14815</v>
      </c>
      <c r="C1414" s="22" t="str">
        <f>IFERROR(VLOOKUP(B1414,Colaboradores!A:D,2,),"")</f>
        <v>NATHALIA CRISTINA DOS SANTOS RODRIGUES</v>
      </c>
      <c r="D1414" s="22" t="str">
        <f>IFERROR(VLOOKUP(B1414,Colaboradores!A:D,3,),"")</f>
        <v>REGIONAL LESTE</v>
      </c>
      <c r="E1414" s="22" t="str">
        <f>IFERROR(VLOOKUP(B1414,Colaboradores!A:D,4,),"")</f>
        <v>ASSISTENTE DE MEIO AMBIENTE</v>
      </c>
      <c r="F1414" s="47" t="s">
        <v>36</v>
      </c>
      <c r="G1414" s="24" t="str">
        <f>IFERROR(VLOOKUP(F1414,Procedimentos!A:C,2,),"")</f>
        <v>GESTÃO DE PRODUTOS QUÍMICOS</v>
      </c>
      <c r="H1414" s="25"/>
      <c r="I1414" s="51"/>
      <c r="J1414" s="4"/>
      <c r="K1414" s="25" t="str">
        <f t="shared" si="63"/>
        <v/>
      </c>
      <c r="L1414" s="7"/>
      <c r="M1414" s="4"/>
      <c r="N1414" s="7"/>
      <c r="O1414" s="4"/>
      <c r="P1414" s="51"/>
      <c r="Q1414" s="51"/>
      <c r="R1414" s="51"/>
      <c r="S1414" s="7"/>
      <c r="T1414" s="7"/>
    </row>
    <row r="1415" spans="1:20" ht="14.25" customHeight="1">
      <c r="A1415" s="4"/>
      <c r="B1415" s="38">
        <v>14815</v>
      </c>
      <c r="C1415" s="22" t="str">
        <f>IFERROR(VLOOKUP(B1415,Colaboradores!A:D,2,),"")</f>
        <v>NATHALIA CRISTINA DOS SANTOS RODRIGUES</v>
      </c>
      <c r="D1415" s="22" t="str">
        <f>IFERROR(VLOOKUP(B1415,Colaboradores!A:D,3,),"")</f>
        <v>REGIONAL LESTE</v>
      </c>
      <c r="E1415" s="22" t="str">
        <f>IFERROR(VLOOKUP(B1415,Colaboradores!A:D,4,),"")</f>
        <v>ASSISTENTE DE MEIO AMBIENTE</v>
      </c>
      <c r="F1415" s="47" t="s">
        <v>32</v>
      </c>
      <c r="G1415" s="24" t="str">
        <f>IFERROR(VLOOKUP(F1415,Procedimentos!A:C,2,),"")</f>
        <v>GESTÃO DE LEVANTAMENTO DE ASPECTOS E IMPACTOS AMBIENTAIS</v>
      </c>
      <c r="H1415" s="25"/>
      <c r="I1415" s="51"/>
      <c r="J1415" s="4"/>
      <c r="K1415" s="25" t="str">
        <f t="shared" si="63"/>
        <v/>
      </c>
      <c r="L1415" s="7"/>
      <c r="M1415" s="4"/>
      <c r="N1415" s="7"/>
      <c r="O1415" s="4"/>
      <c r="P1415" s="51"/>
      <c r="Q1415" s="51"/>
      <c r="R1415" s="51"/>
      <c r="S1415" s="7"/>
      <c r="T1415" s="7"/>
    </row>
    <row r="1416" spans="1:20" ht="14.25" customHeight="1">
      <c r="A1416" s="4"/>
      <c r="B1416" s="38">
        <v>14815</v>
      </c>
      <c r="C1416" s="22" t="str">
        <f>IFERROR(VLOOKUP(B1416,Colaboradores!A:D,2,),"")</f>
        <v>NATHALIA CRISTINA DOS SANTOS RODRIGUES</v>
      </c>
      <c r="D1416" s="22" t="str">
        <f>IFERROR(VLOOKUP(B1416,Colaboradores!A:D,3,),"")</f>
        <v>REGIONAL LESTE</v>
      </c>
      <c r="E1416" s="22" t="str">
        <f>IFERROR(VLOOKUP(B1416,Colaboradores!A:D,4,),"")</f>
        <v>ASSISTENTE DE MEIO AMBIENTE</v>
      </c>
      <c r="F1416" s="47" t="s">
        <v>31</v>
      </c>
      <c r="G1416" s="24" t="str">
        <f>IFERROR(VLOOKUP(F1416,Procedimentos!A:C,2,),"")</f>
        <v>GESTÃO DE COMUNICAÇÃO, CLASSIFICAÇÃO E INVESTIGAÇÃO DE OCORRÊNCIAS AMBIENTAIS</v>
      </c>
      <c r="H1416" s="25"/>
      <c r="I1416" s="51"/>
      <c r="J1416" s="4"/>
      <c r="K1416" s="25" t="str">
        <f t="shared" si="63"/>
        <v/>
      </c>
      <c r="L1416" s="7"/>
      <c r="M1416" s="4"/>
      <c r="N1416" s="7"/>
      <c r="O1416" s="4"/>
      <c r="P1416" s="51"/>
      <c r="Q1416" s="51"/>
      <c r="R1416" s="51"/>
      <c r="S1416" s="7"/>
      <c r="T1416" s="7"/>
    </row>
    <row r="1417" spans="1:20" ht="14.25" customHeight="1">
      <c r="A1417" s="4"/>
      <c r="B1417" s="38">
        <v>14815</v>
      </c>
      <c r="C1417" s="22" t="str">
        <f>IFERROR(VLOOKUP(B1417,Colaboradores!A:D,2,),"")</f>
        <v>NATHALIA CRISTINA DOS SANTOS RODRIGUES</v>
      </c>
      <c r="D1417" s="22" t="str">
        <f>IFERROR(VLOOKUP(B1417,Colaboradores!A:D,3,),"")</f>
        <v>REGIONAL LESTE</v>
      </c>
      <c r="E1417" s="22" t="str">
        <f>IFERROR(VLOOKUP(B1417,Colaboradores!A:D,4,),"")</f>
        <v>ASSISTENTE DE MEIO AMBIENTE</v>
      </c>
      <c r="F1417" s="47" t="s">
        <v>49</v>
      </c>
      <c r="G1417" s="24" t="str">
        <f>IFERROR(VLOOKUP(F1417,Procedimentos!A:C,2,),"")</f>
        <v>DIRETRIZES PARA REALIZAÇÃO DE EXAMES OCUPACIONAIS</v>
      </c>
      <c r="H1417" s="25"/>
      <c r="I1417" s="51"/>
      <c r="J1417" s="4"/>
      <c r="K1417" s="25" t="str">
        <f t="shared" si="63"/>
        <v/>
      </c>
      <c r="L1417" s="7"/>
      <c r="M1417" s="4"/>
      <c r="N1417" s="7"/>
      <c r="O1417" s="4"/>
      <c r="P1417" s="51"/>
      <c r="Q1417" s="51"/>
      <c r="R1417" s="51"/>
      <c r="S1417" s="7"/>
      <c r="T1417" s="7"/>
    </row>
    <row r="1418" spans="1:20" ht="14.25" customHeight="1">
      <c r="A1418" s="4"/>
      <c r="B1418" s="38">
        <v>14815</v>
      </c>
      <c r="C1418" s="22" t="str">
        <f>IFERROR(VLOOKUP(B1418,Colaboradores!A:D,2,),"")</f>
        <v>NATHALIA CRISTINA DOS SANTOS RODRIGUES</v>
      </c>
      <c r="D1418" s="22" t="str">
        <f>IFERROR(VLOOKUP(B1418,Colaboradores!A:D,3,),"")</f>
        <v>REGIONAL LESTE</v>
      </c>
      <c r="E1418" s="22" t="str">
        <f>IFERROR(VLOOKUP(B1418,Colaboradores!A:D,4,),"")</f>
        <v>ASSISTENTE DE MEIO AMBIENTE</v>
      </c>
      <c r="F1418" s="47" t="s">
        <v>51</v>
      </c>
      <c r="G1418" s="24" t="str">
        <f>IFERROR(VLOOKUP(F1418,Procedimentos!A:C,2,),"")</f>
        <v>DIRETRIZES PARA ENTREGA DE ATESTADOS MÉDICOS E ODONTOLÓGICOS</v>
      </c>
      <c r="H1418" s="25"/>
      <c r="I1418" s="51"/>
      <c r="J1418" s="4"/>
      <c r="K1418" s="25" t="str">
        <f t="shared" si="63"/>
        <v/>
      </c>
      <c r="L1418" s="7"/>
      <c r="M1418" s="4"/>
      <c r="N1418" s="7"/>
      <c r="O1418" s="4"/>
      <c r="P1418" s="51"/>
      <c r="Q1418" s="51"/>
      <c r="R1418" s="51"/>
      <c r="S1418" s="7"/>
      <c r="T1418" s="7"/>
    </row>
    <row r="1419" spans="1:20" ht="14.25" customHeight="1">
      <c r="A1419" s="4"/>
      <c r="B1419" s="38">
        <v>14815</v>
      </c>
      <c r="C1419" s="22" t="str">
        <f>IFERROR(VLOOKUP(B1419,Colaboradores!A:D,2,),"")</f>
        <v>NATHALIA CRISTINA DOS SANTOS RODRIGUES</v>
      </c>
      <c r="D1419" s="22" t="str">
        <f>IFERROR(VLOOKUP(B1419,Colaboradores!A:D,3,),"")</f>
        <v>REGIONAL LESTE</v>
      </c>
      <c r="E1419" s="22" t="str">
        <f>IFERROR(VLOOKUP(B1419,Colaboradores!A:D,4,),"")</f>
        <v>ASSISTENTE DE MEIO AMBIENTE</v>
      </c>
      <c r="F1419" s="47" t="s">
        <v>52</v>
      </c>
      <c r="G1419" s="24" t="str">
        <f>IFERROR(VLOOKUP(F1419,Procedimentos!A:C,2,),"")</f>
        <v>DIRETRIZES E ACOMPANHAMENTO  DE ACIDENTE COM MATERIAL BIOLOGICO</v>
      </c>
      <c r="H1419" s="25"/>
      <c r="I1419" s="51"/>
      <c r="J1419" s="4"/>
      <c r="K1419" s="25" t="str">
        <f t="shared" si="63"/>
        <v/>
      </c>
      <c r="L1419" s="7"/>
      <c r="M1419" s="4"/>
      <c r="N1419" s="7"/>
      <c r="O1419" s="4"/>
      <c r="P1419" s="51"/>
      <c r="Q1419" s="51"/>
      <c r="R1419" s="51"/>
      <c r="S1419" s="7"/>
      <c r="T1419" s="7"/>
    </row>
    <row r="1420" spans="1:20" ht="14.25" customHeight="1">
      <c r="A1420" s="4"/>
      <c r="B1420" s="38">
        <v>14815</v>
      </c>
      <c r="C1420" s="22" t="str">
        <f>IFERROR(VLOOKUP(B1420,Colaboradores!A:D,2,),"")</f>
        <v>NATHALIA CRISTINA DOS SANTOS RODRIGUES</v>
      </c>
      <c r="D1420" s="22" t="str">
        <f>IFERROR(VLOOKUP(B1420,Colaboradores!A:D,3,),"")</f>
        <v>REGIONAL LESTE</v>
      </c>
      <c r="E1420" s="22" t="str">
        <f>IFERROR(VLOOKUP(B1420,Colaboradores!A:D,4,),"")</f>
        <v>ASSISTENTE DE MEIO AMBIENTE</v>
      </c>
      <c r="F1420" s="47" t="s">
        <v>53</v>
      </c>
      <c r="G1420" s="24" t="str">
        <f>IFERROR(VLOOKUP(F1420,Procedimentos!A:C,2,),"")</f>
        <v>DIRETRIZES PARA MONITORAMENTO DE GESTANTE</v>
      </c>
      <c r="H1420" s="25"/>
      <c r="I1420" s="51"/>
      <c r="J1420" s="4"/>
      <c r="K1420" s="25" t="str">
        <f t="shared" si="63"/>
        <v/>
      </c>
      <c r="L1420" s="7"/>
      <c r="M1420" s="4"/>
      <c r="N1420" s="7"/>
      <c r="O1420" s="4"/>
      <c r="P1420" s="51"/>
      <c r="Q1420" s="51"/>
      <c r="R1420" s="51"/>
      <c r="S1420" s="7"/>
      <c r="T1420" s="7"/>
    </row>
    <row r="1421" spans="1:20" ht="14.25" customHeight="1">
      <c r="A1421" s="4"/>
      <c r="B1421" s="38">
        <v>14815</v>
      </c>
      <c r="C1421" s="22" t="str">
        <f>IFERROR(VLOOKUP(B1421,Colaboradores!A:D,2,),"")</f>
        <v>NATHALIA CRISTINA DOS SANTOS RODRIGUES</v>
      </c>
      <c r="D1421" s="22" t="str">
        <f>IFERROR(VLOOKUP(B1421,Colaboradores!A:D,3,),"")</f>
        <v>REGIONAL LESTE</v>
      </c>
      <c r="E1421" s="22" t="str">
        <f>IFERROR(VLOOKUP(B1421,Colaboradores!A:D,4,),"")</f>
        <v>ASSISTENTE DE MEIO AMBIENTE</v>
      </c>
      <c r="F1421" s="47" t="s">
        <v>54</v>
      </c>
      <c r="G1421" s="24" t="str">
        <f>IFERROR(VLOOKUP(F1421,Procedimentos!A:C,2,),"")</f>
        <v>DIRETRIZES DE IMUNIZAÇÃO OCUPACIONAL</v>
      </c>
      <c r="H1421" s="25"/>
      <c r="I1421" s="51"/>
      <c r="J1421" s="4"/>
      <c r="K1421" s="25" t="str">
        <f t="shared" si="63"/>
        <v/>
      </c>
      <c r="L1421" s="7"/>
      <c r="M1421" s="4"/>
      <c r="N1421" s="7"/>
      <c r="O1421" s="4"/>
      <c r="P1421" s="51"/>
      <c r="Q1421" s="51"/>
      <c r="R1421" s="51"/>
      <c r="S1421" s="7"/>
      <c r="T1421" s="7"/>
    </row>
    <row r="1422" spans="1:20" ht="14.25" customHeight="1">
      <c r="A1422" s="4"/>
      <c r="B1422" s="38">
        <v>14815</v>
      </c>
      <c r="C1422" s="22" t="str">
        <f>IFERROR(VLOOKUP(B1422,Colaboradores!A:D,2,),"")</f>
        <v>NATHALIA CRISTINA DOS SANTOS RODRIGUES</v>
      </c>
      <c r="D1422" s="22" t="str">
        <f>IFERROR(VLOOKUP(B1422,Colaboradores!A:D,3,),"")</f>
        <v>REGIONAL LESTE</v>
      </c>
      <c r="E1422" s="22" t="str">
        <f>IFERROR(VLOOKUP(B1422,Colaboradores!A:D,4,),"")</f>
        <v>ASSISTENTE DE MEIO AMBIENTE</v>
      </c>
      <c r="F1422" s="47" t="s">
        <v>55</v>
      </c>
      <c r="G1422" s="24" t="str">
        <f>IFERROR(VLOOKUP(F1422,Procedimentos!A:C,2,),"")</f>
        <v>DIRETRIZES PARA ACOMPANHAMENTO DE AFASTADOS</v>
      </c>
      <c r="H1422" s="25"/>
      <c r="I1422" s="51"/>
      <c r="J1422" s="4"/>
      <c r="K1422" s="25" t="str">
        <f t="shared" si="63"/>
        <v/>
      </c>
      <c r="L1422" s="7"/>
      <c r="M1422" s="4"/>
      <c r="N1422" s="7"/>
      <c r="O1422" s="4"/>
      <c r="P1422" s="51"/>
      <c r="Q1422" s="51"/>
      <c r="R1422" s="51"/>
      <c r="S1422" s="7"/>
      <c r="T1422" s="7"/>
    </row>
    <row r="1423" spans="1:20" ht="14.25" customHeight="1">
      <c r="A1423" s="4"/>
      <c r="B1423" s="38">
        <v>14815</v>
      </c>
      <c r="C1423" s="22" t="str">
        <f>IFERROR(VLOOKUP(B1423,Colaboradores!A:D,2,),"")</f>
        <v>NATHALIA CRISTINA DOS SANTOS RODRIGUES</v>
      </c>
      <c r="D1423" s="22" t="str">
        <f>IFERROR(VLOOKUP(B1423,Colaboradores!A:D,3,),"")</f>
        <v>REGIONAL LESTE</v>
      </c>
      <c r="E1423" s="22" t="str">
        <f>IFERROR(VLOOKUP(B1423,Colaboradores!A:D,4,),"")</f>
        <v>ASSISTENTE DE MEIO AMBIENTE</v>
      </c>
      <c r="F1423" s="47" t="s">
        <v>33</v>
      </c>
      <c r="G1423" s="24" t="str">
        <f>IFERROR(VLOOKUP(F1423,Procedimentos!A:C,2,),"")</f>
        <v>GESTÃO DE INSPEÇÕES AMBIENTAIS</v>
      </c>
      <c r="H1423" s="25"/>
      <c r="I1423" s="51"/>
      <c r="J1423" s="4"/>
      <c r="K1423" s="25" t="str">
        <f t="shared" si="63"/>
        <v/>
      </c>
      <c r="L1423" s="7"/>
      <c r="M1423" s="4"/>
      <c r="N1423" s="7"/>
      <c r="O1423" s="4"/>
      <c r="P1423" s="51"/>
      <c r="Q1423" s="51"/>
      <c r="R1423" s="51"/>
      <c r="S1423" s="7"/>
      <c r="T1423" s="7"/>
    </row>
    <row r="1424" spans="1:20" ht="14.25" customHeight="1">
      <c r="A1424" s="4"/>
      <c r="B1424" s="38">
        <v>14815</v>
      </c>
      <c r="C1424" s="22" t="str">
        <f>IFERROR(VLOOKUP(B1424,Colaboradores!A:D,2,),"")</f>
        <v>NATHALIA CRISTINA DOS SANTOS RODRIGUES</v>
      </c>
      <c r="D1424" s="22" t="str">
        <f>IFERROR(VLOOKUP(B1424,Colaboradores!A:D,3,),"")</f>
        <v>REGIONAL LESTE</v>
      </c>
      <c r="E1424" s="22" t="str">
        <f>IFERROR(VLOOKUP(B1424,Colaboradores!A:D,4,),"")</f>
        <v>ASSISTENTE DE MEIO AMBIENTE</v>
      </c>
      <c r="F1424" s="47" t="s">
        <v>39</v>
      </c>
      <c r="G1424" s="24" t="str">
        <f>IFERROR(VLOOKUP(F1424,Procedimentos!A:C,2,),"")</f>
        <v>GESTÃO DE ÁGUAS E EFLUENTES</v>
      </c>
      <c r="H1424" s="25"/>
      <c r="I1424" s="51"/>
      <c r="J1424" s="4"/>
      <c r="K1424" s="25" t="str">
        <f t="shared" si="63"/>
        <v/>
      </c>
      <c r="L1424" s="7"/>
      <c r="M1424" s="4"/>
      <c r="N1424" s="7"/>
      <c r="O1424" s="4"/>
      <c r="P1424" s="51"/>
      <c r="Q1424" s="51"/>
      <c r="R1424" s="51"/>
      <c r="S1424" s="7"/>
      <c r="T1424" s="7"/>
    </row>
    <row r="1425" spans="1:20" ht="14.25" customHeight="1">
      <c r="A1425" s="4"/>
      <c r="B1425" s="38">
        <v>14815</v>
      </c>
      <c r="C1425" s="22" t="str">
        <f>IFERROR(VLOOKUP(B1425,Colaboradores!A:D,2,),"")</f>
        <v>NATHALIA CRISTINA DOS SANTOS RODRIGUES</v>
      </c>
      <c r="D1425" s="22" t="str">
        <f>IFERROR(VLOOKUP(B1425,Colaboradores!A:D,3,),"")</f>
        <v>REGIONAL LESTE</v>
      </c>
      <c r="E1425" s="22" t="str">
        <f>IFERROR(VLOOKUP(B1425,Colaboradores!A:D,4,),"")</f>
        <v>ASSISTENTE DE MEIO AMBIENTE</v>
      </c>
      <c r="F1425" s="47" t="s">
        <v>34</v>
      </c>
      <c r="G1425" s="24" t="str">
        <f>IFERROR(VLOOKUP(F1425,Procedimentos!A:C,2,),"")</f>
        <v>GESTÃO DE LICENCIAMENTO AMBIENTAL</v>
      </c>
      <c r="H1425" s="25"/>
      <c r="I1425" s="51"/>
      <c r="J1425" s="4"/>
      <c r="K1425" s="25" t="str">
        <f t="shared" si="63"/>
        <v/>
      </c>
      <c r="L1425" s="7"/>
      <c r="M1425" s="4"/>
      <c r="N1425" s="7"/>
      <c r="O1425" s="4"/>
      <c r="P1425" s="51"/>
      <c r="Q1425" s="51"/>
      <c r="R1425" s="51"/>
      <c r="S1425" s="7"/>
      <c r="T1425" s="7"/>
    </row>
    <row r="1426" spans="1:20" ht="14.25" customHeight="1">
      <c r="A1426" s="4"/>
      <c r="B1426" s="38">
        <v>14815</v>
      </c>
      <c r="C1426" s="22" t="str">
        <f>IFERROR(VLOOKUP(B1426,Colaboradores!A:D,2,),"")</f>
        <v>NATHALIA CRISTINA DOS SANTOS RODRIGUES</v>
      </c>
      <c r="D1426" s="22" t="str">
        <f>IFERROR(VLOOKUP(B1426,Colaboradores!A:D,3,),"")</f>
        <v>REGIONAL LESTE</v>
      </c>
      <c r="E1426" s="22" t="str">
        <f>IFERROR(VLOOKUP(B1426,Colaboradores!A:D,4,),"")</f>
        <v>ASSISTENTE DE MEIO AMBIENTE</v>
      </c>
      <c r="F1426" s="47" t="s">
        <v>38</v>
      </c>
      <c r="G1426" s="24" t="str">
        <f>IFERROR(VLOOKUP(F1426,Procedimentos!A:C,2,),"")</f>
        <v>GESTÃO DE CONDICIONANTES DE LICENCIAMENTO AMBIENTAL</v>
      </c>
      <c r="H1426" s="25"/>
      <c r="I1426" s="51"/>
      <c r="J1426" s="4"/>
      <c r="K1426" s="25" t="str">
        <f t="shared" si="63"/>
        <v/>
      </c>
      <c r="L1426" s="7"/>
      <c r="M1426" s="4"/>
      <c r="N1426" s="7"/>
      <c r="O1426" s="4"/>
      <c r="P1426" s="51"/>
      <c r="Q1426" s="51"/>
      <c r="R1426" s="51"/>
      <c r="S1426" s="7"/>
      <c r="T1426" s="7"/>
    </row>
    <row r="1427" spans="1:20" ht="14.25" customHeight="1">
      <c r="A1427" s="4"/>
      <c r="B1427" s="38">
        <v>14815</v>
      </c>
      <c r="C1427" s="22" t="str">
        <f>IFERROR(VLOOKUP(B1427,Colaboradores!A:D,2,),"")</f>
        <v>NATHALIA CRISTINA DOS SANTOS RODRIGUES</v>
      </c>
      <c r="D1427" s="22" t="str">
        <f>IFERROR(VLOOKUP(B1427,Colaboradores!A:D,3,),"")</f>
        <v>REGIONAL LESTE</v>
      </c>
      <c r="E1427" s="22" t="str">
        <f>IFERROR(VLOOKUP(B1427,Colaboradores!A:D,4,),"")</f>
        <v>ASSISTENTE DE MEIO AMBIENTE</v>
      </c>
      <c r="F1427" s="47" t="s">
        <v>37</v>
      </c>
      <c r="G1427" s="24" t="str">
        <f>IFERROR(VLOOKUP(F1427,Procedimentos!A:C,2,),"")</f>
        <v>GESTÃO DE RESÍDUOS SÓLIDOS DE SERVIÇOS DE SAÚDE</v>
      </c>
      <c r="H1427" s="25"/>
      <c r="I1427" s="51"/>
      <c r="J1427" s="4"/>
      <c r="K1427" s="25" t="str">
        <f t="shared" si="63"/>
        <v/>
      </c>
      <c r="L1427" s="7"/>
      <c r="M1427" s="4"/>
      <c r="N1427" s="7"/>
      <c r="O1427" s="4"/>
      <c r="P1427" s="51"/>
      <c r="Q1427" s="51"/>
      <c r="R1427" s="51"/>
      <c r="S1427" s="7"/>
      <c r="T1427" s="7"/>
    </row>
    <row r="1428" spans="1:20" ht="14.25" customHeight="1">
      <c r="A1428" s="4"/>
      <c r="B1428" s="38">
        <v>14815</v>
      </c>
      <c r="C1428" s="22" t="str">
        <f>IFERROR(VLOOKUP(B1428,Colaboradores!A:D,2,),"")</f>
        <v>NATHALIA CRISTINA DOS SANTOS RODRIGUES</v>
      </c>
      <c r="D1428" s="22" t="str">
        <f>IFERROR(VLOOKUP(B1428,Colaboradores!A:D,3,),"")</f>
        <v>REGIONAL LESTE</v>
      </c>
      <c r="E1428" s="22" t="str">
        <f>IFERROR(VLOOKUP(B1428,Colaboradores!A:D,4,),"")</f>
        <v>ASSISTENTE DE MEIO AMBIENTE</v>
      </c>
      <c r="F1428" s="47" t="s">
        <v>73</v>
      </c>
      <c r="G1428" s="24" t="str">
        <f>IFERROR(VLOOKUP(F1428,Procedimentos!A:C,2,),"")</f>
        <v>AQUISIÇÃO DE BENS E SERVIÇOS E AVALIAÇÃO PROVEDORES EXTERNOS</v>
      </c>
      <c r="H1428" s="25"/>
      <c r="I1428" s="51"/>
      <c r="J1428" s="4"/>
      <c r="K1428" s="25" t="str">
        <f t="shared" si="63"/>
        <v/>
      </c>
      <c r="L1428" s="7"/>
      <c r="M1428" s="4"/>
      <c r="N1428" s="7"/>
      <c r="O1428" s="4"/>
      <c r="P1428" s="51"/>
      <c r="Q1428" s="51"/>
      <c r="R1428" s="51"/>
      <c r="S1428" s="7"/>
      <c r="T1428" s="7"/>
    </row>
    <row r="1429" spans="1:20" ht="14.25" customHeight="1">
      <c r="A1429" s="4"/>
      <c r="B1429" s="38">
        <v>14815</v>
      </c>
      <c r="C1429" s="22" t="str">
        <f>IFERROR(VLOOKUP(B1429,Colaboradores!A:D,2,),"")</f>
        <v>NATHALIA CRISTINA DOS SANTOS RODRIGUES</v>
      </c>
      <c r="D1429" s="22" t="str">
        <f>IFERROR(VLOOKUP(B1429,Colaboradores!A:D,3,),"")</f>
        <v>REGIONAL LESTE</v>
      </c>
      <c r="E1429" s="22" t="str">
        <f>IFERROR(VLOOKUP(B1429,Colaboradores!A:D,4,),"")</f>
        <v>ASSISTENTE DE MEIO AMBIENTE</v>
      </c>
      <c r="F1429" s="47" t="s">
        <v>35</v>
      </c>
      <c r="G1429" s="24" t="str">
        <f>IFERROR(VLOOKUP(F1429,Procedimentos!A:C,2,),"")</f>
        <v>PROCEDIMENTO DE AFERIÇÃO DE FUMAÇA PRETA</v>
      </c>
      <c r="H1429" s="25"/>
      <c r="I1429" s="51"/>
      <c r="J1429" s="4"/>
      <c r="K1429" s="25" t="str">
        <f t="shared" si="63"/>
        <v/>
      </c>
      <c r="L1429" s="7"/>
      <c r="M1429" s="4"/>
      <c r="N1429" s="7"/>
      <c r="O1429" s="4"/>
      <c r="P1429" s="51"/>
      <c r="Q1429" s="51"/>
      <c r="R1429" s="51"/>
      <c r="S1429" s="7"/>
      <c r="T1429" s="7"/>
    </row>
    <row r="1430" spans="1:20" ht="14.25" customHeight="1">
      <c r="A1430" s="4"/>
      <c r="B1430" s="38">
        <v>14815</v>
      </c>
      <c r="C1430" s="22" t="str">
        <f>IFERROR(VLOOKUP(B1430,Colaboradores!A:D,2,),"")</f>
        <v>NATHALIA CRISTINA DOS SANTOS RODRIGUES</v>
      </c>
      <c r="D1430" s="22" t="str">
        <f>IFERROR(VLOOKUP(B1430,Colaboradores!A:D,3,),"")</f>
        <v>REGIONAL LESTE</v>
      </c>
      <c r="E1430" s="22" t="str">
        <f>IFERROR(VLOOKUP(B1430,Colaboradores!A:D,4,),"")</f>
        <v>ASSISTENTE DE MEIO AMBIENTE</v>
      </c>
      <c r="F1430" s="47" t="s">
        <v>48</v>
      </c>
      <c r="G1430" s="24" t="str">
        <f>IFERROR(VLOOKUP(F1430,Procedimentos!A:C,2,),"")</f>
        <v>POLÍTICA MEIO AMBIENTE EMSERH</v>
      </c>
      <c r="H1430" s="25"/>
      <c r="I1430" s="51"/>
      <c r="J1430" s="4"/>
      <c r="K1430" s="25" t="str">
        <f t="shared" si="63"/>
        <v/>
      </c>
      <c r="L1430" s="7"/>
      <c r="M1430" s="4"/>
      <c r="N1430" s="7"/>
      <c r="O1430" s="4"/>
      <c r="P1430" s="51"/>
      <c r="Q1430" s="51"/>
      <c r="R1430" s="51"/>
      <c r="S1430" s="7"/>
      <c r="T1430" s="7"/>
    </row>
    <row r="1431" spans="1:20" ht="14.25" customHeight="1">
      <c r="A1431" s="4"/>
      <c r="B1431" s="38">
        <v>14721</v>
      </c>
      <c r="C1431" s="22" t="str">
        <f>IFERROR(VLOOKUP(B1431,Colaboradores!A:D,2,),"")</f>
        <v>RONILSON FERREIRA OLIVEIRA</v>
      </c>
      <c r="D1431" s="22" t="str">
        <f>IFERROR(VLOOKUP(B1431,Colaboradores!A:D,3,),"")</f>
        <v>REGIONAL LESTE</v>
      </c>
      <c r="E1431" s="22" t="str">
        <f>IFERROR(VLOOKUP(B1431,Colaboradores!A:D,4,),"")</f>
        <v>TÉCNICO DE SEGURANÇA DO TRABALHO</v>
      </c>
      <c r="F1431" s="47" t="s">
        <v>41</v>
      </c>
      <c r="G1431" s="24" t="str">
        <f>IFERROR(VLOOKUP(F1431,Procedimentos!A:C,2,),"")</f>
        <v>DIRETRIZES PARA COMUNICAÇÃO E INVESTIGAÇÃO DE ACIDENTES</v>
      </c>
      <c r="H1431" s="25"/>
      <c r="I1431" s="51"/>
      <c r="J1431" s="4"/>
      <c r="K1431" s="25" t="str">
        <f t="shared" si="63"/>
        <v/>
      </c>
      <c r="L1431" s="7"/>
      <c r="M1431" s="4"/>
      <c r="N1431" s="7"/>
      <c r="O1431" s="4"/>
      <c r="P1431" s="51"/>
      <c r="Q1431" s="51"/>
      <c r="R1431" s="51"/>
      <c r="S1431" s="7"/>
      <c r="T1431" s="7"/>
    </row>
    <row r="1432" spans="1:20" ht="14.25" customHeight="1">
      <c r="A1432" s="4"/>
      <c r="B1432" s="38">
        <v>14721</v>
      </c>
      <c r="C1432" s="22" t="str">
        <f>IFERROR(VLOOKUP(B1432,Colaboradores!A:D,2,),"")</f>
        <v>RONILSON FERREIRA OLIVEIRA</v>
      </c>
      <c r="D1432" s="22" t="str">
        <f>IFERROR(VLOOKUP(B1432,Colaboradores!A:D,3,),"")</f>
        <v>REGIONAL LESTE</v>
      </c>
      <c r="E1432" s="22" t="str">
        <f>IFERROR(VLOOKUP(B1432,Colaboradores!A:D,4,),"")</f>
        <v>TÉCNICO DE SEGURANÇA DO TRABALHO</v>
      </c>
      <c r="F1432" s="47" t="s">
        <v>44</v>
      </c>
      <c r="G1432" s="24" t="str">
        <f>IFERROR(VLOOKUP(F1432,Procedimentos!A:C,2,),"")</f>
        <v>DIRETRIZES PARA GESTÃO DE EQUIPAMENTOS DE PROTEÇÃO INDIVIDUAL - EPI'S</v>
      </c>
      <c r="H1432" s="25"/>
      <c r="I1432" s="51"/>
      <c r="J1432" s="4"/>
      <c r="K1432" s="25" t="str">
        <f t="shared" si="63"/>
        <v/>
      </c>
      <c r="L1432" s="7"/>
      <c r="M1432" s="4"/>
      <c r="N1432" s="7"/>
      <c r="O1432" s="4"/>
      <c r="P1432" s="51"/>
      <c r="Q1432" s="51"/>
      <c r="R1432" s="51"/>
      <c r="S1432" s="7"/>
      <c r="T1432" s="7"/>
    </row>
    <row r="1433" spans="1:20" ht="14.25" customHeight="1">
      <c r="A1433" s="4"/>
      <c r="B1433" s="38">
        <v>14721</v>
      </c>
      <c r="C1433" s="22" t="str">
        <f>IFERROR(VLOOKUP(B1433,Colaboradores!A:D,2,),"")</f>
        <v>RONILSON FERREIRA OLIVEIRA</v>
      </c>
      <c r="D1433" s="22" t="str">
        <f>IFERROR(VLOOKUP(B1433,Colaboradores!A:D,3,),"")</f>
        <v>REGIONAL LESTE</v>
      </c>
      <c r="E1433" s="22" t="str">
        <f>IFERROR(VLOOKUP(B1433,Colaboradores!A:D,4,),"")</f>
        <v>TÉCNICO DE SEGURANÇA DO TRABALHO</v>
      </c>
      <c r="F1433" s="47" t="s">
        <v>45</v>
      </c>
      <c r="G1433" s="24" t="str">
        <f>IFERROR(VLOOKUP(F1433,Procedimentos!A:C,2,),"")</f>
        <v>CONSTITUIÇÃO INTERNA DE PREVENÇÃO DE ACIDENTES E DE ASSÉDIOS - CIPA</v>
      </c>
      <c r="H1433" s="25"/>
      <c r="I1433" s="51"/>
      <c r="J1433" s="4"/>
      <c r="K1433" s="25" t="str">
        <f t="shared" si="63"/>
        <v/>
      </c>
      <c r="L1433" s="7"/>
      <c r="M1433" s="4"/>
      <c r="N1433" s="7"/>
      <c r="O1433" s="4"/>
      <c r="P1433" s="51"/>
      <c r="Q1433" s="51"/>
      <c r="R1433" s="51"/>
      <c r="S1433" s="7"/>
      <c r="T1433" s="7"/>
    </row>
    <row r="1434" spans="1:20" ht="14.25" customHeight="1">
      <c r="A1434" s="4"/>
      <c r="B1434" s="38">
        <v>14721</v>
      </c>
      <c r="C1434" s="22" t="str">
        <f>IFERROR(VLOOKUP(B1434,Colaboradores!A:D,2,),"")</f>
        <v>RONILSON FERREIRA OLIVEIRA</v>
      </c>
      <c r="D1434" s="22" t="str">
        <f>IFERROR(VLOOKUP(B1434,Colaboradores!A:D,3,),"")</f>
        <v>REGIONAL LESTE</v>
      </c>
      <c r="E1434" s="22" t="str">
        <f>IFERROR(VLOOKUP(B1434,Colaboradores!A:D,4,),"")</f>
        <v>TÉCNICO DE SEGURANÇA DO TRABALHO</v>
      </c>
      <c r="F1434" s="47" t="s">
        <v>49</v>
      </c>
      <c r="G1434" s="24" t="str">
        <f>IFERROR(VLOOKUP(F1434,Procedimentos!A:C,2,),"")</f>
        <v>DIRETRIZES PARA REALIZAÇÃO DE EXAMES OCUPACIONAIS</v>
      </c>
      <c r="H1434" s="25"/>
      <c r="I1434" s="51"/>
      <c r="J1434" s="4"/>
      <c r="K1434" s="25" t="str">
        <f t="shared" si="63"/>
        <v/>
      </c>
      <c r="L1434" s="7"/>
      <c r="M1434" s="4"/>
      <c r="N1434" s="7"/>
      <c r="O1434" s="4"/>
      <c r="P1434" s="51"/>
      <c r="Q1434" s="51"/>
      <c r="R1434" s="51"/>
      <c r="S1434" s="7"/>
      <c r="T1434" s="7"/>
    </row>
    <row r="1435" spans="1:20" ht="14.25" customHeight="1">
      <c r="A1435" s="4"/>
      <c r="B1435" s="38">
        <v>14721</v>
      </c>
      <c r="C1435" s="22" t="str">
        <f>IFERROR(VLOOKUP(B1435,Colaboradores!A:D,2,),"")</f>
        <v>RONILSON FERREIRA OLIVEIRA</v>
      </c>
      <c r="D1435" s="22" t="str">
        <f>IFERROR(VLOOKUP(B1435,Colaboradores!A:D,3,),"")</f>
        <v>REGIONAL LESTE</v>
      </c>
      <c r="E1435" s="22" t="str">
        <f>IFERROR(VLOOKUP(B1435,Colaboradores!A:D,4,),"")</f>
        <v>TÉCNICO DE SEGURANÇA DO TRABALHO</v>
      </c>
      <c r="F1435" s="47" t="s">
        <v>51</v>
      </c>
      <c r="G1435" s="24" t="str">
        <f>IFERROR(VLOOKUP(F1435,Procedimentos!A:C,2,),"")</f>
        <v>DIRETRIZES PARA ENTREGA DE ATESTADOS MÉDICOS E ODONTOLÓGICOS</v>
      </c>
      <c r="H1435" s="25"/>
      <c r="I1435" s="51"/>
      <c r="J1435" s="4"/>
      <c r="K1435" s="25" t="str">
        <f t="shared" si="63"/>
        <v/>
      </c>
      <c r="L1435" s="7"/>
      <c r="M1435" s="4"/>
      <c r="N1435" s="7"/>
      <c r="O1435" s="4"/>
      <c r="P1435" s="51"/>
      <c r="Q1435" s="51"/>
      <c r="R1435" s="51"/>
      <c r="S1435" s="7"/>
      <c r="T1435" s="7"/>
    </row>
    <row r="1436" spans="1:20" ht="14.25" customHeight="1">
      <c r="A1436" s="4"/>
      <c r="B1436" s="38">
        <v>14721</v>
      </c>
      <c r="C1436" s="22" t="str">
        <f>IFERROR(VLOOKUP(B1436,Colaboradores!A:D,2,),"")</f>
        <v>RONILSON FERREIRA OLIVEIRA</v>
      </c>
      <c r="D1436" s="22" t="str">
        <f>IFERROR(VLOOKUP(B1436,Colaboradores!A:D,3,),"")</f>
        <v>REGIONAL LESTE</v>
      </c>
      <c r="E1436" s="22" t="str">
        <f>IFERROR(VLOOKUP(B1436,Colaboradores!A:D,4,),"")</f>
        <v>TÉCNICO DE SEGURANÇA DO TRABALHO</v>
      </c>
      <c r="F1436" s="47" t="s">
        <v>52</v>
      </c>
      <c r="G1436" s="24" t="str">
        <f>IFERROR(VLOOKUP(F1436,Procedimentos!A:C,2,),"")</f>
        <v>DIRETRIZES E ACOMPANHAMENTO  DE ACIDENTE COM MATERIAL BIOLOGICO</v>
      </c>
      <c r="H1436" s="25"/>
      <c r="I1436" s="51"/>
      <c r="J1436" s="4"/>
      <c r="K1436" s="25" t="str">
        <f t="shared" si="63"/>
        <v/>
      </c>
      <c r="L1436" s="7"/>
      <c r="M1436" s="4"/>
      <c r="N1436" s="7"/>
      <c r="O1436" s="4"/>
      <c r="P1436" s="51"/>
      <c r="Q1436" s="51"/>
      <c r="R1436" s="51"/>
      <c r="S1436" s="7"/>
      <c r="T1436" s="7"/>
    </row>
    <row r="1437" spans="1:20" ht="14.25" customHeight="1">
      <c r="A1437" s="4"/>
      <c r="B1437" s="38">
        <v>14721</v>
      </c>
      <c r="C1437" s="22" t="str">
        <f>IFERROR(VLOOKUP(B1437,Colaboradores!A:D,2,),"")</f>
        <v>RONILSON FERREIRA OLIVEIRA</v>
      </c>
      <c r="D1437" s="22" t="str">
        <f>IFERROR(VLOOKUP(B1437,Colaboradores!A:D,3,),"")</f>
        <v>REGIONAL LESTE</v>
      </c>
      <c r="E1437" s="22" t="str">
        <f>IFERROR(VLOOKUP(B1437,Colaboradores!A:D,4,),"")</f>
        <v>TÉCNICO DE SEGURANÇA DO TRABALHO</v>
      </c>
      <c r="F1437" s="47" t="s">
        <v>53</v>
      </c>
      <c r="G1437" s="24" t="str">
        <f>IFERROR(VLOOKUP(F1437,Procedimentos!A:C,2,),"")</f>
        <v>DIRETRIZES PARA MONITORAMENTO DE GESTANTE</v>
      </c>
      <c r="H1437" s="25"/>
      <c r="I1437" s="51"/>
      <c r="J1437" s="4"/>
      <c r="K1437" s="25" t="str">
        <f t="shared" si="63"/>
        <v/>
      </c>
      <c r="L1437" s="7"/>
      <c r="M1437" s="4"/>
      <c r="N1437" s="7"/>
      <c r="O1437" s="4"/>
      <c r="P1437" s="51"/>
      <c r="Q1437" s="51"/>
      <c r="R1437" s="51"/>
      <c r="S1437" s="7"/>
      <c r="T1437" s="7"/>
    </row>
    <row r="1438" spans="1:20" ht="14.25" customHeight="1">
      <c r="A1438" s="4"/>
      <c r="B1438" s="38">
        <v>14721</v>
      </c>
      <c r="C1438" s="22" t="str">
        <f>IFERROR(VLOOKUP(B1438,Colaboradores!A:D,2,),"")</f>
        <v>RONILSON FERREIRA OLIVEIRA</v>
      </c>
      <c r="D1438" s="22" t="str">
        <f>IFERROR(VLOOKUP(B1438,Colaboradores!A:D,3,),"")</f>
        <v>REGIONAL LESTE</v>
      </c>
      <c r="E1438" s="22" t="str">
        <f>IFERROR(VLOOKUP(B1438,Colaboradores!A:D,4,),"")</f>
        <v>TÉCNICO DE SEGURANÇA DO TRABALHO</v>
      </c>
      <c r="F1438" s="47" t="s">
        <v>54</v>
      </c>
      <c r="G1438" s="24" t="str">
        <f>IFERROR(VLOOKUP(F1438,Procedimentos!A:C,2,),"")</f>
        <v>DIRETRIZES DE IMUNIZAÇÃO OCUPACIONAL</v>
      </c>
      <c r="H1438" s="25"/>
      <c r="I1438" s="51"/>
      <c r="J1438" s="4"/>
      <c r="K1438" s="25" t="str">
        <f t="shared" si="63"/>
        <v/>
      </c>
      <c r="L1438" s="7"/>
      <c r="M1438" s="4"/>
      <c r="N1438" s="7"/>
      <c r="O1438" s="4"/>
      <c r="P1438" s="51"/>
      <c r="Q1438" s="51"/>
      <c r="R1438" s="51"/>
      <c r="S1438" s="7"/>
      <c r="T1438" s="7"/>
    </row>
    <row r="1439" spans="1:20" ht="14.25" customHeight="1">
      <c r="A1439" s="4"/>
      <c r="B1439" s="38">
        <v>14721</v>
      </c>
      <c r="C1439" s="22" t="str">
        <f>IFERROR(VLOOKUP(B1439,Colaboradores!A:D,2,),"")</f>
        <v>RONILSON FERREIRA OLIVEIRA</v>
      </c>
      <c r="D1439" s="22" t="str">
        <f>IFERROR(VLOOKUP(B1439,Colaboradores!A:D,3,),"")</f>
        <v>REGIONAL LESTE</v>
      </c>
      <c r="E1439" s="22" t="str">
        <f>IFERROR(VLOOKUP(B1439,Colaboradores!A:D,4,),"")</f>
        <v>TÉCNICO DE SEGURANÇA DO TRABALHO</v>
      </c>
      <c r="F1439" s="47" t="s">
        <v>55</v>
      </c>
      <c r="G1439" s="24" t="str">
        <f>IFERROR(VLOOKUP(F1439,Procedimentos!A:C,2,),"")</f>
        <v>DIRETRIZES PARA ACOMPANHAMENTO DE AFASTADOS</v>
      </c>
      <c r="H1439" s="25"/>
      <c r="I1439" s="51"/>
      <c r="J1439" s="4"/>
      <c r="K1439" s="25" t="str">
        <f t="shared" si="63"/>
        <v/>
      </c>
      <c r="L1439" s="7"/>
      <c r="M1439" s="4"/>
      <c r="N1439" s="7"/>
      <c r="O1439" s="4"/>
      <c r="P1439" s="51"/>
      <c r="Q1439" s="51"/>
      <c r="R1439" s="51"/>
      <c r="S1439" s="7"/>
      <c r="T1439" s="7"/>
    </row>
    <row r="1440" spans="1:20" ht="14.25" customHeight="1">
      <c r="A1440" s="4"/>
      <c r="B1440" s="38">
        <v>14767</v>
      </c>
      <c r="C1440" s="22" t="str">
        <f>IFERROR(VLOOKUP(B1440,Colaboradores!A:D,2,),"")</f>
        <v>CAIO VINICIUS PEREIRA DO NASCIMENTO</v>
      </c>
      <c r="D1440" s="22" t="str">
        <f>IFERROR(VLOOKUP(B1440,Colaboradores!A:D,3,),"")</f>
        <v>REGIONAL SUL</v>
      </c>
      <c r="E1440" s="22" t="str">
        <f>IFERROR(VLOOKUP(B1440,Colaboradores!A:D,4,),"")</f>
        <v>TÉCNICO DE MEIO AMBIENTE</v>
      </c>
      <c r="F1440" s="47" t="s">
        <v>41</v>
      </c>
      <c r="G1440" s="24" t="str">
        <f>IFERROR(VLOOKUP(F1440,Procedimentos!A:C,2,),"")</f>
        <v>DIRETRIZES PARA COMUNICAÇÃO E INVESTIGAÇÃO DE ACIDENTES</v>
      </c>
      <c r="H1440" s="25"/>
      <c r="I1440" s="51"/>
      <c r="J1440" s="4"/>
      <c r="K1440" s="25" t="str">
        <f t="shared" si="63"/>
        <v/>
      </c>
      <c r="L1440" s="7"/>
      <c r="M1440" s="4"/>
      <c r="N1440" s="7"/>
      <c r="O1440" s="4"/>
      <c r="P1440" s="51"/>
      <c r="Q1440" s="51"/>
      <c r="R1440" s="51"/>
      <c r="S1440" s="7"/>
      <c r="T1440" s="7"/>
    </row>
    <row r="1441" spans="1:20" ht="14.25" customHeight="1">
      <c r="A1441" s="4"/>
      <c r="B1441" s="38">
        <v>14767</v>
      </c>
      <c r="C1441" s="22" t="str">
        <f>IFERROR(VLOOKUP(B1441,Colaboradores!A:D,2,),"")</f>
        <v>CAIO VINICIUS PEREIRA DO NASCIMENTO</v>
      </c>
      <c r="D1441" s="22" t="str">
        <f>IFERROR(VLOOKUP(B1441,Colaboradores!A:D,3,),"")</f>
        <v>REGIONAL SUL</v>
      </c>
      <c r="E1441" s="22" t="str">
        <f>IFERROR(VLOOKUP(B1441,Colaboradores!A:D,4,),"")</f>
        <v>TÉCNICO DE MEIO AMBIENTE</v>
      </c>
      <c r="F1441" s="47" t="s">
        <v>44</v>
      </c>
      <c r="G1441" s="24" t="str">
        <f>IFERROR(VLOOKUP(F1441,Procedimentos!A:C,2,),"")</f>
        <v>DIRETRIZES PARA GESTÃO DE EQUIPAMENTOS DE PROTEÇÃO INDIVIDUAL - EPI'S</v>
      </c>
      <c r="H1441" s="25"/>
      <c r="I1441" s="51"/>
      <c r="J1441" s="4"/>
      <c r="K1441" s="25" t="str">
        <f t="shared" si="63"/>
        <v/>
      </c>
      <c r="L1441" s="7"/>
      <c r="M1441" s="4"/>
      <c r="N1441" s="7"/>
      <c r="O1441" s="4"/>
      <c r="P1441" s="51"/>
      <c r="Q1441" s="51"/>
      <c r="R1441" s="51"/>
      <c r="S1441" s="7"/>
      <c r="T1441" s="7"/>
    </row>
    <row r="1442" spans="1:20" ht="14.25" customHeight="1">
      <c r="A1442" s="4"/>
      <c r="B1442" s="38">
        <v>14767</v>
      </c>
      <c r="C1442" s="22" t="str">
        <f>IFERROR(VLOOKUP(B1442,Colaboradores!A:D,2,),"")</f>
        <v>CAIO VINICIUS PEREIRA DO NASCIMENTO</v>
      </c>
      <c r="D1442" s="22" t="str">
        <f>IFERROR(VLOOKUP(B1442,Colaboradores!A:D,3,),"")</f>
        <v>REGIONAL SUL</v>
      </c>
      <c r="E1442" s="22" t="str">
        <f>IFERROR(VLOOKUP(B1442,Colaboradores!A:D,4,),"")</f>
        <v>TÉCNICO DE MEIO AMBIENTE</v>
      </c>
      <c r="F1442" s="47" t="s">
        <v>45</v>
      </c>
      <c r="G1442" s="24" t="str">
        <f>IFERROR(VLOOKUP(F1442,Procedimentos!A:C,2,),"")</f>
        <v>CONSTITUIÇÃO INTERNA DE PREVENÇÃO DE ACIDENTES E DE ASSÉDIOS - CIPA</v>
      </c>
      <c r="H1442" s="25"/>
      <c r="I1442" s="51"/>
      <c r="J1442" s="4"/>
      <c r="K1442" s="25" t="str">
        <f t="shared" si="63"/>
        <v/>
      </c>
      <c r="L1442" s="7"/>
      <c r="M1442" s="4"/>
      <c r="N1442" s="7"/>
      <c r="O1442" s="4"/>
      <c r="P1442" s="51"/>
      <c r="Q1442" s="51"/>
      <c r="R1442" s="51"/>
      <c r="S1442" s="7"/>
      <c r="T1442" s="7"/>
    </row>
    <row r="1443" spans="1:20" ht="14.25" customHeight="1">
      <c r="A1443" s="4"/>
      <c r="B1443" s="38">
        <v>15100</v>
      </c>
      <c r="C1443" s="22" t="str">
        <f>IFERROR(VLOOKUP(B1443,Colaboradores!A:D,2,),"")</f>
        <v>JONATHAN SILVA ALVES</v>
      </c>
      <c r="D1443" s="22" t="str">
        <f>IFERROR(VLOOKUP(B1443,Colaboradores!A:D,3,),"")</f>
        <v>REGIONAL SUL</v>
      </c>
      <c r="E1443" s="22" t="str">
        <f>IFERROR(VLOOKUP(B1443,Colaboradores!A:D,4,),"")</f>
        <v>COORDENADOR DE SSMA</v>
      </c>
      <c r="F1443" s="47" t="s">
        <v>67</v>
      </c>
      <c r="G1443" s="24" t="str">
        <f>IFERROR(VLOOKUP(F1443,Procedimentos!A:C,2,),"")</f>
        <v>SISTEMATICA DE ROTINA DE REUNIÕES DA DESSMA</v>
      </c>
      <c r="H1443" s="25"/>
      <c r="I1443" s="51"/>
      <c r="J1443" s="4"/>
      <c r="K1443" s="25" t="str">
        <f t="shared" si="63"/>
        <v/>
      </c>
      <c r="L1443" s="7"/>
      <c r="M1443" s="4"/>
      <c r="N1443" s="7"/>
      <c r="O1443" s="4"/>
      <c r="P1443" s="51"/>
      <c r="Q1443" s="51"/>
      <c r="R1443" s="51"/>
      <c r="S1443" s="7"/>
      <c r="T1443" s="7"/>
    </row>
    <row r="1444" spans="1:20" ht="14.25" customHeight="1">
      <c r="A1444" s="4"/>
      <c r="B1444" s="38">
        <v>15100</v>
      </c>
      <c r="C1444" s="22" t="str">
        <f>IFERROR(VLOOKUP(B1444,Colaboradores!A:D,2,),"")</f>
        <v>JONATHAN SILVA ALVES</v>
      </c>
      <c r="D1444" s="22" t="str">
        <f>IFERROR(VLOOKUP(B1444,Colaboradores!A:D,3,),"")</f>
        <v>REGIONAL SUL</v>
      </c>
      <c r="E1444" s="22" t="str">
        <f>IFERROR(VLOOKUP(B1444,Colaboradores!A:D,4,),"")</f>
        <v>COORDENADOR DE SSMA</v>
      </c>
      <c r="F1444" s="47" t="s">
        <v>68</v>
      </c>
      <c r="G1444" s="24" t="str">
        <f>IFERROR(VLOOKUP(F1444,Procedimentos!A:C,2,),"")</f>
        <v>GESTÃO INDICADORES</v>
      </c>
      <c r="H1444" s="25"/>
      <c r="I1444" s="51"/>
      <c r="J1444" s="4"/>
      <c r="K1444" s="25" t="str">
        <f t="shared" si="63"/>
        <v/>
      </c>
      <c r="L1444" s="7"/>
      <c r="M1444" s="4"/>
      <c r="N1444" s="7"/>
      <c r="O1444" s="4"/>
      <c r="P1444" s="51"/>
      <c r="Q1444" s="51"/>
      <c r="R1444" s="51"/>
      <c r="S1444" s="7"/>
      <c r="T1444" s="7"/>
    </row>
    <row r="1445" spans="1:20" ht="14.25" customHeight="1">
      <c r="A1445" s="4"/>
      <c r="B1445" s="38">
        <v>15100</v>
      </c>
      <c r="C1445" s="22" t="str">
        <f>IFERROR(VLOOKUP(B1445,Colaboradores!A:D,2,),"")</f>
        <v>JONATHAN SILVA ALVES</v>
      </c>
      <c r="D1445" s="22" t="str">
        <f>IFERROR(VLOOKUP(B1445,Colaboradores!A:D,3,),"")</f>
        <v>REGIONAL SUL</v>
      </c>
      <c r="E1445" s="22" t="str">
        <f>IFERROR(VLOOKUP(B1445,Colaboradores!A:D,4,),"")</f>
        <v>COORDENADOR DE SSMA</v>
      </c>
      <c r="F1445" s="47" t="s">
        <v>69</v>
      </c>
      <c r="G1445" s="24" t="str">
        <f>IFERROR(VLOOKUP(F1445,Procedimentos!A:C,2,),"")</f>
        <v>PROCEDIMENTO GESTÃO DE MUDANÇA SGQ</v>
      </c>
      <c r="H1445" s="25"/>
      <c r="I1445" s="51"/>
      <c r="J1445" s="4"/>
      <c r="K1445" s="25" t="str">
        <f t="shared" si="63"/>
        <v/>
      </c>
      <c r="L1445" s="7"/>
      <c r="M1445" s="4"/>
      <c r="N1445" s="7"/>
      <c r="O1445" s="4"/>
      <c r="P1445" s="51"/>
      <c r="Q1445" s="51"/>
      <c r="R1445" s="51"/>
      <c r="S1445" s="7"/>
      <c r="T1445" s="7"/>
    </row>
    <row r="1446" spans="1:20" ht="14.25" customHeight="1">
      <c r="A1446" s="4"/>
      <c r="B1446" s="38">
        <v>15100</v>
      </c>
      <c r="C1446" s="22" t="str">
        <f>IFERROR(VLOOKUP(B1446,Colaboradores!A:D,2,),"")</f>
        <v>JONATHAN SILVA ALVES</v>
      </c>
      <c r="D1446" s="22" t="str">
        <f>IFERROR(VLOOKUP(B1446,Colaboradores!A:D,3,),"")</f>
        <v>REGIONAL SUL</v>
      </c>
      <c r="E1446" s="22" t="str">
        <f>IFERROR(VLOOKUP(B1446,Colaboradores!A:D,4,),"")</f>
        <v>COORDENADOR DE SSMA</v>
      </c>
      <c r="F1446" s="47" t="s">
        <v>64</v>
      </c>
      <c r="G1446" s="24" t="str">
        <f>IFERROR(VLOOKUP(F1446,Procedimentos!A:C,2,),"")</f>
        <v>AVALIAÇÃO DESEMPENHO</v>
      </c>
      <c r="H1446" s="25"/>
      <c r="I1446" s="51"/>
      <c r="J1446" s="4"/>
      <c r="K1446" s="25" t="str">
        <f t="shared" si="63"/>
        <v/>
      </c>
      <c r="L1446" s="7"/>
      <c r="M1446" s="4"/>
      <c r="N1446" s="7"/>
      <c r="O1446" s="4"/>
      <c r="P1446" s="51"/>
      <c r="Q1446" s="51"/>
      <c r="R1446" s="51"/>
      <c r="S1446" s="7"/>
      <c r="T1446" s="7"/>
    </row>
    <row r="1447" spans="1:20" ht="14.25" customHeight="1">
      <c r="A1447" s="4"/>
      <c r="B1447" s="38">
        <v>15100</v>
      </c>
      <c r="C1447" s="22" t="str">
        <f>IFERROR(VLOOKUP(B1447,Colaboradores!A:D,2,),"")</f>
        <v>JONATHAN SILVA ALVES</v>
      </c>
      <c r="D1447" s="22" t="str">
        <f>IFERROR(VLOOKUP(B1447,Colaboradores!A:D,3,),"")</f>
        <v>REGIONAL SUL</v>
      </c>
      <c r="E1447" s="22" t="str">
        <f>IFERROR(VLOOKUP(B1447,Colaboradores!A:D,4,),"")</f>
        <v>COORDENADOR DE SSMA</v>
      </c>
      <c r="F1447" s="47" t="s">
        <v>41</v>
      </c>
      <c r="G1447" s="24" t="str">
        <f>IFERROR(VLOOKUP(F1447,Procedimentos!A:C,2,),"")</f>
        <v>DIRETRIZES PARA COMUNICAÇÃO E INVESTIGAÇÃO DE ACIDENTES</v>
      </c>
      <c r="H1447" s="25"/>
      <c r="I1447" s="51"/>
      <c r="J1447" s="4"/>
      <c r="K1447" s="25" t="str">
        <f t="shared" si="63"/>
        <v/>
      </c>
      <c r="L1447" s="7"/>
      <c r="M1447" s="4"/>
      <c r="N1447" s="7"/>
      <c r="O1447" s="4"/>
      <c r="P1447" s="51"/>
      <c r="Q1447" s="51"/>
      <c r="R1447" s="51"/>
      <c r="S1447" s="7"/>
      <c r="T1447" s="7"/>
    </row>
    <row r="1448" spans="1:20" ht="14.25" customHeight="1">
      <c r="A1448" s="4"/>
      <c r="B1448" s="38">
        <v>15100</v>
      </c>
      <c r="C1448" s="22" t="str">
        <f>IFERROR(VLOOKUP(B1448,Colaboradores!A:D,2,),"")</f>
        <v>JONATHAN SILVA ALVES</v>
      </c>
      <c r="D1448" s="22" t="str">
        <f>IFERROR(VLOOKUP(B1448,Colaboradores!A:D,3,),"")</f>
        <v>REGIONAL SUL</v>
      </c>
      <c r="E1448" s="22" t="str">
        <f>IFERROR(VLOOKUP(B1448,Colaboradores!A:D,4,),"")</f>
        <v>COORDENADOR DE SSMA</v>
      </c>
      <c r="F1448" s="47" t="s">
        <v>44</v>
      </c>
      <c r="G1448" s="24" t="str">
        <f>IFERROR(VLOOKUP(F1448,Procedimentos!A:C,2,),"")</f>
        <v>DIRETRIZES PARA GESTÃO DE EQUIPAMENTOS DE PROTEÇÃO INDIVIDUAL - EPI'S</v>
      </c>
      <c r="H1448" s="25"/>
      <c r="I1448" s="51"/>
      <c r="J1448" s="4"/>
      <c r="K1448" s="25" t="str">
        <f t="shared" si="63"/>
        <v/>
      </c>
      <c r="L1448" s="7"/>
      <c r="M1448" s="4"/>
      <c r="N1448" s="7"/>
      <c r="O1448" s="4"/>
      <c r="P1448" s="51"/>
      <c r="Q1448" s="51"/>
      <c r="R1448" s="51"/>
      <c r="S1448" s="7"/>
      <c r="T1448" s="7"/>
    </row>
    <row r="1449" spans="1:20" ht="14.25" customHeight="1">
      <c r="A1449" s="4"/>
      <c r="B1449" s="38">
        <v>15100</v>
      </c>
      <c r="C1449" s="22" t="str">
        <f>IFERROR(VLOOKUP(B1449,Colaboradores!A:D,2,),"")</f>
        <v>JONATHAN SILVA ALVES</v>
      </c>
      <c r="D1449" s="22" t="str">
        <f>IFERROR(VLOOKUP(B1449,Colaboradores!A:D,3,),"")</f>
        <v>REGIONAL SUL</v>
      </c>
      <c r="E1449" s="22" t="str">
        <f>IFERROR(VLOOKUP(B1449,Colaboradores!A:D,4,),"")</f>
        <v>COORDENADOR DE SSMA</v>
      </c>
      <c r="F1449" s="47" t="s">
        <v>45</v>
      </c>
      <c r="G1449" s="24" t="str">
        <f>IFERROR(VLOOKUP(F1449,Procedimentos!A:C,2,),"")</f>
        <v>CONSTITUIÇÃO INTERNA DE PREVENÇÃO DE ACIDENTES E DE ASSÉDIOS - CIPA</v>
      </c>
      <c r="H1449" s="25"/>
      <c r="I1449" s="51"/>
      <c r="J1449" s="4"/>
      <c r="K1449" s="25" t="str">
        <f t="shared" si="63"/>
        <v/>
      </c>
      <c r="L1449" s="7"/>
      <c r="M1449" s="4"/>
      <c r="N1449" s="7"/>
      <c r="O1449" s="4"/>
      <c r="P1449" s="51"/>
      <c r="Q1449" s="51"/>
      <c r="R1449" s="51"/>
      <c r="S1449" s="7"/>
      <c r="T1449" s="7"/>
    </row>
    <row r="1450" spans="1:20" ht="14.25" customHeight="1">
      <c r="A1450" s="4"/>
      <c r="B1450" s="38">
        <v>14321</v>
      </c>
      <c r="C1450" s="22" t="str">
        <f>IFERROR(VLOOKUP(B1450,Colaboradores!A:D,2,),"")</f>
        <v>LAYANA KARINE SILVA BARBOSA</v>
      </c>
      <c r="D1450" s="22" t="str">
        <f>IFERROR(VLOOKUP(B1450,Colaboradores!A:D,3,),"")</f>
        <v>REGIONAL SUL</v>
      </c>
      <c r="E1450" s="22" t="str">
        <f>IFERROR(VLOOKUP(B1450,Colaboradores!A:D,4,),"")</f>
        <v>ASSISTENTE ADMINISTRATIVO</v>
      </c>
      <c r="F1450" s="47" t="s">
        <v>49</v>
      </c>
      <c r="G1450" s="24" t="str">
        <f>IFERROR(VLOOKUP(F1450,Procedimentos!A:C,2,),"")</f>
        <v>DIRETRIZES PARA REALIZAÇÃO DE EXAMES OCUPACIONAIS</v>
      </c>
      <c r="H1450" s="25"/>
      <c r="I1450" s="51"/>
      <c r="J1450" s="4"/>
      <c r="K1450" s="25" t="str">
        <f t="shared" si="63"/>
        <v/>
      </c>
      <c r="L1450" s="7"/>
      <c r="M1450" s="4"/>
      <c r="N1450" s="7"/>
      <c r="O1450" s="4"/>
      <c r="P1450" s="51"/>
      <c r="Q1450" s="51"/>
      <c r="R1450" s="51"/>
      <c r="S1450" s="7"/>
      <c r="T1450" s="7"/>
    </row>
    <row r="1451" spans="1:20" ht="14.25" customHeight="1">
      <c r="A1451" s="4"/>
      <c r="B1451" s="38">
        <v>14321</v>
      </c>
      <c r="C1451" s="22" t="str">
        <f>IFERROR(VLOOKUP(B1451,Colaboradores!A:D,2,),"")</f>
        <v>LAYANA KARINE SILVA BARBOSA</v>
      </c>
      <c r="D1451" s="22" t="str">
        <f>IFERROR(VLOOKUP(B1451,Colaboradores!A:D,3,),"")</f>
        <v>REGIONAL SUL</v>
      </c>
      <c r="E1451" s="22" t="str">
        <f>IFERROR(VLOOKUP(B1451,Colaboradores!A:D,4,),"")</f>
        <v>ASSISTENTE ADMINISTRATIVO</v>
      </c>
      <c r="F1451" s="47" t="s">
        <v>51</v>
      </c>
      <c r="G1451" s="24" t="str">
        <f>IFERROR(VLOOKUP(F1451,Procedimentos!A:C,2,),"")</f>
        <v>DIRETRIZES PARA ENTREGA DE ATESTADOS MÉDICOS E ODONTOLÓGICOS</v>
      </c>
      <c r="H1451" s="25"/>
      <c r="I1451" s="51"/>
      <c r="J1451" s="4"/>
      <c r="K1451" s="25" t="str">
        <f t="shared" si="63"/>
        <v/>
      </c>
      <c r="L1451" s="7"/>
      <c r="M1451" s="4"/>
      <c r="N1451" s="7"/>
      <c r="O1451" s="4"/>
      <c r="P1451" s="51"/>
      <c r="Q1451" s="51"/>
      <c r="R1451" s="51"/>
      <c r="S1451" s="7"/>
      <c r="T1451" s="7"/>
    </row>
    <row r="1452" spans="1:20" ht="14.25" customHeight="1">
      <c r="A1452" s="4"/>
      <c r="B1452" s="38">
        <v>14321</v>
      </c>
      <c r="C1452" s="22" t="str">
        <f>IFERROR(VLOOKUP(B1452,Colaboradores!A:D,2,),"")</f>
        <v>LAYANA KARINE SILVA BARBOSA</v>
      </c>
      <c r="D1452" s="22" t="str">
        <f>IFERROR(VLOOKUP(B1452,Colaboradores!A:D,3,),"")</f>
        <v>REGIONAL SUL</v>
      </c>
      <c r="E1452" s="22" t="str">
        <f>IFERROR(VLOOKUP(B1452,Colaboradores!A:D,4,),"")</f>
        <v>ASSISTENTE ADMINISTRATIVO</v>
      </c>
      <c r="F1452" s="47" t="s">
        <v>52</v>
      </c>
      <c r="G1452" s="24" t="str">
        <f>IFERROR(VLOOKUP(F1452,Procedimentos!A:C,2,),"")</f>
        <v>DIRETRIZES E ACOMPANHAMENTO  DE ACIDENTE COM MATERIAL BIOLOGICO</v>
      </c>
      <c r="H1452" s="25"/>
      <c r="I1452" s="51"/>
      <c r="J1452" s="4"/>
      <c r="K1452" s="25" t="str">
        <f t="shared" si="63"/>
        <v/>
      </c>
      <c r="L1452" s="7"/>
      <c r="M1452" s="4"/>
      <c r="N1452" s="7"/>
      <c r="O1452" s="4"/>
      <c r="P1452" s="51"/>
      <c r="Q1452" s="51"/>
      <c r="R1452" s="51"/>
      <c r="S1452" s="7"/>
      <c r="T1452" s="7"/>
    </row>
    <row r="1453" spans="1:20" ht="14.25" customHeight="1">
      <c r="A1453" s="4"/>
      <c r="B1453" s="38">
        <v>14321</v>
      </c>
      <c r="C1453" s="22" t="str">
        <f>IFERROR(VLOOKUP(B1453,Colaboradores!A:D,2,),"")</f>
        <v>LAYANA KARINE SILVA BARBOSA</v>
      </c>
      <c r="D1453" s="22" t="str">
        <f>IFERROR(VLOOKUP(B1453,Colaboradores!A:D,3,),"")</f>
        <v>REGIONAL SUL</v>
      </c>
      <c r="E1453" s="22" t="str">
        <f>IFERROR(VLOOKUP(B1453,Colaboradores!A:D,4,),"")</f>
        <v>ASSISTENTE ADMINISTRATIVO</v>
      </c>
      <c r="F1453" s="47" t="s">
        <v>53</v>
      </c>
      <c r="G1453" s="24" t="str">
        <f>IFERROR(VLOOKUP(F1453,Procedimentos!A:C,2,),"")</f>
        <v>DIRETRIZES PARA MONITORAMENTO DE GESTANTE</v>
      </c>
      <c r="H1453" s="25"/>
      <c r="I1453" s="51"/>
      <c r="J1453" s="4"/>
      <c r="K1453" s="25" t="str">
        <f t="shared" si="63"/>
        <v/>
      </c>
      <c r="L1453" s="7"/>
      <c r="M1453" s="4"/>
      <c r="N1453" s="7"/>
      <c r="O1453" s="4"/>
      <c r="P1453" s="51"/>
      <c r="Q1453" s="51"/>
      <c r="R1453" s="51"/>
      <c r="S1453" s="7"/>
      <c r="T1453" s="7"/>
    </row>
    <row r="1454" spans="1:20" ht="14.25" customHeight="1">
      <c r="A1454" s="4"/>
      <c r="B1454" s="38">
        <v>14321</v>
      </c>
      <c r="C1454" s="22" t="str">
        <f>IFERROR(VLOOKUP(B1454,Colaboradores!A:D,2,),"")</f>
        <v>LAYANA KARINE SILVA BARBOSA</v>
      </c>
      <c r="D1454" s="22" t="str">
        <f>IFERROR(VLOOKUP(B1454,Colaboradores!A:D,3,),"")</f>
        <v>REGIONAL SUL</v>
      </c>
      <c r="E1454" s="22" t="str">
        <f>IFERROR(VLOOKUP(B1454,Colaboradores!A:D,4,),"")</f>
        <v>ASSISTENTE ADMINISTRATIVO</v>
      </c>
      <c r="F1454" s="47" t="s">
        <v>54</v>
      </c>
      <c r="G1454" s="24" t="str">
        <f>IFERROR(VLOOKUP(F1454,Procedimentos!A:C,2,),"")</f>
        <v>DIRETRIZES DE IMUNIZAÇÃO OCUPACIONAL</v>
      </c>
      <c r="H1454" s="25"/>
      <c r="I1454" s="51"/>
      <c r="J1454" s="4"/>
      <c r="K1454" s="25" t="str">
        <f t="shared" si="63"/>
        <v/>
      </c>
      <c r="L1454" s="7"/>
      <c r="M1454" s="4"/>
      <c r="N1454" s="7"/>
      <c r="O1454" s="4"/>
      <c r="P1454" s="51"/>
      <c r="Q1454" s="51"/>
      <c r="R1454" s="51"/>
      <c r="S1454" s="7"/>
      <c r="T1454" s="7"/>
    </row>
    <row r="1455" spans="1:20" ht="14.25" customHeight="1">
      <c r="A1455" s="4"/>
      <c r="B1455" s="38">
        <v>14321</v>
      </c>
      <c r="C1455" s="22" t="str">
        <f>IFERROR(VLOOKUP(B1455,Colaboradores!A:D,2,),"")</f>
        <v>LAYANA KARINE SILVA BARBOSA</v>
      </c>
      <c r="D1455" s="22" t="str">
        <f>IFERROR(VLOOKUP(B1455,Colaboradores!A:D,3,),"")</f>
        <v>REGIONAL SUL</v>
      </c>
      <c r="E1455" s="22" t="str">
        <f>IFERROR(VLOOKUP(B1455,Colaboradores!A:D,4,),"")</f>
        <v>ASSISTENTE ADMINISTRATIVO</v>
      </c>
      <c r="F1455" s="47" t="s">
        <v>55</v>
      </c>
      <c r="G1455" s="24" t="str">
        <f>IFERROR(VLOOKUP(F1455,Procedimentos!A:C,2,),"")</f>
        <v>DIRETRIZES PARA ACOMPANHAMENTO DE AFASTADOS</v>
      </c>
      <c r="H1455" s="25"/>
      <c r="I1455" s="51"/>
      <c r="J1455" s="4"/>
      <c r="K1455" s="25" t="str">
        <f t="shared" si="63"/>
        <v/>
      </c>
      <c r="L1455" s="7"/>
      <c r="M1455" s="4"/>
      <c r="N1455" s="7"/>
      <c r="O1455" s="4"/>
      <c r="P1455" s="51"/>
      <c r="Q1455" s="51"/>
      <c r="R1455" s="51"/>
      <c r="S1455" s="7"/>
      <c r="T1455" s="7"/>
    </row>
    <row r="1456" spans="1:20" ht="14.25" customHeight="1">
      <c r="A1456" s="4"/>
      <c r="B1456" s="38">
        <v>15042</v>
      </c>
      <c r="C1456" s="22" t="str">
        <f>IFERROR(VLOOKUP(B1456,Colaboradores!A:D,2,),"")</f>
        <v>MARIANA CRISTINA FEITOSA SANTOS</v>
      </c>
      <c r="D1456" s="22" t="str">
        <f>IFERROR(VLOOKUP(B1456,Colaboradores!A:D,3,),"")</f>
        <v>REGIONAL SUL</v>
      </c>
      <c r="E1456" s="22" t="str">
        <f>IFERROR(VLOOKUP(B1456,Colaboradores!A:D,4,),"")</f>
        <v>TÉCNICA DE SEGURANÇA DO TRABALHO</v>
      </c>
      <c r="F1456" s="47" t="s">
        <v>41</v>
      </c>
      <c r="G1456" s="24" t="str">
        <f>IFERROR(VLOOKUP(F1456,Procedimentos!A:C,2,),"")</f>
        <v>DIRETRIZES PARA COMUNICAÇÃO E INVESTIGAÇÃO DE ACIDENTES</v>
      </c>
      <c r="H1456" s="25"/>
      <c r="I1456" s="51"/>
      <c r="J1456" s="4"/>
      <c r="K1456" s="25" t="str">
        <f t="shared" si="63"/>
        <v/>
      </c>
      <c r="L1456" s="7"/>
      <c r="M1456" s="4"/>
      <c r="N1456" s="7"/>
      <c r="O1456" s="4"/>
      <c r="P1456" s="51"/>
      <c r="Q1456" s="51"/>
      <c r="R1456" s="51"/>
      <c r="S1456" s="7"/>
      <c r="T1456" s="7"/>
    </row>
    <row r="1457" spans="1:20" ht="14.25" customHeight="1">
      <c r="A1457" s="4"/>
      <c r="B1457" s="38">
        <v>15042</v>
      </c>
      <c r="C1457" s="22" t="str">
        <f>IFERROR(VLOOKUP(B1457,Colaboradores!A:D,2,),"")</f>
        <v>MARIANA CRISTINA FEITOSA SANTOS</v>
      </c>
      <c r="D1457" s="22" t="str">
        <f>IFERROR(VLOOKUP(B1457,Colaboradores!A:D,3,),"")</f>
        <v>REGIONAL SUL</v>
      </c>
      <c r="E1457" s="22" t="str">
        <f>IFERROR(VLOOKUP(B1457,Colaboradores!A:D,4,),"")</f>
        <v>TÉCNICA DE SEGURANÇA DO TRABALHO</v>
      </c>
      <c r="F1457" s="47" t="s">
        <v>44</v>
      </c>
      <c r="G1457" s="24" t="str">
        <f>IFERROR(VLOOKUP(F1457,Procedimentos!A:C,2,),"")</f>
        <v>DIRETRIZES PARA GESTÃO DE EQUIPAMENTOS DE PROTEÇÃO INDIVIDUAL - EPI'S</v>
      </c>
      <c r="H1457" s="25"/>
      <c r="I1457" s="51"/>
      <c r="J1457" s="4"/>
      <c r="K1457" s="25" t="str">
        <f t="shared" si="63"/>
        <v/>
      </c>
      <c r="L1457" s="7"/>
      <c r="M1457" s="4"/>
      <c r="N1457" s="7"/>
      <c r="O1457" s="4"/>
      <c r="P1457" s="51"/>
      <c r="Q1457" s="51"/>
      <c r="R1457" s="51"/>
      <c r="S1457" s="7"/>
      <c r="T1457" s="7"/>
    </row>
    <row r="1458" spans="1:20" ht="14.25" customHeight="1">
      <c r="A1458" s="4"/>
      <c r="B1458" s="38">
        <v>15042</v>
      </c>
      <c r="C1458" s="22" t="str">
        <f>IFERROR(VLOOKUP(B1458,Colaboradores!A:D,2,),"")</f>
        <v>MARIANA CRISTINA FEITOSA SANTOS</v>
      </c>
      <c r="D1458" s="22" t="str">
        <f>IFERROR(VLOOKUP(B1458,Colaboradores!A:D,3,),"")</f>
        <v>REGIONAL SUL</v>
      </c>
      <c r="E1458" s="22" t="str">
        <f>IFERROR(VLOOKUP(B1458,Colaboradores!A:D,4,),"")</f>
        <v>TÉCNICA DE SEGURANÇA DO TRABALHO</v>
      </c>
      <c r="F1458" s="47" t="s">
        <v>45</v>
      </c>
      <c r="G1458" s="24" t="str">
        <f>IFERROR(VLOOKUP(F1458,Procedimentos!A:C,2,),"")</f>
        <v>CONSTITUIÇÃO INTERNA DE PREVENÇÃO DE ACIDENTES E DE ASSÉDIOS - CIPA</v>
      </c>
      <c r="H1458" s="25"/>
      <c r="I1458" s="51"/>
      <c r="J1458" s="4"/>
      <c r="K1458" s="25" t="str">
        <f t="shared" si="63"/>
        <v/>
      </c>
      <c r="L1458" s="7"/>
      <c r="M1458" s="4"/>
      <c r="N1458" s="7"/>
      <c r="O1458" s="4"/>
      <c r="P1458" s="51"/>
      <c r="Q1458" s="51"/>
      <c r="R1458" s="51"/>
      <c r="S1458" s="7"/>
      <c r="T1458" s="7"/>
    </row>
    <row r="1459" spans="1:20" ht="14.25" customHeight="1">
      <c r="A1459" s="4"/>
      <c r="B1459" s="38">
        <v>15042</v>
      </c>
      <c r="C1459" s="22" t="str">
        <f>IFERROR(VLOOKUP(B1459,Colaboradores!A:D,2,),"")</f>
        <v>MARIANA CRISTINA FEITOSA SANTOS</v>
      </c>
      <c r="D1459" s="22" t="str">
        <f>IFERROR(VLOOKUP(B1459,Colaboradores!A:D,3,),"")</f>
        <v>REGIONAL SUL</v>
      </c>
      <c r="E1459" s="22" t="str">
        <f>IFERROR(VLOOKUP(B1459,Colaboradores!A:D,4,),"")</f>
        <v>TÉCNICA DE SEGURANÇA DO TRABALHO</v>
      </c>
      <c r="F1459" s="47" t="s">
        <v>49</v>
      </c>
      <c r="G1459" s="24" t="str">
        <f>IFERROR(VLOOKUP(F1459,Procedimentos!A:C,2,),"")</f>
        <v>DIRETRIZES PARA REALIZAÇÃO DE EXAMES OCUPACIONAIS</v>
      </c>
      <c r="H1459" s="25"/>
      <c r="I1459" s="51"/>
      <c r="J1459" s="4"/>
      <c r="K1459" s="25" t="str">
        <f t="shared" si="63"/>
        <v/>
      </c>
      <c r="L1459" s="7"/>
      <c r="M1459" s="4"/>
      <c r="N1459" s="7"/>
      <c r="O1459" s="4"/>
      <c r="P1459" s="51"/>
      <c r="Q1459" s="51"/>
      <c r="R1459" s="51"/>
      <c r="S1459" s="7"/>
      <c r="T1459" s="7"/>
    </row>
    <row r="1460" spans="1:20" ht="14.25" customHeight="1">
      <c r="A1460" s="4"/>
      <c r="B1460" s="38">
        <v>15042</v>
      </c>
      <c r="C1460" s="22" t="str">
        <f>IFERROR(VLOOKUP(B1460,Colaboradores!A:D,2,),"")</f>
        <v>MARIANA CRISTINA FEITOSA SANTOS</v>
      </c>
      <c r="D1460" s="22" t="str">
        <f>IFERROR(VLOOKUP(B1460,Colaboradores!A:D,3,),"")</f>
        <v>REGIONAL SUL</v>
      </c>
      <c r="E1460" s="22" t="str">
        <f>IFERROR(VLOOKUP(B1460,Colaboradores!A:D,4,),"")</f>
        <v>TÉCNICA DE SEGURANÇA DO TRABALHO</v>
      </c>
      <c r="F1460" s="47" t="s">
        <v>51</v>
      </c>
      <c r="G1460" s="24" t="str">
        <f>IFERROR(VLOOKUP(F1460,Procedimentos!A:C,2,),"")</f>
        <v>DIRETRIZES PARA ENTREGA DE ATESTADOS MÉDICOS E ODONTOLÓGICOS</v>
      </c>
      <c r="H1460" s="25"/>
      <c r="I1460" s="51"/>
      <c r="J1460" s="4"/>
      <c r="K1460" s="25" t="str">
        <f t="shared" si="63"/>
        <v/>
      </c>
      <c r="L1460" s="7"/>
      <c r="M1460" s="4"/>
      <c r="N1460" s="7"/>
      <c r="O1460" s="4"/>
      <c r="P1460" s="51"/>
      <c r="Q1460" s="51"/>
      <c r="R1460" s="51"/>
      <c r="S1460" s="7"/>
      <c r="T1460" s="7"/>
    </row>
    <row r="1461" spans="1:20" ht="14.25" customHeight="1">
      <c r="A1461" s="4"/>
      <c r="B1461" s="38">
        <v>15042</v>
      </c>
      <c r="C1461" s="22" t="str">
        <f>IFERROR(VLOOKUP(B1461,Colaboradores!A:D,2,),"")</f>
        <v>MARIANA CRISTINA FEITOSA SANTOS</v>
      </c>
      <c r="D1461" s="22" t="str">
        <f>IFERROR(VLOOKUP(B1461,Colaboradores!A:D,3,),"")</f>
        <v>REGIONAL SUL</v>
      </c>
      <c r="E1461" s="22" t="str">
        <f>IFERROR(VLOOKUP(B1461,Colaboradores!A:D,4,),"")</f>
        <v>TÉCNICA DE SEGURANÇA DO TRABALHO</v>
      </c>
      <c r="F1461" s="47" t="s">
        <v>52</v>
      </c>
      <c r="G1461" s="24" t="str">
        <f>IFERROR(VLOOKUP(F1461,Procedimentos!A:C,2,),"")</f>
        <v>DIRETRIZES E ACOMPANHAMENTO  DE ACIDENTE COM MATERIAL BIOLOGICO</v>
      </c>
      <c r="H1461" s="25"/>
      <c r="I1461" s="51"/>
      <c r="J1461" s="4"/>
      <c r="K1461" s="25" t="str">
        <f t="shared" si="63"/>
        <v/>
      </c>
      <c r="L1461" s="7"/>
      <c r="M1461" s="4"/>
      <c r="N1461" s="7"/>
      <c r="O1461" s="4"/>
      <c r="P1461" s="51"/>
      <c r="Q1461" s="51"/>
      <c r="R1461" s="51"/>
      <c r="S1461" s="7"/>
      <c r="T1461" s="7"/>
    </row>
    <row r="1462" spans="1:20" ht="14.25" customHeight="1">
      <c r="A1462" s="4"/>
      <c r="B1462" s="38">
        <v>15042</v>
      </c>
      <c r="C1462" s="22" t="str">
        <f>IFERROR(VLOOKUP(B1462,Colaboradores!A:D,2,),"")</f>
        <v>MARIANA CRISTINA FEITOSA SANTOS</v>
      </c>
      <c r="D1462" s="22" t="str">
        <f>IFERROR(VLOOKUP(B1462,Colaboradores!A:D,3,),"")</f>
        <v>REGIONAL SUL</v>
      </c>
      <c r="E1462" s="22" t="str">
        <f>IFERROR(VLOOKUP(B1462,Colaboradores!A:D,4,),"")</f>
        <v>TÉCNICA DE SEGURANÇA DO TRABALHO</v>
      </c>
      <c r="F1462" s="47" t="s">
        <v>53</v>
      </c>
      <c r="G1462" s="24" t="str">
        <f>IFERROR(VLOOKUP(F1462,Procedimentos!A:C,2,),"")</f>
        <v>DIRETRIZES PARA MONITORAMENTO DE GESTANTE</v>
      </c>
      <c r="H1462" s="25"/>
      <c r="I1462" s="51"/>
      <c r="J1462" s="4"/>
      <c r="K1462" s="25" t="str">
        <f t="shared" si="63"/>
        <v/>
      </c>
      <c r="L1462" s="7"/>
      <c r="M1462" s="4"/>
      <c r="N1462" s="7"/>
      <c r="O1462" s="4"/>
      <c r="P1462" s="51"/>
      <c r="Q1462" s="51"/>
      <c r="R1462" s="51"/>
      <c r="S1462" s="7"/>
      <c r="T1462" s="7"/>
    </row>
    <row r="1463" spans="1:20" ht="14.25" customHeight="1">
      <c r="A1463" s="4"/>
      <c r="B1463" s="38">
        <v>15042</v>
      </c>
      <c r="C1463" s="22" t="str">
        <f>IFERROR(VLOOKUP(B1463,Colaboradores!A:D,2,),"")</f>
        <v>MARIANA CRISTINA FEITOSA SANTOS</v>
      </c>
      <c r="D1463" s="22" t="str">
        <f>IFERROR(VLOOKUP(B1463,Colaboradores!A:D,3,),"")</f>
        <v>REGIONAL SUL</v>
      </c>
      <c r="E1463" s="22" t="str">
        <f>IFERROR(VLOOKUP(B1463,Colaboradores!A:D,4,),"")</f>
        <v>TÉCNICA DE SEGURANÇA DO TRABALHO</v>
      </c>
      <c r="F1463" s="47" t="s">
        <v>54</v>
      </c>
      <c r="G1463" s="24" t="str">
        <f>IFERROR(VLOOKUP(F1463,Procedimentos!A:C,2,),"")</f>
        <v>DIRETRIZES DE IMUNIZAÇÃO OCUPACIONAL</v>
      </c>
      <c r="H1463" s="25"/>
      <c r="I1463" s="51"/>
      <c r="J1463" s="4"/>
      <c r="K1463" s="25" t="str">
        <f t="shared" si="63"/>
        <v/>
      </c>
      <c r="L1463" s="7"/>
      <c r="M1463" s="4"/>
      <c r="N1463" s="7"/>
      <c r="O1463" s="4"/>
      <c r="P1463" s="51"/>
      <c r="Q1463" s="51"/>
      <c r="R1463" s="51"/>
      <c r="S1463" s="7"/>
      <c r="T1463" s="7"/>
    </row>
    <row r="1464" spans="1:20" ht="14.25" customHeight="1">
      <c r="A1464" s="4"/>
      <c r="B1464" s="38">
        <v>15042</v>
      </c>
      <c r="C1464" s="22" t="str">
        <f>IFERROR(VLOOKUP(B1464,Colaboradores!A:D,2,),"")</f>
        <v>MARIANA CRISTINA FEITOSA SANTOS</v>
      </c>
      <c r="D1464" s="22" t="str">
        <f>IFERROR(VLOOKUP(B1464,Colaboradores!A:D,3,),"")</f>
        <v>REGIONAL SUL</v>
      </c>
      <c r="E1464" s="22" t="str">
        <f>IFERROR(VLOOKUP(B1464,Colaboradores!A:D,4,),"")</f>
        <v>TÉCNICA DE SEGURANÇA DO TRABALHO</v>
      </c>
      <c r="F1464" s="47" t="s">
        <v>55</v>
      </c>
      <c r="G1464" s="24" t="str">
        <f>IFERROR(VLOOKUP(F1464,Procedimentos!A:C,2,),"")</f>
        <v>DIRETRIZES PARA ACOMPANHAMENTO DE AFASTADOS</v>
      </c>
      <c r="H1464" s="25"/>
      <c r="I1464" s="51"/>
      <c r="J1464" s="4"/>
      <c r="K1464" s="25" t="str">
        <f t="shared" si="63"/>
        <v/>
      </c>
      <c r="L1464" s="7"/>
      <c r="M1464" s="4"/>
      <c r="N1464" s="7"/>
      <c r="O1464" s="4"/>
      <c r="P1464" s="51"/>
      <c r="Q1464" s="51"/>
      <c r="R1464" s="51"/>
      <c r="S1464" s="7"/>
      <c r="T1464" s="7"/>
    </row>
    <row r="1465" spans="1:20" ht="14.25" customHeight="1">
      <c r="A1465" s="4"/>
      <c r="B1465" s="38">
        <v>13524</v>
      </c>
      <c r="C1465" s="22" t="str">
        <f>IFERROR(VLOOKUP(B1465,Colaboradores!A:D,2,),"")</f>
        <v>JOAO WILKER RIBEIRO BARROS LIMA</v>
      </c>
      <c r="D1465" s="22" t="str">
        <f>IFERROR(VLOOKUP(B1465,Colaboradores!A:D,3,),"")</f>
        <v>SEGURANÇA DO TRABALHO</v>
      </c>
      <c r="E1465" s="22" t="str">
        <f>IFERROR(VLOOKUP(B1465,Colaboradores!A:D,4,),"")</f>
        <v>COORDENADOR DE SEGURANÇA DO TRABALHO</v>
      </c>
      <c r="F1465" s="47" t="s">
        <v>67</v>
      </c>
      <c r="G1465" s="24" t="str">
        <f>IFERROR(VLOOKUP(F1465,Procedimentos!A:C,2,),"")</f>
        <v>SISTEMATICA DE ROTINA DE REUNIÕES DA DESSMA</v>
      </c>
      <c r="H1465" s="25"/>
      <c r="I1465" s="51"/>
      <c r="J1465" s="4"/>
      <c r="K1465" s="25" t="str">
        <f t="shared" si="63"/>
        <v/>
      </c>
      <c r="L1465" s="7"/>
      <c r="M1465" s="4"/>
      <c r="N1465" s="7"/>
      <c r="O1465" s="4"/>
      <c r="P1465" s="51"/>
      <c r="Q1465" s="51"/>
      <c r="R1465" s="51"/>
      <c r="S1465" s="7"/>
      <c r="T1465" s="7"/>
    </row>
    <row r="1466" spans="1:20" ht="14.25" customHeight="1">
      <c r="A1466" s="4"/>
      <c r="B1466" s="38">
        <v>13524</v>
      </c>
      <c r="C1466" s="22" t="str">
        <f>IFERROR(VLOOKUP(B1466,Colaboradores!A:D,2,),"")</f>
        <v>JOAO WILKER RIBEIRO BARROS LIMA</v>
      </c>
      <c r="D1466" s="22" t="str">
        <f>IFERROR(VLOOKUP(B1466,Colaboradores!A:D,3,),"")</f>
        <v>SEGURANÇA DO TRABALHO</v>
      </c>
      <c r="E1466" s="22" t="str">
        <f>IFERROR(VLOOKUP(B1466,Colaboradores!A:D,4,),"")</f>
        <v>COORDENADOR DE SEGURANÇA DO TRABALHO</v>
      </c>
      <c r="F1466" s="47" t="s">
        <v>68</v>
      </c>
      <c r="G1466" s="24" t="str">
        <f>IFERROR(VLOOKUP(F1466,Procedimentos!A:C,2,),"")</f>
        <v>GESTÃO INDICADORES</v>
      </c>
      <c r="H1466" s="25"/>
      <c r="I1466" s="51"/>
      <c r="J1466" s="4"/>
      <c r="K1466" s="25" t="str">
        <f t="shared" si="63"/>
        <v/>
      </c>
      <c r="L1466" s="7"/>
      <c r="M1466" s="4"/>
      <c r="N1466" s="7"/>
      <c r="O1466" s="4"/>
      <c r="P1466" s="51"/>
      <c r="Q1466" s="51"/>
      <c r="R1466" s="51"/>
      <c r="S1466" s="7"/>
      <c r="T1466" s="7"/>
    </row>
    <row r="1467" spans="1:20" ht="14.25" customHeight="1">
      <c r="A1467" s="4"/>
      <c r="B1467" s="38">
        <v>13524</v>
      </c>
      <c r="C1467" s="22" t="str">
        <f>IFERROR(VLOOKUP(B1467,Colaboradores!A:D,2,),"")</f>
        <v>JOAO WILKER RIBEIRO BARROS LIMA</v>
      </c>
      <c r="D1467" s="22" t="str">
        <f>IFERROR(VLOOKUP(B1467,Colaboradores!A:D,3,),"")</f>
        <v>SEGURANÇA DO TRABALHO</v>
      </c>
      <c r="E1467" s="22" t="str">
        <f>IFERROR(VLOOKUP(B1467,Colaboradores!A:D,4,),"")</f>
        <v>COORDENADOR DE SEGURANÇA DO TRABALHO</v>
      </c>
      <c r="F1467" s="47" t="s">
        <v>69</v>
      </c>
      <c r="G1467" s="24" t="str">
        <f>IFERROR(VLOOKUP(F1467,Procedimentos!A:C,2,),"")</f>
        <v>PROCEDIMENTO GESTÃO DE MUDANÇA SGQ</v>
      </c>
      <c r="H1467" s="25"/>
      <c r="I1467" s="51"/>
      <c r="J1467" s="4"/>
      <c r="K1467" s="25" t="str">
        <f t="shared" si="63"/>
        <v/>
      </c>
      <c r="L1467" s="7"/>
      <c r="M1467" s="4"/>
      <c r="N1467" s="7"/>
      <c r="O1467" s="4"/>
      <c r="P1467" s="51"/>
      <c r="Q1467" s="51"/>
      <c r="R1467" s="51"/>
      <c r="S1467" s="7"/>
      <c r="T1467" s="7"/>
    </row>
    <row r="1468" spans="1:20" ht="14.25" customHeight="1">
      <c r="A1468" s="4"/>
      <c r="B1468" s="38">
        <v>13524</v>
      </c>
      <c r="C1468" s="22" t="str">
        <f>IFERROR(VLOOKUP(B1468,Colaboradores!A:D,2,),"")</f>
        <v>JOAO WILKER RIBEIRO BARROS LIMA</v>
      </c>
      <c r="D1468" s="22" t="str">
        <f>IFERROR(VLOOKUP(B1468,Colaboradores!A:D,3,),"")</f>
        <v>SEGURANÇA DO TRABALHO</v>
      </c>
      <c r="E1468" s="22" t="str">
        <f>IFERROR(VLOOKUP(B1468,Colaboradores!A:D,4,),"")</f>
        <v>COORDENADOR DE SEGURANÇA DO TRABALHO</v>
      </c>
      <c r="F1468" s="47" t="s">
        <v>64</v>
      </c>
      <c r="G1468" s="24" t="str">
        <f>IFERROR(VLOOKUP(F1468,Procedimentos!A:C,2,),"")</f>
        <v>AVALIAÇÃO DESEMPENHO</v>
      </c>
      <c r="H1468" s="25"/>
      <c r="I1468" s="51"/>
      <c r="J1468" s="4"/>
      <c r="K1468" s="25" t="str">
        <f t="shared" si="63"/>
        <v/>
      </c>
      <c r="L1468" s="7"/>
      <c r="M1468" s="4"/>
      <c r="N1468" s="7"/>
      <c r="O1468" s="4"/>
      <c r="P1468" s="51"/>
      <c r="Q1468" s="51"/>
      <c r="R1468" s="51"/>
      <c r="S1468" s="7"/>
      <c r="T1468" s="7"/>
    </row>
    <row r="1469" spans="1:20" ht="14.25" customHeight="1">
      <c r="A1469" s="4"/>
      <c r="B1469" s="38">
        <v>14508</v>
      </c>
      <c r="C1469" s="22" t="str">
        <f>IFERROR(VLOOKUP(B1469,Colaboradores!A:D,2,),"")</f>
        <v>FYAMA SANTOS SILVA</v>
      </c>
      <c r="D1469" s="22" t="str">
        <f>IFERROR(VLOOKUP(B1469,Colaboradores!A:D,3,),"")</f>
        <v>SAÚDE OCUPACIONAL</v>
      </c>
      <c r="E1469" s="22" t="str">
        <f>IFERROR(VLOOKUP(B1469,Colaboradores!A:D,4,),"")</f>
        <v>ASSISTENTE ADMINISTRATIVO</v>
      </c>
      <c r="F1469" s="47" t="s">
        <v>49</v>
      </c>
      <c r="G1469" s="24" t="str">
        <f>IFERROR(VLOOKUP(F1469,Procedimentos!A:C,2,),"")</f>
        <v>DIRETRIZES PARA REALIZAÇÃO DE EXAMES OCUPACIONAIS</v>
      </c>
      <c r="H1469" s="25"/>
      <c r="I1469" s="51"/>
      <c r="J1469" s="4"/>
      <c r="K1469" s="25" t="str">
        <f t="shared" si="63"/>
        <v/>
      </c>
      <c r="L1469" s="7"/>
      <c r="M1469" s="4"/>
      <c r="N1469" s="7"/>
      <c r="O1469" s="4"/>
      <c r="P1469" s="51"/>
      <c r="Q1469" s="51"/>
      <c r="R1469" s="51"/>
      <c r="S1469" s="7"/>
      <c r="T1469" s="7"/>
    </row>
    <row r="1470" spans="1:20" ht="14.25" customHeight="1">
      <c r="A1470" s="4"/>
      <c r="B1470" s="38">
        <v>14508</v>
      </c>
      <c r="C1470" s="22" t="str">
        <f>IFERROR(VLOOKUP(B1470,Colaboradores!A:D,2,),"")</f>
        <v>FYAMA SANTOS SILVA</v>
      </c>
      <c r="D1470" s="22" t="str">
        <f>IFERROR(VLOOKUP(B1470,Colaboradores!A:D,3,),"")</f>
        <v>SAÚDE OCUPACIONAL</v>
      </c>
      <c r="E1470" s="22" t="str">
        <f>IFERROR(VLOOKUP(B1470,Colaboradores!A:D,4,),"")</f>
        <v>ASSISTENTE ADMINISTRATIVO</v>
      </c>
      <c r="F1470" s="47" t="s">
        <v>51</v>
      </c>
      <c r="G1470" s="24" t="str">
        <f>IFERROR(VLOOKUP(F1470,Procedimentos!A:C,2,),"")</f>
        <v>DIRETRIZES PARA ENTREGA DE ATESTADOS MÉDICOS E ODONTOLÓGICOS</v>
      </c>
      <c r="H1470" s="25"/>
      <c r="I1470" s="51"/>
      <c r="J1470" s="4"/>
      <c r="K1470" s="25" t="str">
        <f t="shared" si="63"/>
        <v/>
      </c>
      <c r="L1470" s="7"/>
      <c r="M1470" s="4"/>
      <c r="N1470" s="7"/>
      <c r="O1470" s="4"/>
      <c r="P1470" s="51"/>
      <c r="Q1470" s="51"/>
      <c r="R1470" s="51"/>
      <c r="S1470" s="7"/>
      <c r="T1470" s="7"/>
    </row>
    <row r="1471" spans="1:20" ht="14.25" customHeight="1">
      <c r="A1471" s="4"/>
      <c r="B1471" s="38">
        <v>14508</v>
      </c>
      <c r="C1471" s="22" t="str">
        <f>IFERROR(VLOOKUP(B1471,Colaboradores!A:D,2,),"")</f>
        <v>FYAMA SANTOS SILVA</v>
      </c>
      <c r="D1471" s="22" t="str">
        <f>IFERROR(VLOOKUP(B1471,Colaboradores!A:D,3,),"")</f>
        <v>SAÚDE OCUPACIONAL</v>
      </c>
      <c r="E1471" s="22" t="str">
        <f>IFERROR(VLOOKUP(B1471,Colaboradores!A:D,4,),"")</f>
        <v>ASSISTENTE ADMINISTRATIVO</v>
      </c>
      <c r="F1471" s="47" t="s">
        <v>52</v>
      </c>
      <c r="G1471" s="24" t="str">
        <f>IFERROR(VLOOKUP(F1471,Procedimentos!A:C,2,),"")</f>
        <v>DIRETRIZES E ACOMPANHAMENTO  DE ACIDENTE COM MATERIAL BIOLOGICO</v>
      </c>
      <c r="H1471" s="25"/>
      <c r="I1471" s="51"/>
      <c r="J1471" s="4"/>
      <c r="K1471" s="25" t="str">
        <f t="shared" si="63"/>
        <v/>
      </c>
      <c r="L1471" s="7"/>
      <c r="M1471" s="4"/>
      <c r="N1471" s="7"/>
      <c r="O1471" s="4"/>
      <c r="P1471" s="51"/>
      <c r="Q1471" s="51"/>
      <c r="R1471" s="51"/>
      <c r="S1471" s="7"/>
      <c r="T1471" s="7"/>
    </row>
    <row r="1472" spans="1:20" ht="14.25" customHeight="1">
      <c r="A1472" s="4"/>
      <c r="B1472" s="38">
        <v>14508</v>
      </c>
      <c r="C1472" s="22" t="str">
        <f>IFERROR(VLOOKUP(B1472,Colaboradores!A:D,2,),"")</f>
        <v>FYAMA SANTOS SILVA</v>
      </c>
      <c r="D1472" s="22" t="str">
        <f>IFERROR(VLOOKUP(B1472,Colaboradores!A:D,3,),"")</f>
        <v>SAÚDE OCUPACIONAL</v>
      </c>
      <c r="E1472" s="22" t="str">
        <f>IFERROR(VLOOKUP(B1472,Colaboradores!A:D,4,),"")</f>
        <v>ASSISTENTE ADMINISTRATIVO</v>
      </c>
      <c r="F1472" s="47" t="s">
        <v>53</v>
      </c>
      <c r="G1472" s="24" t="str">
        <f>IFERROR(VLOOKUP(F1472,Procedimentos!A:C,2,),"")</f>
        <v>DIRETRIZES PARA MONITORAMENTO DE GESTANTE</v>
      </c>
      <c r="H1472" s="25"/>
      <c r="I1472" s="51"/>
      <c r="J1472" s="4"/>
      <c r="K1472" s="25" t="str">
        <f t="shared" si="63"/>
        <v/>
      </c>
      <c r="L1472" s="7"/>
      <c r="M1472" s="4"/>
      <c r="N1472" s="7"/>
      <c r="O1472" s="4"/>
      <c r="P1472" s="51"/>
      <c r="Q1472" s="51"/>
      <c r="R1472" s="51"/>
      <c r="S1472" s="7"/>
      <c r="T1472" s="7"/>
    </row>
    <row r="1473" spans="1:20" ht="14.25" customHeight="1">
      <c r="A1473" s="4"/>
      <c r="B1473" s="38">
        <v>14508</v>
      </c>
      <c r="C1473" s="22" t="str">
        <f>IFERROR(VLOOKUP(B1473,Colaboradores!A:D,2,),"")</f>
        <v>FYAMA SANTOS SILVA</v>
      </c>
      <c r="D1473" s="22" t="str">
        <f>IFERROR(VLOOKUP(B1473,Colaboradores!A:D,3,),"")</f>
        <v>SAÚDE OCUPACIONAL</v>
      </c>
      <c r="E1473" s="22" t="str">
        <f>IFERROR(VLOOKUP(B1473,Colaboradores!A:D,4,),"")</f>
        <v>ASSISTENTE ADMINISTRATIVO</v>
      </c>
      <c r="F1473" s="47" t="s">
        <v>54</v>
      </c>
      <c r="G1473" s="24" t="str">
        <f>IFERROR(VLOOKUP(F1473,Procedimentos!A:C,2,),"")</f>
        <v>DIRETRIZES DE IMUNIZAÇÃO OCUPACIONAL</v>
      </c>
      <c r="H1473" s="25"/>
      <c r="I1473" s="51"/>
      <c r="J1473" s="4"/>
      <c r="K1473" s="25" t="str">
        <f t="shared" si="63"/>
        <v/>
      </c>
      <c r="L1473" s="7"/>
      <c r="M1473" s="4"/>
      <c r="N1473" s="7"/>
      <c r="O1473" s="4"/>
      <c r="P1473" s="51"/>
      <c r="Q1473" s="51"/>
      <c r="R1473" s="51"/>
      <c r="S1473" s="7"/>
      <c r="T1473" s="7"/>
    </row>
    <row r="1474" spans="1:20" ht="14.25" customHeight="1">
      <c r="A1474" s="4"/>
      <c r="B1474" s="38">
        <v>14508</v>
      </c>
      <c r="C1474" s="22" t="str">
        <f>IFERROR(VLOOKUP(B1474,Colaboradores!A:D,2,),"")</f>
        <v>FYAMA SANTOS SILVA</v>
      </c>
      <c r="D1474" s="22" t="str">
        <f>IFERROR(VLOOKUP(B1474,Colaboradores!A:D,3,),"")</f>
        <v>SAÚDE OCUPACIONAL</v>
      </c>
      <c r="E1474" s="22" t="str">
        <f>IFERROR(VLOOKUP(B1474,Colaboradores!A:D,4,),"")</f>
        <v>ASSISTENTE ADMINISTRATIVO</v>
      </c>
      <c r="F1474" s="47" t="s">
        <v>55</v>
      </c>
      <c r="G1474" s="24" t="str">
        <f>IFERROR(VLOOKUP(F1474,Procedimentos!A:C,2,),"")</f>
        <v>DIRETRIZES PARA ACOMPANHAMENTO DE AFASTADOS</v>
      </c>
      <c r="H1474" s="25"/>
      <c r="I1474" s="51"/>
      <c r="J1474" s="4"/>
      <c r="K1474" s="25" t="str">
        <f t="shared" si="63"/>
        <v/>
      </c>
      <c r="L1474" s="7"/>
      <c r="M1474" s="4"/>
      <c r="N1474" s="7"/>
      <c r="O1474" s="4"/>
      <c r="P1474" s="51"/>
      <c r="Q1474" s="51"/>
      <c r="R1474" s="51"/>
      <c r="S1474" s="7"/>
      <c r="T1474" s="7"/>
    </row>
    <row r="1475" spans="1:20" ht="14.25" customHeight="1">
      <c r="A1475" s="4"/>
      <c r="B1475" s="38">
        <v>13778</v>
      </c>
      <c r="C1475" s="22" t="str">
        <f>IFERROR(VLOOKUP(B1475,Colaboradores!A:D,2,),"")</f>
        <v>LAIS FERREIRA CAMPOS MINEIRO</v>
      </c>
      <c r="D1475" s="22" t="str">
        <f>IFERROR(VLOOKUP(B1475,Colaboradores!A:D,3,),"")</f>
        <v>SAÚDE OCUPACIONAL</v>
      </c>
      <c r="E1475" s="22" t="str">
        <f>IFERROR(VLOOKUP(B1475,Colaboradores!A:D,4,),"")</f>
        <v>FISIOTERAPEUTA</v>
      </c>
      <c r="F1475" s="47" t="s">
        <v>49</v>
      </c>
      <c r="G1475" s="24" t="str">
        <f>IFERROR(VLOOKUP(F1475,Procedimentos!A:C,2,),"")</f>
        <v>DIRETRIZES PARA REALIZAÇÃO DE EXAMES OCUPACIONAIS</v>
      </c>
      <c r="H1475" s="25"/>
      <c r="I1475" s="51"/>
      <c r="J1475" s="4"/>
      <c r="K1475" s="25" t="str">
        <f t="shared" ref="K1475:K1538" si="64">IF(AND(I1475&lt;&gt;"",J1475&lt;&gt;""),DATE(YEAR(I1475),MONTH(I1475)+J1475,DAY(I1475)),"")</f>
        <v/>
      </c>
      <c r="L1475" s="7"/>
      <c r="M1475" s="4"/>
      <c r="N1475" s="7"/>
      <c r="O1475" s="4"/>
      <c r="P1475" s="51"/>
      <c r="Q1475" s="51"/>
      <c r="R1475" s="51"/>
      <c r="S1475" s="7"/>
      <c r="T1475" s="7"/>
    </row>
    <row r="1476" spans="1:20" ht="14.25" customHeight="1">
      <c r="A1476" s="4"/>
      <c r="B1476" s="38">
        <v>13778</v>
      </c>
      <c r="C1476" s="22" t="str">
        <f>IFERROR(VLOOKUP(B1476,Colaboradores!A:D,2,),"")</f>
        <v>LAIS FERREIRA CAMPOS MINEIRO</v>
      </c>
      <c r="D1476" s="22" t="str">
        <f>IFERROR(VLOOKUP(B1476,Colaboradores!A:D,3,),"")</f>
        <v>SAÚDE OCUPACIONAL</v>
      </c>
      <c r="E1476" s="22" t="str">
        <f>IFERROR(VLOOKUP(B1476,Colaboradores!A:D,4,),"")</f>
        <v>FISIOTERAPEUTA</v>
      </c>
      <c r="F1476" s="47" t="s">
        <v>51</v>
      </c>
      <c r="G1476" s="24" t="str">
        <f>IFERROR(VLOOKUP(F1476,Procedimentos!A:C,2,),"")</f>
        <v>DIRETRIZES PARA ENTREGA DE ATESTADOS MÉDICOS E ODONTOLÓGICOS</v>
      </c>
      <c r="H1476" s="25"/>
      <c r="I1476" s="51"/>
      <c r="J1476" s="4"/>
      <c r="K1476" s="25" t="str">
        <f t="shared" si="64"/>
        <v/>
      </c>
      <c r="L1476" s="7"/>
      <c r="M1476" s="4"/>
      <c r="N1476" s="7"/>
      <c r="O1476" s="4"/>
      <c r="P1476" s="51"/>
      <c r="Q1476" s="51"/>
      <c r="R1476" s="51"/>
      <c r="S1476" s="7"/>
      <c r="T1476" s="7"/>
    </row>
    <row r="1477" spans="1:20" ht="14.25" customHeight="1">
      <c r="A1477" s="4"/>
      <c r="B1477" s="38">
        <v>13778</v>
      </c>
      <c r="C1477" s="22" t="str">
        <f>IFERROR(VLOOKUP(B1477,Colaboradores!A:D,2,),"")</f>
        <v>LAIS FERREIRA CAMPOS MINEIRO</v>
      </c>
      <c r="D1477" s="22" t="str">
        <f>IFERROR(VLOOKUP(B1477,Colaboradores!A:D,3,),"")</f>
        <v>SAÚDE OCUPACIONAL</v>
      </c>
      <c r="E1477" s="22" t="str">
        <f>IFERROR(VLOOKUP(B1477,Colaboradores!A:D,4,),"")</f>
        <v>FISIOTERAPEUTA</v>
      </c>
      <c r="F1477" s="47" t="s">
        <v>52</v>
      </c>
      <c r="G1477" s="24" t="str">
        <f>IFERROR(VLOOKUP(F1477,Procedimentos!A:C,2,),"")</f>
        <v>DIRETRIZES E ACOMPANHAMENTO  DE ACIDENTE COM MATERIAL BIOLOGICO</v>
      </c>
      <c r="H1477" s="25"/>
      <c r="I1477" s="51"/>
      <c r="J1477" s="4"/>
      <c r="K1477" s="25" t="str">
        <f t="shared" si="64"/>
        <v/>
      </c>
      <c r="L1477" s="7"/>
      <c r="M1477" s="4"/>
      <c r="N1477" s="7"/>
      <c r="O1477" s="4"/>
      <c r="P1477" s="51"/>
      <c r="Q1477" s="51"/>
      <c r="R1477" s="51"/>
      <c r="S1477" s="7"/>
      <c r="T1477" s="7"/>
    </row>
    <row r="1478" spans="1:20" ht="14.25" customHeight="1">
      <c r="A1478" s="4"/>
      <c r="B1478" s="38">
        <v>13778</v>
      </c>
      <c r="C1478" s="22" t="str">
        <f>IFERROR(VLOOKUP(B1478,Colaboradores!A:D,2,),"")</f>
        <v>LAIS FERREIRA CAMPOS MINEIRO</v>
      </c>
      <c r="D1478" s="22" t="str">
        <f>IFERROR(VLOOKUP(B1478,Colaboradores!A:D,3,),"")</f>
        <v>SAÚDE OCUPACIONAL</v>
      </c>
      <c r="E1478" s="22" t="str">
        <f>IFERROR(VLOOKUP(B1478,Colaboradores!A:D,4,),"")</f>
        <v>FISIOTERAPEUTA</v>
      </c>
      <c r="F1478" s="47" t="s">
        <v>53</v>
      </c>
      <c r="G1478" s="24" t="str">
        <f>IFERROR(VLOOKUP(F1478,Procedimentos!A:C,2,),"")</f>
        <v>DIRETRIZES PARA MONITORAMENTO DE GESTANTE</v>
      </c>
      <c r="H1478" s="25"/>
      <c r="I1478" s="51"/>
      <c r="J1478" s="4"/>
      <c r="K1478" s="25" t="str">
        <f t="shared" si="64"/>
        <v/>
      </c>
      <c r="L1478" s="7"/>
      <c r="M1478" s="4"/>
      <c r="N1478" s="7"/>
      <c r="O1478" s="4"/>
      <c r="P1478" s="51"/>
      <c r="Q1478" s="51"/>
      <c r="R1478" s="51"/>
      <c r="S1478" s="7"/>
      <c r="T1478" s="7"/>
    </row>
    <row r="1479" spans="1:20" ht="14.25" customHeight="1">
      <c r="A1479" s="4"/>
      <c r="B1479" s="38">
        <v>13778</v>
      </c>
      <c r="C1479" s="22" t="str">
        <f>IFERROR(VLOOKUP(B1479,Colaboradores!A:D,2,),"")</f>
        <v>LAIS FERREIRA CAMPOS MINEIRO</v>
      </c>
      <c r="D1479" s="22" t="str">
        <f>IFERROR(VLOOKUP(B1479,Colaboradores!A:D,3,),"")</f>
        <v>SAÚDE OCUPACIONAL</v>
      </c>
      <c r="E1479" s="22" t="str">
        <f>IFERROR(VLOOKUP(B1479,Colaboradores!A:D,4,),"")</f>
        <v>FISIOTERAPEUTA</v>
      </c>
      <c r="F1479" s="47" t="s">
        <v>54</v>
      </c>
      <c r="G1479" s="24" t="str">
        <f>IFERROR(VLOOKUP(F1479,Procedimentos!A:C,2,),"")</f>
        <v>DIRETRIZES DE IMUNIZAÇÃO OCUPACIONAL</v>
      </c>
      <c r="H1479" s="25"/>
      <c r="I1479" s="51"/>
      <c r="J1479" s="4"/>
      <c r="K1479" s="25" t="str">
        <f t="shared" si="64"/>
        <v/>
      </c>
      <c r="L1479" s="7"/>
      <c r="M1479" s="4"/>
      <c r="N1479" s="7"/>
      <c r="O1479" s="4"/>
      <c r="P1479" s="51"/>
      <c r="Q1479" s="51"/>
      <c r="R1479" s="51"/>
      <c r="S1479" s="7"/>
      <c r="T1479" s="7"/>
    </row>
    <row r="1480" spans="1:20" ht="14.25" customHeight="1">
      <c r="A1480" s="4"/>
      <c r="B1480" s="38">
        <v>13778</v>
      </c>
      <c r="C1480" s="22" t="str">
        <f>IFERROR(VLOOKUP(B1480,Colaboradores!A:D,2,),"")</f>
        <v>LAIS FERREIRA CAMPOS MINEIRO</v>
      </c>
      <c r="D1480" s="22" t="str">
        <f>IFERROR(VLOOKUP(B1480,Colaboradores!A:D,3,),"")</f>
        <v>SAÚDE OCUPACIONAL</v>
      </c>
      <c r="E1480" s="22" t="str">
        <f>IFERROR(VLOOKUP(B1480,Colaboradores!A:D,4,),"")</f>
        <v>FISIOTERAPEUTA</v>
      </c>
      <c r="F1480" s="47" t="s">
        <v>55</v>
      </c>
      <c r="G1480" s="24" t="str">
        <f>IFERROR(VLOOKUP(F1480,Procedimentos!A:C,2,),"")</f>
        <v>DIRETRIZES PARA ACOMPANHAMENTO DE AFASTADOS</v>
      </c>
      <c r="H1480" s="25"/>
      <c r="I1480" s="51"/>
      <c r="J1480" s="4"/>
      <c r="K1480" s="25" t="str">
        <f t="shared" si="64"/>
        <v/>
      </c>
      <c r="L1480" s="7"/>
      <c r="M1480" s="4"/>
      <c r="N1480" s="7"/>
      <c r="O1480" s="4"/>
      <c r="P1480" s="51"/>
      <c r="Q1480" s="51"/>
      <c r="R1480" s="51"/>
      <c r="S1480" s="7"/>
      <c r="T1480" s="7"/>
    </row>
    <row r="1481" spans="1:20" ht="14.25" customHeight="1">
      <c r="A1481" s="4"/>
      <c r="B1481" s="38">
        <v>24306</v>
      </c>
      <c r="C1481" s="22" t="str">
        <f>IFERROR(VLOOKUP(B1481,Colaboradores!A:D,2,),"")</f>
        <v>ANNA MARIA ARAUJO PIORSKI</v>
      </c>
      <c r="D1481" s="22" t="str">
        <f>IFERROR(VLOOKUP(B1481,Colaboradores!A:D,3,),"")</f>
        <v>SAÚDE OCUPACIONAL</v>
      </c>
      <c r="E1481" s="22" t="str">
        <f>IFERROR(VLOOKUP(B1481,Colaboradores!A:D,4,),"")</f>
        <v>ASSESSOR(A) DE NUTRIÇÃO</v>
      </c>
      <c r="F1481" s="47" t="s">
        <v>19</v>
      </c>
      <c r="G1481" s="24" t="str">
        <f>IFERROR(VLOOKUP(F1481,Procedimentos!A:C,2,),"")</f>
        <v>DIRETRIZES PARA DOCUMENTOS NORMATIVOS</v>
      </c>
      <c r="H1481" s="25"/>
      <c r="I1481" s="51"/>
      <c r="J1481" s="4"/>
      <c r="K1481" s="25" t="str">
        <f t="shared" si="64"/>
        <v/>
      </c>
      <c r="L1481" s="7"/>
      <c r="M1481" s="4"/>
      <c r="N1481" s="7"/>
      <c r="O1481" s="4"/>
      <c r="P1481" s="51"/>
      <c r="Q1481" s="51"/>
      <c r="R1481" s="51"/>
      <c r="S1481" s="7"/>
      <c r="T1481" s="7"/>
    </row>
    <row r="1482" spans="1:20" ht="14.25" customHeight="1">
      <c r="A1482" s="4"/>
      <c r="B1482" s="38">
        <v>12330</v>
      </c>
      <c r="C1482" s="22" t="str">
        <f>IFERROR(VLOOKUP(B1482,Colaboradores!A:D,2,),"")</f>
        <v>BIANCA GUEDES SILVA ALMEIDA</v>
      </c>
      <c r="D1482" s="22" t="str">
        <f>IFERROR(VLOOKUP(B1482,Colaboradores!A:D,3,),"")</f>
        <v>SAÚDE OCUPACIONAL</v>
      </c>
      <c r="E1482" s="22" t="str">
        <f>IFERROR(VLOOKUP(B1482,Colaboradores!A:D,4,),"")</f>
        <v>NUTRICIONISTA</v>
      </c>
      <c r="F1482" s="47" t="s">
        <v>19</v>
      </c>
      <c r="G1482" s="24" t="str">
        <f>IFERROR(VLOOKUP(F1482,Procedimentos!A:C,2,),"")</f>
        <v>DIRETRIZES PARA DOCUMENTOS NORMATIVOS</v>
      </c>
      <c r="H1482" s="25"/>
      <c r="I1482" s="51"/>
      <c r="J1482" s="4"/>
      <c r="K1482" s="25" t="str">
        <f t="shared" si="64"/>
        <v/>
      </c>
      <c r="L1482" s="7"/>
      <c r="M1482" s="4"/>
      <c r="N1482" s="7"/>
      <c r="O1482" s="4"/>
      <c r="P1482" s="51"/>
      <c r="Q1482" s="51"/>
      <c r="R1482" s="51"/>
      <c r="S1482" s="7"/>
      <c r="T1482" s="7"/>
    </row>
    <row r="1483" spans="1:20" ht="14.25" customHeight="1">
      <c r="A1483" s="4"/>
      <c r="B1483" s="38">
        <v>14990</v>
      </c>
      <c r="C1483" s="22" t="str">
        <f>IFERROR(VLOOKUP(B1483,Colaboradores!A:D,2,),"")</f>
        <v>DAVID DE JESUS PEREIRA FONSECA</v>
      </c>
      <c r="D1483" s="22" t="str">
        <f>IFERROR(VLOOKUP(B1483,Colaboradores!A:D,3,),"")</f>
        <v>SAÚDE OCUPACIONAL</v>
      </c>
      <c r="E1483" s="22" t="str">
        <f>IFERROR(VLOOKUP(B1483,Colaboradores!A:D,4,),"")</f>
        <v>JOVEM APRENDIZ</v>
      </c>
      <c r="F1483" s="47" t="s">
        <v>19</v>
      </c>
      <c r="G1483" s="24" t="str">
        <f>IFERROR(VLOOKUP(F1483,Procedimentos!A:C,2,),"")</f>
        <v>DIRETRIZES PARA DOCUMENTOS NORMATIVOS</v>
      </c>
      <c r="H1483" s="25"/>
      <c r="I1483" s="51"/>
      <c r="J1483" s="4"/>
      <c r="K1483" s="25" t="str">
        <f t="shared" si="64"/>
        <v/>
      </c>
      <c r="L1483" s="7"/>
      <c r="M1483" s="4"/>
      <c r="N1483" s="7"/>
      <c r="O1483" s="4"/>
      <c r="P1483" s="51"/>
      <c r="Q1483" s="51"/>
      <c r="R1483" s="51"/>
      <c r="S1483" s="7"/>
      <c r="T1483" s="7"/>
    </row>
    <row r="1484" spans="1:20" ht="14.25" customHeight="1">
      <c r="A1484" s="4"/>
      <c r="B1484" s="38">
        <v>9058</v>
      </c>
      <c r="C1484" s="22" t="str">
        <f>IFERROR(VLOOKUP(B1484,Colaboradores!A:D,2,),"")</f>
        <v>DENISE CRISTRINA CASTRO</v>
      </c>
      <c r="D1484" s="22" t="str">
        <f>IFERROR(VLOOKUP(B1484,Colaboradores!A:D,3,),"")</f>
        <v>SAÚDE OCUPACIONAL</v>
      </c>
      <c r="E1484" s="22" t="str">
        <f>IFERROR(VLOOKUP(B1484,Colaboradores!A:D,4,),"")</f>
        <v>ASSESSOR(A) DE SERVIÇO SOCIAL</v>
      </c>
      <c r="F1484" s="47" t="s">
        <v>19</v>
      </c>
      <c r="G1484" s="24" t="str">
        <f>IFERROR(VLOOKUP(F1484,Procedimentos!A:C,2,),"")</f>
        <v>DIRETRIZES PARA DOCUMENTOS NORMATIVOS</v>
      </c>
      <c r="H1484" s="25"/>
      <c r="I1484" s="51"/>
      <c r="J1484" s="4"/>
      <c r="K1484" s="25" t="str">
        <f t="shared" si="64"/>
        <v/>
      </c>
      <c r="L1484" s="7"/>
      <c r="M1484" s="4"/>
      <c r="N1484" s="7"/>
      <c r="O1484" s="4"/>
      <c r="P1484" s="51"/>
      <c r="Q1484" s="51"/>
      <c r="R1484" s="51"/>
      <c r="S1484" s="7"/>
      <c r="T1484" s="7"/>
    </row>
    <row r="1485" spans="1:20" ht="14.25" customHeight="1">
      <c r="A1485" s="4"/>
      <c r="B1485" s="38">
        <v>8111</v>
      </c>
      <c r="C1485" s="22" t="str">
        <f>IFERROR(VLOOKUP(B1485,Colaboradores!A:D,2,),"")</f>
        <v>FABIANA SILVA COSTA</v>
      </c>
      <c r="D1485" s="22" t="str">
        <f>IFERROR(VLOOKUP(B1485,Colaboradores!A:D,3,),"")</f>
        <v>SAÚDE OCUPACIONAL</v>
      </c>
      <c r="E1485" s="22" t="str">
        <f>IFERROR(VLOOKUP(B1485,Colaboradores!A:D,4,),"")</f>
        <v>ASSESSOR(A) DE FISIOTERAPIA</v>
      </c>
      <c r="F1485" s="47" t="s">
        <v>19</v>
      </c>
      <c r="G1485" s="24" t="str">
        <f>IFERROR(VLOOKUP(F1485,Procedimentos!A:C,2,),"")</f>
        <v>DIRETRIZES PARA DOCUMENTOS NORMATIVOS</v>
      </c>
      <c r="H1485" s="25"/>
      <c r="I1485" s="51"/>
      <c r="J1485" s="4"/>
      <c r="K1485" s="25" t="str">
        <f t="shared" si="64"/>
        <v/>
      </c>
      <c r="L1485" s="7"/>
      <c r="M1485" s="4"/>
      <c r="N1485" s="7"/>
      <c r="O1485" s="4"/>
      <c r="P1485" s="51"/>
      <c r="Q1485" s="51"/>
      <c r="R1485" s="51"/>
      <c r="S1485" s="7"/>
      <c r="T1485" s="7"/>
    </row>
    <row r="1486" spans="1:20" ht="14.25" customHeight="1">
      <c r="A1486" s="4"/>
      <c r="B1486" s="38">
        <v>14972</v>
      </c>
      <c r="C1486" s="22" t="str">
        <f>IFERROR(VLOOKUP(B1486,Colaboradores!A:D,2,),"")</f>
        <v>JUAN PABLO SOUSA FARIAS</v>
      </c>
      <c r="D1486" s="22" t="str">
        <f>IFERROR(VLOOKUP(B1486,Colaboradores!A:D,3,),"")</f>
        <v>SAÚDE OCUPACIONAL</v>
      </c>
      <c r="E1486" s="22" t="str">
        <f>IFERROR(VLOOKUP(B1486,Colaboradores!A:D,4,),"")</f>
        <v>JOVEM APRENDIZ</v>
      </c>
      <c r="F1486" s="47" t="s">
        <v>19</v>
      </c>
      <c r="G1486" s="24" t="str">
        <f>IFERROR(VLOOKUP(F1486,Procedimentos!A:C,2,),"")</f>
        <v>DIRETRIZES PARA DOCUMENTOS NORMATIVOS</v>
      </c>
      <c r="H1486" s="25"/>
      <c r="I1486" s="51"/>
      <c r="J1486" s="4"/>
      <c r="K1486" s="25" t="str">
        <f t="shared" si="64"/>
        <v/>
      </c>
      <c r="L1486" s="7"/>
      <c r="M1486" s="4"/>
      <c r="N1486" s="7"/>
      <c r="O1486" s="4"/>
      <c r="P1486" s="51"/>
      <c r="Q1486" s="51"/>
      <c r="R1486" s="51"/>
      <c r="S1486" s="7"/>
      <c r="T1486" s="7"/>
    </row>
    <row r="1487" spans="1:20" ht="14.25" customHeight="1">
      <c r="A1487" s="4"/>
      <c r="B1487" s="38">
        <v>13594</v>
      </c>
      <c r="C1487" s="22" t="str">
        <f>IFERROR(VLOOKUP(B1487,Colaboradores!A:D,2,),"")</f>
        <v>MARCIO AUGUSTO SILVA MIRANDA</v>
      </c>
      <c r="D1487" s="22" t="str">
        <f>IFERROR(VLOOKUP(B1487,Colaboradores!A:D,3,),"")</f>
        <v>SAÚDE OCUPACIONAL</v>
      </c>
      <c r="E1487" s="22" t="str">
        <f>IFERROR(VLOOKUP(B1487,Colaboradores!A:D,4,),"")</f>
        <v>ASSESSOR (A) CLINICO</v>
      </c>
      <c r="F1487" s="47" t="s">
        <v>19</v>
      </c>
      <c r="G1487" s="24" t="str">
        <f>IFERROR(VLOOKUP(F1487,Procedimentos!A:C,2,),"")</f>
        <v>DIRETRIZES PARA DOCUMENTOS NORMATIVOS</v>
      </c>
      <c r="H1487" s="25"/>
      <c r="I1487" s="51"/>
      <c r="J1487" s="4"/>
      <c r="K1487" s="25" t="str">
        <f t="shared" si="64"/>
        <v/>
      </c>
      <c r="L1487" s="7"/>
      <c r="M1487" s="4"/>
      <c r="N1487" s="7"/>
      <c r="O1487" s="4"/>
      <c r="P1487" s="51"/>
      <c r="Q1487" s="51"/>
      <c r="R1487" s="51"/>
      <c r="S1487" s="7"/>
      <c r="T1487" s="7"/>
    </row>
    <row r="1488" spans="1:20" ht="14.25" customHeight="1">
      <c r="A1488" s="4"/>
      <c r="B1488" s="38">
        <v>14499</v>
      </c>
      <c r="C1488" s="22" t="str">
        <f>IFERROR(VLOOKUP(B1488,Colaboradores!A:D,2,),"")</f>
        <v>SAMIRIS COSTA DA SILVA</v>
      </c>
      <c r="D1488" s="22" t="str">
        <f>IFERROR(VLOOKUP(B1488,Colaboradores!A:D,3,),"")</f>
        <v>SAÚDE OCUPACIONAL</v>
      </c>
      <c r="E1488" s="22" t="str">
        <f>IFERROR(VLOOKUP(B1488,Colaboradores!A:D,4,),"")</f>
        <v>PSICÓLOGA</v>
      </c>
      <c r="F1488" s="47" t="s">
        <v>19</v>
      </c>
      <c r="G1488" s="24" t="str">
        <f>IFERROR(VLOOKUP(F1488,Procedimentos!A:C,2,),"")</f>
        <v>DIRETRIZES PARA DOCUMENTOS NORMATIVOS</v>
      </c>
      <c r="H1488" s="25"/>
      <c r="I1488" s="51"/>
      <c r="J1488" s="4"/>
      <c r="K1488" s="25" t="str">
        <f t="shared" si="64"/>
        <v/>
      </c>
      <c r="L1488" s="7"/>
      <c r="M1488" s="4"/>
      <c r="N1488" s="7"/>
      <c r="O1488" s="4"/>
      <c r="P1488" s="51"/>
      <c r="Q1488" s="51"/>
      <c r="R1488" s="51"/>
      <c r="S1488" s="7"/>
      <c r="T1488" s="7"/>
    </row>
    <row r="1489" spans="1:20" ht="14.25" customHeight="1">
      <c r="A1489" s="4"/>
      <c r="B1489" s="38">
        <v>12463</v>
      </c>
      <c r="C1489" s="22" t="str">
        <f>IFERROR(VLOOKUP(B1489,Colaboradores!A:D,2,),"")</f>
        <v>SAMMY RAYANA L. SANTOS</v>
      </c>
      <c r="D1489" s="22" t="str">
        <f>IFERROR(VLOOKUP(B1489,Colaboradores!A:D,3,),"")</f>
        <v>SAÚDE OCUPACIONAL</v>
      </c>
      <c r="E1489" s="22" t="str">
        <f>IFERROR(VLOOKUP(B1489,Colaboradores!A:D,4,),"")</f>
        <v>ASSESSOR(A) DE SERVIÇO SOCIAL</v>
      </c>
      <c r="F1489" s="47" t="s">
        <v>19</v>
      </c>
      <c r="G1489" s="24" t="str">
        <f>IFERROR(VLOOKUP(F1489,Procedimentos!A:C,2,),"")</f>
        <v>DIRETRIZES PARA DOCUMENTOS NORMATIVOS</v>
      </c>
      <c r="H1489" s="25"/>
      <c r="I1489" s="51"/>
      <c r="J1489" s="4"/>
      <c r="K1489" s="25" t="str">
        <f t="shared" si="64"/>
        <v/>
      </c>
      <c r="L1489" s="7"/>
      <c r="M1489" s="4"/>
      <c r="N1489" s="7"/>
      <c r="O1489" s="4"/>
      <c r="P1489" s="51"/>
      <c r="Q1489" s="51"/>
      <c r="R1489" s="51"/>
      <c r="S1489" s="7"/>
      <c r="T1489" s="7"/>
    </row>
    <row r="1490" spans="1:20" ht="14.25" customHeight="1">
      <c r="A1490" s="4"/>
      <c r="B1490" s="38">
        <v>13100</v>
      </c>
      <c r="C1490" s="22" t="str">
        <f>IFERROR(VLOOKUP(B1490,Colaboradores!A:D,2,),"")</f>
        <v>TAYNAH SOARES DE SOUZA CAMARAO</v>
      </c>
      <c r="D1490" s="22" t="str">
        <f>IFERROR(VLOOKUP(B1490,Colaboradores!A:D,3,),"")</f>
        <v>SAÚDE OCUPACIONAL</v>
      </c>
      <c r="E1490" s="22" t="str">
        <f>IFERROR(VLOOKUP(B1490,Colaboradores!A:D,4,),"")</f>
        <v>MÉDICA</v>
      </c>
      <c r="F1490" s="47" t="s">
        <v>19</v>
      </c>
      <c r="G1490" s="24" t="str">
        <f>IFERROR(VLOOKUP(F1490,Procedimentos!A:C,2,),"")</f>
        <v>DIRETRIZES PARA DOCUMENTOS NORMATIVOS</v>
      </c>
      <c r="H1490" s="25"/>
      <c r="I1490" s="51"/>
      <c r="J1490" s="4"/>
      <c r="K1490" s="25" t="str">
        <f t="shared" si="64"/>
        <v/>
      </c>
      <c r="L1490" s="7"/>
      <c r="M1490" s="4"/>
      <c r="N1490" s="7"/>
      <c r="O1490" s="4"/>
      <c r="P1490" s="51"/>
      <c r="Q1490" s="51"/>
      <c r="R1490" s="51"/>
      <c r="S1490" s="7"/>
      <c r="T1490" s="7"/>
    </row>
    <row r="1491" spans="1:20" ht="14.25" customHeight="1">
      <c r="A1491" s="4"/>
      <c r="B1491" s="38">
        <v>14962</v>
      </c>
      <c r="C1491" s="22" t="str">
        <f>IFERROR(VLOOKUP(B1491,Colaboradores!A:D,2,),"")</f>
        <v>YASMIN KARINE DE OLIVEIRA SOARES</v>
      </c>
      <c r="D1491" s="22" t="str">
        <f>IFERROR(VLOOKUP(B1491,Colaboradores!A:D,3,),"")</f>
        <v>SAÚDE OCUPACIONAL</v>
      </c>
      <c r="E1491" s="22" t="str">
        <f>IFERROR(VLOOKUP(B1491,Colaboradores!A:D,4,),"")</f>
        <v>JOVEM APRENDIZ</v>
      </c>
      <c r="F1491" s="47" t="s">
        <v>19</v>
      </c>
      <c r="G1491" s="24" t="str">
        <f>IFERROR(VLOOKUP(F1491,Procedimentos!A:C,2,),"")</f>
        <v>DIRETRIZES PARA DOCUMENTOS NORMATIVOS</v>
      </c>
      <c r="H1491" s="25"/>
      <c r="I1491" s="51"/>
      <c r="J1491" s="4"/>
      <c r="K1491" s="25" t="str">
        <f t="shared" si="64"/>
        <v/>
      </c>
      <c r="L1491" s="7"/>
      <c r="M1491" s="4"/>
      <c r="N1491" s="7"/>
      <c r="O1491" s="4"/>
      <c r="P1491" s="51"/>
      <c r="Q1491" s="51"/>
      <c r="R1491" s="51"/>
      <c r="S1491" s="7"/>
      <c r="T1491" s="7"/>
    </row>
    <row r="1492" spans="1:20" ht="14.25" customHeight="1">
      <c r="A1492" s="4"/>
      <c r="B1492" s="38">
        <v>24306</v>
      </c>
      <c r="C1492" s="22" t="str">
        <f>IFERROR(VLOOKUP(B1492,Colaboradores!A:D,2,),"")</f>
        <v>ANNA MARIA ARAUJO PIORSKI</v>
      </c>
      <c r="D1492" s="22" t="str">
        <f>IFERROR(VLOOKUP(B1492,Colaboradores!A:D,3,),"")</f>
        <v>SAÚDE OCUPACIONAL</v>
      </c>
      <c r="E1492" s="22" t="str">
        <f>IFERROR(VLOOKUP(B1492,Colaboradores!A:D,4,),"")</f>
        <v>ASSESSOR(A) DE NUTRIÇÃO</v>
      </c>
      <c r="F1492" s="47" t="s">
        <v>24</v>
      </c>
      <c r="G1492" s="24" t="str">
        <f>IFERROR(VLOOKUP(F1492,Procedimentos!A:C,2,),"")</f>
        <v>DIRETRIZES  PARA PROGRAMA 5S</v>
      </c>
      <c r="H1492" s="25"/>
      <c r="I1492" s="51"/>
      <c r="J1492" s="4"/>
      <c r="K1492" s="25" t="str">
        <f t="shared" si="64"/>
        <v/>
      </c>
      <c r="L1492" s="7"/>
      <c r="M1492" s="4"/>
      <c r="N1492" s="7"/>
      <c r="O1492" s="4"/>
      <c r="P1492" s="51"/>
      <c r="Q1492" s="51"/>
      <c r="R1492" s="51"/>
      <c r="S1492" s="7"/>
      <c r="T1492" s="7"/>
    </row>
    <row r="1493" spans="1:20" ht="14.25" customHeight="1">
      <c r="A1493" s="4"/>
      <c r="B1493" s="38">
        <v>12330</v>
      </c>
      <c r="C1493" s="22" t="str">
        <f>IFERROR(VLOOKUP(B1493,Colaboradores!A:D,2,),"")</f>
        <v>BIANCA GUEDES SILVA ALMEIDA</v>
      </c>
      <c r="D1493" s="22" t="str">
        <f>IFERROR(VLOOKUP(B1493,Colaboradores!A:D,3,),"")</f>
        <v>SAÚDE OCUPACIONAL</v>
      </c>
      <c r="E1493" s="22" t="str">
        <f>IFERROR(VLOOKUP(B1493,Colaboradores!A:D,4,),"")</f>
        <v>NUTRICIONISTA</v>
      </c>
      <c r="F1493" s="47" t="s">
        <v>24</v>
      </c>
      <c r="G1493" s="24" t="str">
        <f>IFERROR(VLOOKUP(F1493,Procedimentos!A:C,2,),"")</f>
        <v>DIRETRIZES  PARA PROGRAMA 5S</v>
      </c>
      <c r="H1493" s="25"/>
      <c r="I1493" s="51"/>
      <c r="J1493" s="4"/>
      <c r="K1493" s="25" t="str">
        <f t="shared" si="64"/>
        <v/>
      </c>
      <c r="L1493" s="7"/>
      <c r="M1493" s="4"/>
      <c r="N1493" s="7"/>
      <c r="O1493" s="4"/>
      <c r="P1493" s="51"/>
      <c r="Q1493" s="51"/>
      <c r="R1493" s="51"/>
      <c r="S1493" s="7"/>
      <c r="T1493" s="7"/>
    </row>
    <row r="1494" spans="1:20" ht="14.25" customHeight="1">
      <c r="A1494" s="4"/>
      <c r="B1494" s="38">
        <v>14990</v>
      </c>
      <c r="C1494" s="22" t="str">
        <f>IFERROR(VLOOKUP(B1494,Colaboradores!A:D,2,),"")</f>
        <v>DAVID DE JESUS PEREIRA FONSECA</v>
      </c>
      <c r="D1494" s="22" t="str">
        <f>IFERROR(VLOOKUP(B1494,Colaboradores!A:D,3,),"")</f>
        <v>SAÚDE OCUPACIONAL</v>
      </c>
      <c r="E1494" s="22" t="str">
        <f>IFERROR(VLOOKUP(B1494,Colaboradores!A:D,4,),"")</f>
        <v>JOVEM APRENDIZ</v>
      </c>
      <c r="F1494" s="47" t="s">
        <v>24</v>
      </c>
      <c r="G1494" s="24" t="str">
        <f>IFERROR(VLOOKUP(F1494,Procedimentos!A:C,2,),"")</f>
        <v>DIRETRIZES  PARA PROGRAMA 5S</v>
      </c>
      <c r="H1494" s="25"/>
      <c r="I1494" s="51"/>
      <c r="J1494" s="4"/>
      <c r="K1494" s="25" t="str">
        <f t="shared" si="64"/>
        <v/>
      </c>
      <c r="L1494" s="7"/>
      <c r="M1494" s="4"/>
      <c r="N1494" s="7"/>
      <c r="O1494" s="4"/>
      <c r="P1494" s="51"/>
      <c r="Q1494" s="51"/>
      <c r="R1494" s="51"/>
      <c r="S1494" s="7"/>
      <c r="T1494" s="7"/>
    </row>
    <row r="1495" spans="1:20" ht="14.25" customHeight="1">
      <c r="A1495" s="4"/>
      <c r="B1495" s="38">
        <v>9058</v>
      </c>
      <c r="C1495" s="22" t="str">
        <f>IFERROR(VLOOKUP(B1495,Colaboradores!A:D,2,),"")</f>
        <v>DENISE CRISTRINA CASTRO</v>
      </c>
      <c r="D1495" s="22" t="str">
        <f>IFERROR(VLOOKUP(B1495,Colaboradores!A:D,3,),"")</f>
        <v>SAÚDE OCUPACIONAL</v>
      </c>
      <c r="E1495" s="22" t="str">
        <f>IFERROR(VLOOKUP(B1495,Colaboradores!A:D,4,),"")</f>
        <v>ASSESSOR(A) DE SERVIÇO SOCIAL</v>
      </c>
      <c r="F1495" s="47" t="s">
        <v>24</v>
      </c>
      <c r="G1495" s="24" t="str">
        <f>IFERROR(VLOOKUP(F1495,Procedimentos!A:C,2,),"")</f>
        <v>DIRETRIZES  PARA PROGRAMA 5S</v>
      </c>
      <c r="H1495" s="25"/>
      <c r="I1495" s="51"/>
      <c r="J1495" s="4"/>
      <c r="K1495" s="25" t="str">
        <f t="shared" si="64"/>
        <v/>
      </c>
      <c r="L1495" s="7"/>
      <c r="M1495" s="4"/>
      <c r="N1495" s="7"/>
      <c r="O1495" s="4"/>
      <c r="P1495" s="51"/>
      <c r="Q1495" s="51"/>
      <c r="R1495" s="51"/>
      <c r="S1495" s="7"/>
      <c r="T1495" s="7"/>
    </row>
    <row r="1496" spans="1:20" ht="14.25" customHeight="1">
      <c r="A1496" s="4"/>
      <c r="B1496" s="38">
        <v>8111</v>
      </c>
      <c r="C1496" s="22" t="str">
        <f>IFERROR(VLOOKUP(B1496,Colaboradores!A:D,2,),"")</f>
        <v>FABIANA SILVA COSTA</v>
      </c>
      <c r="D1496" s="22" t="str">
        <f>IFERROR(VLOOKUP(B1496,Colaboradores!A:D,3,),"")</f>
        <v>SAÚDE OCUPACIONAL</v>
      </c>
      <c r="E1496" s="22" t="str">
        <f>IFERROR(VLOOKUP(B1496,Colaboradores!A:D,4,),"")</f>
        <v>ASSESSOR(A) DE FISIOTERAPIA</v>
      </c>
      <c r="F1496" s="47" t="s">
        <v>24</v>
      </c>
      <c r="G1496" s="24" t="str">
        <f>IFERROR(VLOOKUP(F1496,Procedimentos!A:C,2,),"")</f>
        <v>DIRETRIZES  PARA PROGRAMA 5S</v>
      </c>
      <c r="H1496" s="25"/>
      <c r="I1496" s="51"/>
      <c r="J1496" s="4"/>
      <c r="K1496" s="25" t="str">
        <f t="shared" si="64"/>
        <v/>
      </c>
      <c r="L1496" s="7"/>
      <c r="M1496" s="4"/>
      <c r="N1496" s="7"/>
      <c r="O1496" s="4"/>
      <c r="P1496" s="51"/>
      <c r="Q1496" s="51"/>
      <c r="R1496" s="51"/>
      <c r="S1496" s="7"/>
      <c r="T1496" s="7"/>
    </row>
    <row r="1497" spans="1:20" ht="14.25" customHeight="1">
      <c r="A1497" s="4"/>
      <c r="B1497" s="38">
        <v>14972</v>
      </c>
      <c r="C1497" s="22" t="str">
        <f>IFERROR(VLOOKUP(B1497,Colaboradores!A:D,2,),"")</f>
        <v>JUAN PABLO SOUSA FARIAS</v>
      </c>
      <c r="D1497" s="22" t="str">
        <f>IFERROR(VLOOKUP(B1497,Colaboradores!A:D,3,),"")</f>
        <v>SAÚDE OCUPACIONAL</v>
      </c>
      <c r="E1497" s="22" t="str">
        <f>IFERROR(VLOOKUP(B1497,Colaboradores!A:D,4,),"")</f>
        <v>JOVEM APRENDIZ</v>
      </c>
      <c r="F1497" s="47" t="s">
        <v>24</v>
      </c>
      <c r="G1497" s="24" t="str">
        <f>IFERROR(VLOOKUP(F1497,Procedimentos!A:C,2,),"")</f>
        <v>DIRETRIZES  PARA PROGRAMA 5S</v>
      </c>
      <c r="H1497" s="25"/>
      <c r="I1497" s="51"/>
      <c r="J1497" s="4"/>
      <c r="K1497" s="25" t="str">
        <f t="shared" si="64"/>
        <v/>
      </c>
      <c r="L1497" s="7"/>
      <c r="M1497" s="4"/>
      <c r="N1497" s="7"/>
      <c r="O1497" s="4"/>
      <c r="P1497" s="51"/>
      <c r="Q1497" s="51"/>
      <c r="R1497" s="51"/>
      <c r="S1497" s="7"/>
      <c r="T1497" s="7"/>
    </row>
    <row r="1498" spans="1:20" ht="14.25" customHeight="1">
      <c r="A1498" s="4"/>
      <c r="B1498" s="38">
        <v>12463</v>
      </c>
      <c r="C1498" s="22" t="str">
        <f>IFERROR(VLOOKUP(B1498,Colaboradores!A:D,2,),"")</f>
        <v>SAMMY RAYANA L. SANTOS</v>
      </c>
      <c r="D1498" s="22" t="str">
        <f>IFERROR(VLOOKUP(B1498,Colaboradores!A:D,3,),"")</f>
        <v>SAÚDE OCUPACIONAL</v>
      </c>
      <c r="E1498" s="22" t="str">
        <f>IFERROR(VLOOKUP(B1498,Colaboradores!A:D,4,),"")</f>
        <v>ASSESSOR(A) DE SERVIÇO SOCIAL</v>
      </c>
      <c r="F1498" s="47" t="s">
        <v>24</v>
      </c>
      <c r="G1498" s="24" t="str">
        <f>IFERROR(VLOOKUP(F1498,Procedimentos!A:C,2,),"")</f>
        <v>DIRETRIZES  PARA PROGRAMA 5S</v>
      </c>
      <c r="H1498" s="25"/>
      <c r="I1498" s="51"/>
      <c r="J1498" s="4"/>
      <c r="K1498" s="25" t="str">
        <f t="shared" si="64"/>
        <v/>
      </c>
      <c r="L1498" s="7"/>
      <c r="M1498" s="4"/>
      <c r="N1498" s="7"/>
      <c r="O1498" s="4"/>
      <c r="P1498" s="51"/>
      <c r="Q1498" s="51"/>
      <c r="R1498" s="51"/>
      <c r="S1498" s="7"/>
      <c r="T1498" s="7"/>
    </row>
    <row r="1499" spans="1:20" ht="14.25" customHeight="1">
      <c r="A1499" s="4"/>
      <c r="B1499" s="38">
        <v>14962</v>
      </c>
      <c r="C1499" s="22" t="str">
        <f>IFERROR(VLOOKUP(B1499,Colaboradores!A:D,2,),"")</f>
        <v>YASMIN KARINE DE OLIVEIRA SOARES</v>
      </c>
      <c r="D1499" s="22" t="str">
        <f>IFERROR(VLOOKUP(B1499,Colaboradores!A:D,3,),"")</f>
        <v>SAÚDE OCUPACIONAL</v>
      </c>
      <c r="E1499" s="22" t="str">
        <f>IFERROR(VLOOKUP(B1499,Colaboradores!A:D,4,),"")</f>
        <v>JOVEM APRENDIZ</v>
      </c>
      <c r="F1499" s="47" t="s">
        <v>24</v>
      </c>
      <c r="G1499" s="24" t="str">
        <f>IFERROR(VLOOKUP(F1499,Procedimentos!A:C,2,),"")</f>
        <v>DIRETRIZES  PARA PROGRAMA 5S</v>
      </c>
      <c r="H1499" s="25"/>
      <c r="I1499" s="51"/>
      <c r="J1499" s="4"/>
      <c r="K1499" s="25" t="str">
        <f t="shared" si="64"/>
        <v/>
      </c>
      <c r="L1499" s="7"/>
      <c r="M1499" s="4"/>
      <c r="N1499" s="7"/>
      <c r="O1499" s="4"/>
      <c r="P1499" s="51"/>
      <c r="Q1499" s="51"/>
      <c r="R1499" s="51"/>
      <c r="S1499" s="7"/>
      <c r="T1499" s="7"/>
    </row>
    <row r="1500" spans="1:20" ht="14.25" customHeight="1">
      <c r="A1500" s="4"/>
      <c r="B1500" s="38">
        <v>24306</v>
      </c>
      <c r="C1500" s="22" t="str">
        <f>IFERROR(VLOOKUP(B1500,Colaboradores!A:D,2,),"")</f>
        <v>ANNA MARIA ARAUJO PIORSKI</v>
      </c>
      <c r="D1500" s="22" t="str">
        <f>IFERROR(VLOOKUP(B1500,Colaboradores!A:D,3,),"")</f>
        <v>SAÚDE OCUPACIONAL</v>
      </c>
      <c r="E1500" s="22" t="str">
        <f>IFERROR(VLOOKUP(B1500,Colaboradores!A:D,4,),"")</f>
        <v>ASSESSOR(A) DE NUTRIÇÃO</v>
      </c>
      <c r="F1500" s="47" t="s">
        <v>25</v>
      </c>
      <c r="G1500" s="24" t="str">
        <f>IFERROR(VLOOKUP(F1500,Procedimentos!A:C,2,),"")</f>
        <v>GARANTIA DA QUALIDADE</v>
      </c>
      <c r="H1500" s="25"/>
      <c r="I1500" s="51"/>
      <c r="J1500" s="4"/>
      <c r="K1500" s="25" t="str">
        <f t="shared" si="64"/>
        <v/>
      </c>
      <c r="L1500" s="7"/>
      <c r="M1500" s="4"/>
      <c r="N1500" s="7"/>
      <c r="O1500" s="4"/>
      <c r="P1500" s="51"/>
      <c r="Q1500" s="51"/>
      <c r="R1500" s="51"/>
      <c r="S1500" s="7"/>
      <c r="T1500" s="7"/>
    </row>
    <row r="1501" spans="1:20" ht="14.25" customHeight="1">
      <c r="A1501" s="4"/>
      <c r="B1501" s="38">
        <v>12330</v>
      </c>
      <c r="C1501" s="22" t="str">
        <f>IFERROR(VLOOKUP(B1501,Colaboradores!A:D,2,),"")</f>
        <v>BIANCA GUEDES SILVA ALMEIDA</v>
      </c>
      <c r="D1501" s="22" t="str">
        <f>IFERROR(VLOOKUP(B1501,Colaboradores!A:D,3,),"")</f>
        <v>SAÚDE OCUPACIONAL</v>
      </c>
      <c r="E1501" s="22" t="str">
        <f>IFERROR(VLOOKUP(B1501,Colaboradores!A:D,4,),"")</f>
        <v>NUTRICIONISTA</v>
      </c>
      <c r="F1501" s="47" t="s">
        <v>25</v>
      </c>
      <c r="G1501" s="24" t="str">
        <f>IFERROR(VLOOKUP(F1501,Procedimentos!A:C,2,),"")</f>
        <v>GARANTIA DA QUALIDADE</v>
      </c>
      <c r="H1501" s="25"/>
      <c r="I1501" s="51"/>
      <c r="J1501" s="4"/>
      <c r="K1501" s="25" t="str">
        <f t="shared" si="64"/>
        <v/>
      </c>
      <c r="L1501" s="7"/>
      <c r="M1501" s="4"/>
      <c r="N1501" s="7"/>
      <c r="O1501" s="4"/>
      <c r="P1501" s="51"/>
      <c r="Q1501" s="51"/>
      <c r="R1501" s="51"/>
      <c r="S1501" s="7"/>
      <c r="T1501" s="7"/>
    </row>
    <row r="1502" spans="1:20" ht="14.25" customHeight="1">
      <c r="A1502" s="4"/>
      <c r="B1502" s="38">
        <v>14990</v>
      </c>
      <c r="C1502" s="22" t="str">
        <f>IFERROR(VLOOKUP(B1502,Colaboradores!A:D,2,),"")</f>
        <v>DAVID DE JESUS PEREIRA FONSECA</v>
      </c>
      <c r="D1502" s="22" t="str">
        <f>IFERROR(VLOOKUP(B1502,Colaboradores!A:D,3,),"")</f>
        <v>SAÚDE OCUPACIONAL</v>
      </c>
      <c r="E1502" s="22" t="str">
        <f>IFERROR(VLOOKUP(B1502,Colaboradores!A:D,4,),"")</f>
        <v>JOVEM APRENDIZ</v>
      </c>
      <c r="F1502" s="47" t="s">
        <v>25</v>
      </c>
      <c r="G1502" s="24" t="str">
        <f>IFERROR(VLOOKUP(F1502,Procedimentos!A:C,2,),"")</f>
        <v>GARANTIA DA QUALIDADE</v>
      </c>
      <c r="H1502" s="25"/>
      <c r="I1502" s="51"/>
      <c r="J1502" s="4"/>
      <c r="K1502" s="25" t="str">
        <f t="shared" si="64"/>
        <v/>
      </c>
      <c r="L1502" s="7"/>
      <c r="M1502" s="4"/>
      <c r="N1502" s="7"/>
      <c r="O1502" s="4"/>
      <c r="P1502" s="51"/>
      <c r="Q1502" s="51"/>
      <c r="R1502" s="51"/>
      <c r="S1502" s="7"/>
      <c r="T1502" s="7"/>
    </row>
    <row r="1503" spans="1:20" ht="14.25" customHeight="1">
      <c r="A1503" s="4"/>
      <c r="B1503" s="38">
        <v>9058</v>
      </c>
      <c r="C1503" s="22" t="str">
        <f>IFERROR(VLOOKUP(B1503,Colaboradores!A:D,2,),"")</f>
        <v>DENISE CRISTRINA CASTRO</v>
      </c>
      <c r="D1503" s="22" t="str">
        <f>IFERROR(VLOOKUP(B1503,Colaboradores!A:D,3,),"")</f>
        <v>SAÚDE OCUPACIONAL</v>
      </c>
      <c r="E1503" s="22" t="str">
        <f>IFERROR(VLOOKUP(B1503,Colaboradores!A:D,4,),"")</f>
        <v>ASSESSOR(A) DE SERVIÇO SOCIAL</v>
      </c>
      <c r="F1503" s="47" t="s">
        <v>25</v>
      </c>
      <c r="G1503" s="24" t="str">
        <f>IFERROR(VLOOKUP(F1503,Procedimentos!A:C,2,),"")</f>
        <v>GARANTIA DA QUALIDADE</v>
      </c>
      <c r="H1503" s="25"/>
      <c r="I1503" s="51"/>
      <c r="J1503" s="4"/>
      <c r="K1503" s="25" t="str">
        <f t="shared" si="64"/>
        <v/>
      </c>
      <c r="L1503" s="7"/>
      <c r="M1503" s="4"/>
      <c r="N1503" s="7"/>
      <c r="O1503" s="4"/>
      <c r="P1503" s="51"/>
      <c r="Q1503" s="51"/>
      <c r="R1503" s="51"/>
      <c r="S1503" s="7"/>
      <c r="T1503" s="7"/>
    </row>
    <row r="1504" spans="1:20" ht="14.25" customHeight="1">
      <c r="A1504" s="4"/>
      <c r="B1504" s="38">
        <v>8111</v>
      </c>
      <c r="C1504" s="22" t="str">
        <f>IFERROR(VLOOKUP(B1504,Colaboradores!A:D,2,),"")</f>
        <v>FABIANA SILVA COSTA</v>
      </c>
      <c r="D1504" s="22" t="str">
        <f>IFERROR(VLOOKUP(B1504,Colaboradores!A:D,3,),"")</f>
        <v>SAÚDE OCUPACIONAL</v>
      </c>
      <c r="E1504" s="22" t="str">
        <f>IFERROR(VLOOKUP(B1504,Colaboradores!A:D,4,),"")</f>
        <v>ASSESSOR(A) DE FISIOTERAPIA</v>
      </c>
      <c r="F1504" s="47" t="s">
        <v>25</v>
      </c>
      <c r="G1504" s="24" t="str">
        <f>IFERROR(VLOOKUP(F1504,Procedimentos!A:C,2,),"")</f>
        <v>GARANTIA DA QUALIDADE</v>
      </c>
      <c r="H1504" s="25"/>
      <c r="I1504" s="51"/>
      <c r="J1504" s="4"/>
      <c r="K1504" s="25" t="str">
        <f t="shared" si="64"/>
        <v/>
      </c>
      <c r="L1504" s="7"/>
      <c r="M1504" s="4"/>
      <c r="N1504" s="7"/>
      <c r="O1504" s="4"/>
      <c r="P1504" s="51"/>
      <c r="Q1504" s="51"/>
      <c r="R1504" s="51"/>
      <c r="S1504" s="7"/>
      <c r="T1504" s="7"/>
    </row>
    <row r="1505" spans="1:20" ht="14.25" customHeight="1">
      <c r="A1505" s="4"/>
      <c r="B1505" s="38">
        <v>14972</v>
      </c>
      <c r="C1505" s="22" t="str">
        <f>IFERROR(VLOOKUP(B1505,Colaboradores!A:D,2,),"")</f>
        <v>JUAN PABLO SOUSA FARIAS</v>
      </c>
      <c r="D1505" s="22" t="str">
        <f>IFERROR(VLOOKUP(B1505,Colaboradores!A:D,3,),"")</f>
        <v>SAÚDE OCUPACIONAL</v>
      </c>
      <c r="E1505" s="22" t="str">
        <f>IFERROR(VLOOKUP(B1505,Colaboradores!A:D,4,),"")</f>
        <v>JOVEM APRENDIZ</v>
      </c>
      <c r="F1505" s="47" t="s">
        <v>25</v>
      </c>
      <c r="G1505" s="24" t="str">
        <f>IFERROR(VLOOKUP(F1505,Procedimentos!A:C,2,),"")</f>
        <v>GARANTIA DA QUALIDADE</v>
      </c>
      <c r="H1505" s="25"/>
      <c r="I1505" s="51"/>
      <c r="J1505" s="4"/>
      <c r="K1505" s="25" t="str">
        <f t="shared" si="64"/>
        <v/>
      </c>
      <c r="L1505" s="7"/>
      <c r="M1505" s="4"/>
      <c r="N1505" s="7"/>
      <c r="O1505" s="4"/>
      <c r="P1505" s="51"/>
      <c r="Q1505" s="51"/>
      <c r="R1505" s="51"/>
      <c r="S1505" s="7"/>
      <c r="T1505" s="7"/>
    </row>
    <row r="1506" spans="1:20" ht="14.25" customHeight="1">
      <c r="A1506" s="4"/>
      <c r="B1506" s="38">
        <v>14499</v>
      </c>
      <c r="C1506" s="22" t="str">
        <f>IFERROR(VLOOKUP(B1506,Colaboradores!A:D,2,),"")</f>
        <v>SAMIRIS COSTA DA SILVA</v>
      </c>
      <c r="D1506" s="22" t="str">
        <f>IFERROR(VLOOKUP(B1506,Colaboradores!A:D,3,),"")</f>
        <v>SAÚDE OCUPACIONAL</v>
      </c>
      <c r="E1506" s="22" t="str">
        <f>IFERROR(VLOOKUP(B1506,Colaboradores!A:D,4,),"")</f>
        <v>PSICÓLOGA</v>
      </c>
      <c r="F1506" s="47" t="s">
        <v>25</v>
      </c>
      <c r="G1506" s="24" t="str">
        <f>IFERROR(VLOOKUP(F1506,Procedimentos!A:C,2,),"")</f>
        <v>GARANTIA DA QUALIDADE</v>
      </c>
      <c r="H1506" s="25"/>
      <c r="I1506" s="51"/>
      <c r="J1506" s="4"/>
      <c r="K1506" s="25" t="str">
        <f t="shared" si="64"/>
        <v/>
      </c>
      <c r="L1506" s="7"/>
      <c r="M1506" s="4"/>
      <c r="N1506" s="7"/>
      <c r="O1506" s="4"/>
      <c r="P1506" s="51"/>
      <c r="Q1506" s="51"/>
      <c r="R1506" s="51"/>
      <c r="S1506" s="7"/>
      <c r="T1506" s="7"/>
    </row>
    <row r="1507" spans="1:20" ht="14.25" customHeight="1">
      <c r="A1507" s="4"/>
      <c r="B1507" s="38">
        <v>12463</v>
      </c>
      <c r="C1507" s="22" t="str">
        <f>IFERROR(VLOOKUP(B1507,Colaboradores!A:D,2,),"")</f>
        <v>SAMMY RAYANA L. SANTOS</v>
      </c>
      <c r="D1507" s="22" t="str">
        <f>IFERROR(VLOOKUP(B1507,Colaboradores!A:D,3,),"")</f>
        <v>SAÚDE OCUPACIONAL</v>
      </c>
      <c r="E1507" s="22" t="str">
        <f>IFERROR(VLOOKUP(B1507,Colaboradores!A:D,4,),"")</f>
        <v>ASSESSOR(A) DE SERVIÇO SOCIAL</v>
      </c>
      <c r="F1507" s="47" t="s">
        <v>25</v>
      </c>
      <c r="G1507" s="24" t="str">
        <f>IFERROR(VLOOKUP(F1507,Procedimentos!A:C,2,),"")</f>
        <v>GARANTIA DA QUALIDADE</v>
      </c>
      <c r="H1507" s="25"/>
      <c r="I1507" s="51"/>
      <c r="J1507" s="4"/>
      <c r="K1507" s="25" t="str">
        <f t="shared" si="64"/>
        <v/>
      </c>
      <c r="L1507" s="7"/>
      <c r="M1507" s="4"/>
      <c r="N1507" s="7"/>
      <c r="O1507" s="4"/>
      <c r="P1507" s="51"/>
      <c r="Q1507" s="51"/>
      <c r="R1507" s="51"/>
      <c r="S1507" s="7"/>
      <c r="T1507" s="7"/>
    </row>
    <row r="1508" spans="1:20" ht="14.25" customHeight="1">
      <c r="A1508" s="4"/>
      <c r="B1508" s="38">
        <v>14962</v>
      </c>
      <c r="C1508" s="22" t="str">
        <f>IFERROR(VLOOKUP(B1508,Colaboradores!A:D,2,),"")</f>
        <v>YASMIN KARINE DE OLIVEIRA SOARES</v>
      </c>
      <c r="D1508" s="22" t="str">
        <f>IFERROR(VLOOKUP(B1508,Colaboradores!A:D,3,),"")</f>
        <v>SAÚDE OCUPACIONAL</v>
      </c>
      <c r="E1508" s="22" t="str">
        <f>IFERROR(VLOOKUP(B1508,Colaboradores!A:D,4,),"")</f>
        <v>JOVEM APRENDIZ</v>
      </c>
      <c r="F1508" s="47" t="s">
        <v>25</v>
      </c>
      <c r="G1508" s="24" t="str">
        <f>IFERROR(VLOOKUP(F1508,Procedimentos!A:C,2,),"")</f>
        <v>GARANTIA DA QUALIDADE</v>
      </c>
      <c r="H1508" s="25"/>
      <c r="I1508" s="51"/>
      <c r="J1508" s="4"/>
      <c r="K1508" s="25" t="str">
        <f t="shared" si="64"/>
        <v/>
      </c>
      <c r="L1508" s="7"/>
      <c r="M1508" s="4"/>
      <c r="N1508" s="7"/>
      <c r="O1508" s="4"/>
      <c r="P1508" s="51"/>
      <c r="Q1508" s="51"/>
      <c r="R1508" s="51"/>
      <c r="S1508" s="7"/>
      <c r="T1508" s="7"/>
    </row>
    <row r="1509" spans="1:20" ht="14.25" customHeight="1">
      <c r="A1509" s="4"/>
      <c r="B1509" s="38">
        <v>24306</v>
      </c>
      <c r="C1509" s="22" t="str">
        <f>IFERROR(VLOOKUP(B1509,Colaboradores!A:D,2,),"")</f>
        <v>ANNA MARIA ARAUJO PIORSKI</v>
      </c>
      <c r="D1509" s="22" t="str">
        <f>IFERROR(VLOOKUP(B1509,Colaboradores!A:D,3,),"")</f>
        <v>SAÚDE OCUPACIONAL</v>
      </c>
      <c r="E1509" s="22" t="str">
        <f>IFERROR(VLOOKUP(B1509,Colaboradores!A:D,4,),"")</f>
        <v>ASSESSOR(A) DE NUTRIÇÃO</v>
      </c>
      <c r="F1509" s="47" t="s">
        <v>26</v>
      </c>
      <c r="G1509" s="24" t="str">
        <f>IFERROR(VLOOKUP(F1509,Procedimentos!A:C,2,),"")</f>
        <v>RESPONSABILIDADES E AUTORIDADES DO SGQ</v>
      </c>
      <c r="H1509" s="25"/>
      <c r="I1509" s="51"/>
      <c r="J1509" s="4"/>
      <c r="K1509" s="25" t="str">
        <f t="shared" si="64"/>
        <v/>
      </c>
      <c r="L1509" s="7"/>
      <c r="M1509" s="4"/>
      <c r="N1509" s="7"/>
      <c r="O1509" s="4"/>
      <c r="P1509" s="51"/>
      <c r="Q1509" s="51"/>
      <c r="R1509" s="51"/>
      <c r="S1509" s="7"/>
      <c r="T1509" s="7"/>
    </row>
    <row r="1510" spans="1:20" ht="14.25" customHeight="1">
      <c r="A1510" s="4"/>
      <c r="B1510" s="38">
        <v>12330</v>
      </c>
      <c r="C1510" s="22" t="str">
        <f>IFERROR(VLOOKUP(B1510,Colaboradores!A:D,2,),"")</f>
        <v>BIANCA GUEDES SILVA ALMEIDA</v>
      </c>
      <c r="D1510" s="22" t="str">
        <f>IFERROR(VLOOKUP(B1510,Colaboradores!A:D,3,),"")</f>
        <v>SAÚDE OCUPACIONAL</v>
      </c>
      <c r="E1510" s="22" t="str">
        <f>IFERROR(VLOOKUP(B1510,Colaboradores!A:D,4,),"")</f>
        <v>NUTRICIONISTA</v>
      </c>
      <c r="F1510" s="47" t="s">
        <v>26</v>
      </c>
      <c r="G1510" s="24" t="str">
        <f>IFERROR(VLOOKUP(F1510,Procedimentos!A:C,2,),"")</f>
        <v>RESPONSABILIDADES E AUTORIDADES DO SGQ</v>
      </c>
      <c r="H1510" s="25"/>
      <c r="I1510" s="51"/>
      <c r="J1510" s="4"/>
      <c r="K1510" s="25" t="str">
        <f t="shared" si="64"/>
        <v/>
      </c>
      <c r="L1510" s="7"/>
      <c r="M1510" s="4"/>
      <c r="N1510" s="7"/>
      <c r="O1510" s="4"/>
      <c r="P1510" s="51"/>
      <c r="Q1510" s="51"/>
      <c r="R1510" s="51"/>
      <c r="S1510" s="7"/>
      <c r="T1510" s="7"/>
    </row>
    <row r="1511" spans="1:20" ht="14.25" customHeight="1">
      <c r="A1511" s="4"/>
      <c r="B1511" s="38">
        <v>14990</v>
      </c>
      <c r="C1511" s="22" t="str">
        <f>IFERROR(VLOOKUP(B1511,Colaboradores!A:D,2,),"")</f>
        <v>DAVID DE JESUS PEREIRA FONSECA</v>
      </c>
      <c r="D1511" s="22" t="str">
        <f>IFERROR(VLOOKUP(B1511,Colaboradores!A:D,3,),"")</f>
        <v>SAÚDE OCUPACIONAL</v>
      </c>
      <c r="E1511" s="22" t="str">
        <f>IFERROR(VLOOKUP(B1511,Colaboradores!A:D,4,),"")</f>
        <v>JOVEM APRENDIZ</v>
      </c>
      <c r="F1511" s="47" t="s">
        <v>26</v>
      </c>
      <c r="G1511" s="24" t="str">
        <f>IFERROR(VLOOKUP(F1511,Procedimentos!A:C,2,),"")</f>
        <v>RESPONSABILIDADES E AUTORIDADES DO SGQ</v>
      </c>
      <c r="H1511" s="25"/>
      <c r="I1511" s="51"/>
      <c r="J1511" s="4"/>
      <c r="K1511" s="25" t="str">
        <f t="shared" si="64"/>
        <v/>
      </c>
      <c r="L1511" s="7"/>
      <c r="M1511" s="4"/>
      <c r="N1511" s="7"/>
      <c r="O1511" s="4"/>
      <c r="P1511" s="51"/>
      <c r="Q1511" s="51"/>
      <c r="R1511" s="51"/>
      <c r="S1511" s="7"/>
      <c r="T1511" s="7"/>
    </row>
    <row r="1512" spans="1:20" ht="14.25" customHeight="1">
      <c r="A1512" s="4"/>
      <c r="B1512" s="38">
        <v>9058</v>
      </c>
      <c r="C1512" s="22" t="str">
        <f>IFERROR(VLOOKUP(B1512,Colaboradores!A:D,2,),"")</f>
        <v>DENISE CRISTRINA CASTRO</v>
      </c>
      <c r="D1512" s="22" t="str">
        <f>IFERROR(VLOOKUP(B1512,Colaboradores!A:D,3,),"")</f>
        <v>SAÚDE OCUPACIONAL</v>
      </c>
      <c r="E1512" s="22" t="str">
        <f>IFERROR(VLOOKUP(B1512,Colaboradores!A:D,4,),"")</f>
        <v>ASSESSOR(A) DE SERVIÇO SOCIAL</v>
      </c>
      <c r="F1512" s="47" t="s">
        <v>26</v>
      </c>
      <c r="G1512" s="24" t="str">
        <f>IFERROR(VLOOKUP(F1512,Procedimentos!A:C,2,),"")</f>
        <v>RESPONSABILIDADES E AUTORIDADES DO SGQ</v>
      </c>
      <c r="H1512" s="25"/>
      <c r="I1512" s="51"/>
      <c r="J1512" s="4"/>
      <c r="K1512" s="25" t="str">
        <f t="shared" si="64"/>
        <v/>
      </c>
      <c r="L1512" s="7"/>
      <c r="M1512" s="4"/>
      <c r="N1512" s="7"/>
      <c r="O1512" s="4"/>
      <c r="P1512" s="51"/>
      <c r="Q1512" s="51"/>
      <c r="R1512" s="51"/>
      <c r="S1512" s="7"/>
      <c r="T1512" s="7"/>
    </row>
    <row r="1513" spans="1:20" ht="14.25" customHeight="1">
      <c r="A1513" s="4"/>
      <c r="B1513" s="38">
        <v>8111</v>
      </c>
      <c r="C1513" s="22" t="str">
        <f>IFERROR(VLOOKUP(B1513,Colaboradores!A:D,2,),"")</f>
        <v>FABIANA SILVA COSTA</v>
      </c>
      <c r="D1513" s="22" t="str">
        <f>IFERROR(VLOOKUP(B1513,Colaboradores!A:D,3,),"")</f>
        <v>SAÚDE OCUPACIONAL</v>
      </c>
      <c r="E1513" s="22" t="str">
        <f>IFERROR(VLOOKUP(B1513,Colaboradores!A:D,4,),"")</f>
        <v>ASSESSOR(A) DE FISIOTERAPIA</v>
      </c>
      <c r="F1513" s="47" t="s">
        <v>26</v>
      </c>
      <c r="G1513" s="24" t="str">
        <f>IFERROR(VLOOKUP(F1513,Procedimentos!A:C,2,),"")</f>
        <v>RESPONSABILIDADES E AUTORIDADES DO SGQ</v>
      </c>
      <c r="H1513" s="25"/>
      <c r="I1513" s="51"/>
      <c r="J1513" s="4"/>
      <c r="K1513" s="25" t="str">
        <f t="shared" si="64"/>
        <v/>
      </c>
      <c r="L1513" s="7"/>
      <c r="M1513" s="4"/>
      <c r="N1513" s="7"/>
      <c r="O1513" s="4"/>
      <c r="P1513" s="51"/>
      <c r="Q1513" s="51"/>
      <c r="R1513" s="51"/>
      <c r="S1513" s="7"/>
      <c r="T1513" s="7"/>
    </row>
    <row r="1514" spans="1:20" ht="14.25" customHeight="1">
      <c r="A1514" s="4"/>
      <c r="B1514" s="38">
        <v>14972</v>
      </c>
      <c r="C1514" s="22" t="str">
        <f>IFERROR(VLOOKUP(B1514,Colaboradores!A:D,2,),"")</f>
        <v>JUAN PABLO SOUSA FARIAS</v>
      </c>
      <c r="D1514" s="22" t="str">
        <f>IFERROR(VLOOKUP(B1514,Colaboradores!A:D,3,),"")</f>
        <v>SAÚDE OCUPACIONAL</v>
      </c>
      <c r="E1514" s="22" t="str">
        <f>IFERROR(VLOOKUP(B1514,Colaboradores!A:D,4,),"")</f>
        <v>JOVEM APRENDIZ</v>
      </c>
      <c r="F1514" s="47" t="s">
        <v>26</v>
      </c>
      <c r="G1514" s="24" t="str">
        <f>IFERROR(VLOOKUP(F1514,Procedimentos!A:C,2,),"")</f>
        <v>RESPONSABILIDADES E AUTORIDADES DO SGQ</v>
      </c>
      <c r="H1514" s="25"/>
      <c r="I1514" s="51"/>
      <c r="J1514" s="4"/>
      <c r="K1514" s="25" t="str">
        <f t="shared" si="64"/>
        <v/>
      </c>
      <c r="L1514" s="7"/>
      <c r="M1514" s="4"/>
      <c r="N1514" s="7"/>
      <c r="O1514" s="4"/>
      <c r="P1514" s="51"/>
      <c r="Q1514" s="51"/>
      <c r="R1514" s="51"/>
      <c r="S1514" s="7"/>
      <c r="T1514" s="7"/>
    </row>
    <row r="1515" spans="1:20" ht="14.25" customHeight="1">
      <c r="A1515" s="4"/>
      <c r="B1515" s="38">
        <v>14499</v>
      </c>
      <c r="C1515" s="22" t="str">
        <f>IFERROR(VLOOKUP(B1515,Colaboradores!A:D,2,),"")</f>
        <v>SAMIRIS COSTA DA SILVA</v>
      </c>
      <c r="D1515" s="22" t="str">
        <f>IFERROR(VLOOKUP(B1515,Colaboradores!A:D,3,),"")</f>
        <v>SAÚDE OCUPACIONAL</v>
      </c>
      <c r="E1515" s="22" t="str">
        <f>IFERROR(VLOOKUP(B1515,Colaboradores!A:D,4,),"")</f>
        <v>PSICÓLOGA</v>
      </c>
      <c r="F1515" s="47" t="s">
        <v>26</v>
      </c>
      <c r="G1515" s="24" t="str">
        <f>IFERROR(VLOOKUP(F1515,Procedimentos!A:C,2,),"")</f>
        <v>RESPONSABILIDADES E AUTORIDADES DO SGQ</v>
      </c>
      <c r="H1515" s="25"/>
      <c r="I1515" s="51"/>
      <c r="J1515" s="4"/>
      <c r="K1515" s="25" t="str">
        <f t="shared" si="64"/>
        <v/>
      </c>
      <c r="L1515" s="7"/>
      <c r="M1515" s="4"/>
      <c r="N1515" s="7"/>
      <c r="O1515" s="4"/>
      <c r="P1515" s="51"/>
      <c r="Q1515" s="51"/>
      <c r="R1515" s="51"/>
      <c r="S1515" s="7"/>
      <c r="T1515" s="7"/>
    </row>
    <row r="1516" spans="1:20" ht="14.25" customHeight="1">
      <c r="A1516" s="4"/>
      <c r="B1516" s="38">
        <v>12463</v>
      </c>
      <c r="C1516" s="22" t="str">
        <f>IFERROR(VLOOKUP(B1516,Colaboradores!A:D,2,),"")</f>
        <v>SAMMY RAYANA L. SANTOS</v>
      </c>
      <c r="D1516" s="22" t="str">
        <f>IFERROR(VLOOKUP(B1516,Colaboradores!A:D,3,),"")</f>
        <v>SAÚDE OCUPACIONAL</v>
      </c>
      <c r="E1516" s="22" t="str">
        <f>IFERROR(VLOOKUP(B1516,Colaboradores!A:D,4,),"")</f>
        <v>ASSESSOR(A) DE SERVIÇO SOCIAL</v>
      </c>
      <c r="F1516" s="47" t="s">
        <v>26</v>
      </c>
      <c r="G1516" s="24" t="str">
        <f>IFERROR(VLOOKUP(F1516,Procedimentos!A:C,2,),"")</f>
        <v>RESPONSABILIDADES E AUTORIDADES DO SGQ</v>
      </c>
      <c r="H1516" s="25"/>
      <c r="I1516" s="51"/>
      <c r="J1516" s="4"/>
      <c r="K1516" s="25" t="str">
        <f t="shared" si="64"/>
        <v/>
      </c>
      <c r="L1516" s="7"/>
      <c r="M1516" s="4"/>
      <c r="N1516" s="7"/>
      <c r="O1516" s="4"/>
      <c r="P1516" s="51"/>
      <c r="Q1516" s="51"/>
      <c r="R1516" s="51"/>
      <c r="S1516" s="7"/>
      <c r="T1516" s="7"/>
    </row>
    <row r="1517" spans="1:20" ht="14.25" customHeight="1">
      <c r="A1517" s="4"/>
      <c r="B1517" s="38">
        <v>14962</v>
      </c>
      <c r="C1517" s="22" t="str">
        <f>IFERROR(VLOOKUP(B1517,Colaboradores!A:D,2,),"")</f>
        <v>YASMIN KARINE DE OLIVEIRA SOARES</v>
      </c>
      <c r="D1517" s="22" t="str">
        <f>IFERROR(VLOOKUP(B1517,Colaboradores!A:D,3,),"")</f>
        <v>SAÚDE OCUPACIONAL</v>
      </c>
      <c r="E1517" s="22" t="str">
        <f>IFERROR(VLOOKUP(B1517,Colaboradores!A:D,4,),"")</f>
        <v>JOVEM APRENDIZ</v>
      </c>
      <c r="F1517" s="47" t="s">
        <v>26</v>
      </c>
      <c r="G1517" s="24" t="str">
        <f>IFERROR(VLOOKUP(F1517,Procedimentos!A:C,2,),"")</f>
        <v>RESPONSABILIDADES E AUTORIDADES DO SGQ</v>
      </c>
      <c r="H1517" s="25"/>
      <c r="I1517" s="51"/>
      <c r="J1517" s="4"/>
      <c r="K1517" s="25" t="str">
        <f t="shared" si="64"/>
        <v/>
      </c>
      <c r="L1517" s="7"/>
      <c r="M1517" s="4"/>
      <c r="N1517" s="7"/>
      <c r="O1517" s="4"/>
      <c r="P1517" s="51"/>
      <c r="Q1517" s="51"/>
      <c r="R1517" s="51"/>
      <c r="S1517" s="7"/>
      <c r="T1517" s="7"/>
    </row>
    <row r="1518" spans="1:20" ht="14.25" customHeight="1">
      <c r="A1518" s="4"/>
      <c r="B1518" s="38">
        <v>24306</v>
      </c>
      <c r="C1518" s="22" t="str">
        <f>IFERROR(VLOOKUP(B1518,Colaboradores!A:D,2,),"")</f>
        <v>ANNA MARIA ARAUJO PIORSKI</v>
      </c>
      <c r="D1518" s="22" t="str">
        <f>IFERROR(VLOOKUP(B1518,Colaboradores!A:D,3,),"")</f>
        <v>SAÚDE OCUPACIONAL</v>
      </c>
      <c r="E1518" s="22" t="str">
        <f>IFERROR(VLOOKUP(B1518,Colaboradores!A:D,4,),"")</f>
        <v>ASSESSOR(A) DE NUTRIÇÃO</v>
      </c>
      <c r="F1518" s="47" t="s">
        <v>58</v>
      </c>
      <c r="G1518" s="24" t="str">
        <f>IFERROR(VLOOKUP(F1518,Procedimentos!A:C,2,),"")</f>
        <v>POLÍTICA DE QUALIDADE DA DIRETORIA</v>
      </c>
      <c r="H1518" s="25"/>
      <c r="I1518" s="51"/>
      <c r="J1518" s="4"/>
      <c r="K1518" s="25" t="str">
        <f t="shared" si="64"/>
        <v/>
      </c>
      <c r="L1518" s="7"/>
      <c r="M1518" s="4"/>
      <c r="N1518" s="7"/>
      <c r="O1518" s="4"/>
      <c r="P1518" s="51"/>
      <c r="Q1518" s="51"/>
      <c r="R1518" s="51"/>
      <c r="S1518" s="7"/>
      <c r="T1518" s="7"/>
    </row>
    <row r="1519" spans="1:20" ht="14.25" customHeight="1">
      <c r="A1519" s="4"/>
      <c r="B1519" s="38">
        <v>12330</v>
      </c>
      <c r="C1519" s="22" t="str">
        <f>IFERROR(VLOOKUP(B1519,Colaboradores!A:D,2,),"")</f>
        <v>BIANCA GUEDES SILVA ALMEIDA</v>
      </c>
      <c r="D1519" s="22" t="str">
        <f>IFERROR(VLOOKUP(B1519,Colaboradores!A:D,3,),"")</f>
        <v>SAÚDE OCUPACIONAL</v>
      </c>
      <c r="E1519" s="22" t="str">
        <f>IFERROR(VLOOKUP(B1519,Colaboradores!A:D,4,),"")</f>
        <v>NUTRICIONISTA</v>
      </c>
      <c r="F1519" s="47" t="s">
        <v>58</v>
      </c>
      <c r="G1519" s="24" t="str">
        <f>IFERROR(VLOOKUP(F1519,Procedimentos!A:C,2,),"")</f>
        <v>POLÍTICA DE QUALIDADE DA DIRETORIA</v>
      </c>
      <c r="H1519" s="25"/>
      <c r="I1519" s="51"/>
      <c r="J1519" s="4"/>
      <c r="K1519" s="25" t="str">
        <f t="shared" si="64"/>
        <v/>
      </c>
      <c r="L1519" s="7"/>
      <c r="M1519" s="4"/>
      <c r="N1519" s="7"/>
      <c r="O1519" s="4"/>
      <c r="P1519" s="51"/>
      <c r="Q1519" s="51"/>
      <c r="R1519" s="51"/>
      <c r="S1519" s="7"/>
      <c r="T1519" s="7"/>
    </row>
    <row r="1520" spans="1:20" ht="14.25" customHeight="1">
      <c r="A1520" s="4"/>
      <c r="B1520" s="38">
        <v>14990</v>
      </c>
      <c r="C1520" s="22" t="str">
        <f>IFERROR(VLOOKUP(B1520,Colaboradores!A:D,2,),"")</f>
        <v>DAVID DE JESUS PEREIRA FONSECA</v>
      </c>
      <c r="D1520" s="22" t="str">
        <f>IFERROR(VLOOKUP(B1520,Colaboradores!A:D,3,),"")</f>
        <v>SAÚDE OCUPACIONAL</v>
      </c>
      <c r="E1520" s="22" t="str">
        <f>IFERROR(VLOOKUP(B1520,Colaboradores!A:D,4,),"")</f>
        <v>JOVEM APRENDIZ</v>
      </c>
      <c r="F1520" s="47" t="s">
        <v>58</v>
      </c>
      <c r="G1520" s="24" t="str">
        <f>IFERROR(VLOOKUP(F1520,Procedimentos!A:C,2,),"")</f>
        <v>POLÍTICA DE QUALIDADE DA DIRETORIA</v>
      </c>
      <c r="H1520" s="25"/>
      <c r="I1520" s="51"/>
      <c r="J1520" s="4"/>
      <c r="K1520" s="25" t="str">
        <f t="shared" si="64"/>
        <v/>
      </c>
      <c r="L1520" s="7"/>
      <c r="M1520" s="4"/>
      <c r="N1520" s="7"/>
      <c r="O1520" s="4"/>
      <c r="P1520" s="51"/>
      <c r="Q1520" s="51"/>
      <c r="R1520" s="51"/>
      <c r="S1520" s="7"/>
      <c r="T1520" s="7"/>
    </row>
    <row r="1521" spans="1:20" ht="14.25" customHeight="1">
      <c r="A1521" s="4"/>
      <c r="B1521" s="38">
        <v>9058</v>
      </c>
      <c r="C1521" s="22" t="str">
        <f>IFERROR(VLOOKUP(B1521,Colaboradores!A:D,2,),"")</f>
        <v>DENISE CRISTRINA CASTRO</v>
      </c>
      <c r="D1521" s="22" t="str">
        <f>IFERROR(VLOOKUP(B1521,Colaboradores!A:D,3,),"")</f>
        <v>SAÚDE OCUPACIONAL</v>
      </c>
      <c r="E1521" s="22" t="str">
        <f>IFERROR(VLOOKUP(B1521,Colaboradores!A:D,4,),"")</f>
        <v>ASSESSOR(A) DE SERVIÇO SOCIAL</v>
      </c>
      <c r="F1521" s="47" t="s">
        <v>58</v>
      </c>
      <c r="G1521" s="24" t="str">
        <f>IFERROR(VLOOKUP(F1521,Procedimentos!A:C,2,),"")</f>
        <v>POLÍTICA DE QUALIDADE DA DIRETORIA</v>
      </c>
      <c r="H1521" s="25"/>
      <c r="I1521" s="51"/>
      <c r="J1521" s="4"/>
      <c r="K1521" s="25" t="str">
        <f t="shared" si="64"/>
        <v/>
      </c>
      <c r="L1521" s="7"/>
      <c r="M1521" s="4"/>
      <c r="N1521" s="7"/>
      <c r="O1521" s="4"/>
      <c r="P1521" s="51"/>
      <c r="Q1521" s="51"/>
      <c r="R1521" s="51"/>
      <c r="S1521" s="7"/>
      <c r="T1521" s="7"/>
    </row>
    <row r="1522" spans="1:20" ht="14.25" customHeight="1">
      <c r="A1522" s="4"/>
      <c r="B1522" s="38">
        <v>8111</v>
      </c>
      <c r="C1522" s="22" t="str">
        <f>IFERROR(VLOOKUP(B1522,Colaboradores!A:D,2,),"")</f>
        <v>FABIANA SILVA COSTA</v>
      </c>
      <c r="D1522" s="22" t="str">
        <f>IFERROR(VLOOKUP(B1522,Colaboradores!A:D,3,),"")</f>
        <v>SAÚDE OCUPACIONAL</v>
      </c>
      <c r="E1522" s="22" t="str">
        <f>IFERROR(VLOOKUP(B1522,Colaboradores!A:D,4,),"")</f>
        <v>ASSESSOR(A) DE FISIOTERAPIA</v>
      </c>
      <c r="F1522" s="47" t="s">
        <v>58</v>
      </c>
      <c r="G1522" s="24" t="str">
        <f>IFERROR(VLOOKUP(F1522,Procedimentos!A:C,2,),"")</f>
        <v>POLÍTICA DE QUALIDADE DA DIRETORIA</v>
      </c>
      <c r="H1522" s="25"/>
      <c r="I1522" s="51"/>
      <c r="J1522" s="4"/>
      <c r="K1522" s="25" t="str">
        <f t="shared" si="64"/>
        <v/>
      </c>
      <c r="L1522" s="7"/>
      <c r="M1522" s="4"/>
      <c r="N1522" s="7"/>
      <c r="O1522" s="4"/>
      <c r="P1522" s="51"/>
      <c r="Q1522" s="51"/>
      <c r="R1522" s="51"/>
      <c r="S1522" s="7"/>
      <c r="T1522" s="7"/>
    </row>
    <row r="1523" spans="1:20" ht="14.25" customHeight="1">
      <c r="A1523" s="4"/>
      <c r="B1523" s="38">
        <v>14972</v>
      </c>
      <c r="C1523" s="22" t="str">
        <f>IFERROR(VLOOKUP(B1523,Colaboradores!A:D,2,),"")</f>
        <v>JUAN PABLO SOUSA FARIAS</v>
      </c>
      <c r="D1523" s="22" t="str">
        <f>IFERROR(VLOOKUP(B1523,Colaboradores!A:D,3,),"")</f>
        <v>SAÚDE OCUPACIONAL</v>
      </c>
      <c r="E1523" s="22" t="str">
        <f>IFERROR(VLOOKUP(B1523,Colaboradores!A:D,4,),"")</f>
        <v>JOVEM APRENDIZ</v>
      </c>
      <c r="F1523" s="47" t="s">
        <v>58</v>
      </c>
      <c r="G1523" s="24" t="str">
        <f>IFERROR(VLOOKUP(F1523,Procedimentos!A:C,2,),"")</f>
        <v>POLÍTICA DE QUALIDADE DA DIRETORIA</v>
      </c>
      <c r="H1523" s="25"/>
      <c r="I1523" s="51"/>
      <c r="J1523" s="4"/>
      <c r="K1523" s="25" t="str">
        <f t="shared" si="64"/>
        <v/>
      </c>
      <c r="L1523" s="7"/>
      <c r="M1523" s="4"/>
      <c r="N1523" s="7"/>
      <c r="O1523" s="4"/>
      <c r="P1523" s="51"/>
      <c r="Q1523" s="51"/>
      <c r="R1523" s="51"/>
      <c r="S1523" s="7"/>
      <c r="T1523" s="7"/>
    </row>
    <row r="1524" spans="1:20" ht="14.25" customHeight="1">
      <c r="A1524" s="4"/>
      <c r="B1524" s="38">
        <v>13594</v>
      </c>
      <c r="C1524" s="22" t="str">
        <f>IFERROR(VLOOKUP(B1524,Colaboradores!A:D,2,),"")</f>
        <v>MARCIO AUGUSTO SILVA MIRANDA</v>
      </c>
      <c r="D1524" s="22" t="str">
        <f>IFERROR(VLOOKUP(B1524,Colaboradores!A:D,3,),"")</f>
        <v>SAÚDE OCUPACIONAL</v>
      </c>
      <c r="E1524" s="22" t="str">
        <f>IFERROR(VLOOKUP(B1524,Colaboradores!A:D,4,),"")</f>
        <v>ASSESSOR (A) CLINICO</v>
      </c>
      <c r="F1524" s="47" t="s">
        <v>58</v>
      </c>
      <c r="G1524" s="24" t="str">
        <f>IFERROR(VLOOKUP(F1524,Procedimentos!A:C,2,),"")</f>
        <v>POLÍTICA DE QUALIDADE DA DIRETORIA</v>
      </c>
      <c r="H1524" s="25"/>
      <c r="I1524" s="51"/>
      <c r="J1524" s="4"/>
      <c r="K1524" s="25" t="str">
        <f t="shared" si="64"/>
        <v/>
      </c>
      <c r="L1524" s="7"/>
      <c r="M1524" s="4"/>
      <c r="N1524" s="7"/>
      <c r="O1524" s="4"/>
      <c r="P1524" s="51"/>
      <c r="Q1524" s="51"/>
      <c r="R1524" s="51"/>
      <c r="S1524" s="7"/>
      <c r="T1524" s="7"/>
    </row>
    <row r="1525" spans="1:20" ht="14.25" customHeight="1">
      <c r="A1525" s="4"/>
      <c r="B1525" s="38">
        <v>14499</v>
      </c>
      <c r="C1525" s="22" t="str">
        <f>IFERROR(VLOOKUP(B1525,Colaboradores!A:D,2,),"")</f>
        <v>SAMIRIS COSTA DA SILVA</v>
      </c>
      <c r="D1525" s="22" t="str">
        <f>IFERROR(VLOOKUP(B1525,Colaboradores!A:D,3,),"")</f>
        <v>SAÚDE OCUPACIONAL</v>
      </c>
      <c r="E1525" s="22" t="str">
        <f>IFERROR(VLOOKUP(B1525,Colaboradores!A:D,4,),"")</f>
        <v>PSICÓLOGA</v>
      </c>
      <c r="F1525" s="47" t="s">
        <v>58</v>
      </c>
      <c r="G1525" s="24" t="str">
        <f>IFERROR(VLOOKUP(F1525,Procedimentos!A:C,2,),"")</f>
        <v>POLÍTICA DE QUALIDADE DA DIRETORIA</v>
      </c>
      <c r="H1525" s="25"/>
      <c r="I1525" s="51"/>
      <c r="J1525" s="4"/>
      <c r="K1525" s="25" t="str">
        <f t="shared" si="64"/>
        <v/>
      </c>
      <c r="L1525" s="7"/>
      <c r="M1525" s="4"/>
      <c r="N1525" s="7"/>
      <c r="O1525" s="4"/>
      <c r="P1525" s="51"/>
      <c r="Q1525" s="51"/>
      <c r="R1525" s="51"/>
      <c r="S1525" s="7"/>
      <c r="T1525" s="7"/>
    </row>
    <row r="1526" spans="1:20" ht="14.25" customHeight="1">
      <c r="A1526" s="4"/>
      <c r="B1526" s="38">
        <v>12463</v>
      </c>
      <c r="C1526" s="22" t="str">
        <f>IFERROR(VLOOKUP(B1526,Colaboradores!A:D,2,),"")</f>
        <v>SAMMY RAYANA L. SANTOS</v>
      </c>
      <c r="D1526" s="22" t="str">
        <f>IFERROR(VLOOKUP(B1526,Colaboradores!A:D,3,),"")</f>
        <v>SAÚDE OCUPACIONAL</v>
      </c>
      <c r="E1526" s="22" t="str">
        <f>IFERROR(VLOOKUP(B1526,Colaboradores!A:D,4,),"")</f>
        <v>ASSESSOR(A) DE SERVIÇO SOCIAL</v>
      </c>
      <c r="F1526" s="47" t="s">
        <v>58</v>
      </c>
      <c r="G1526" s="24" t="str">
        <f>IFERROR(VLOOKUP(F1526,Procedimentos!A:C,2,),"")</f>
        <v>POLÍTICA DE QUALIDADE DA DIRETORIA</v>
      </c>
      <c r="H1526" s="25"/>
      <c r="I1526" s="51"/>
      <c r="J1526" s="4"/>
      <c r="K1526" s="25" t="str">
        <f t="shared" si="64"/>
        <v/>
      </c>
      <c r="L1526" s="7"/>
      <c r="M1526" s="4"/>
      <c r="N1526" s="7"/>
      <c r="O1526" s="4"/>
      <c r="P1526" s="51"/>
      <c r="Q1526" s="51"/>
      <c r="R1526" s="51"/>
      <c r="S1526" s="7"/>
      <c r="T1526" s="7"/>
    </row>
    <row r="1527" spans="1:20" ht="14.25" customHeight="1">
      <c r="A1527" s="4"/>
      <c r="B1527" s="38">
        <v>13100</v>
      </c>
      <c r="C1527" s="22" t="str">
        <f>IFERROR(VLOOKUP(B1527,Colaboradores!A:D,2,),"")</f>
        <v>TAYNAH SOARES DE SOUZA CAMARAO</v>
      </c>
      <c r="D1527" s="22" t="str">
        <f>IFERROR(VLOOKUP(B1527,Colaboradores!A:D,3,),"")</f>
        <v>SAÚDE OCUPACIONAL</v>
      </c>
      <c r="E1527" s="22" t="str">
        <f>IFERROR(VLOOKUP(B1527,Colaboradores!A:D,4,),"")</f>
        <v>MÉDICA</v>
      </c>
      <c r="F1527" s="47" t="s">
        <v>58</v>
      </c>
      <c r="G1527" s="24" t="str">
        <f>IFERROR(VLOOKUP(F1527,Procedimentos!A:C,2,),"")</f>
        <v>POLÍTICA DE QUALIDADE DA DIRETORIA</v>
      </c>
      <c r="H1527" s="25"/>
      <c r="I1527" s="51"/>
      <c r="J1527" s="4"/>
      <c r="K1527" s="25" t="str">
        <f t="shared" si="64"/>
        <v/>
      </c>
      <c r="L1527" s="7"/>
      <c r="M1527" s="4"/>
      <c r="N1527" s="7"/>
      <c r="O1527" s="4"/>
      <c r="P1527" s="51"/>
      <c r="Q1527" s="51"/>
      <c r="R1527" s="51"/>
      <c r="S1527" s="7"/>
      <c r="T1527" s="7"/>
    </row>
    <row r="1528" spans="1:20" ht="14.25" customHeight="1">
      <c r="A1528" s="4"/>
      <c r="B1528" s="38">
        <v>14962</v>
      </c>
      <c r="C1528" s="22" t="str">
        <f>IFERROR(VLOOKUP(B1528,Colaboradores!A:D,2,),"")</f>
        <v>YASMIN KARINE DE OLIVEIRA SOARES</v>
      </c>
      <c r="D1528" s="22" t="str">
        <f>IFERROR(VLOOKUP(B1528,Colaboradores!A:D,3,),"")</f>
        <v>SAÚDE OCUPACIONAL</v>
      </c>
      <c r="E1528" s="22" t="str">
        <f>IFERROR(VLOOKUP(B1528,Colaboradores!A:D,4,),"")</f>
        <v>JOVEM APRENDIZ</v>
      </c>
      <c r="F1528" s="47" t="s">
        <v>58</v>
      </c>
      <c r="G1528" s="24" t="str">
        <f>IFERROR(VLOOKUP(F1528,Procedimentos!A:C,2,),"")</f>
        <v>POLÍTICA DE QUALIDADE DA DIRETORIA</v>
      </c>
      <c r="H1528" s="25"/>
      <c r="I1528" s="51"/>
      <c r="J1528" s="4"/>
      <c r="K1528" s="25" t="str">
        <f t="shared" si="64"/>
        <v/>
      </c>
      <c r="L1528" s="7"/>
      <c r="M1528" s="4"/>
      <c r="N1528" s="7"/>
      <c r="O1528" s="4"/>
      <c r="P1528" s="51"/>
      <c r="Q1528" s="51"/>
      <c r="R1528" s="51"/>
      <c r="S1528" s="7"/>
      <c r="T1528" s="7"/>
    </row>
    <row r="1529" spans="1:20" ht="14.25" customHeight="1">
      <c r="A1529" s="4"/>
      <c r="B1529" s="38">
        <v>24306</v>
      </c>
      <c r="C1529" s="22" t="str">
        <f>IFERROR(VLOOKUP(B1529,Colaboradores!A:D,2,),"")</f>
        <v>ANNA MARIA ARAUJO PIORSKI</v>
      </c>
      <c r="D1529" s="22" t="str">
        <f>IFERROR(VLOOKUP(B1529,Colaboradores!A:D,3,),"")</f>
        <v>SAÚDE OCUPACIONAL</v>
      </c>
      <c r="E1529" s="22" t="str">
        <f>IFERROR(VLOOKUP(B1529,Colaboradores!A:D,4,),"")</f>
        <v>ASSESSOR(A) DE NUTRIÇÃO</v>
      </c>
      <c r="F1529" s="47" t="s">
        <v>73</v>
      </c>
      <c r="G1529" s="24" t="str">
        <f>IFERROR(VLOOKUP(F1529,Procedimentos!A:C,2,),"")</f>
        <v>AQUISIÇÃO DE BENS E SERVIÇOS E AVALIAÇÃO PROVEDORES EXTERNOS</v>
      </c>
      <c r="H1529" s="25"/>
      <c r="I1529" s="51"/>
      <c r="J1529" s="4"/>
      <c r="K1529" s="25" t="str">
        <f t="shared" si="64"/>
        <v/>
      </c>
      <c r="L1529" s="7"/>
      <c r="M1529" s="4"/>
      <c r="N1529" s="7"/>
      <c r="O1529" s="4"/>
      <c r="P1529" s="51"/>
      <c r="Q1529" s="51"/>
      <c r="R1529" s="51"/>
      <c r="S1529" s="7"/>
      <c r="T1529" s="7"/>
    </row>
    <row r="1530" spans="1:20" ht="14.25" customHeight="1">
      <c r="A1530" s="4"/>
      <c r="B1530" s="38">
        <v>12330</v>
      </c>
      <c r="C1530" s="22" t="str">
        <f>IFERROR(VLOOKUP(B1530,Colaboradores!A:D,2,),"")</f>
        <v>BIANCA GUEDES SILVA ALMEIDA</v>
      </c>
      <c r="D1530" s="22" t="str">
        <f>IFERROR(VLOOKUP(B1530,Colaboradores!A:D,3,),"")</f>
        <v>SAÚDE OCUPACIONAL</v>
      </c>
      <c r="E1530" s="22" t="str">
        <f>IFERROR(VLOOKUP(B1530,Colaboradores!A:D,4,),"")</f>
        <v>NUTRICIONISTA</v>
      </c>
      <c r="F1530" s="47" t="s">
        <v>73</v>
      </c>
      <c r="G1530" s="24" t="str">
        <f>IFERROR(VLOOKUP(F1530,Procedimentos!A:C,2,),"")</f>
        <v>AQUISIÇÃO DE BENS E SERVIÇOS E AVALIAÇÃO PROVEDORES EXTERNOS</v>
      </c>
      <c r="H1530" s="25"/>
      <c r="I1530" s="51"/>
      <c r="J1530" s="4"/>
      <c r="K1530" s="25" t="str">
        <f t="shared" si="64"/>
        <v/>
      </c>
      <c r="L1530" s="7"/>
      <c r="M1530" s="4"/>
      <c r="N1530" s="7"/>
      <c r="O1530" s="4"/>
      <c r="P1530" s="51"/>
      <c r="Q1530" s="51"/>
      <c r="R1530" s="51"/>
      <c r="S1530" s="7"/>
      <c r="T1530" s="7"/>
    </row>
    <row r="1531" spans="1:20" ht="14.25" customHeight="1">
      <c r="A1531" s="4"/>
      <c r="B1531" s="38">
        <v>14990</v>
      </c>
      <c r="C1531" s="22" t="str">
        <f>IFERROR(VLOOKUP(B1531,Colaboradores!A:D,2,),"")</f>
        <v>DAVID DE JESUS PEREIRA FONSECA</v>
      </c>
      <c r="D1531" s="22" t="str">
        <f>IFERROR(VLOOKUP(B1531,Colaboradores!A:D,3,),"")</f>
        <v>SAÚDE OCUPACIONAL</v>
      </c>
      <c r="E1531" s="22" t="str">
        <f>IFERROR(VLOOKUP(B1531,Colaboradores!A:D,4,),"")</f>
        <v>JOVEM APRENDIZ</v>
      </c>
      <c r="F1531" s="47" t="s">
        <v>73</v>
      </c>
      <c r="G1531" s="24" t="str">
        <f>IFERROR(VLOOKUP(F1531,Procedimentos!A:C,2,),"")</f>
        <v>AQUISIÇÃO DE BENS E SERVIÇOS E AVALIAÇÃO PROVEDORES EXTERNOS</v>
      </c>
      <c r="H1531" s="25"/>
      <c r="I1531" s="51"/>
      <c r="J1531" s="4"/>
      <c r="K1531" s="25" t="str">
        <f t="shared" si="64"/>
        <v/>
      </c>
      <c r="L1531" s="7"/>
      <c r="M1531" s="4"/>
      <c r="N1531" s="7"/>
      <c r="O1531" s="4"/>
      <c r="P1531" s="51"/>
      <c r="Q1531" s="51"/>
      <c r="R1531" s="51"/>
      <c r="S1531" s="7"/>
      <c r="T1531" s="7"/>
    </row>
    <row r="1532" spans="1:20" ht="14.25" customHeight="1">
      <c r="A1532" s="4"/>
      <c r="B1532" s="38">
        <v>9058</v>
      </c>
      <c r="C1532" s="22" t="str">
        <f>IFERROR(VLOOKUP(B1532,Colaboradores!A:D,2,),"")</f>
        <v>DENISE CRISTRINA CASTRO</v>
      </c>
      <c r="D1532" s="22" t="str">
        <f>IFERROR(VLOOKUP(B1532,Colaboradores!A:D,3,),"")</f>
        <v>SAÚDE OCUPACIONAL</v>
      </c>
      <c r="E1532" s="22" t="str">
        <f>IFERROR(VLOOKUP(B1532,Colaboradores!A:D,4,),"")</f>
        <v>ASSESSOR(A) DE SERVIÇO SOCIAL</v>
      </c>
      <c r="F1532" s="47" t="s">
        <v>73</v>
      </c>
      <c r="G1532" s="24" t="str">
        <f>IFERROR(VLOOKUP(F1532,Procedimentos!A:C,2,),"")</f>
        <v>AQUISIÇÃO DE BENS E SERVIÇOS E AVALIAÇÃO PROVEDORES EXTERNOS</v>
      </c>
      <c r="H1532" s="25"/>
      <c r="I1532" s="51"/>
      <c r="J1532" s="4"/>
      <c r="K1532" s="25" t="str">
        <f t="shared" si="64"/>
        <v/>
      </c>
      <c r="L1532" s="7"/>
      <c r="M1532" s="4"/>
      <c r="N1532" s="7"/>
      <c r="O1532" s="4"/>
      <c r="P1532" s="51"/>
      <c r="Q1532" s="51"/>
      <c r="R1532" s="51"/>
      <c r="S1532" s="7"/>
      <c r="T1532" s="7"/>
    </row>
    <row r="1533" spans="1:20" ht="14.25" customHeight="1">
      <c r="A1533" s="4"/>
      <c r="B1533" s="38">
        <v>8111</v>
      </c>
      <c r="C1533" s="22" t="str">
        <f>IFERROR(VLOOKUP(B1533,Colaboradores!A:D,2,),"")</f>
        <v>FABIANA SILVA COSTA</v>
      </c>
      <c r="D1533" s="22" t="str">
        <f>IFERROR(VLOOKUP(B1533,Colaboradores!A:D,3,),"")</f>
        <v>SAÚDE OCUPACIONAL</v>
      </c>
      <c r="E1533" s="22" t="str">
        <f>IFERROR(VLOOKUP(B1533,Colaboradores!A:D,4,),"")</f>
        <v>ASSESSOR(A) DE FISIOTERAPIA</v>
      </c>
      <c r="F1533" s="47" t="s">
        <v>73</v>
      </c>
      <c r="G1533" s="24" t="str">
        <f>IFERROR(VLOOKUP(F1533,Procedimentos!A:C,2,),"")</f>
        <v>AQUISIÇÃO DE BENS E SERVIÇOS E AVALIAÇÃO PROVEDORES EXTERNOS</v>
      </c>
      <c r="H1533" s="25"/>
      <c r="I1533" s="51"/>
      <c r="J1533" s="4"/>
      <c r="K1533" s="25" t="str">
        <f t="shared" si="64"/>
        <v/>
      </c>
      <c r="L1533" s="7"/>
      <c r="M1533" s="4"/>
      <c r="N1533" s="7"/>
      <c r="O1533" s="4"/>
      <c r="P1533" s="51"/>
      <c r="Q1533" s="51"/>
      <c r="R1533" s="51"/>
      <c r="S1533" s="7"/>
      <c r="T1533" s="7"/>
    </row>
    <row r="1534" spans="1:20" ht="14.25" customHeight="1">
      <c r="A1534" s="4"/>
      <c r="B1534" s="38">
        <v>14972</v>
      </c>
      <c r="C1534" s="22" t="str">
        <f>IFERROR(VLOOKUP(B1534,Colaboradores!A:D,2,),"")</f>
        <v>JUAN PABLO SOUSA FARIAS</v>
      </c>
      <c r="D1534" s="22" t="str">
        <f>IFERROR(VLOOKUP(B1534,Colaboradores!A:D,3,),"")</f>
        <v>SAÚDE OCUPACIONAL</v>
      </c>
      <c r="E1534" s="22" t="str">
        <f>IFERROR(VLOOKUP(B1534,Colaboradores!A:D,4,),"")</f>
        <v>JOVEM APRENDIZ</v>
      </c>
      <c r="F1534" s="47" t="s">
        <v>73</v>
      </c>
      <c r="G1534" s="24" t="str">
        <f>IFERROR(VLOOKUP(F1534,Procedimentos!A:C,2,),"")</f>
        <v>AQUISIÇÃO DE BENS E SERVIÇOS E AVALIAÇÃO PROVEDORES EXTERNOS</v>
      </c>
      <c r="H1534" s="25"/>
      <c r="I1534" s="51"/>
      <c r="J1534" s="4"/>
      <c r="K1534" s="25" t="str">
        <f t="shared" si="64"/>
        <v/>
      </c>
      <c r="L1534" s="7"/>
      <c r="M1534" s="4"/>
      <c r="N1534" s="7"/>
      <c r="O1534" s="4"/>
      <c r="P1534" s="51"/>
      <c r="Q1534" s="51"/>
      <c r="R1534" s="51"/>
      <c r="S1534" s="7"/>
      <c r="T1534" s="7"/>
    </row>
    <row r="1535" spans="1:20" ht="14.25" customHeight="1">
      <c r="A1535" s="4"/>
      <c r="B1535" s="38">
        <v>14499</v>
      </c>
      <c r="C1535" s="22" t="str">
        <f>IFERROR(VLOOKUP(B1535,Colaboradores!A:D,2,),"")</f>
        <v>SAMIRIS COSTA DA SILVA</v>
      </c>
      <c r="D1535" s="22" t="str">
        <f>IFERROR(VLOOKUP(B1535,Colaboradores!A:D,3,),"")</f>
        <v>SAÚDE OCUPACIONAL</v>
      </c>
      <c r="E1535" s="22" t="str">
        <f>IFERROR(VLOOKUP(B1535,Colaboradores!A:D,4,),"")</f>
        <v>PSICÓLOGA</v>
      </c>
      <c r="F1535" s="47" t="s">
        <v>73</v>
      </c>
      <c r="G1535" s="24" t="str">
        <f>IFERROR(VLOOKUP(F1535,Procedimentos!A:C,2,),"")</f>
        <v>AQUISIÇÃO DE BENS E SERVIÇOS E AVALIAÇÃO PROVEDORES EXTERNOS</v>
      </c>
      <c r="H1535" s="25"/>
      <c r="I1535" s="51"/>
      <c r="J1535" s="4"/>
      <c r="K1535" s="25" t="str">
        <f t="shared" si="64"/>
        <v/>
      </c>
      <c r="L1535" s="7"/>
      <c r="M1535" s="4"/>
      <c r="N1535" s="7"/>
      <c r="O1535" s="4"/>
      <c r="P1535" s="51"/>
      <c r="Q1535" s="51"/>
      <c r="R1535" s="51"/>
      <c r="S1535" s="7"/>
      <c r="T1535" s="7"/>
    </row>
    <row r="1536" spans="1:20" ht="14.25" customHeight="1">
      <c r="A1536" s="4"/>
      <c r="B1536" s="38">
        <v>12463</v>
      </c>
      <c r="C1536" s="22" t="str">
        <f>IFERROR(VLOOKUP(B1536,Colaboradores!A:D,2,),"")</f>
        <v>SAMMY RAYANA L. SANTOS</v>
      </c>
      <c r="D1536" s="22" t="str">
        <f>IFERROR(VLOOKUP(B1536,Colaboradores!A:D,3,),"")</f>
        <v>SAÚDE OCUPACIONAL</v>
      </c>
      <c r="E1536" s="22" t="str">
        <f>IFERROR(VLOOKUP(B1536,Colaboradores!A:D,4,),"")</f>
        <v>ASSESSOR(A) DE SERVIÇO SOCIAL</v>
      </c>
      <c r="F1536" s="47" t="s">
        <v>73</v>
      </c>
      <c r="G1536" s="24" t="str">
        <f>IFERROR(VLOOKUP(F1536,Procedimentos!A:C,2,),"")</f>
        <v>AQUISIÇÃO DE BENS E SERVIÇOS E AVALIAÇÃO PROVEDORES EXTERNOS</v>
      </c>
      <c r="H1536" s="25"/>
      <c r="I1536" s="51"/>
      <c r="J1536" s="4"/>
      <c r="K1536" s="25" t="str">
        <f t="shared" si="64"/>
        <v/>
      </c>
      <c r="L1536" s="7"/>
      <c r="M1536" s="4"/>
      <c r="N1536" s="7"/>
      <c r="O1536" s="4"/>
      <c r="P1536" s="51"/>
      <c r="Q1536" s="51"/>
      <c r="R1536" s="51"/>
      <c r="S1536" s="7"/>
      <c r="T1536" s="7"/>
    </row>
    <row r="1537" spans="1:20" ht="14.25" customHeight="1">
      <c r="A1537" s="4"/>
      <c r="B1537" s="38">
        <v>14962</v>
      </c>
      <c r="C1537" s="22" t="str">
        <f>IFERROR(VLOOKUP(B1537,Colaboradores!A:D,2,),"")</f>
        <v>YASMIN KARINE DE OLIVEIRA SOARES</v>
      </c>
      <c r="D1537" s="22" t="str">
        <f>IFERROR(VLOOKUP(B1537,Colaboradores!A:D,3,),"")</f>
        <v>SAÚDE OCUPACIONAL</v>
      </c>
      <c r="E1537" s="22" t="str">
        <f>IFERROR(VLOOKUP(B1537,Colaboradores!A:D,4,),"")</f>
        <v>JOVEM APRENDIZ</v>
      </c>
      <c r="F1537" s="47" t="s">
        <v>73</v>
      </c>
      <c r="G1537" s="24" t="str">
        <f>IFERROR(VLOOKUP(F1537,Procedimentos!A:C,2,),"")</f>
        <v>AQUISIÇÃO DE BENS E SERVIÇOS E AVALIAÇÃO PROVEDORES EXTERNOS</v>
      </c>
      <c r="H1537" s="25"/>
      <c r="I1537" s="51"/>
      <c r="J1537" s="4"/>
      <c r="K1537" s="25" t="str">
        <f t="shared" si="64"/>
        <v/>
      </c>
      <c r="L1537" s="7"/>
      <c r="M1537" s="4"/>
      <c r="N1537" s="7"/>
      <c r="O1537" s="4"/>
      <c r="P1537" s="51"/>
      <c r="Q1537" s="51"/>
      <c r="R1537" s="51"/>
      <c r="S1537" s="7"/>
      <c r="T1537" s="7"/>
    </row>
    <row r="1538" spans="1:20" ht="14.25" customHeight="1">
      <c r="A1538" s="4"/>
      <c r="B1538" s="38">
        <v>24306</v>
      </c>
      <c r="C1538" s="22" t="str">
        <f>IFERROR(VLOOKUP(B1538,Colaboradores!A:D,2,),"")</f>
        <v>ANNA MARIA ARAUJO PIORSKI</v>
      </c>
      <c r="D1538" s="22" t="str">
        <f>IFERROR(VLOOKUP(B1538,Colaboradores!A:D,3,),"")</f>
        <v>SAÚDE OCUPACIONAL</v>
      </c>
      <c r="E1538" s="22" t="str">
        <f>IFERROR(VLOOKUP(B1538,Colaboradores!A:D,4,),"")</f>
        <v>ASSESSOR(A) DE NUTRIÇÃO</v>
      </c>
      <c r="F1538" s="47" t="s">
        <v>29</v>
      </c>
      <c r="G1538" s="24" t="str">
        <f>IFERROR(VLOOKUP(F1538,Procedimentos!A:C,2,),"")</f>
        <v>COLETA SELETIVA DESSMA</v>
      </c>
      <c r="H1538" s="25"/>
      <c r="I1538" s="51"/>
      <c r="J1538" s="4"/>
      <c r="K1538" s="25" t="str">
        <f t="shared" si="64"/>
        <v/>
      </c>
      <c r="L1538" s="7"/>
      <c r="M1538" s="4"/>
      <c r="N1538" s="7"/>
      <c r="O1538" s="4"/>
      <c r="P1538" s="51"/>
      <c r="Q1538" s="51"/>
      <c r="R1538" s="51"/>
      <c r="S1538" s="7"/>
      <c r="T1538" s="7"/>
    </row>
    <row r="1539" spans="1:20" ht="14.25" customHeight="1">
      <c r="A1539" s="4"/>
      <c r="B1539" s="38">
        <v>12330</v>
      </c>
      <c r="C1539" s="22" t="str">
        <f>IFERROR(VLOOKUP(B1539,Colaboradores!A:D,2,),"")</f>
        <v>BIANCA GUEDES SILVA ALMEIDA</v>
      </c>
      <c r="D1539" s="22" t="str">
        <f>IFERROR(VLOOKUP(B1539,Colaboradores!A:D,3,),"")</f>
        <v>SAÚDE OCUPACIONAL</v>
      </c>
      <c r="E1539" s="22" t="str">
        <f>IFERROR(VLOOKUP(B1539,Colaboradores!A:D,4,),"")</f>
        <v>NUTRICIONISTA</v>
      </c>
      <c r="F1539" s="47" t="s">
        <v>29</v>
      </c>
      <c r="G1539" s="24" t="str">
        <f>IFERROR(VLOOKUP(F1539,Procedimentos!A:C,2,),"")</f>
        <v>COLETA SELETIVA DESSMA</v>
      </c>
      <c r="H1539" s="25"/>
      <c r="I1539" s="51"/>
      <c r="J1539" s="4"/>
      <c r="K1539" s="25" t="str">
        <f t="shared" ref="K1539:K1602" si="65">IF(AND(I1539&lt;&gt;"",J1539&lt;&gt;""),DATE(YEAR(I1539),MONTH(I1539)+J1539,DAY(I1539)),"")</f>
        <v/>
      </c>
      <c r="L1539" s="7"/>
      <c r="M1539" s="4"/>
      <c r="N1539" s="7"/>
      <c r="O1539" s="4"/>
      <c r="P1539" s="51"/>
      <c r="Q1539" s="51"/>
      <c r="R1539" s="51"/>
      <c r="S1539" s="7"/>
      <c r="T1539" s="7"/>
    </row>
    <row r="1540" spans="1:20" ht="14.25" customHeight="1">
      <c r="A1540" s="4"/>
      <c r="B1540" s="38">
        <v>14990</v>
      </c>
      <c r="C1540" s="22" t="str">
        <f>IFERROR(VLOOKUP(B1540,Colaboradores!A:D,2,),"")</f>
        <v>DAVID DE JESUS PEREIRA FONSECA</v>
      </c>
      <c r="D1540" s="22" t="str">
        <f>IFERROR(VLOOKUP(B1540,Colaboradores!A:D,3,),"")</f>
        <v>SAÚDE OCUPACIONAL</v>
      </c>
      <c r="E1540" s="22" t="str">
        <f>IFERROR(VLOOKUP(B1540,Colaboradores!A:D,4,),"")</f>
        <v>JOVEM APRENDIZ</v>
      </c>
      <c r="F1540" s="47" t="s">
        <v>29</v>
      </c>
      <c r="G1540" s="24" t="str">
        <f>IFERROR(VLOOKUP(F1540,Procedimentos!A:C,2,),"")</f>
        <v>COLETA SELETIVA DESSMA</v>
      </c>
      <c r="H1540" s="25"/>
      <c r="I1540" s="51"/>
      <c r="J1540" s="4"/>
      <c r="K1540" s="25" t="str">
        <f t="shared" si="65"/>
        <v/>
      </c>
      <c r="L1540" s="7"/>
      <c r="M1540" s="4"/>
      <c r="N1540" s="7"/>
      <c r="O1540" s="4"/>
      <c r="P1540" s="51"/>
      <c r="Q1540" s="51"/>
      <c r="R1540" s="51"/>
      <c r="S1540" s="7"/>
      <c r="T1540" s="7"/>
    </row>
    <row r="1541" spans="1:20" ht="14.25" customHeight="1">
      <c r="A1541" s="4"/>
      <c r="B1541" s="38">
        <v>9058</v>
      </c>
      <c r="C1541" s="22" t="str">
        <f>IFERROR(VLOOKUP(B1541,Colaboradores!A:D,2,),"")</f>
        <v>DENISE CRISTRINA CASTRO</v>
      </c>
      <c r="D1541" s="22" t="str">
        <f>IFERROR(VLOOKUP(B1541,Colaboradores!A:D,3,),"")</f>
        <v>SAÚDE OCUPACIONAL</v>
      </c>
      <c r="E1541" s="22" t="str">
        <f>IFERROR(VLOOKUP(B1541,Colaboradores!A:D,4,),"")</f>
        <v>ASSESSOR(A) DE SERVIÇO SOCIAL</v>
      </c>
      <c r="F1541" s="47" t="s">
        <v>29</v>
      </c>
      <c r="G1541" s="24" t="str">
        <f>IFERROR(VLOOKUP(F1541,Procedimentos!A:C,2,),"")</f>
        <v>COLETA SELETIVA DESSMA</v>
      </c>
      <c r="H1541" s="25"/>
      <c r="I1541" s="51"/>
      <c r="J1541" s="4"/>
      <c r="K1541" s="25" t="str">
        <f t="shared" si="65"/>
        <v/>
      </c>
      <c r="L1541" s="7"/>
      <c r="M1541" s="4"/>
      <c r="N1541" s="7"/>
      <c r="O1541" s="4"/>
      <c r="P1541" s="51"/>
      <c r="Q1541" s="51"/>
      <c r="R1541" s="51"/>
      <c r="S1541" s="7"/>
      <c r="T1541" s="7"/>
    </row>
    <row r="1542" spans="1:20" ht="14.25" customHeight="1">
      <c r="A1542" s="4"/>
      <c r="B1542" s="38">
        <v>8111</v>
      </c>
      <c r="C1542" s="22" t="str">
        <f>IFERROR(VLOOKUP(B1542,Colaboradores!A:D,2,),"")</f>
        <v>FABIANA SILVA COSTA</v>
      </c>
      <c r="D1542" s="22" t="str">
        <f>IFERROR(VLOOKUP(B1542,Colaboradores!A:D,3,),"")</f>
        <v>SAÚDE OCUPACIONAL</v>
      </c>
      <c r="E1542" s="22" t="str">
        <f>IFERROR(VLOOKUP(B1542,Colaboradores!A:D,4,),"")</f>
        <v>ASSESSOR(A) DE FISIOTERAPIA</v>
      </c>
      <c r="F1542" s="47" t="s">
        <v>29</v>
      </c>
      <c r="G1542" s="24" t="str">
        <f>IFERROR(VLOOKUP(F1542,Procedimentos!A:C,2,),"")</f>
        <v>COLETA SELETIVA DESSMA</v>
      </c>
      <c r="H1542" s="25"/>
      <c r="I1542" s="51"/>
      <c r="J1542" s="4"/>
      <c r="K1542" s="25" t="str">
        <f t="shared" si="65"/>
        <v/>
      </c>
      <c r="L1542" s="7"/>
      <c r="M1542" s="4"/>
      <c r="N1542" s="7"/>
      <c r="O1542" s="4"/>
      <c r="P1542" s="51"/>
      <c r="Q1542" s="51"/>
      <c r="R1542" s="51"/>
      <c r="S1542" s="7"/>
      <c r="T1542" s="7"/>
    </row>
    <row r="1543" spans="1:20" ht="14.25" customHeight="1">
      <c r="A1543" s="4"/>
      <c r="B1543" s="38">
        <v>14972</v>
      </c>
      <c r="C1543" s="22" t="str">
        <f>IFERROR(VLOOKUP(B1543,Colaboradores!A:D,2,),"")</f>
        <v>JUAN PABLO SOUSA FARIAS</v>
      </c>
      <c r="D1543" s="22" t="str">
        <f>IFERROR(VLOOKUP(B1543,Colaboradores!A:D,3,),"")</f>
        <v>SAÚDE OCUPACIONAL</v>
      </c>
      <c r="E1543" s="22" t="str">
        <f>IFERROR(VLOOKUP(B1543,Colaboradores!A:D,4,),"")</f>
        <v>JOVEM APRENDIZ</v>
      </c>
      <c r="F1543" s="47" t="s">
        <v>29</v>
      </c>
      <c r="G1543" s="24" t="str">
        <f>IFERROR(VLOOKUP(F1543,Procedimentos!A:C,2,),"")</f>
        <v>COLETA SELETIVA DESSMA</v>
      </c>
      <c r="H1543" s="25"/>
      <c r="I1543" s="51"/>
      <c r="J1543" s="4"/>
      <c r="K1543" s="25" t="str">
        <f t="shared" si="65"/>
        <v/>
      </c>
      <c r="L1543" s="7"/>
      <c r="M1543" s="4"/>
      <c r="N1543" s="7"/>
      <c r="O1543" s="4"/>
      <c r="P1543" s="51"/>
      <c r="Q1543" s="51"/>
      <c r="R1543" s="51"/>
      <c r="S1543" s="7"/>
      <c r="T1543" s="7"/>
    </row>
    <row r="1544" spans="1:20" ht="14.25" customHeight="1">
      <c r="A1544" s="4"/>
      <c r="B1544" s="38">
        <v>14499</v>
      </c>
      <c r="C1544" s="22" t="str">
        <f>IFERROR(VLOOKUP(B1544,Colaboradores!A:D,2,),"")</f>
        <v>SAMIRIS COSTA DA SILVA</v>
      </c>
      <c r="D1544" s="22" t="str">
        <f>IFERROR(VLOOKUP(B1544,Colaboradores!A:D,3,),"")</f>
        <v>SAÚDE OCUPACIONAL</v>
      </c>
      <c r="E1544" s="22" t="str">
        <f>IFERROR(VLOOKUP(B1544,Colaboradores!A:D,4,),"")</f>
        <v>PSICÓLOGA</v>
      </c>
      <c r="F1544" s="47" t="s">
        <v>29</v>
      </c>
      <c r="G1544" s="24" t="str">
        <f>IFERROR(VLOOKUP(F1544,Procedimentos!A:C,2,),"")</f>
        <v>COLETA SELETIVA DESSMA</v>
      </c>
      <c r="H1544" s="25"/>
      <c r="I1544" s="51"/>
      <c r="J1544" s="4"/>
      <c r="K1544" s="25" t="str">
        <f t="shared" si="65"/>
        <v/>
      </c>
      <c r="L1544" s="7"/>
      <c r="M1544" s="4"/>
      <c r="N1544" s="7"/>
      <c r="O1544" s="4"/>
      <c r="P1544" s="51"/>
      <c r="Q1544" s="51"/>
      <c r="R1544" s="51"/>
      <c r="S1544" s="7"/>
      <c r="T1544" s="7"/>
    </row>
    <row r="1545" spans="1:20" ht="14.25" customHeight="1">
      <c r="A1545" s="4"/>
      <c r="B1545" s="38">
        <v>12463</v>
      </c>
      <c r="C1545" s="22" t="str">
        <f>IFERROR(VLOOKUP(B1545,Colaboradores!A:D,2,),"")</f>
        <v>SAMMY RAYANA L. SANTOS</v>
      </c>
      <c r="D1545" s="22" t="str">
        <f>IFERROR(VLOOKUP(B1545,Colaboradores!A:D,3,),"")</f>
        <v>SAÚDE OCUPACIONAL</v>
      </c>
      <c r="E1545" s="22" t="str">
        <f>IFERROR(VLOOKUP(B1545,Colaboradores!A:D,4,),"")</f>
        <v>ASSESSOR(A) DE SERVIÇO SOCIAL</v>
      </c>
      <c r="F1545" s="47" t="s">
        <v>29</v>
      </c>
      <c r="G1545" s="24" t="str">
        <f>IFERROR(VLOOKUP(F1545,Procedimentos!A:C,2,),"")</f>
        <v>COLETA SELETIVA DESSMA</v>
      </c>
      <c r="H1545" s="25"/>
      <c r="I1545" s="51"/>
      <c r="J1545" s="4"/>
      <c r="K1545" s="25" t="str">
        <f t="shared" si="65"/>
        <v/>
      </c>
      <c r="L1545" s="7"/>
      <c r="M1545" s="4"/>
      <c r="N1545" s="7"/>
      <c r="O1545" s="4"/>
      <c r="P1545" s="51"/>
      <c r="Q1545" s="51"/>
      <c r="R1545" s="51"/>
      <c r="S1545" s="7"/>
      <c r="T1545" s="7"/>
    </row>
    <row r="1546" spans="1:20" ht="14.25" customHeight="1">
      <c r="A1546" s="4"/>
      <c r="B1546" s="38">
        <v>14962</v>
      </c>
      <c r="C1546" s="22" t="str">
        <f>IFERROR(VLOOKUP(B1546,Colaboradores!A:D,2,),"")</f>
        <v>YASMIN KARINE DE OLIVEIRA SOARES</v>
      </c>
      <c r="D1546" s="22" t="str">
        <f>IFERROR(VLOOKUP(B1546,Colaboradores!A:D,3,),"")</f>
        <v>SAÚDE OCUPACIONAL</v>
      </c>
      <c r="E1546" s="22" t="str">
        <f>IFERROR(VLOOKUP(B1546,Colaboradores!A:D,4,),"")</f>
        <v>JOVEM APRENDIZ</v>
      </c>
      <c r="F1546" s="47" t="s">
        <v>29</v>
      </c>
      <c r="G1546" s="24" t="str">
        <f>IFERROR(VLOOKUP(F1546,Procedimentos!A:C,2,),"")</f>
        <v>COLETA SELETIVA DESSMA</v>
      </c>
      <c r="H1546" s="25"/>
      <c r="I1546" s="51"/>
      <c r="J1546" s="4"/>
      <c r="K1546" s="25" t="str">
        <f t="shared" si="65"/>
        <v/>
      </c>
      <c r="L1546" s="7"/>
      <c r="M1546" s="4"/>
      <c r="N1546" s="7"/>
      <c r="O1546" s="4"/>
      <c r="P1546" s="51"/>
      <c r="Q1546" s="51"/>
      <c r="R1546" s="51"/>
      <c r="S1546" s="7"/>
      <c r="T1546" s="7"/>
    </row>
    <row r="1547" spans="1:20" ht="14.25" customHeight="1">
      <c r="A1547" s="4"/>
      <c r="B1547" s="38">
        <v>24306</v>
      </c>
      <c r="C1547" s="22" t="str">
        <f>IFERROR(VLOOKUP(B1547,Colaboradores!A:D,2,),"")</f>
        <v>ANNA MARIA ARAUJO PIORSKI</v>
      </c>
      <c r="D1547" s="22" t="str">
        <f>IFERROR(VLOOKUP(B1547,Colaboradores!A:D,3,),"")</f>
        <v>SAÚDE OCUPACIONAL</v>
      </c>
      <c r="E1547" s="22" t="str">
        <f>IFERROR(VLOOKUP(B1547,Colaboradores!A:D,4,),"")</f>
        <v>ASSESSOR(A) DE NUTRIÇÃO</v>
      </c>
      <c r="F1547" s="47" t="s">
        <v>36</v>
      </c>
      <c r="G1547" s="24" t="str">
        <f>IFERROR(VLOOKUP(F1547,Procedimentos!A:C,2,),"")</f>
        <v>GESTÃO DE PRODUTOS QUÍMICOS</v>
      </c>
      <c r="H1547" s="25"/>
      <c r="I1547" s="51"/>
      <c r="J1547" s="4"/>
      <c r="K1547" s="25" t="str">
        <f t="shared" si="65"/>
        <v/>
      </c>
      <c r="L1547" s="7"/>
      <c r="M1547" s="4"/>
      <c r="N1547" s="7"/>
      <c r="O1547" s="4"/>
      <c r="P1547" s="51"/>
      <c r="Q1547" s="51"/>
      <c r="R1547" s="51"/>
      <c r="S1547" s="7"/>
      <c r="T1547" s="7"/>
    </row>
    <row r="1548" spans="1:20" ht="14.25" customHeight="1">
      <c r="A1548" s="4"/>
      <c r="B1548" s="38">
        <v>12330</v>
      </c>
      <c r="C1548" s="22" t="str">
        <f>IFERROR(VLOOKUP(B1548,Colaboradores!A:D,2,),"")</f>
        <v>BIANCA GUEDES SILVA ALMEIDA</v>
      </c>
      <c r="D1548" s="22" t="str">
        <f>IFERROR(VLOOKUP(B1548,Colaboradores!A:D,3,),"")</f>
        <v>SAÚDE OCUPACIONAL</v>
      </c>
      <c r="E1548" s="22" t="str">
        <f>IFERROR(VLOOKUP(B1548,Colaboradores!A:D,4,),"")</f>
        <v>NUTRICIONISTA</v>
      </c>
      <c r="F1548" s="47" t="s">
        <v>36</v>
      </c>
      <c r="G1548" s="24" t="str">
        <f>IFERROR(VLOOKUP(F1548,Procedimentos!A:C,2,),"")</f>
        <v>GESTÃO DE PRODUTOS QUÍMICOS</v>
      </c>
      <c r="H1548" s="25"/>
      <c r="I1548" s="51"/>
      <c r="J1548" s="4"/>
      <c r="K1548" s="25" t="str">
        <f t="shared" si="65"/>
        <v/>
      </c>
      <c r="L1548" s="7"/>
      <c r="M1548" s="4"/>
      <c r="N1548" s="7"/>
      <c r="O1548" s="4"/>
      <c r="P1548" s="51"/>
      <c r="Q1548" s="51"/>
      <c r="R1548" s="51"/>
      <c r="S1548" s="7"/>
      <c r="T1548" s="7"/>
    </row>
    <row r="1549" spans="1:20" ht="14.25" customHeight="1">
      <c r="A1549" s="4"/>
      <c r="B1549" s="38">
        <v>14990</v>
      </c>
      <c r="C1549" s="22" t="str">
        <f>IFERROR(VLOOKUP(B1549,Colaboradores!A:D,2,),"")</f>
        <v>DAVID DE JESUS PEREIRA FONSECA</v>
      </c>
      <c r="D1549" s="22" t="str">
        <f>IFERROR(VLOOKUP(B1549,Colaboradores!A:D,3,),"")</f>
        <v>SAÚDE OCUPACIONAL</v>
      </c>
      <c r="E1549" s="22" t="str">
        <f>IFERROR(VLOOKUP(B1549,Colaboradores!A:D,4,),"")</f>
        <v>JOVEM APRENDIZ</v>
      </c>
      <c r="F1549" s="47" t="s">
        <v>36</v>
      </c>
      <c r="G1549" s="24" t="str">
        <f>IFERROR(VLOOKUP(F1549,Procedimentos!A:C,2,),"")</f>
        <v>GESTÃO DE PRODUTOS QUÍMICOS</v>
      </c>
      <c r="H1549" s="25"/>
      <c r="I1549" s="51"/>
      <c r="J1549" s="4"/>
      <c r="K1549" s="25" t="str">
        <f t="shared" si="65"/>
        <v/>
      </c>
      <c r="L1549" s="7"/>
      <c r="M1549" s="4"/>
      <c r="N1549" s="7"/>
      <c r="O1549" s="4"/>
      <c r="P1549" s="51"/>
      <c r="Q1549" s="51"/>
      <c r="R1549" s="51"/>
      <c r="S1549" s="7"/>
      <c r="T1549" s="7"/>
    </row>
    <row r="1550" spans="1:20" ht="14.25" customHeight="1">
      <c r="A1550" s="4"/>
      <c r="B1550" s="38">
        <v>9058</v>
      </c>
      <c r="C1550" s="22" t="str">
        <f>IFERROR(VLOOKUP(B1550,Colaboradores!A:D,2,),"")</f>
        <v>DENISE CRISTRINA CASTRO</v>
      </c>
      <c r="D1550" s="22" t="str">
        <f>IFERROR(VLOOKUP(B1550,Colaboradores!A:D,3,),"")</f>
        <v>SAÚDE OCUPACIONAL</v>
      </c>
      <c r="E1550" s="22" t="str">
        <f>IFERROR(VLOOKUP(B1550,Colaboradores!A:D,4,),"")</f>
        <v>ASSESSOR(A) DE SERVIÇO SOCIAL</v>
      </c>
      <c r="F1550" s="47" t="s">
        <v>36</v>
      </c>
      <c r="G1550" s="24" t="str">
        <f>IFERROR(VLOOKUP(F1550,Procedimentos!A:C,2,),"")</f>
        <v>GESTÃO DE PRODUTOS QUÍMICOS</v>
      </c>
      <c r="H1550" s="25"/>
      <c r="I1550" s="51"/>
      <c r="J1550" s="4"/>
      <c r="K1550" s="25" t="str">
        <f t="shared" si="65"/>
        <v/>
      </c>
      <c r="L1550" s="7"/>
      <c r="M1550" s="4"/>
      <c r="N1550" s="7"/>
      <c r="O1550" s="4"/>
      <c r="P1550" s="51"/>
      <c r="Q1550" s="51"/>
      <c r="R1550" s="51"/>
      <c r="S1550" s="7"/>
      <c r="T1550" s="7"/>
    </row>
    <row r="1551" spans="1:20" ht="14.25" customHeight="1">
      <c r="A1551" s="4"/>
      <c r="B1551" s="38">
        <v>8111</v>
      </c>
      <c r="C1551" s="22" t="str">
        <f>IFERROR(VLOOKUP(B1551,Colaboradores!A:D,2,),"")</f>
        <v>FABIANA SILVA COSTA</v>
      </c>
      <c r="D1551" s="22" t="str">
        <f>IFERROR(VLOOKUP(B1551,Colaboradores!A:D,3,),"")</f>
        <v>SAÚDE OCUPACIONAL</v>
      </c>
      <c r="E1551" s="22" t="str">
        <f>IFERROR(VLOOKUP(B1551,Colaboradores!A:D,4,),"")</f>
        <v>ASSESSOR(A) DE FISIOTERAPIA</v>
      </c>
      <c r="F1551" s="47" t="s">
        <v>36</v>
      </c>
      <c r="G1551" s="24" t="str">
        <f>IFERROR(VLOOKUP(F1551,Procedimentos!A:C,2,),"")</f>
        <v>GESTÃO DE PRODUTOS QUÍMICOS</v>
      </c>
      <c r="H1551" s="25"/>
      <c r="I1551" s="51"/>
      <c r="J1551" s="4"/>
      <c r="K1551" s="25" t="str">
        <f t="shared" si="65"/>
        <v/>
      </c>
      <c r="L1551" s="7"/>
      <c r="M1551" s="4"/>
      <c r="N1551" s="7"/>
      <c r="O1551" s="4"/>
      <c r="P1551" s="51"/>
      <c r="Q1551" s="51"/>
      <c r="R1551" s="51"/>
      <c r="S1551" s="7"/>
      <c r="T1551" s="7"/>
    </row>
    <row r="1552" spans="1:20" ht="14.25" customHeight="1">
      <c r="A1552" s="4"/>
      <c r="B1552" s="38">
        <v>14972</v>
      </c>
      <c r="C1552" s="22" t="str">
        <f>IFERROR(VLOOKUP(B1552,Colaboradores!A:D,2,),"")</f>
        <v>JUAN PABLO SOUSA FARIAS</v>
      </c>
      <c r="D1552" s="22" t="str">
        <f>IFERROR(VLOOKUP(B1552,Colaboradores!A:D,3,),"")</f>
        <v>SAÚDE OCUPACIONAL</v>
      </c>
      <c r="E1552" s="22" t="str">
        <f>IFERROR(VLOOKUP(B1552,Colaboradores!A:D,4,),"")</f>
        <v>JOVEM APRENDIZ</v>
      </c>
      <c r="F1552" s="47" t="s">
        <v>36</v>
      </c>
      <c r="G1552" s="24" t="str">
        <f>IFERROR(VLOOKUP(F1552,Procedimentos!A:C,2,),"")</f>
        <v>GESTÃO DE PRODUTOS QUÍMICOS</v>
      </c>
      <c r="H1552" s="25"/>
      <c r="I1552" s="51"/>
      <c r="J1552" s="4"/>
      <c r="K1552" s="25" t="str">
        <f t="shared" si="65"/>
        <v/>
      </c>
      <c r="L1552" s="7"/>
      <c r="M1552" s="4"/>
      <c r="N1552" s="7"/>
      <c r="O1552" s="4"/>
      <c r="P1552" s="51"/>
      <c r="Q1552" s="51"/>
      <c r="R1552" s="51"/>
      <c r="S1552" s="7"/>
      <c r="T1552" s="7"/>
    </row>
    <row r="1553" spans="1:20" ht="14.25" customHeight="1">
      <c r="A1553" s="4"/>
      <c r="B1553" s="38">
        <v>14499</v>
      </c>
      <c r="C1553" s="22" t="str">
        <f>IFERROR(VLOOKUP(B1553,Colaboradores!A:D,2,),"")</f>
        <v>SAMIRIS COSTA DA SILVA</v>
      </c>
      <c r="D1553" s="22" t="str">
        <f>IFERROR(VLOOKUP(B1553,Colaboradores!A:D,3,),"")</f>
        <v>SAÚDE OCUPACIONAL</v>
      </c>
      <c r="E1553" s="22" t="str">
        <f>IFERROR(VLOOKUP(B1553,Colaboradores!A:D,4,),"")</f>
        <v>PSICÓLOGA</v>
      </c>
      <c r="F1553" s="47" t="s">
        <v>36</v>
      </c>
      <c r="G1553" s="24" t="str">
        <f>IFERROR(VLOOKUP(F1553,Procedimentos!A:C,2,),"")</f>
        <v>GESTÃO DE PRODUTOS QUÍMICOS</v>
      </c>
      <c r="H1553" s="25"/>
      <c r="I1553" s="51"/>
      <c r="J1553" s="4"/>
      <c r="K1553" s="25" t="str">
        <f t="shared" si="65"/>
        <v/>
      </c>
      <c r="L1553" s="7"/>
      <c r="M1553" s="4"/>
      <c r="N1553" s="7"/>
      <c r="O1553" s="4"/>
      <c r="P1553" s="51"/>
      <c r="Q1553" s="51"/>
      <c r="R1553" s="51"/>
      <c r="S1553" s="7"/>
      <c r="T1553" s="7"/>
    </row>
    <row r="1554" spans="1:20" ht="14.25" customHeight="1">
      <c r="A1554" s="4"/>
      <c r="B1554" s="38">
        <v>12463</v>
      </c>
      <c r="C1554" s="22" t="str">
        <f>IFERROR(VLOOKUP(B1554,Colaboradores!A:D,2,),"")</f>
        <v>SAMMY RAYANA L. SANTOS</v>
      </c>
      <c r="D1554" s="22" t="str">
        <f>IFERROR(VLOOKUP(B1554,Colaboradores!A:D,3,),"")</f>
        <v>SAÚDE OCUPACIONAL</v>
      </c>
      <c r="E1554" s="22" t="str">
        <f>IFERROR(VLOOKUP(B1554,Colaboradores!A:D,4,),"")</f>
        <v>ASSESSOR(A) DE SERVIÇO SOCIAL</v>
      </c>
      <c r="F1554" s="47" t="s">
        <v>36</v>
      </c>
      <c r="G1554" s="24" t="str">
        <f>IFERROR(VLOOKUP(F1554,Procedimentos!A:C,2,),"")</f>
        <v>GESTÃO DE PRODUTOS QUÍMICOS</v>
      </c>
      <c r="H1554" s="25"/>
      <c r="I1554" s="51"/>
      <c r="J1554" s="4"/>
      <c r="K1554" s="25" t="str">
        <f t="shared" si="65"/>
        <v/>
      </c>
      <c r="L1554" s="7"/>
      <c r="M1554" s="4"/>
      <c r="N1554" s="7"/>
      <c r="O1554" s="4"/>
      <c r="P1554" s="51"/>
      <c r="Q1554" s="51"/>
      <c r="R1554" s="51"/>
      <c r="S1554" s="7"/>
      <c r="T1554" s="7"/>
    </row>
    <row r="1555" spans="1:20" ht="14.25" customHeight="1">
      <c r="A1555" s="4"/>
      <c r="B1555" s="38">
        <v>14962</v>
      </c>
      <c r="C1555" s="22" t="str">
        <f>IFERROR(VLOOKUP(B1555,Colaboradores!A:D,2,),"")</f>
        <v>YASMIN KARINE DE OLIVEIRA SOARES</v>
      </c>
      <c r="D1555" s="22" t="str">
        <f>IFERROR(VLOOKUP(B1555,Colaboradores!A:D,3,),"")</f>
        <v>SAÚDE OCUPACIONAL</v>
      </c>
      <c r="E1555" s="22" t="str">
        <f>IFERROR(VLOOKUP(B1555,Colaboradores!A:D,4,),"")</f>
        <v>JOVEM APRENDIZ</v>
      </c>
      <c r="F1555" s="47" t="s">
        <v>36</v>
      </c>
      <c r="G1555" s="24" t="str">
        <f>IFERROR(VLOOKUP(F1555,Procedimentos!A:C,2,),"")</f>
        <v>GESTÃO DE PRODUTOS QUÍMICOS</v>
      </c>
      <c r="H1555" s="25"/>
      <c r="I1555" s="51"/>
      <c r="J1555" s="4"/>
      <c r="K1555" s="25" t="str">
        <f t="shared" si="65"/>
        <v/>
      </c>
      <c r="L1555" s="7"/>
      <c r="M1555" s="4"/>
      <c r="N1555" s="7"/>
      <c r="O1555" s="4"/>
      <c r="P1555" s="51"/>
      <c r="Q1555" s="51"/>
      <c r="R1555" s="51"/>
      <c r="S1555" s="7"/>
      <c r="T1555" s="7"/>
    </row>
    <row r="1556" spans="1:20" ht="14.25" customHeight="1">
      <c r="A1556" s="4"/>
      <c r="B1556" s="38">
        <v>24306</v>
      </c>
      <c r="C1556" s="22" t="str">
        <f>IFERROR(VLOOKUP(B1556,Colaboradores!A:D,2,),"")</f>
        <v>ANNA MARIA ARAUJO PIORSKI</v>
      </c>
      <c r="D1556" s="22" t="str">
        <f>IFERROR(VLOOKUP(B1556,Colaboradores!A:D,3,),"")</f>
        <v>SAÚDE OCUPACIONAL</v>
      </c>
      <c r="E1556" s="22" t="str">
        <f>IFERROR(VLOOKUP(B1556,Colaboradores!A:D,4,),"")</f>
        <v>ASSESSOR(A) DE NUTRIÇÃO</v>
      </c>
      <c r="F1556" s="47" t="s">
        <v>32</v>
      </c>
      <c r="G1556" s="24" t="str">
        <f>IFERROR(VLOOKUP(F1556,Procedimentos!A:C,2,),"")</f>
        <v>GESTÃO DE LEVANTAMENTO DE ASPECTOS E IMPACTOS AMBIENTAIS</v>
      </c>
      <c r="H1556" s="25"/>
      <c r="I1556" s="51"/>
      <c r="J1556" s="4"/>
      <c r="K1556" s="25" t="str">
        <f t="shared" si="65"/>
        <v/>
      </c>
      <c r="L1556" s="7"/>
      <c r="M1556" s="4"/>
      <c r="N1556" s="7"/>
      <c r="O1556" s="4"/>
      <c r="P1556" s="51"/>
      <c r="Q1556" s="51"/>
      <c r="R1556" s="51"/>
      <c r="S1556" s="7"/>
      <c r="T1556" s="7"/>
    </row>
    <row r="1557" spans="1:20" ht="14.25" customHeight="1">
      <c r="A1557" s="4"/>
      <c r="B1557" s="38">
        <v>12330</v>
      </c>
      <c r="C1557" s="22" t="str">
        <f>IFERROR(VLOOKUP(B1557,Colaboradores!A:D,2,),"")</f>
        <v>BIANCA GUEDES SILVA ALMEIDA</v>
      </c>
      <c r="D1557" s="22" t="str">
        <f>IFERROR(VLOOKUP(B1557,Colaboradores!A:D,3,),"")</f>
        <v>SAÚDE OCUPACIONAL</v>
      </c>
      <c r="E1557" s="22" t="str">
        <f>IFERROR(VLOOKUP(B1557,Colaboradores!A:D,4,),"")</f>
        <v>NUTRICIONISTA</v>
      </c>
      <c r="F1557" s="47" t="s">
        <v>32</v>
      </c>
      <c r="G1557" s="24" t="str">
        <f>IFERROR(VLOOKUP(F1557,Procedimentos!A:C,2,),"")</f>
        <v>GESTÃO DE LEVANTAMENTO DE ASPECTOS E IMPACTOS AMBIENTAIS</v>
      </c>
      <c r="H1557" s="25"/>
      <c r="I1557" s="51"/>
      <c r="J1557" s="4"/>
      <c r="K1557" s="25" t="str">
        <f t="shared" si="65"/>
        <v/>
      </c>
      <c r="L1557" s="7"/>
      <c r="M1557" s="4"/>
      <c r="N1557" s="7"/>
      <c r="O1557" s="4"/>
      <c r="P1557" s="51"/>
      <c r="Q1557" s="51"/>
      <c r="R1557" s="51"/>
      <c r="S1557" s="7"/>
      <c r="T1557" s="7"/>
    </row>
    <row r="1558" spans="1:20" ht="14.25" customHeight="1">
      <c r="A1558" s="4"/>
      <c r="B1558" s="38">
        <v>14990</v>
      </c>
      <c r="C1558" s="22" t="str">
        <f>IFERROR(VLOOKUP(B1558,Colaboradores!A:D,2,),"")</f>
        <v>DAVID DE JESUS PEREIRA FONSECA</v>
      </c>
      <c r="D1558" s="22" t="str">
        <f>IFERROR(VLOOKUP(B1558,Colaboradores!A:D,3,),"")</f>
        <v>SAÚDE OCUPACIONAL</v>
      </c>
      <c r="E1558" s="22" t="str">
        <f>IFERROR(VLOOKUP(B1558,Colaboradores!A:D,4,),"")</f>
        <v>JOVEM APRENDIZ</v>
      </c>
      <c r="F1558" s="47" t="s">
        <v>32</v>
      </c>
      <c r="G1558" s="24" t="str">
        <f>IFERROR(VLOOKUP(F1558,Procedimentos!A:C,2,),"")</f>
        <v>GESTÃO DE LEVANTAMENTO DE ASPECTOS E IMPACTOS AMBIENTAIS</v>
      </c>
      <c r="H1558" s="25"/>
      <c r="I1558" s="51"/>
      <c r="J1558" s="4"/>
      <c r="K1558" s="25" t="str">
        <f t="shared" si="65"/>
        <v/>
      </c>
      <c r="L1558" s="7"/>
      <c r="M1558" s="4"/>
      <c r="N1558" s="7"/>
      <c r="O1558" s="4"/>
      <c r="P1558" s="51"/>
      <c r="Q1558" s="51"/>
      <c r="R1558" s="51"/>
      <c r="S1558" s="7"/>
      <c r="T1558" s="7"/>
    </row>
    <row r="1559" spans="1:20" ht="14.25" customHeight="1">
      <c r="A1559" s="4"/>
      <c r="B1559" s="38">
        <v>9058</v>
      </c>
      <c r="C1559" s="22" t="str">
        <f>IFERROR(VLOOKUP(B1559,Colaboradores!A:D,2,),"")</f>
        <v>DENISE CRISTRINA CASTRO</v>
      </c>
      <c r="D1559" s="22" t="str">
        <f>IFERROR(VLOOKUP(B1559,Colaboradores!A:D,3,),"")</f>
        <v>SAÚDE OCUPACIONAL</v>
      </c>
      <c r="E1559" s="22" t="str">
        <f>IFERROR(VLOOKUP(B1559,Colaboradores!A:D,4,),"")</f>
        <v>ASSESSOR(A) DE SERVIÇO SOCIAL</v>
      </c>
      <c r="F1559" s="47" t="s">
        <v>32</v>
      </c>
      <c r="G1559" s="24" t="str">
        <f>IFERROR(VLOOKUP(F1559,Procedimentos!A:C,2,),"")</f>
        <v>GESTÃO DE LEVANTAMENTO DE ASPECTOS E IMPACTOS AMBIENTAIS</v>
      </c>
      <c r="H1559" s="25"/>
      <c r="I1559" s="51"/>
      <c r="J1559" s="4"/>
      <c r="K1559" s="25" t="str">
        <f t="shared" si="65"/>
        <v/>
      </c>
      <c r="L1559" s="7"/>
      <c r="M1559" s="4"/>
      <c r="N1559" s="7"/>
      <c r="O1559" s="4"/>
      <c r="P1559" s="51"/>
      <c r="Q1559" s="51"/>
      <c r="R1559" s="51"/>
      <c r="S1559" s="7"/>
      <c r="T1559" s="7"/>
    </row>
    <row r="1560" spans="1:20" ht="14.25" customHeight="1">
      <c r="A1560" s="4"/>
      <c r="B1560" s="38">
        <v>8111</v>
      </c>
      <c r="C1560" s="22" t="str">
        <f>IFERROR(VLOOKUP(B1560,Colaboradores!A:D,2,),"")</f>
        <v>FABIANA SILVA COSTA</v>
      </c>
      <c r="D1560" s="22" t="str">
        <f>IFERROR(VLOOKUP(B1560,Colaboradores!A:D,3,),"")</f>
        <v>SAÚDE OCUPACIONAL</v>
      </c>
      <c r="E1560" s="22" t="str">
        <f>IFERROR(VLOOKUP(B1560,Colaboradores!A:D,4,),"")</f>
        <v>ASSESSOR(A) DE FISIOTERAPIA</v>
      </c>
      <c r="F1560" s="47" t="s">
        <v>32</v>
      </c>
      <c r="G1560" s="24" t="str">
        <f>IFERROR(VLOOKUP(F1560,Procedimentos!A:C,2,),"")</f>
        <v>GESTÃO DE LEVANTAMENTO DE ASPECTOS E IMPACTOS AMBIENTAIS</v>
      </c>
      <c r="H1560" s="25"/>
      <c r="I1560" s="51"/>
      <c r="J1560" s="4"/>
      <c r="K1560" s="25" t="str">
        <f t="shared" si="65"/>
        <v/>
      </c>
      <c r="L1560" s="7"/>
      <c r="M1560" s="4"/>
      <c r="N1560" s="7"/>
      <c r="O1560" s="4"/>
      <c r="P1560" s="51"/>
      <c r="Q1560" s="51"/>
      <c r="R1560" s="51"/>
      <c r="S1560" s="7"/>
      <c r="T1560" s="7"/>
    </row>
    <row r="1561" spans="1:20" ht="14.25" customHeight="1">
      <c r="A1561" s="4"/>
      <c r="B1561" s="38">
        <v>14972</v>
      </c>
      <c r="C1561" s="22" t="str">
        <f>IFERROR(VLOOKUP(B1561,Colaboradores!A:D,2,),"")</f>
        <v>JUAN PABLO SOUSA FARIAS</v>
      </c>
      <c r="D1561" s="22" t="str">
        <f>IFERROR(VLOOKUP(B1561,Colaboradores!A:D,3,),"")</f>
        <v>SAÚDE OCUPACIONAL</v>
      </c>
      <c r="E1561" s="22" t="str">
        <f>IFERROR(VLOOKUP(B1561,Colaboradores!A:D,4,),"")</f>
        <v>JOVEM APRENDIZ</v>
      </c>
      <c r="F1561" s="47" t="s">
        <v>32</v>
      </c>
      <c r="G1561" s="24" t="str">
        <f>IFERROR(VLOOKUP(F1561,Procedimentos!A:C,2,),"")</f>
        <v>GESTÃO DE LEVANTAMENTO DE ASPECTOS E IMPACTOS AMBIENTAIS</v>
      </c>
      <c r="H1561" s="25"/>
      <c r="I1561" s="51"/>
      <c r="J1561" s="4"/>
      <c r="K1561" s="25" t="str">
        <f t="shared" si="65"/>
        <v/>
      </c>
      <c r="L1561" s="7"/>
      <c r="M1561" s="4"/>
      <c r="N1561" s="7"/>
      <c r="O1561" s="4"/>
      <c r="P1561" s="51"/>
      <c r="Q1561" s="51"/>
      <c r="R1561" s="51"/>
      <c r="S1561" s="7"/>
      <c r="T1561" s="7"/>
    </row>
    <row r="1562" spans="1:20" ht="14.25" customHeight="1">
      <c r="A1562" s="4"/>
      <c r="B1562" s="38">
        <v>14499</v>
      </c>
      <c r="C1562" s="22" t="str">
        <f>IFERROR(VLOOKUP(B1562,Colaboradores!A:D,2,),"")</f>
        <v>SAMIRIS COSTA DA SILVA</v>
      </c>
      <c r="D1562" s="22" t="str">
        <f>IFERROR(VLOOKUP(B1562,Colaboradores!A:D,3,),"")</f>
        <v>SAÚDE OCUPACIONAL</v>
      </c>
      <c r="E1562" s="22" t="str">
        <f>IFERROR(VLOOKUP(B1562,Colaboradores!A:D,4,),"")</f>
        <v>PSICÓLOGA</v>
      </c>
      <c r="F1562" s="47" t="s">
        <v>32</v>
      </c>
      <c r="G1562" s="24" t="str">
        <f>IFERROR(VLOOKUP(F1562,Procedimentos!A:C,2,),"")</f>
        <v>GESTÃO DE LEVANTAMENTO DE ASPECTOS E IMPACTOS AMBIENTAIS</v>
      </c>
      <c r="H1562" s="25"/>
      <c r="I1562" s="51"/>
      <c r="J1562" s="4"/>
      <c r="K1562" s="25" t="str">
        <f t="shared" si="65"/>
        <v/>
      </c>
      <c r="L1562" s="7"/>
      <c r="M1562" s="4"/>
      <c r="N1562" s="7"/>
      <c r="O1562" s="4"/>
      <c r="P1562" s="51"/>
      <c r="Q1562" s="51"/>
      <c r="R1562" s="51"/>
      <c r="S1562" s="7"/>
      <c r="T1562" s="7"/>
    </row>
    <row r="1563" spans="1:20" ht="14.25" customHeight="1">
      <c r="A1563" s="4"/>
      <c r="B1563" s="38">
        <v>12463</v>
      </c>
      <c r="C1563" s="22" t="str">
        <f>IFERROR(VLOOKUP(B1563,Colaboradores!A:D,2,),"")</f>
        <v>SAMMY RAYANA L. SANTOS</v>
      </c>
      <c r="D1563" s="22" t="str">
        <f>IFERROR(VLOOKUP(B1563,Colaboradores!A:D,3,),"")</f>
        <v>SAÚDE OCUPACIONAL</v>
      </c>
      <c r="E1563" s="22" t="str">
        <f>IFERROR(VLOOKUP(B1563,Colaboradores!A:D,4,),"")</f>
        <v>ASSESSOR(A) DE SERVIÇO SOCIAL</v>
      </c>
      <c r="F1563" s="47" t="s">
        <v>32</v>
      </c>
      <c r="G1563" s="24" t="str">
        <f>IFERROR(VLOOKUP(F1563,Procedimentos!A:C,2,),"")</f>
        <v>GESTÃO DE LEVANTAMENTO DE ASPECTOS E IMPACTOS AMBIENTAIS</v>
      </c>
      <c r="H1563" s="25"/>
      <c r="I1563" s="51"/>
      <c r="J1563" s="4"/>
      <c r="K1563" s="25" t="str">
        <f t="shared" si="65"/>
        <v/>
      </c>
      <c r="L1563" s="7"/>
      <c r="M1563" s="4"/>
      <c r="N1563" s="7"/>
      <c r="O1563" s="4"/>
      <c r="P1563" s="51"/>
      <c r="Q1563" s="51"/>
      <c r="R1563" s="51"/>
      <c r="S1563" s="7"/>
      <c r="T1563" s="7"/>
    </row>
    <row r="1564" spans="1:20" ht="14.25" customHeight="1">
      <c r="A1564" s="4"/>
      <c r="B1564" s="38">
        <v>14962</v>
      </c>
      <c r="C1564" s="22" t="str">
        <f>IFERROR(VLOOKUP(B1564,Colaboradores!A:D,2,),"")</f>
        <v>YASMIN KARINE DE OLIVEIRA SOARES</v>
      </c>
      <c r="D1564" s="22" t="str">
        <f>IFERROR(VLOOKUP(B1564,Colaboradores!A:D,3,),"")</f>
        <v>SAÚDE OCUPACIONAL</v>
      </c>
      <c r="E1564" s="22" t="str">
        <f>IFERROR(VLOOKUP(B1564,Colaboradores!A:D,4,),"")</f>
        <v>JOVEM APRENDIZ</v>
      </c>
      <c r="F1564" s="47" t="s">
        <v>32</v>
      </c>
      <c r="G1564" s="24" t="str">
        <f>IFERROR(VLOOKUP(F1564,Procedimentos!A:C,2,),"")</f>
        <v>GESTÃO DE LEVANTAMENTO DE ASPECTOS E IMPACTOS AMBIENTAIS</v>
      </c>
      <c r="H1564" s="25"/>
      <c r="I1564" s="51"/>
      <c r="J1564" s="4"/>
      <c r="K1564" s="25" t="str">
        <f t="shared" si="65"/>
        <v/>
      </c>
      <c r="L1564" s="7"/>
      <c r="M1564" s="4"/>
      <c r="N1564" s="7"/>
      <c r="O1564" s="4"/>
      <c r="P1564" s="51"/>
      <c r="Q1564" s="51"/>
      <c r="R1564" s="51"/>
      <c r="S1564" s="7"/>
      <c r="T1564" s="7"/>
    </row>
    <row r="1565" spans="1:20" ht="14.25" customHeight="1">
      <c r="A1565" s="4"/>
      <c r="B1565" s="38">
        <v>24306</v>
      </c>
      <c r="C1565" s="22" t="str">
        <f>IFERROR(VLOOKUP(B1565,Colaboradores!A:D,2,),"")</f>
        <v>ANNA MARIA ARAUJO PIORSKI</v>
      </c>
      <c r="D1565" s="22" t="str">
        <f>IFERROR(VLOOKUP(B1565,Colaboradores!A:D,3,),"")</f>
        <v>SAÚDE OCUPACIONAL</v>
      </c>
      <c r="E1565" s="22" t="str">
        <f>IFERROR(VLOOKUP(B1565,Colaboradores!A:D,4,),"")</f>
        <v>ASSESSOR(A) DE NUTRIÇÃO</v>
      </c>
      <c r="F1565" s="47" t="s">
        <v>31</v>
      </c>
      <c r="G1565" s="24" t="str">
        <f>IFERROR(VLOOKUP(F1565,Procedimentos!A:C,2,),"")</f>
        <v>GESTÃO DE COMUNICAÇÃO, CLASSIFICAÇÃO E INVESTIGAÇÃO DE OCORRÊNCIAS AMBIENTAIS</v>
      </c>
      <c r="H1565" s="25"/>
      <c r="I1565" s="51"/>
      <c r="J1565" s="4"/>
      <c r="K1565" s="25" t="str">
        <f t="shared" si="65"/>
        <v/>
      </c>
      <c r="L1565" s="7"/>
      <c r="M1565" s="4"/>
      <c r="N1565" s="7"/>
      <c r="O1565" s="4"/>
      <c r="P1565" s="51"/>
      <c r="Q1565" s="51"/>
      <c r="R1565" s="51"/>
      <c r="S1565" s="7"/>
      <c r="T1565" s="7"/>
    </row>
    <row r="1566" spans="1:20" ht="14.25" customHeight="1">
      <c r="A1566" s="4"/>
      <c r="B1566" s="38">
        <v>12330</v>
      </c>
      <c r="C1566" s="22" t="str">
        <f>IFERROR(VLOOKUP(B1566,Colaboradores!A:D,2,),"")</f>
        <v>BIANCA GUEDES SILVA ALMEIDA</v>
      </c>
      <c r="D1566" s="22" t="str">
        <f>IFERROR(VLOOKUP(B1566,Colaboradores!A:D,3,),"")</f>
        <v>SAÚDE OCUPACIONAL</v>
      </c>
      <c r="E1566" s="22" t="str">
        <f>IFERROR(VLOOKUP(B1566,Colaboradores!A:D,4,),"")</f>
        <v>NUTRICIONISTA</v>
      </c>
      <c r="F1566" s="47" t="s">
        <v>31</v>
      </c>
      <c r="G1566" s="24" t="str">
        <f>IFERROR(VLOOKUP(F1566,Procedimentos!A:C,2,),"")</f>
        <v>GESTÃO DE COMUNICAÇÃO, CLASSIFICAÇÃO E INVESTIGAÇÃO DE OCORRÊNCIAS AMBIENTAIS</v>
      </c>
      <c r="H1566" s="25"/>
      <c r="I1566" s="51"/>
      <c r="J1566" s="4"/>
      <c r="K1566" s="25" t="str">
        <f t="shared" si="65"/>
        <v/>
      </c>
      <c r="L1566" s="7"/>
      <c r="M1566" s="4"/>
      <c r="N1566" s="7"/>
      <c r="O1566" s="4"/>
      <c r="P1566" s="51"/>
      <c r="Q1566" s="51"/>
      <c r="R1566" s="51"/>
      <c r="S1566" s="7"/>
      <c r="T1566" s="7"/>
    </row>
    <row r="1567" spans="1:20" ht="14.25" customHeight="1">
      <c r="A1567" s="4"/>
      <c r="B1567" s="38">
        <v>14990</v>
      </c>
      <c r="C1567" s="22" t="str">
        <f>IFERROR(VLOOKUP(B1567,Colaboradores!A:D,2,),"")</f>
        <v>DAVID DE JESUS PEREIRA FONSECA</v>
      </c>
      <c r="D1567" s="22" t="str">
        <f>IFERROR(VLOOKUP(B1567,Colaboradores!A:D,3,),"")</f>
        <v>SAÚDE OCUPACIONAL</v>
      </c>
      <c r="E1567" s="22" t="str">
        <f>IFERROR(VLOOKUP(B1567,Colaboradores!A:D,4,),"")</f>
        <v>JOVEM APRENDIZ</v>
      </c>
      <c r="F1567" s="47" t="s">
        <v>31</v>
      </c>
      <c r="G1567" s="24" t="str">
        <f>IFERROR(VLOOKUP(F1567,Procedimentos!A:C,2,),"")</f>
        <v>GESTÃO DE COMUNICAÇÃO, CLASSIFICAÇÃO E INVESTIGAÇÃO DE OCORRÊNCIAS AMBIENTAIS</v>
      </c>
      <c r="H1567" s="25"/>
      <c r="I1567" s="51"/>
      <c r="J1567" s="4"/>
      <c r="K1567" s="25" t="str">
        <f t="shared" si="65"/>
        <v/>
      </c>
      <c r="L1567" s="7"/>
      <c r="M1567" s="4"/>
      <c r="N1567" s="7"/>
      <c r="O1567" s="4"/>
      <c r="P1567" s="51"/>
      <c r="Q1567" s="51"/>
      <c r="R1567" s="51"/>
      <c r="S1567" s="7"/>
      <c r="T1567" s="7"/>
    </row>
    <row r="1568" spans="1:20" ht="14.25" customHeight="1">
      <c r="A1568" s="4"/>
      <c r="B1568" s="38">
        <v>9058</v>
      </c>
      <c r="C1568" s="22" t="str">
        <f>IFERROR(VLOOKUP(B1568,Colaboradores!A:D,2,),"")</f>
        <v>DENISE CRISTRINA CASTRO</v>
      </c>
      <c r="D1568" s="22" t="str">
        <f>IFERROR(VLOOKUP(B1568,Colaboradores!A:D,3,),"")</f>
        <v>SAÚDE OCUPACIONAL</v>
      </c>
      <c r="E1568" s="22" t="str">
        <f>IFERROR(VLOOKUP(B1568,Colaboradores!A:D,4,),"")</f>
        <v>ASSESSOR(A) DE SERVIÇO SOCIAL</v>
      </c>
      <c r="F1568" s="47" t="s">
        <v>31</v>
      </c>
      <c r="G1568" s="24" t="str">
        <f>IFERROR(VLOOKUP(F1568,Procedimentos!A:C,2,),"")</f>
        <v>GESTÃO DE COMUNICAÇÃO, CLASSIFICAÇÃO E INVESTIGAÇÃO DE OCORRÊNCIAS AMBIENTAIS</v>
      </c>
      <c r="H1568" s="25"/>
      <c r="I1568" s="51"/>
      <c r="J1568" s="4"/>
      <c r="K1568" s="25" t="str">
        <f t="shared" si="65"/>
        <v/>
      </c>
      <c r="L1568" s="7"/>
      <c r="M1568" s="4"/>
      <c r="N1568" s="7"/>
      <c r="O1568" s="4"/>
      <c r="P1568" s="51"/>
      <c r="Q1568" s="51"/>
      <c r="R1568" s="51"/>
      <c r="S1568" s="7"/>
      <c r="T1568" s="7"/>
    </row>
    <row r="1569" spans="1:20" ht="14.25" customHeight="1">
      <c r="A1569" s="4"/>
      <c r="B1569" s="38">
        <v>8111</v>
      </c>
      <c r="C1569" s="22" t="str">
        <f>IFERROR(VLOOKUP(B1569,Colaboradores!A:D,2,),"")</f>
        <v>FABIANA SILVA COSTA</v>
      </c>
      <c r="D1569" s="22" t="str">
        <f>IFERROR(VLOOKUP(B1569,Colaboradores!A:D,3,),"")</f>
        <v>SAÚDE OCUPACIONAL</v>
      </c>
      <c r="E1569" s="22" t="str">
        <f>IFERROR(VLOOKUP(B1569,Colaboradores!A:D,4,),"")</f>
        <v>ASSESSOR(A) DE FISIOTERAPIA</v>
      </c>
      <c r="F1569" s="47" t="s">
        <v>31</v>
      </c>
      <c r="G1569" s="24" t="str">
        <f>IFERROR(VLOOKUP(F1569,Procedimentos!A:C,2,),"")</f>
        <v>GESTÃO DE COMUNICAÇÃO, CLASSIFICAÇÃO E INVESTIGAÇÃO DE OCORRÊNCIAS AMBIENTAIS</v>
      </c>
      <c r="H1569" s="25"/>
      <c r="I1569" s="51"/>
      <c r="J1569" s="4"/>
      <c r="K1569" s="25" t="str">
        <f t="shared" si="65"/>
        <v/>
      </c>
      <c r="L1569" s="7"/>
      <c r="M1569" s="4"/>
      <c r="N1569" s="7"/>
      <c r="O1569" s="4"/>
      <c r="P1569" s="51"/>
      <c r="Q1569" s="51"/>
      <c r="R1569" s="51"/>
      <c r="S1569" s="7"/>
      <c r="T1569" s="7"/>
    </row>
    <row r="1570" spans="1:20" ht="14.25" customHeight="1">
      <c r="A1570" s="4"/>
      <c r="B1570" s="38">
        <v>14972</v>
      </c>
      <c r="C1570" s="22" t="str">
        <f>IFERROR(VLOOKUP(B1570,Colaboradores!A:D,2,),"")</f>
        <v>JUAN PABLO SOUSA FARIAS</v>
      </c>
      <c r="D1570" s="22" t="str">
        <f>IFERROR(VLOOKUP(B1570,Colaboradores!A:D,3,),"")</f>
        <v>SAÚDE OCUPACIONAL</v>
      </c>
      <c r="E1570" s="22" t="str">
        <f>IFERROR(VLOOKUP(B1570,Colaboradores!A:D,4,),"")</f>
        <v>JOVEM APRENDIZ</v>
      </c>
      <c r="F1570" s="47" t="s">
        <v>31</v>
      </c>
      <c r="G1570" s="24" t="str">
        <f>IFERROR(VLOOKUP(F1570,Procedimentos!A:C,2,),"")</f>
        <v>GESTÃO DE COMUNICAÇÃO, CLASSIFICAÇÃO E INVESTIGAÇÃO DE OCORRÊNCIAS AMBIENTAIS</v>
      </c>
      <c r="H1570" s="25"/>
      <c r="I1570" s="51"/>
      <c r="J1570" s="4"/>
      <c r="K1570" s="25" t="str">
        <f t="shared" si="65"/>
        <v/>
      </c>
      <c r="L1570" s="7"/>
      <c r="M1570" s="4"/>
      <c r="N1570" s="7"/>
      <c r="O1570" s="4"/>
      <c r="P1570" s="51"/>
      <c r="Q1570" s="51"/>
      <c r="R1570" s="51"/>
      <c r="S1570" s="7"/>
      <c r="T1570" s="7"/>
    </row>
    <row r="1571" spans="1:20" ht="14.25" customHeight="1">
      <c r="A1571" s="4"/>
      <c r="B1571" s="38">
        <v>14499</v>
      </c>
      <c r="C1571" s="22" t="str">
        <f>IFERROR(VLOOKUP(B1571,Colaboradores!A:D,2,),"")</f>
        <v>SAMIRIS COSTA DA SILVA</v>
      </c>
      <c r="D1571" s="22" t="str">
        <f>IFERROR(VLOOKUP(B1571,Colaboradores!A:D,3,),"")</f>
        <v>SAÚDE OCUPACIONAL</v>
      </c>
      <c r="E1571" s="22" t="str">
        <f>IFERROR(VLOOKUP(B1571,Colaboradores!A:D,4,),"")</f>
        <v>PSICÓLOGA</v>
      </c>
      <c r="F1571" s="47" t="s">
        <v>31</v>
      </c>
      <c r="G1571" s="24" t="str">
        <f>IFERROR(VLOOKUP(F1571,Procedimentos!A:C,2,),"")</f>
        <v>GESTÃO DE COMUNICAÇÃO, CLASSIFICAÇÃO E INVESTIGAÇÃO DE OCORRÊNCIAS AMBIENTAIS</v>
      </c>
      <c r="H1571" s="25"/>
      <c r="I1571" s="51"/>
      <c r="J1571" s="4"/>
      <c r="K1571" s="25" t="str">
        <f t="shared" si="65"/>
        <v/>
      </c>
      <c r="L1571" s="7"/>
      <c r="M1571" s="4"/>
      <c r="N1571" s="7"/>
      <c r="O1571" s="4"/>
      <c r="P1571" s="51"/>
      <c r="Q1571" s="51"/>
      <c r="R1571" s="51"/>
      <c r="S1571" s="7"/>
      <c r="T1571" s="7"/>
    </row>
    <row r="1572" spans="1:20" ht="14.25" customHeight="1">
      <c r="A1572" s="4"/>
      <c r="B1572" s="38">
        <v>12463</v>
      </c>
      <c r="C1572" s="22" t="str">
        <f>IFERROR(VLOOKUP(B1572,Colaboradores!A:D,2,),"")</f>
        <v>SAMMY RAYANA L. SANTOS</v>
      </c>
      <c r="D1572" s="22" t="str">
        <f>IFERROR(VLOOKUP(B1572,Colaboradores!A:D,3,),"")</f>
        <v>SAÚDE OCUPACIONAL</v>
      </c>
      <c r="E1572" s="22" t="str">
        <f>IFERROR(VLOOKUP(B1572,Colaboradores!A:D,4,),"")</f>
        <v>ASSESSOR(A) DE SERVIÇO SOCIAL</v>
      </c>
      <c r="F1572" s="47" t="s">
        <v>31</v>
      </c>
      <c r="G1572" s="24" t="str">
        <f>IFERROR(VLOOKUP(F1572,Procedimentos!A:C,2,),"")</f>
        <v>GESTÃO DE COMUNICAÇÃO, CLASSIFICAÇÃO E INVESTIGAÇÃO DE OCORRÊNCIAS AMBIENTAIS</v>
      </c>
      <c r="H1572" s="25"/>
      <c r="I1572" s="51"/>
      <c r="J1572" s="4"/>
      <c r="K1572" s="25" t="str">
        <f t="shared" si="65"/>
        <v/>
      </c>
      <c r="L1572" s="7"/>
      <c r="M1572" s="4"/>
      <c r="N1572" s="7"/>
      <c r="O1572" s="4"/>
      <c r="P1572" s="51"/>
      <c r="Q1572" s="51"/>
      <c r="R1572" s="51"/>
      <c r="S1572" s="7"/>
      <c r="T1572" s="7"/>
    </row>
    <row r="1573" spans="1:20" ht="14.25" customHeight="1">
      <c r="A1573" s="4"/>
      <c r="B1573" s="38">
        <v>14962</v>
      </c>
      <c r="C1573" s="22" t="str">
        <f>IFERROR(VLOOKUP(B1573,Colaboradores!A:D,2,),"")</f>
        <v>YASMIN KARINE DE OLIVEIRA SOARES</v>
      </c>
      <c r="D1573" s="22" t="str">
        <f>IFERROR(VLOOKUP(B1573,Colaboradores!A:D,3,),"")</f>
        <v>SAÚDE OCUPACIONAL</v>
      </c>
      <c r="E1573" s="22" t="str">
        <f>IFERROR(VLOOKUP(B1573,Colaboradores!A:D,4,),"")</f>
        <v>JOVEM APRENDIZ</v>
      </c>
      <c r="F1573" s="47" t="s">
        <v>31</v>
      </c>
      <c r="G1573" s="24" t="str">
        <f>IFERROR(VLOOKUP(F1573,Procedimentos!A:C,2,),"")</f>
        <v>GESTÃO DE COMUNICAÇÃO, CLASSIFICAÇÃO E INVESTIGAÇÃO DE OCORRÊNCIAS AMBIENTAIS</v>
      </c>
      <c r="H1573" s="25"/>
      <c r="I1573" s="51"/>
      <c r="J1573" s="4"/>
      <c r="K1573" s="25" t="str">
        <f t="shared" si="65"/>
        <v/>
      </c>
      <c r="L1573" s="7"/>
      <c r="M1573" s="4"/>
      <c r="N1573" s="7"/>
      <c r="O1573" s="4"/>
      <c r="P1573" s="51"/>
      <c r="Q1573" s="51"/>
      <c r="R1573" s="51"/>
      <c r="S1573" s="7"/>
      <c r="T1573" s="7"/>
    </row>
    <row r="1574" spans="1:20" ht="14.25" customHeight="1">
      <c r="A1574" s="4"/>
      <c r="B1574" s="38">
        <v>24306</v>
      </c>
      <c r="C1574" s="22" t="str">
        <f>IFERROR(VLOOKUP(B1574,Colaboradores!A:D,2,),"")</f>
        <v>ANNA MARIA ARAUJO PIORSKI</v>
      </c>
      <c r="D1574" s="22" t="str">
        <f>IFERROR(VLOOKUP(B1574,Colaboradores!A:D,3,),"")</f>
        <v>SAÚDE OCUPACIONAL</v>
      </c>
      <c r="E1574" s="22" t="str">
        <f>IFERROR(VLOOKUP(B1574,Colaboradores!A:D,4,),"")</f>
        <v>ASSESSOR(A) DE NUTRIÇÃO</v>
      </c>
      <c r="F1574" s="47" t="s">
        <v>33</v>
      </c>
      <c r="G1574" s="24" t="str">
        <f>IFERROR(VLOOKUP(F1574,Procedimentos!A:C,2,),"")</f>
        <v>GESTÃO DE INSPEÇÕES AMBIENTAIS</v>
      </c>
      <c r="H1574" s="25"/>
      <c r="I1574" s="51"/>
      <c r="J1574" s="4"/>
      <c r="K1574" s="25" t="str">
        <f t="shared" si="65"/>
        <v/>
      </c>
      <c r="L1574" s="7"/>
      <c r="M1574" s="4"/>
      <c r="N1574" s="7"/>
      <c r="O1574" s="4"/>
      <c r="P1574" s="51"/>
      <c r="Q1574" s="51"/>
      <c r="R1574" s="51"/>
      <c r="S1574" s="7"/>
      <c r="T1574" s="7"/>
    </row>
    <row r="1575" spans="1:20" ht="14.25" customHeight="1">
      <c r="A1575" s="4"/>
      <c r="B1575" s="38">
        <v>12330</v>
      </c>
      <c r="C1575" s="22" t="str">
        <f>IFERROR(VLOOKUP(B1575,Colaboradores!A:D,2,),"")</f>
        <v>BIANCA GUEDES SILVA ALMEIDA</v>
      </c>
      <c r="D1575" s="22" t="str">
        <f>IFERROR(VLOOKUP(B1575,Colaboradores!A:D,3,),"")</f>
        <v>SAÚDE OCUPACIONAL</v>
      </c>
      <c r="E1575" s="22" t="str">
        <f>IFERROR(VLOOKUP(B1575,Colaboradores!A:D,4,),"")</f>
        <v>NUTRICIONISTA</v>
      </c>
      <c r="F1575" s="47" t="s">
        <v>33</v>
      </c>
      <c r="G1575" s="24" t="str">
        <f>IFERROR(VLOOKUP(F1575,Procedimentos!A:C,2,),"")</f>
        <v>GESTÃO DE INSPEÇÕES AMBIENTAIS</v>
      </c>
      <c r="H1575" s="25"/>
      <c r="I1575" s="51"/>
      <c r="J1575" s="4"/>
      <c r="K1575" s="25" t="str">
        <f t="shared" si="65"/>
        <v/>
      </c>
      <c r="L1575" s="7"/>
      <c r="M1575" s="4"/>
      <c r="N1575" s="7"/>
      <c r="O1575" s="4"/>
      <c r="P1575" s="51"/>
      <c r="Q1575" s="51"/>
      <c r="R1575" s="51"/>
      <c r="S1575" s="7"/>
      <c r="T1575" s="7"/>
    </row>
    <row r="1576" spans="1:20" ht="14.25" customHeight="1">
      <c r="A1576" s="4"/>
      <c r="B1576" s="38">
        <v>14990</v>
      </c>
      <c r="C1576" s="22" t="str">
        <f>IFERROR(VLOOKUP(B1576,Colaboradores!A:D,2,),"")</f>
        <v>DAVID DE JESUS PEREIRA FONSECA</v>
      </c>
      <c r="D1576" s="22" t="str">
        <f>IFERROR(VLOOKUP(B1576,Colaboradores!A:D,3,),"")</f>
        <v>SAÚDE OCUPACIONAL</v>
      </c>
      <c r="E1576" s="22" t="str">
        <f>IFERROR(VLOOKUP(B1576,Colaboradores!A:D,4,),"")</f>
        <v>JOVEM APRENDIZ</v>
      </c>
      <c r="F1576" s="47" t="s">
        <v>33</v>
      </c>
      <c r="G1576" s="24" t="str">
        <f>IFERROR(VLOOKUP(F1576,Procedimentos!A:C,2,),"")</f>
        <v>GESTÃO DE INSPEÇÕES AMBIENTAIS</v>
      </c>
      <c r="H1576" s="25"/>
      <c r="I1576" s="51"/>
      <c r="J1576" s="4"/>
      <c r="K1576" s="25" t="str">
        <f t="shared" si="65"/>
        <v/>
      </c>
      <c r="L1576" s="7"/>
      <c r="M1576" s="4"/>
      <c r="N1576" s="7"/>
      <c r="O1576" s="4"/>
      <c r="P1576" s="51"/>
      <c r="Q1576" s="51"/>
      <c r="R1576" s="51"/>
      <c r="S1576" s="7"/>
      <c r="T1576" s="7"/>
    </row>
    <row r="1577" spans="1:20" ht="14.25" customHeight="1">
      <c r="A1577" s="4"/>
      <c r="B1577" s="38">
        <v>9058</v>
      </c>
      <c r="C1577" s="22" t="str">
        <f>IFERROR(VLOOKUP(B1577,Colaboradores!A:D,2,),"")</f>
        <v>DENISE CRISTRINA CASTRO</v>
      </c>
      <c r="D1577" s="22" t="str">
        <f>IFERROR(VLOOKUP(B1577,Colaboradores!A:D,3,),"")</f>
        <v>SAÚDE OCUPACIONAL</v>
      </c>
      <c r="E1577" s="22" t="str">
        <f>IFERROR(VLOOKUP(B1577,Colaboradores!A:D,4,),"")</f>
        <v>ASSESSOR(A) DE SERVIÇO SOCIAL</v>
      </c>
      <c r="F1577" s="47" t="s">
        <v>33</v>
      </c>
      <c r="G1577" s="24" t="str">
        <f>IFERROR(VLOOKUP(F1577,Procedimentos!A:C,2,),"")</f>
        <v>GESTÃO DE INSPEÇÕES AMBIENTAIS</v>
      </c>
      <c r="H1577" s="25"/>
      <c r="I1577" s="51"/>
      <c r="J1577" s="4"/>
      <c r="K1577" s="25" t="str">
        <f t="shared" si="65"/>
        <v/>
      </c>
      <c r="L1577" s="7"/>
      <c r="M1577" s="4"/>
      <c r="N1577" s="7"/>
      <c r="O1577" s="4"/>
      <c r="P1577" s="51"/>
      <c r="Q1577" s="51"/>
      <c r="R1577" s="51"/>
      <c r="S1577" s="7"/>
      <c r="T1577" s="7"/>
    </row>
    <row r="1578" spans="1:20" ht="14.25" customHeight="1">
      <c r="A1578" s="4"/>
      <c r="B1578" s="38">
        <v>8111</v>
      </c>
      <c r="C1578" s="22" t="str">
        <f>IFERROR(VLOOKUP(B1578,Colaboradores!A:D,2,),"")</f>
        <v>FABIANA SILVA COSTA</v>
      </c>
      <c r="D1578" s="22" t="str">
        <f>IFERROR(VLOOKUP(B1578,Colaboradores!A:D,3,),"")</f>
        <v>SAÚDE OCUPACIONAL</v>
      </c>
      <c r="E1578" s="22" t="str">
        <f>IFERROR(VLOOKUP(B1578,Colaboradores!A:D,4,),"")</f>
        <v>ASSESSOR(A) DE FISIOTERAPIA</v>
      </c>
      <c r="F1578" s="47" t="s">
        <v>33</v>
      </c>
      <c r="G1578" s="24" t="str">
        <f>IFERROR(VLOOKUP(F1578,Procedimentos!A:C,2,),"")</f>
        <v>GESTÃO DE INSPEÇÕES AMBIENTAIS</v>
      </c>
      <c r="H1578" s="25"/>
      <c r="I1578" s="51"/>
      <c r="J1578" s="4"/>
      <c r="K1578" s="25" t="str">
        <f t="shared" si="65"/>
        <v/>
      </c>
      <c r="L1578" s="7"/>
      <c r="M1578" s="4"/>
      <c r="N1578" s="7"/>
      <c r="O1578" s="4"/>
      <c r="P1578" s="51"/>
      <c r="Q1578" s="51"/>
      <c r="R1578" s="51"/>
      <c r="S1578" s="7"/>
      <c r="T1578" s="7"/>
    </row>
    <row r="1579" spans="1:20" ht="14.25" customHeight="1">
      <c r="A1579" s="4"/>
      <c r="B1579" s="38">
        <v>14972</v>
      </c>
      <c r="C1579" s="22" t="str">
        <f>IFERROR(VLOOKUP(B1579,Colaboradores!A:D,2,),"")</f>
        <v>JUAN PABLO SOUSA FARIAS</v>
      </c>
      <c r="D1579" s="22" t="str">
        <f>IFERROR(VLOOKUP(B1579,Colaboradores!A:D,3,),"")</f>
        <v>SAÚDE OCUPACIONAL</v>
      </c>
      <c r="E1579" s="22" t="str">
        <f>IFERROR(VLOOKUP(B1579,Colaboradores!A:D,4,),"")</f>
        <v>JOVEM APRENDIZ</v>
      </c>
      <c r="F1579" s="47" t="s">
        <v>33</v>
      </c>
      <c r="G1579" s="24" t="str">
        <f>IFERROR(VLOOKUP(F1579,Procedimentos!A:C,2,),"")</f>
        <v>GESTÃO DE INSPEÇÕES AMBIENTAIS</v>
      </c>
      <c r="H1579" s="25"/>
      <c r="I1579" s="51"/>
      <c r="J1579" s="4"/>
      <c r="K1579" s="25" t="str">
        <f t="shared" si="65"/>
        <v/>
      </c>
      <c r="L1579" s="7"/>
      <c r="M1579" s="4"/>
      <c r="N1579" s="7"/>
      <c r="O1579" s="4"/>
      <c r="P1579" s="51"/>
      <c r="Q1579" s="51"/>
      <c r="R1579" s="51"/>
      <c r="S1579" s="7"/>
      <c r="T1579" s="7"/>
    </row>
    <row r="1580" spans="1:20" ht="14.25" customHeight="1">
      <c r="A1580" s="4"/>
      <c r="B1580" s="38">
        <v>14499</v>
      </c>
      <c r="C1580" s="22" t="str">
        <f>IFERROR(VLOOKUP(B1580,Colaboradores!A:D,2,),"")</f>
        <v>SAMIRIS COSTA DA SILVA</v>
      </c>
      <c r="D1580" s="22" t="str">
        <f>IFERROR(VLOOKUP(B1580,Colaboradores!A:D,3,),"")</f>
        <v>SAÚDE OCUPACIONAL</v>
      </c>
      <c r="E1580" s="22" t="str">
        <f>IFERROR(VLOOKUP(B1580,Colaboradores!A:D,4,),"")</f>
        <v>PSICÓLOGA</v>
      </c>
      <c r="F1580" s="47" t="s">
        <v>33</v>
      </c>
      <c r="G1580" s="24" t="str">
        <f>IFERROR(VLOOKUP(F1580,Procedimentos!A:C,2,),"")</f>
        <v>GESTÃO DE INSPEÇÕES AMBIENTAIS</v>
      </c>
      <c r="H1580" s="25"/>
      <c r="I1580" s="51"/>
      <c r="J1580" s="4"/>
      <c r="K1580" s="25" t="str">
        <f t="shared" si="65"/>
        <v/>
      </c>
      <c r="L1580" s="7"/>
      <c r="M1580" s="4"/>
      <c r="N1580" s="7"/>
      <c r="O1580" s="4"/>
      <c r="P1580" s="51"/>
      <c r="Q1580" s="51"/>
      <c r="R1580" s="51"/>
      <c r="S1580" s="7"/>
      <c r="T1580" s="7"/>
    </row>
    <row r="1581" spans="1:20" ht="14.25" customHeight="1">
      <c r="A1581" s="4"/>
      <c r="B1581" s="38">
        <v>12463</v>
      </c>
      <c r="C1581" s="22" t="str">
        <f>IFERROR(VLOOKUP(B1581,Colaboradores!A:D,2,),"")</f>
        <v>SAMMY RAYANA L. SANTOS</v>
      </c>
      <c r="D1581" s="22" t="str">
        <f>IFERROR(VLOOKUP(B1581,Colaboradores!A:D,3,),"")</f>
        <v>SAÚDE OCUPACIONAL</v>
      </c>
      <c r="E1581" s="22" t="str">
        <f>IFERROR(VLOOKUP(B1581,Colaboradores!A:D,4,),"")</f>
        <v>ASSESSOR(A) DE SERVIÇO SOCIAL</v>
      </c>
      <c r="F1581" s="47" t="s">
        <v>33</v>
      </c>
      <c r="G1581" s="24" t="str">
        <f>IFERROR(VLOOKUP(F1581,Procedimentos!A:C,2,),"")</f>
        <v>GESTÃO DE INSPEÇÕES AMBIENTAIS</v>
      </c>
      <c r="H1581" s="25"/>
      <c r="I1581" s="51"/>
      <c r="J1581" s="4"/>
      <c r="K1581" s="25" t="str">
        <f t="shared" si="65"/>
        <v/>
      </c>
      <c r="L1581" s="7"/>
      <c r="M1581" s="4"/>
      <c r="N1581" s="7"/>
      <c r="O1581" s="4"/>
      <c r="P1581" s="51"/>
      <c r="Q1581" s="51"/>
      <c r="R1581" s="51"/>
      <c r="S1581" s="7"/>
      <c r="T1581" s="7"/>
    </row>
    <row r="1582" spans="1:20" ht="14.25" customHeight="1">
      <c r="A1582" s="4"/>
      <c r="B1582" s="38">
        <v>14962</v>
      </c>
      <c r="C1582" s="22" t="str">
        <f>IFERROR(VLOOKUP(B1582,Colaboradores!A:D,2,),"")</f>
        <v>YASMIN KARINE DE OLIVEIRA SOARES</v>
      </c>
      <c r="D1582" s="22" t="str">
        <f>IFERROR(VLOOKUP(B1582,Colaboradores!A:D,3,),"")</f>
        <v>SAÚDE OCUPACIONAL</v>
      </c>
      <c r="E1582" s="22" t="str">
        <f>IFERROR(VLOOKUP(B1582,Colaboradores!A:D,4,),"")</f>
        <v>JOVEM APRENDIZ</v>
      </c>
      <c r="F1582" s="47" t="s">
        <v>33</v>
      </c>
      <c r="G1582" s="24" t="str">
        <f>IFERROR(VLOOKUP(F1582,Procedimentos!A:C,2,),"")</f>
        <v>GESTÃO DE INSPEÇÕES AMBIENTAIS</v>
      </c>
      <c r="H1582" s="25"/>
      <c r="I1582" s="51"/>
      <c r="J1582" s="4"/>
      <c r="K1582" s="25" t="str">
        <f t="shared" si="65"/>
        <v/>
      </c>
      <c r="L1582" s="7"/>
      <c r="M1582" s="4"/>
      <c r="N1582" s="7"/>
      <c r="O1582" s="4"/>
      <c r="P1582" s="51"/>
      <c r="Q1582" s="51"/>
      <c r="R1582" s="51"/>
      <c r="S1582" s="7"/>
      <c r="T1582" s="7"/>
    </row>
    <row r="1583" spans="1:20" ht="14.25" customHeight="1">
      <c r="A1583" s="4"/>
      <c r="B1583" s="38">
        <v>24306</v>
      </c>
      <c r="C1583" s="22" t="str">
        <f>IFERROR(VLOOKUP(B1583,Colaboradores!A:D,2,),"")</f>
        <v>ANNA MARIA ARAUJO PIORSKI</v>
      </c>
      <c r="D1583" s="22" t="str">
        <f>IFERROR(VLOOKUP(B1583,Colaboradores!A:D,3,),"")</f>
        <v>SAÚDE OCUPACIONAL</v>
      </c>
      <c r="E1583" s="22" t="str">
        <f>IFERROR(VLOOKUP(B1583,Colaboradores!A:D,4,),"")</f>
        <v>ASSESSOR(A) DE NUTRIÇÃO</v>
      </c>
      <c r="F1583" s="47" t="s">
        <v>49</v>
      </c>
      <c r="G1583" s="24" t="str">
        <f>IFERROR(VLOOKUP(F1583,Procedimentos!A:C,2,),"")</f>
        <v>DIRETRIZES PARA REALIZAÇÃO DE EXAMES OCUPACIONAIS</v>
      </c>
      <c r="H1583" s="25"/>
      <c r="I1583" s="51"/>
      <c r="J1583" s="4"/>
      <c r="K1583" s="25" t="str">
        <f t="shared" si="65"/>
        <v/>
      </c>
      <c r="L1583" s="7"/>
      <c r="M1583" s="4"/>
      <c r="N1583" s="7"/>
      <c r="O1583" s="4"/>
      <c r="P1583" s="51"/>
      <c r="Q1583" s="51"/>
      <c r="R1583" s="51"/>
      <c r="S1583" s="7"/>
      <c r="T1583" s="7"/>
    </row>
    <row r="1584" spans="1:20" ht="14.25" customHeight="1">
      <c r="A1584" s="4"/>
      <c r="B1584" s="38">
        <v>12330</v>
      </c>
      <c r="C1584" s="22" t="str">
        <f>IFERROR(VLOOKUP(B1584,Colaboradores!A:D,2,),"")</f>
        <v>BIANCA GUEDES SILVA ALMEIDA</v>
      </c>
      <c r="D1584" s="22" t="str">
        <f>IFERROR(VLOOKUP(B1584,Colaboradores!A:D,3,),"")</f>
        <v>SAÚDE OCUPACIONAL</v>
      </c>
      <c r="E1584" s="22" t="str">
        <f>IFERROR(VLOOKUP(B1584,Colaboradores!A:D,4,),"")</f>
        <v>NUTRICIONISTA</v>
      </c>
      <c r="F1584" s="47" t="s">
        <v>49</v>
      </c>
      <c r="G1584" s="24" t="str">
        <f>IFERROR(VLOOKUP(F1584,Procedimentos!A:C,2,),"")</f>
        <v>DIRETRIZES PARA REALIZAÇÃO DE EXAMES OCUPACIONAIS</v>
      </c>
      <c r="H1584" s="25"/>
      <c r="I1584" s="51"/>
      <c r="J1584" s="4"/>
      <c r="K1584" s="25" t="str">
        <f t="shared" si="65"/>
        <v/>
      </c>
      <c r="L1584" s="7"/>
      <c r="M1584" s="4"/>
      <c r="N1584" s="7"/>
      <c r="O1584" s="4"/>
      <c r="P1584" s="51"/>
      <c r="Q1584" s="51"/>
      <c r="R1584" s="51"/>
      <c r="S1584" s="7"/>
      <c r="T1584" s="7"/>
    </row>
    <row r="1585" spans="1:20" ht="14.25" customHeight="1">
      <c r="A1585" s="4"/>
      <c r="B1585" s="38">
        <v>14990</v>
      </c>
      <c r="C1585" s="22" t="str">
        <f>IFERROR(VLOOKUP(B1585,Colaboradores!A:D,2,),"")</f>
        <v>DAVID DE JESUS PEREIRA FONSECA</v>
      </c>
      <c r="D1585" s="22" t="str">
        <f>IFERROR(VLOOKUP(B1585,Colaboradores!A:D,3,),"")</f>
        <v>SAÚDE OCUPACIONAL</v>
      </c>
      <c r="E1585" s="22" t="str">
        <f>IFERROR(VLOOKUP(B1585,Colaboradores!A:D,4,),"")</f>
        <v>JOVEM APRENDIZ</v>
      </c>
      <c r="F1585" s="47" t="s">
        <v>49</v>
      </c>
      <c r="G1585" s="24" t="str">
        <f>IFERROR(VLOOKUP(F1585,Procedimentos!A:C,2,),"")</f>
        <v>DIRETRIZES PARA REALIZAÇÃO DE EXAMES OCUPACIONAIS</v>
      </c>
      <c r="H1585" s="25"/>
      <c r="I1585" s="51"/>
      <c r="J1585" s="4"/>
      <c r="K1585" s="25" t="str">
        <f t="shared" si="65"/>
        <v/>
      </c>
      <c r="L1585" s="7"/>
      <c r="M1585" s="4"/>
      <c r="N1585" s="7"/>
      <c r="O1585" s="4"/>
      <c r="P1585" s="51"/>
      <c r="Q1585" s="51"/>
      <c r="R1585" s="51"/>
      <c r="S1585" s="7"/>
      <c r="T1585" s="7"/>
    </row>
    <row r="1586" spans="1:20" ht="14.25" customHeight="1">
      <c r="A1586" s="4"/>
      <c r="B1586" s="38">
        <v>9058</v>
      </c>
      <c r="C1586" s="22" t="str">
        <f>IFERROR(VLOOKUP(B1586,Colaboradores!A:D,2,),"")</f>
        <v>DENISE CRISTRINA CASTRO</v>
      </c>
      <c r="D1586" s="22" t="str">
        <f>IFERROR(VLOOKUP(B1586,Colaboradores!A:D,3,),"")</f>
        <v>SAÚDE OCUPACIONAL</v>
      </c>
      <c r="E1586" s="22" t="str">
        <f>IFERROR(VLOOKUP(B1586,Colaboradores!A:D,4,),"")</f>
        <v>ASSESSOR(A) DE SERVIÇO SOCIAL</v>
      </c>
      <c r="F1586" s="47" t="s">
        <v>49</v>
      </c>
      <c r="G1586" s="24" t="str">
        <f>IFERROR(VLOOKUP(F1586,Procedimentos!A:C,2,),"")</f>
        <v>DIRETRIZES PARA REALIZAÇÃO DE EXAMES OCUPACIONAIS</v>
      </c>
      <c r="H1586" s="25"/>
      <c r="I1586" s="51"/>
      <c r="J1586" s="4"/>
      <c r="K1586" s="25" t="str">
        <f t="shared" si="65"/>
        <v/>
      </c>
      <c r="L1586" s="7"/>
      <c r="M1586" s="4"/>
      <c r="N1586" s="7"/>
      <c r="O1586" s="4"/>
      <c r="P1586" s="51"/>
      <c r="Q1586" s="51"/>
      <c r="R1586" s="51"/>
      <c r="S1586" s="7"/>
      <c r="T1586" s="7"/>
    </row>
    <row r="1587" spans="1:20" ht="14.25" customHeight="1">
      <c r="A1587" s="4"/>
      <c r="B1587" s="38">
        <v>8111</v>
      </c>
      <c r="C1587" s="22" t="str">
        <f>IFERROR(VLOOKUP(B1587,Colaboradores!A:D,2,),"")</f>
        <v>FABIANA SILVA COSTA</v>
      </c>
      <c r="D1587" s="22" t="str">
        <f>IFERROR(VLOOKUP(B1587,Colaboradores!A:D,3,),"")</f>
        <v>SAÚDE OCUPACIONAL</v>
      </c>
      <c r="E1587" s="22" t="str">
        <f>IFERROR(VLOOKUP(B1587,Colaboradores!A:D,4,),"")</f>
        <v>ASSESSOR(A) DE FISIOTERAPIA</v>
      </c>
      <c r="F1587" s="47" t="s">
        <v>49</v>
      </c>
      <c r="G1587" s="24" t="str">
        <f>IFERROR(VLOOKUP(F1587,Procedimentos!A:C,2,),"")</f>
        <v>DIRETRIZES PARA REALIZAÇÃO DE EXAMES OCUPACIONAIS</v>
      </c>
      <c r="H1587" s="25"/>
      <c r="I1587" s="51"/>
      <c r="J1587" s="4"/>
      <c r="K1587" s="25" t="str">
        <f t="shared" si="65"/>
        <v/>
      </c>
      <c r="L1587" s="7"/>
      <c r="M1587" s="4"/>
      <c r="N1587" s="7"/>
      <c r="O1587" s="4"/>
      <c r="P1587" s="51"/>
      <c r="Q1587" s="51"/>
      <c r="R1587" s="51"/>
      <c r="S1587" s="7"/>
      <c r="T1587" s="7"/>
    </row>
    <row r="1588" spans="1:20" ht="14.25" customHeight="1">
      <c r="A1588" s="4"/>
      <c r="B1588" s="38">
        <v>14972</v>
      </c>
      <c r="C1588" s="22" t="str">
        <f>IFERROR(VLOOKUP(B1588,Colaboradores!A:D,2,),"")</f>
        <v>JUAN PABLO SOUSA FARIAS</v>
      </c>
      <c r="D1588" s="22" t="str">
        <f>IFERROR(VLOOKUP(B1588,Colaboradores!A:D,3,),"")</f>
        <v>SAÚDE OCUPACIONAL</v>
      </c>
      <c r="E1588" s="22" t="str">
        <f>IFERROR(VLOOKUP(B1588,Colaboradores!A:D,4,),"")</f>
        <v>JOVEM APRENDIZ</v>
      </c>
      <c r="F1588" s="47" t="s">
        <v>49</v>
      </c>
      <c r="G1588" s="24" t="str">
        <f>IFERROR(VLOOKUP(F1588,Procedimentos!A:C,2,),"")</f>
        <v>DIRETRIZES PARA REALIZAÇÃO DE EXAMES OCUPACIONAIS</v>
      </c>
      <c r="H1588" s="25"/>
      <c r="I1588" s="51"/>
      <c r="J1588" s="4"/>
      <c r="K1588" s="25" t="str">
        <f t="shared" si="65"/>
        <v/>
      </c>
      <c r="L1588" s="7"/>
      <c r="M1588" s="4"/>
      <c r="N1588" s="7"/>
      <c r="O1588" s="4"/>
      <c r="P1588" s="51"/>
      <c r="Q1588" s="51"/>
      <c r="R1588" s="51"/>
      <c r="S1588" s="7"/>
      <c r="T1588" s="7"/>
    </row>
    <row r="1589" spans="1:20" ht="14.25" customHeight="1">
      <c r="A1589" s="4"/>
      <c r="B1589" s="38">
        <v>13594</v>
      </c>
      <c r="C1589" s="22" t="str">
        <f>IFERROR(VLOOKUP(B1589,Colaboradores!A:D,2,),"")</f>
        <v>MARCIO AUGUSTO SILVA MIRANDA</v>
      </c>
      <c r="D1589" s="22" t="str">
        <f>IFERROR(VLOOKUP(B1589,Colaboradores!A:D,3,),"")</f>
        <v>SAÚDE OCUPACIONAL</v>
      </c>
      <c r="E1589" s="22" t="str">
        <f>IFERROR(VLOOKUP(B1589,Colaboradores!A:D,4,),"")</f>
        <v>ASSESSOR (A) CLINICO</v>
      </c>
      <c r="F1589" s="47" t="s">
        <v>49</v>
      </c>
      <c r="G1589" s="24" t="str">
        <f>IFERROR(VLOOKUP(F1589,Procedimentos!A:C,2,),"")</f>
        <v>DIRETRIZES PARA REALIZAÇÃO DE EXAMES OCUPACIONAIS</v>
      </c>
      <c r="H1589" s="25"/>
      <c r="I1589" s="51"/>
      <c r="J1589" s="4"/>
      <c r="K1589" s="25" t="str">
        <f t="shared" si="65"/>
        <v/>
      </c>
      <c r="L1589" s="7"/>
      <c r="M1589" s="4"/>
      <c r="N1589" s="7"/>
      <c r="O1589" s="4"/>
      <c r="P1589" s="51"/>
      <c r="Q1589" s="51"/>
      <c r="R1589" s="51"/>
      <c r="S1589" s="7"/>
      <c r="T1589" s="7"/>
    </row>
    <row r="1590" spans="1:20" ht="14.25" customHeight="1">
      <c r="A1590" s="4"/>
      <c r="B1590" s="38">
        <v>14499</v>
      </c>
      <c r="C1590" s="22" t="str">
        <f>IFERROR(VLOOKUP(B1590,Colaboradores!A:D,2,),"")</f>
        <v>SAMIRIS COSTA DA SILVA</v>
      </c>
      <c r="D1590" s="22" t="str">
        <f>IFERROR(VLOOKUP(B1590,Colaboradores!A:D,3,),"")</f>
        <v>SAÚDE OCUPACIONAL</v>
      </c>
      <c r="E1590" s="22" t="str">
        <f>IFERROR(VLOOKUP(B1590,Colaboradores!A:D,4,),"")</f>
        <v>PSICÓLOGA</v>
      </c>
      <c r="F1590" s="47" t="s">
        <v>49</v>
      </c>
      <c r="G1590" s="24" t="str">
        <f>IFERROR(VLOOKUP(F1590,Procedimentos!A:C,2,),"")</f>
        <v>DIRETRIZES PARA REALIZAÇÃO DE EXAMES OCUPACIONAIS</v>
      </c>
      <c r="H1590" s="25"/>
      <c r="I1590" s="51"/>
      <c r="J1590" s="4"/>
      <c r="K1590" s="25" t="str">
        <f t="shared" si="65"/>
        <v/>
      </c>
      <c r="L1590" s="7"/>
      <c r="M1590" s="4"/>
      <c r="N1590" s="7"/>
      <c r="O1590" s="4"/>
      <c r="P1590" s="51"/>
      <c r="Q1590" s="51"/>
      <c r="R1590" s="51"/>
      <c r="S1590" s="7"/>
      <c r="T1590" s="7"/>
    </row>
    <row r="1591" spans="1:20" ht="14.25" customHeight="1">
      <c r="A1591" s="4"/>
      <c r="B1591" s="38">
        <v>12463</v>
      </c>
      <c r="C1591" s="22" t="str">
        <f>IFERROR(VLOOKUP(B1591,Colaboradores!A:D,2,),"")</f>
        <v>SAMMY RAYANA L. SANTOS</v>
      </c>
      <c r="D1591" s="22" t="str">
        <f>IFERROR(VLOOKUP(B1591,Colaboradores!A:D,3,),"")</f>
        <v>SAÚDE OCUPACIONAL</v>
      </c>
      <c r="E1591" s="22" t="str">
        <f>IFERROR(VLOOKUP(B1591,Colaboradores!A:D,4,),"")</f>
        <v>ASSESSOR(A) DE SERVIÇO SOCIAL</v>
      </c>
      <c r="F1591" s="47" t="s">
        <v>49</v>
      </c>
      <c r="G1591" s="24" t="str">
        <f>IFERROR(VLOOKUP(F1591,Procedimentos!A:C,2,),"")</f>
        <v>DIRETRIZES PARA REALIZAÇÃO DE EXAMES OCUPACIONAIS</v>
      </c>
      <c r="H1591" s="25"/>
      <c r="I1591" s="51"/>
      <c r="J1591" s="4"/>
      <c r="K1591" s="25" t="str">
        <f t="shared" si="65"/>
        <v/>
      </c>
      <c r="L1591" s="7"/>
      <c r="M1591" s="4"/>
      <c r="N1591" s="7"/>
      <c r="O1591" s="4"/>
      <c r="P1591" s="51"/>
      <c r="Q1591" s="51"/>
      <c r="R1591" s="51"/>
      <c r="S1591" s="7"/>
      <c r="T1591" s="7"/>
    </row>
    <row r="1592" spans="1:20" ht="14.25" customHeight="1">
      <c r="A1592" s="4"/>
      <c r="B1592" s="38">
        <v>13100</v>
      </c>
      <c r="C1592" s="22" t="str">
        <f>IFERROR(VLOOKUP(B1592,Colaboradores!A:D,2,),"")</f>
        <v>TAYNAH SOARES DE SOUZA CAMARAO</v>
      </c>
      <c r="D1592" s="22" t="str">
        <f>IFERROR(VLOOKUP(B1592,Colaboradores!A:D,3,),"")</f>
        <v>SAÚDE OCUPACIONAL</v>
      </c>
      <c r="E1592" s="22" t="str">
        <f>IFERROR(VLOOKUP(B1592,Colaboradores!A:D,4,),"")</f>
        <v>MÉDICA</v>
      </c>
      <c r="F1592" s="47" t="s">
        <v>49</v>
      </c>
      <c r="G1592" s="24" t="str">
        <f>IFERROR(VLOOKUP(F1592,Procedimentos!A:C,2,),"")</f>
        <v>DIRETRIZES PARA REALIZAÇÃO DE EXAMES OCUPACIONAIS</v>
      </c>
      <c r="H1592" s="25"/>
      <c r="I1592" s="51"/>
      <c r="J1592" s="4"/>
      <c r="K1592" s="25" t="str">
        <f t="shared" si="65"/>
        <v/>
      </c>
      <c r="L1592" s="7"/>
      <c r="M1592" s="4"/>
      <c r="N1592" s="7"/>
      <c r="O1592" s="4"/>
      <c r="P1592" s="51"/>
      <c r="Q1592" s="51"/>
      <c r="R1592" s="51"/>
      <c r="S1592" s="7"/>
      <c r="T1592" s="7"/>
    </row>
    <row r="1593" spans="1:20" ht="14.25" customHeight="1">
      <c r="A1593" s="4"/>
      <c r="B1593" s="38">
        <v>14962</v>
      </c>
      <c r="C1593" s="22" t="str">
        <f>IFERROR(VLOOKUP(B1593,Colaboradores!A:D,2,),"")</f>
        <v>YASMIN KARINE DE OLIVEIRA SOARES</v>
      </c>
      <c r="D1593" s="22" t="str">
        <f>IFERROR(VLOOKUP(B1593,Colaboradores!A:D,3,),"")</f>
        <v>SAÚDE OCUPACIONAL</v>
      </c>
      <c r="E1593" s="22" t="str">
        <f>IFERROR(VLOOKUP(B1593,Colaboradores!A:D,4,),"")</f>
        <v>JOVEM APRENDIZ</v>
      </c>
      <c r="F1593" s="47" t="s">
        <v>49</v>
      </c>
      <c r="G1593" s="24" t="str">
        <f>IFERROR(VLOOKUP(F1593,Procedimentos!A:C,2,),"")</f>
        <v>DIRETRIZES PARA REALIZAÇÃO DE EXAMES OCUPACIONAIS</v>
      </c>
      <c r="H1593" s="25"/>
      <c r="I1593" s="51"/>
      <c r="J1593" s="4"/>
      <c r="K1593" s="25" t="str">
        <f t="shared" si="65"/>
        <v/>
      </c>
      <c r="L1593" s="7"/>
      <c r="M1593" s="4"/>
      <c r="N1593" s="7"/>
      <c r="O1593" s="4"/>
      <c r="P1593" s="51"/>
      <c r="Q1593" s="51"/>
      <c r="R1593" s="51"/>
      <c r="S1593" s="7"/>
      <c r="T1593" s="7"/>
    </row>
    <row r="1594" spans="1:20" ht="14.25" customHeight="1">
      <c r="A1594" s="4"/>
      <c r="B1594" s="38">
        <v>24306</v>
      </c>
      <c r="C1594" s="22" t="str">
        <f>IFERROR(VLOOKUP(B1594,Colaboradores!A:D,2,),"")</f>
        <v>ANNA MARIA ARAUJO PIORSKI</v>
      </c>
      <c r="D1594" s="22" t="str">
        <f>IFERROR(VLOOKUP(B1594,Colaboradores!A:D,3,),"")</f>
        <v>SAÚDE OCUPACIONAL</v>
      </c>
      <c r="E1594" s="22" t="str">
        <f>IFERROR(VLOOKUP(B1594,Colaboradores!A:D,4,),"")</f>
        <v>ASSESSOR(A) DE NUTRIÇÃO</v>
      </c>
      <c r="F1594" s="47" t="s">
        <v>51</v>
      </c>
      <c r="G1594" s="24" t="str">
        <f>IFERROR(VLOOKUP(F1594,Procedimentos!A:C,2,),"")</f>
        <v>DIRETRIZES PARA ENTREGA DE ATESTADOS MÉDICOS E ODONTOLÓGICOS</v>
      </c>
      <c r="H1594" s="25"/>
      <c r="I1594" s="51"/>
      <c r="J1594" s="4"/>
      <c r="K1594" s="25" t="str">
        <f t="shared" si="65"/>
        <v/>
      </c>
      <c r="L1594" s="7"/>
      <c r="M1594" s="4"/>
      <c r="N1594" s="7"/>
      <c r="O1594" s="4"/>
      <c r="P1594" s="51"/>
      <c r="Q1594" s="51"/>
      <c r="R1594" s="51"/>
      <c r="S1594" s="7"/>
      <c r="T1594" s="7"/>
    </row>
    <row r="1595" spans="1:20" ht="14.25" customHeight="1">
      <c r="A1595" s="4"/>
      <c r="B1595" s="38">
        <v>12330</v>
      </c>
      <c r="C1595" s="22" t="str">
        <f>IFERROR(VLOOKUP(B1595,Colaboradores!A:D,2,),"")</f>
        <v>BIANCA GUEDES SILVA ALMEIDA</v>
      </c>
      <c r="D1595" s="22" t="str">
        <f>IFERROR(VLOOKUP(B1595,Colaboradores!A:D,3,),"")</f>
        <v>SAÚDE OCUPACIONAL</v>
      </c>
      <c r="E1595" s="22" t="str">
        <f>IFERROR(VLOOKUP(B1595,Colaboradores!A:D,4,),"")</f>
        <v>NUTRICIONISTA</v>
      </c>
      <c r="F1595" s="47" t="s">
        <v>51</v>
      </c>
      <c r="G1595" s="24" t="str">
        <f>IFERROR(VLOOKUP(F1595,Procedimentos!A:C,2,),"")</f>
        <v>DIRETRIZES PARA ENTREGA DE ATESTADOS MÉDICOS E ODONTOLÓGICOS</v>
      </c>
      <c r="H1595" s="25"/>
      <c r="I1595" s="51"/>
      <c r="J1595" s="4"/>
      <c r="K1595" s="25" t="str">
        <f t="shared" si="65"/>
        <v/>
      </c>
      <c r="L1595" s="7"/>
      <c r="M1595" s="4"/>
      <c r="N1595" s="7"/>
      <c r="O1595" s="4"/>
      <c r="P1595" s="51"/>
      <c r="Q1595" s="51"/>
      <c r="R1595" s="51"/>
      <c r="S1595" s="7"/>
      <c r="T1595" s="7"/>
    </row>
    <row r="1596" spans="1:20" ht="14.25" customHeight="1">
      <c r="A1596" s="4"/>
      <c r="B1596" s="38">
        <v>14990</v>
      </c>
      <c r="C1596" s="22" t="str">
        <f>IFERROR(VLOOKUP(B1596,Colaboradores!A:D,2,),"")</f>
        <v>DAVID DE JESUS PEREIRA FONSECA</v>
      </c>
      <c r="D1596" s="22" t="str">
        <f>IFERROR(VLOOKUP(B1596,Colaboradores!A:D,3,),"")</f>
        <v>SAÚDE OCUPACIONAL</v>
      </c>
      <c r="E1596" s="22" t="str">
        <f>IFERROR(VLOOKUP(B1596,Colaboradores!A:D,4,),"")</f>
        <v>JOVEM APRENDIZ</v>
      </c>
      <c r="F1596" s="47" t="s">
        <v>51</v>
      </c>
      <c r="G1596" s="24" t="str">
        <f>IFERROR(VLOOKUP(F1596,Procedimentos!A:C,2,),"")</f>
        <v>DIRETRIZES PARA ENTREGA DE ATESTADOS MÉDICOS E ODONTOLÓGICOS</v>
      </c>
      <c r="H1596" s="25"/>
      <c r="I1596" s="51"/>
      <c r="J1596" s="4"/>
      <c r="K1596" s="25" t="str">
        <f t="shared" si="65"/>
        <v/>
      </c>
      <c r="L1596" s="7"/>
      <c r="M1596" s="4"/>
      <c r="N1596" s="7"/>
      <c r="O1596" s="4"/>
      <c r="P1596" s="51"/>
      <c r="Q1596" s="51"/>
      <c r="R1596" s="51"/>
      <c r="S1596" s="7"/>
      <c r="T1596" s="7"/>
    </row>
    <row r="1597" spans="1:20" ht="14.25" customHeight="1">
      <c r="A1597" s="4"/>
      <c r="B1597" s="38">
        <v>9058</v>
      </c>
      <c r="C1597" s="22" t="str">
        <f>IFERROR(VLOOKUP(B1597,Colaboradores!A:D,2,),"")</f>
        <v>DENISE CRISTRINA CASTRO</v>
      </c>
      <c r="D1597" s="22" t="str">
        <f>IFERROR(VLOOKUP(B1597,Colaboradores!A:D,3,),"")</f>
        <v>SAÚDE OCUPACIONAL</v>
      </c>
      <c r="E1597" s="22" t="str">
        <f>IFERROR(VLOOKUP(B1597,Colaboradores!A:D,4,),"")</f>
        <v>ASSESSOR(A) DE SERVIÇO SOCIAL</v>
      </c>
      <c r="F1597" s="47" t="s">
        <v>51</v>
      </c>
      <c r="G1597" s="24" t="str">
        <f>IFERROR(VLOOKUP(F1597,Procedimentos!A:C,2,),"")</f>
        <v>DIRETRIZES PARA ENTREGA DE ATESTADOS MÉDICOS E ODONTOLÓGICOS</v>
      </c>
      <c r="H1597" s="25"/>
      <c r="I1597" s="51"/>
      <c r="J1597" s="4"/>
      <c r="K1597" s="25" t="str">
        <f t="shared" si="65"/>
        <v/>
      </c>
      <c r="L1597" s="7"/>
      <c r="M1597" s="4"/>
      <c r="N1597" s="7"/>
      <c r="O1597" s="4"/>
      <c r="P1597" s="51"/>
      <c r="Q1597" s="51"/>
      <c r="R1597" s="51"/>
      <c r="S1597" s="7"/>
      <c r="T1597" s="7"/>
    </row>
    <row r="1598" spans="1:20" ht="14.25" customHeight="1">
      <c r="A1598" s="4"/>
      <c r="B1598" s="38">
        <v>8111</v>
      </c>
      <c r="C1598" s="22" t="str">
        <f>IFERROR(VLOOKUP(B1598,Colaboradores!A:D,2,),"")</f>
        <v>FABIANA SILVA COSTA</v>
      </c>
      <c r="D1598" s="22" t="str">
        <f>IFERROR(VLOOKUP(B1598,Colaboradores!A:D,3,),"")</f>
        <v>SAÚDE OCUPACIONAL</v>
      </c>
      <c r="E1598" s="22" t="str">
        <f>IFERROR(VLOOKUP(B1598,Colaboradores!A:D,4,),"")</f>
        <v>ASSESSOR(A) DE FISIOTERAPIA</v>
      </c>
      <c r="F1598" s="47" t="s">
        <v>51</v>
      </c>
      <c r="G1598" s="24" t="str">
        <f>IFERROR(VLOOKUP(F1598,Procedimentos!A:C,2,),"")</f>
        <v>DIRETRIZES PARA ENTREGA DE ATESTADOS MÉDICOS E ODONTOLÓGICOS</v>
      </c>
      <c r="H1598" s="25"/>
      <c r="I1598" s="51"/>
      <c r="J1598" s="4"/>
      <c r="K1598" s="25" t="str">
        <f t="shared" si="65"/>
        <v/>
      </c>
      <c r="L1598" s="7"/>
      <c r="M1598" s="4"/>
      <c r="N1598" s="7"/>
      <c r="O1598" s="4"/>
      <c r="P1598" s="51"/>
      <c r="Q1598" s="51"/>
      <c r="R1598" s="51"/>
      <c r="S1598" s="7"/>
      <c r="T1598" s="7"/>
    </row>
    <row r="1599" spans="1:20" ht="14.25" customHeight="1">
      <c r="A1599" s="4"/>
      <c r="B1599" s="38">
        <v>14972</v>
      </c>
      <c r="C1599" s="22" t="str">
        <f>IFERROR(VLOOKUP(B1599,Colaboradores!A:D,2,),"")</f>
        <v>JUAN PABLO SOUSA FARIAS</v>
      </c>
      <c r="D1599" s="22" t="str">
        <f>IFERROR(VLOOKUP(B1599,Colaboradores!A:D,3,),"")</f>
        <v>SAÚDE OCUPACIONAL</v>
      </c>
      <c r="E1599" s="22" t="str">
        <f>IFERROR(VLOOKUP(B1599,Colaboradores!A:D,4,),"")</f>
        <v>JOVEM APRENDIZ</v>
      </c>
      <c r="F1599" s="47" t="s">
        <v>51</v>
      </c>
      <c r="G1599" s="24" t="str">
        <f>IFERROR(VLOOKUP(F1599,Procedimentos!A:C,2,),"")</f>
        <v>DIRETRIZES PARA ENTREGA DE ATESTADOS MÉDICOS E ODONTOLÓGICOS</v>
      </c>
      <c r="H1599" s="25"/>
      <c r="I1599" s="51"/>
      <c r="J1599" s="4"/>
      <c r="K1599" s="25" t="str">
        <f t="shared" si="65"/>
        <v/>
      </c>
      <c r="L1599" s="7"/>
      <c r="M1599" s="4"/>
      <c r="N1599" s="7"/>
      <c r="O1599" s="4"/>
      <c r="P1599" s="51"/>
      <c r="Q1599" s="51"/>
      <c r="R1599" s="51"/>
      <c r="S1599" s="7"/>
      <c r="T1599" s="7"/>
    </row>
    <row r="1600" spans="1:20" ht="14.25" customHeight="1">
      <c r="A1600" s="4"/>
      <c r="B1600" s="38">
        <v>13594</v>
      </c>
      <c r="C1600" s="22" t="str">
        <f>IFERROR(VLOOKUP(B1600,Colaboradores!A:D,2,),"")</f>
        <v>MARCIO AUGUSTO SILVA MIRANDA</v>
      </c>
      <c r="D1600" s="22" t="str">
        <f>IFERROR(VLOOKUP(B1600,Colaboradores!A:D,3,),"")</f>
        <v>SAÚDE OCUPACIONAL</v>
      </c>
      <c r="E1600" s="22" t="str">
        <f>IFERROR(VLOOKUP(B1600,Colaboradores!A:D,4,),"")</f>
        <v>ASSESSOR (A) CLINICO</v>
      </c>
      <c r="F1600" s="47" t="s">
        <v>51</v>
      </c>
      <c r="G1600" s="24" t="str">
        <f>IFERROR(VLOOKUP(F1600,Procedimentos!A:C,2,),"")</f>
        <v>DIRETRIZES PARA ENTREGA DE ATESTADOS MÉDICOS E ODONTOLÓGICOS</v>
      </c>
      <c r="H1600" s="25"/>
      <c r="I1600" s="51"/>
      <c r="J1600" s="4"/>
      <c r="K1600" s="25" t="str">
        <f t="shared" si="65"/>
        <v/>
      </c>
      <c r="L1600" s="7"/>
      <c r="M1600" s="4"/>
      <c r="N1600" s="7"/>
      <c r="O1600" s="4"/>
      <c r="P1600" s="51"/>
      <c r="Q1600" s="51"/>
      <c r="R1600" s="51"/>
      <c r="S1600" s="7"/>
      <c r="T1600" s="7"/>
    </row>
    <row r="1601" spans="1:20" ht="14.25" customHeight="1">
      <c r="A1601" s="4"/>
      <c r="B1601" s="38">
        <v>14499</v>
      </c>
      <c r="C1601" s="22" t="str">
        <f>IFERROR(VLOOKUP(B1601,Colaboradores!A:D,2,),"")</f>
        <v>SAMIRIS COSTA DA SILVA</v>
      </c>
      <c r="D1601" s="22" t="str">
        <f>IFERROR(VLOOKUP(B1601,Colaboradores!A:D,3,),"")</f>
        <v>SAÚDE OCUPACIONAL</v>
      </c>
      <c r="E1601" s="22" t="str">
        <f>IFERROR(VLOOKUP(B1601,Colaboradores!A:D,4,),"")</f>
        <v>PSICÓLOGA</v>
      </c>
      <c r="F1601" s="47" t="s">
        <v>51</v>
      </c>
      <c r="G1601" s="24" t="str">
        <f>IFERROR(VLOOKUP(F1601,Procedimentos!A:C,2,),"")</f>
        <v>DIRETRIZES PARA ENTREGA DE ATESTADOS MÉDICOS E ODONTOLÓGICOS</v>
      </c>
      <c r="H1601" s="25"/>
      <c r="I1601" s="51"/>
      <c r="J1601" s="4"/>
      <c r="K1601" s="25" t="str">
        <f t="shared" si="65"/>
        <v/>
      </c>
      <c r="L1601" s="7"/>
      <c r="M1601" s="4"/>
      <c r="N1601" s="7"/>
      <c r="O1601" s="4"/>
      <c r="P1601" s="51"/>
      <c r="Q1601" s="51"/>
      <c r="R1601" s="51"/>
      <c r="S1601" s="7"/>
      <c r="T1601" s="7"/>
    </row>
    <row r="1602" spans="1:20" ht="14.25" customHeight="1">
      <c r="A1602" s="4"/>
      <c r="B1602" s="38">
        <v>12463</v>
      </c>
      <c r="C1602" s="22" t="str">
        <f>IFERROR(VLOOKUP(B1602,Colaboradores!A:D,2,),"")</f>
        <v>SAMMY RAYANA L. SANTOS</v>
      </c>
      <c r="D1602" s="22" t="str">
        <f>IFERROR(VLOOKUP(B1602,Colaboradores!A:D,3,),"")</f>
        <v>SAÚDE OCUPACIONAL</v>
      </c>
      <c r="E1602" s="22" t="str">
        <f>IFERROR(VLOOKUP(B1602,Colaboradores!A:D,4,),"")</f>
        <v>ASSESSOR(A) DE SERVIÇO SOCIAL</v>
      </c>
      <c r="F1602" s="47" t="s">
        <v>51</v>
      </c>
      <c r="G1602" s="24" t="str">
        <f>IFERROR(VLOOKUP(F1602,Procedimentos!A:C,2,),"")</f>
        <v>DIRETRIZES PARA ENTREGA DE ATESTADOS MÉDICOS E ODONTOLÓGICOS</v>
      </c>
      <c r="H1602" s="25"/>
      <c r="I1602" s="51"/>
      <c r="J1602" s="4"/>
      <c r="K1602" s="25" t="str">
        <f t="shared" si="65"/>
        <v/>
      </c>
      <c r="L1602" s="7"/>
      <c r="M1602" s="4"/>
      <c r="N1602" s="7"/>
      <c r="O1602" s="4"/>
      <c r="P1602" s="51"/>
      <c r="Q1602" s="51"/>
      <c r="R1602" s="51"/>
      <c r="S1602" s="7"/>
      <c r="T1602" s="7"/>
    </row>
    <row r="1603" spans="1:20" ht="14.25" customHeight="1">
      <c r="A1603" s="4"/>
      <c r="B1603" s="38">
        <v>13100</v>
      </c>
      <c r="C1603" s="22" t="str">
        <f>IFERROR(VLOOKUP(B1603,Colaboradores!A:D,2,),"")</f>
        <v>TAYNAH SOARES DE SOUZA CAMARAO</v>
      </c>
      <c r="D1603" s="22" t="str">
        <f>IFERROR(VLOOKUP(B1603,Colaboradores!A:D,3,),"")</f>
        <v>SAÚDE OCUPACIONAL</v>
      </c>
      <c r="E1603" s="22" t="str">
        <f>IFERROR(VLOOKUP(B1603,Colaboradores!A:D,4,),"")</f>
        <v>MÉDICA</v>
      </c>
      <c r="F1603" s="47" t="s">
        <v>51</v>
      </c>
      <c r="G1603" s="24" t="str">
        <f>IFERROR(VLOOKUP(F1603,Procedimentos!A:C,2,),"")</f>
        <v>DIRETRIZES PARA ENTREGA DE ATESTADOS MÉDICOS E ODONTOLÓGICOS</v>
      </c>
      <c r="H1603" s="25"/>
      <c r="I1603" s="51"/>
      <c r="J1603" s="4"/>
      <c r="K1603" s="25" t="str">
        <f t="shared" ref="K1603:K1666" si="66">IF(AND(I1603&lt;&gt;"",J1603&lt;&gt;""),DATE(YEAR(I1603),MONTH(I1603)+J1603,DAY(I1603)),"")</f>
        <v/>
      </c>
      <c r="L1603" s="7"/>
      <c r="M1603" s="4"/>
      <c r="N1603" s="7"/>
      <c r="O1603" s="4"/>
      <c r="P1603" s="51"/>
      <c r="Q1603" s="51"/>
      <c r="R1603" s="51"/>
      <c r="S1603" s="7"/>
      <c r="T1603" s="7"/>
    </row>
    <row r="1604" spans="1:20" ht="14.25" customHeight="1">
      <c r="A1604" s="4"/>
      <c r="B1604" s="38">
        <v>14962</v>
      </c>
      <c r="C1604" s="22" t="str">
        <f>IFERROR(VLOOKUP(B1604,Colaboradores!A:D,2,),"")</f>
        <v>YASMIN KARINE DE OLIVEIRA SOARES</v>
      </c>
      <c r="D1604" s="22" t="str">
        <f>IFERROR(VLOOKUP(B1604,Colaboradores!A:D,3,),"")</f>
        <v>SAÚDE OCUPACIONAL</v>
      </c>
      <c r="E1604" s="22" t="str">
        <f>IFERROR(VLOOKUP(B1604,Colaboradores!A:D,4,),"")</f>
        <v>JOVEM APRENDIZ</v>
      </c>
      <c r="F1604" s="47" t="s">
        <v>51</v>
      </c>
      <c r="G1604" s="24" t="str">
        <f>IFERROR(VLOOKUP(F1604,Procedimentos!A:C,2,),"")</f>
        <v>DIRETRIZES PARA ENTREGA DE ATESTADOS MÉDICOS E ODONTOLÓGICOS</v>
      </c>
      <c r="H1604" s="25"/>
      <c r="I1604" s="51"/>
      <c r="J1604" s="4"/>
      <c r="K1604" s="25" t="str">
        <f t="shared" si="66"/>
        <v/>
      </c>
      <c r="L1604" s="7"/>
      <c r="M1604" s="4"/>
      <c r="N1604" s="7"/>
      <c r="O1604" s="4"/>
      <c r="P1604" s="51"/>
      <c r="Q1604" s="51"/>
      <c r="R1604" s="51"/>
      <c r="S1604" s="7"/>
      <c r="T1604" s="7"/>
    </row>
    <row r="1605" spans="1:20" ht="14.25" customHeight="1">
      <c r="A1605" s="4"/>
      <c r="B1605" s="38">
        <v>24306</v>
      </c>
      <c r="C1605" s="22" t="str">
        <f>IFERROR(VLOOKUP(B1605,Colaboradores!A:D,2,),"")</f>
        <v>ANNA MARIA ARAUJO PIORSKI</v>
      </c>
      <c r="D1605" s="22" t="str">
        <f>IFERROR(VLOOKUP(B1605,Colaboradores!A:D,3,),"")</f>
        <v>SAÚDE OCUPACIONAL</v>
      </c>
      <c r="E1605" s="22" t="str">
        <f>IFERROR(VLOOKUP(B1605,Colaboradores!A:D,4,),"")</f>
        <v>ASSESSOR(A) DE NUTRIÇÃO</v>
      </c>
      <c r="F1605" s="47" t="s">
        <v>52</v>
      </c>
      <c r="G1605" s="24" t="str">
        <f>IFERROR(VLOOKUP(F1605,Procedimentos!A:C,2,),"")</f>
        <v>DIRETRIZES E ACOMPANHAMENTO  DE ACIDENTE COM MATERIAL BIOLOGICO</v>
      </c>
      <c r="H1605" s="25"/>
      <c r="I1605" s="51"/>
      <c r="J1605" s="4"/>
      <c r="K1605" s="25" t="str">
        <f t="shared" si="66"/>
        <v/>
      </c>
      <c r="L1605" s="7"/>
      <c r="M1605" s="4"/>
      <c r="N1605" s="7"/>
      <c r="O1605" s="4"/>
      <c r="P1605" s="51"/>
      <c r="Q1605" s="51"/>
      <c r="R1605" s="51"/>
      <c r="S1605" s="7"/>
      <c r="T1605" s="7"/>
    </row>
    <row r="1606" spans="1:20" ht="14.25" customHeight="1">
      <c r="A1606" s="4"/>
      <c r="B1606" s="38">
        <v>12330</v>
      </c>
      <c r="C1606" s="22" t="str">
        <f>IFERROR(VLOOKUP(B1606,Colaboradores!A:D,2,),"")</f>
        <v>BIANCA GUEDES SILVA ALMEIDA</v>
      </c>
      <c r="D1606" s="22" t="str">
        <f>IFERROR(VLOOKUP(B1606,Colaboradores!A:D,3,),"")</f>
        <v>SAÚDE OCUPACIONAL</v>
      </c>
      <c r="E1606" s="22" t="str">
        <f>IFERROR(VLOOKUP(B1606,Colaboradores!A:D,4,),"")</f>
        <v>NUTRICIONISTA</v>
      </c>
      <c r="F1606" s="47" t="s">
        <v>52</v>
      </c>
      <c r="G1606" s="24" t="str">
        <f>IFERROR(VLOOKUP(F1606,Procedimentos!A:C,2,),"")</f>
        <v>DIRETRIZES E ACOMPANHAMENTO  DE ACIDENTE COM MATERIAL BIOLOGICO</v>
      </c>
      <c r="H1606" s="25"/>
      <c r="I1606" s="51"/>
      <c r="J1606" s="4"/>
      <c r="K1606" s="25" t="str">
        <f t="shared" si="66"/>
        <v/>
      </c>
      <c r="L1606" s="7"/>
      <c r="M1606" s="4"/>
      <c r="N1606" s="7"/>
      <c r="O1606" s="4"/>
      <c r="P1606" s="51"/>
      <c r="Q1606" s="51"/>
      <c r="R1606" s="51"/>
      <c r="S1606" s="7"/>
      <c r="T1606" s="7"/>
    </row>
    <row r="1607" spans="1:20" ht="14.25" customHeight="1">
      <c r="A1607" s="4"/>
      <c r="B1607" s="38">
        <v>14990</v>
      </c>
      <c r="C1607" s="22" t="str">
        <f>IFERROR(VLOOKUP(B1607,Colaboradores!A:D,2,),"")</f>
        <v>DAVID DE JESUS PEREIRA FONSECA</v>
      </c>
      <c r="D1607" s="22" t="str">
        <f>IFERROR(VLOOKUP(B1607,Colaboradores!A:D,3,),"")</f>
        <v>SAÚDE OCUPACIONAL</v>
      </c>
      <c r="E1607" s="22" t="str">
        <f>IFERROR(VLOOKUP(B1607,Colaboradores!A:D,4,),"")</f>
        <v>JOVEM APRENDIZ</v>
      </c>
      <c r="F1607" s="47" t="s">
        <v>52</v>
      </c>
      <c r="G1607" s="24" t="str">
        <f>IFERROR(VLOOKUP(F1607,Procedimentos!A:C,2,),"")</f>
        <v>DIRETRIZES E ACOMPANHAMENTO  DE ACIDENTE COM MATERIAL BIOLOGICO</v>
      </c>
      <c r="H1607" s="25"/>
      <c r="I1607" s="51"/>
      <c r="J1607" s="4"/>
      <c r="K1607" s="25" t="str">
        <f t="shared" si="66"/>
        <v/>
      </c>
      <c r="L1607" s="7"/>
      <c r="M1607" s="4"/>
      <c r="N1607" s="7"/>
      <c r="O1607" s="4"/>
      <c r="P1607" s="51"/>
      <c r="Q1607" s="51"/>
      <c r="R1607" s="51"/>
      <c r="S1607" s="7"/>
      <c r="T1607" s="7"/>
    </row>
    <row r="1608" spans="1:20" ht="14.25" customHeight="1">
      <c r="A1608" s="4"/>
      <c r="B1608" s="38">
        <v>9058</v>
      </c>
      <c r="C1608" s="22" t="str">
        <f>IFERROR(VLOOKUP(B1608,Colaboradores!A:D,2,),"")</f>
        <v>DENISE CRISTRINA CASTRO</v>
      </c>
      <c r="D1608" s="22" t="str">
        <f>IFERROR(VLOOKUP(B1608,Colaboradores!A:D,3,),"")</f>
        <v>SAÚDE OCUPACIONAL</v>
      </c>
      <c r="E1608" s="22" t="str">
        <f>IFERROR(VLOOKUP(B1608,Colaboradores!A:D,4,),"")</f>
        <v>ASSESSOR(A) DE SERVIÇO SOCIAL</v>
      </c>
      <c r="F1608" s="47" t="s">
        <v>52</v>
      </c>
      <c r="G1608" s="24" t="str">
        <f>IFERROR(VLOOKUP(F1608,Procedimentos!A:C,2,),"")</f>
        <v>DIRETRIZES E ACOMPANHAMENTO  DE ACIDENTE COM MATERIAL BIOLOGICO</v>
      </c>
      <c r="H1608" s="25"/>
      <c r="I1608" s="51"/>
      <c r="J1608" s="4"/>
      <c r="K1608" s="25" t="str">
        <f t="shared" si="66"/>
        <v/>
      </c>
      <c r="L1608" s="7"/>
      <c r="M1608" s="4"/>
      <c r="N1608" s="7"/>
      <c r="O1608" s="4"/>
      <c r="P1608" s="51"/>
      <c r="Q1608" s="51"/>
      <c r="R1608" s="51"/>
      <c r="S1608" s="7"/>
      <c r="T1608" s="7"/>
    </row>
    <row r="1609" spans="1:20" ht="14.25" customHeight="1">
      <c r="A1609" s="4"/>
      <c r="B1609" s="38">
        <v>8111</v>
      </c>
      <c r="C1609" s="22" t="str">
        <f>IFERROR(VLOOKUP(B1609,Colaboradores!A:D,2,),"")</f>
        <v>FABIANA SILVA COSTA</v>
      </c>
      <c r="D1609" s="22" t="str">
        <f>IFERROR(VLOOKUP(B1609,Colaboradores!A:D,3,),"")</f>
        <v>SAÚDE OCUPACIONAL</v>
      </c>
      <c r="E1609" s="22" t="str">
        <f>IFERROR(VLOOKUP(B1609,Colaboradores!A:D,4,),"")</f>
        <v>ASSESSOR(A) DE FISIOTERAPIA</v>
      </c>
      <c r="F1609" s="47" t="s">
        <v>52</v>
      </c>
      <c r="G1609" s="24" t="str">
        <f>IFERROR(VLOOKUP(F1609,Procedimentos!A:C,2,),"")</f>
        <v>DIRETRIZES E ACOMPANHAMENTO  DE ACIDENTE COM MATERIAL BIOLOGICO</v>
      </c>
      <c r="H1609" s="25"/>
      <c r="I1609" s="51"/>
      <c r="J1609" s="4"/>
      <c r="K1609" s="25" t="str">
        <f t="shared" si="66"/>
        <v/>
      </c>
      <c r="L1609" s="7"/>
      <c r="M1609" s="4"/>
      <c r="N1609" s="7"/>
      <c r="O1609" s="4"/>
      <c r="P1609" s="51"/>
      <c r="Q1609" s="51"/>
      <c r="R1609" s="51"/>
      <c r="S1609" s="7"/>
      <c r="T1609" s="7"/>
    </row>
    <row r="1610" spans="1:20" ht="14.25" customHeight="1">
      <c r="A1610" s="4"/>
      <c r="B1610" s="38">
        <v>14972</v>
      </c>
      <c r="C1610" s="22" t="str">
        <f>IFERROR(VLOOKUP(B1610,Colaboradores!A:D,2,),"")</f>
        <v>JUAN PABLO SOUSA FARIAS</v>
      </c>
      <c r="D1610" s="22" t="str">
        <f>IFERROR(VLOOKUP(B1610,Colaboradores!A:D,3,),"")</f>
        <v>SAÚDE OCUPACIONAL</v>
      </c>
      <c r="E1610" s="22" t="str">
        <f>IFERROR(VLOOKUP(B1610,Colaboradores!A:D,4,),"")</f>
        <v>JOVEM APRENDIZ</v>
      </c>
      <c r="F1610" s="47" t="s">
        <v>52</v>
      </c>
      <c r="G1610" s="24" t="str">
        <f>IFERROR(VLOOKUP(F1610,Procedimentos!A:C,2,),"")</f>
        <v>DIRETRIZES E ACOMPANHAMENTO  DE ACIDENTE COM MATERIAL BIOLOGICO</v>
      </c>
      <c r="H1610" s="25"/>
      <c r="I1610" s="51"/>
      <c r="J1610" s="4"/>
      <c r="K1610" s="25" t="str">
        <f t="shared" si="66"/>
        <v/>
      </c>
      <c r="L1610" s="7"/>
      <c r="M1610" s="4"/>
      <c r="N1610" s="7"/>
      <c r="O1610" s="4"/>
      <c r="P1610" s="51"/>
      <c r="Q1610" s="51"/>
      <c r="R1610" s="51"/>
      <c r="S1610" s="7"/>
      <c r="T1610" s="7"/>
    </row>
    <row r="1611" spans="1:20" ht="14.25" customHeight="1">
      <c r="A1611" s="4"/>
      <c r="B1611" s="38">
        <v>13594</v>
      </c>
      <c r="C1611" s="22" t="str">
        <f>IFERROR(VLOOKUP(B1611,Colaboradores!A:D,2,),"")</f>
        <v>MARCIO AUGUSTO SILVA MIRANDA</v>
      </c>
      <c r="D1611" s="22" t="str">
        <f>IFERROR(VLOOKUP(B1611,Colaboradores!A:D,3,),"")</f>
        <v>SAÚDE OCUPACIONAL</v>
      </c>
      <c r="E1611" s="22" t="str">
        <f>IFERROR(VLOOKUP(B1611,Colaboradores!A:D,4,),"")</f>
        <v>ASSESSOR (A) CLINICO</v>
      </c>
      <c r="F1611" s="47" t="s">
        <v>52</v>
      </c>
      <c r="G1611" s="24" t="str">
        <f>IFERROR(VLOOKUP(F1611,Procedimentos!A:C,2,),"")</f>
        <v>DIRETRIZES E ACOMPANHAMENTO  DE ACIDENTE COM MATERIAL BIOLOGICO</v>
      </c>
      <c r="H1611" s="25"/>
      <c r="I1611" s="51"/>
      <c r="J1611" s="4"/>
      <c r="K1611" s="25" t="str">
        <f t="shared" si="66"/>
        <v/>
      </c>
      <c r="L1611" s="7"/>
      <c r="M1611" s="4"/>
      <c r="N1611" s="7"/>
      <c r="O1611" s="4"/>
      <c r="P1611" s="51"/>
      <c r="Q1611" s="51"/>
      <c r="R1611" s="51"/>
      <c r="S1611" s="7"/>
      <c r="T1611" s="7"/>
    </row>
    <row r="1612" spans="1:20" ht="14.25" customHeight="1">
      <c r="A1612" s="4"/>
      <c r="B1612" s="38">
        <v>14499</v>
      </c>
      <c r="C1612" s="22" t="str">
        <f>IFERROR(VLOOKUP(B1612,Colaboradores!A:D,2,),"")</f>
        <v>SAMIRIS COSTA DA SILVA</v>
      </c>
      <c r="D1612" s="22" t="str">
        <f>IFERROR(VLOOKUP(B1612,Colaboradores!A:D,3,),"")</f>
        <v>SAÚDE OCUPACIONAL</v>
      </c>
      <c r="E1612" s="22" t="str">
        <f>IFERROR(VLOOKUP(B1612,Colaboradores!A:D,4,),"")</f>
        <v>PSICÓLOGA</v>
      </c>
      <c r="F1612" s="47" t="s">
        <v>52</v>
      </c>
      <c r="G1612" s="24" t="str">
        <f>IFERROR(VLOOKUP(F1612,Procedimentos!A:C,2,),"")</f>
        <v>DIRETRIZES E ACOMPANHAMENTO  DE ACIDENTE COM MATERIAL BIOLOGICO</v>
      </c>
      <c r="H1612" s="25"/>
      <c r="I1612" s="51"/>
      <c r="J1612" s="4"/>
      <c r="K1612" s="25" t="str">
        <f t="shared" si="66"/>
        <v/>
      </c>
      <c r="L1612" s="7"/>
      <c r="M1612" s="4"/>
      <c r="N1612" s="7"/>
      <c r="O1612" s="4"/>
      <c r="P1612" s="51"/>
      <c r="Q1612" s="51"/>
      <c r="R1612" s="51"/>
      <c r="S1612" s="7"/>
      <c r="T1612" s="7"/>
    </row>
    <row r="1613" spans="1:20" ht="14.25" customHeight="1">
      <c r="A1613" s="4"/>
      <c r="B1613" s="38">
        <v>12463</v>
      </c>
      <c r="C1613" s="22" t="str">
        <f>IFERROR(VLOOKUP(B1613,Colaboradores!A:D,2,),"")</f>
        <v>SAMMY RAYANA L. SANTOS</v>
      </c>
      <c r="D1613" s="22" t="str">
        <f>IFERROR(VLOOKUP(B1613,Colaboradores!A:D,3,),"")</f>
        <v>SAÚDE OCUPACIONAL</v>
      </c>
      <c r="E1613" s="22" t="str">
        <f>IFERROR(VLOOKUP(B1613,Colaboradores!A:D,4,),"")</f>
        <v>ASSESSOR(A) DE SERVIÇO SOCIAL</v>
      </c>
      <c r="F1613" s="47" t="s">
        <v>52</v>
      </c>
      <c r="G1613" s="24" t="str">
        <f>IFERROR(VLOOKUP(F1613,Procedimentos!A:C,2,),"")</f>
        <v>DIRETRIZES E ACOMPANHAMENTO  DE ACIDENTE COM MATERIAL BIOLOGICO</v>
      </c>
      <c r="H1613" s="25"/>
      <c r="I1613" s="51"/>
      <c r="J1613" s="4"/>
      <c r="K1613" s="25" t="str">
        <f t="shared" si="66"/>
        <v/>
      </c>
      <c r="L1613" s="7"/>
      <c r="M1613" s="4"/>
      <c r="N1613" s="7"/>
      <c r="O1613" s="4"/>
      <c r="P1613" s="51"/>
      <c r="Q1613" s="51"/>
      <c r="R1613" s="51"/>
      <c r="S1613" s="7"/>
      <c r="T1613" s="7"/>
    </row>
    <row r="1614" spans="1:20" ht="14.25" customHeight="1">
      <c r="A1614" s="4"/>
      <c r="B1614" s="38">
        <v>13100</v>
      </c>
      <c r="C1614" s="22" t="str">
        <f>IFERROR(VLOOKUP(B1614,Colaboradores!A:D,2,),"")</f>
        <v>TAYNAH SOARES DE SOUZA CAMARAO</v>
      </c>
      <c r="D1614" s="22" t="str">
        <f>IFERROR(VLOOKUP(B1614,Colaboradores!A:D,3,),"")</f>
        <v>SAÚDE OCUPACIONAL</v>
      </c>
      <c r="E1614" s="22" t="str">
        <f>IFERROR(VLOOKUP(B1614,Colaboradores!A:D,4,),"")</f>
        <v>MÉDICA</v>
      </c>
      <c r="F1614" s="47" t="s">
        <v>52</v>
      </c>
      <c r="G1614" s="24" t="str">
        <f>IFERROR(VLOOKUP(F1614,Procedimentos!A:C,2,),"")</f>
        <v>DIRETRIZES E ACOMPANHAMENTO  DE ACIDENTE COM MATERIAL BIOLOGICO</v>
      </c>
      <c r="H1614" s="25"/>
      <c r="I1614" s="51"/>
      <c r="J1614" s="4"/>
      <c r="K1614" s="25" t="str">
        <f t="shared" si="66"/>
        <v/>
      </c>
      <c r="L1614" s="7"/>
      <c r="M1614" s="4"/>
      <c r="N1614" s="7"/>
      <c r="O1614" s="4"/>
      <c r="P1614" s="51"/>
      <c r="Q1614" s="51"/>
      <c r="R1614" s="51"/>
      <c r="S1614" s="7"/>
      <c r="T1614" s="7"/>
    </row>
    <row r="1615" spans="1:20" ht="14.25" customHeight="1">
      <c r="A1615" s="4"/>
      <c r="B1615" s="38">
        <v>14962</v>
      </c>
      <c r="C1615" s="22" t="str">
        <f>IFERROR(VLOOKUP(B1615,Colaboradores!A:D,2,),"")</f>
        <v>YASMIN KARINE DE OLIVEIRA SOARES</v>
      </c>
      <c r="D1615" s="22" t="str">
        <f>IFERROR(VLOOKUP(B1615,Colaboradores!A:D,3,),"")</f>
        <v>SAÚDE OCUPACIONAL</v>
      </c>
      <c r="E1615" s="22" t="str">
        <f>IFERROR(VLOOKUP(B1615,Colaboradores!A:D,4,),"")</f>
        <v>JOVEM APRENDIZ</v>
      </c>
      <c r="F1615" s="47" t="s">
        <v>52</v>
      </c>
      <c r="G1615" s="24" t="str">
        <f>IFERROR(VLOOKUP(F1615,Procedimentos!A:C,2,),"")</f>
        <v>DIRETRIZES E ACOMPANHAMENTO  DE ACIDENTE COM MATERIAL BIOLOGICO</v>
      </c>
      <c r="H1615" s="25"/>
      <c r="I1615" s="51"/>
      <c r="J1615" s="4"/>
      <c r="K1615" s="25" t="str">
        <f t="shared" si="66"/>
        <v/>
      </c>
      <c r="L1615" s="7"/>
      <c r="M1615" s="4"/>
      <c r="N1615" s="7"/>
      <c r="O1615" s="4"/>
      <c r="P1615" s="51"/>
      <c r="Q1615" s="51"/>
      <c r="R1615" s="51"/>
      <c r="S1615" s="7"/>
      <c r="T1615" s="7"/>
    </row>
    <row r="1616" spans="1:20" ht="14.25" customHeight="1">
      <c r="A1616" s="4"/>
      <c r="B1616" s="38">
        <v>24306</v>
      </c>
      <c r="C1616" s="22" t="str">
        <f>IFERROR(VLOOKUP(B1616,Colaboradores!A:D,2,),"")</f>
        <v>ANNA MARIA ARAUJO PIORSKI</v>
      </c>
      <c r="D1616" s="22" t="str">
        <f>IFERROR(VLOOKUP(B1616,Colaboradores!A:D,3,),"")</f>
        <v>SAÚDE OCUPACIONAL</v>
      </c>
      <c r="E1616" s="22" t="str">
        <f>IFERROR(VLOOKUP(B1616,Colaboradores!A:D,4,),"")</f>
        <v>ASSESSOR(A) DE NUTRIÇÃO</v>
      </c>
      <c r="F1616" s="47" t="s">
        <v>53</v>
      </c>
      <c r="G1616" s="24" t="str">
        <f>IFERROR(VLOOKUP(F1616,Procedimentos!A:C,2,),"")</f>
        <v>DIRETRIZES PARA MONITORAMENTO DE GESTANTE</v>
      </c>
      <c r="H1616" s="25"/>
      <c r="I1616" s="51"/>
      <c r="J1616" s="4"/>
      <c r="K1616" s="25" t="str">
        <f t="shared" si="66"/>
        <v/>
      </c>
      <c r="L1616" s="7"/>
      <c r="M1616" s="4"/>
      <c r="N1616" s="7"/>
      <c r="O1616" s="4"/>
      <c r="P1616" s="51"/>
      <c r="Q1616" s="51"/>
      <c r="R1616" s="51"/>
      <c r="S1616" s="7"/>
      <c r="T1616" s="7"/>
    </row>
    <row r="1617" spans="1:20" ht="14.25" customHeight="1">
      <c r="A1617" s="4"/>
      <c r="B1617" s="38">
        <v>12330</v>
      </c>
      <c r="C1617" s="22" t="str">
        <f>IFERROR(VLOOKUP(B1617,Colaboradores!A:D,2,),"")</f>
        <v>BIANCA GUEDES SILVA ALMEIDA</v>
      </c>
      <c r="D1617" s="22" t="str">
        <f>IFERROR(VLOOKUP(B1617,Colaboradores!A:D,3,),"")</f>
        <v>SAÚDE OCUPACIONAL</v>
      </c>
      <c r="E1617" s="22" t="str">
        <f>IFERROR(VLOOKUP(B1617,Colaboradores!A:D,4,),"")</f>
        <v>NUTRICIONISTA</v>
      </c>
      <c r="F1617" s="47" t="s">
        <v>53</v>
      </c>
      <c r="G1617" s="24" t="str">
        <f>IFERROR(VLOOKUP(F1617,Procedimentos!A:C,2,),"")</f>
        <v>DIRETRIZES PARA MONITORAMENTO DE GESTANTE</v>
      </c>
      <c r="H1617" s="25"/>
      <c r="I1617" s="51"/>
      <c r="J1617" s="4"/>
      <c r="K1617" s="25" t="str">
        <f t="shared" si="66"/>
        <v/>
      </c>
      <c r="L1617" s="7"/>
      <c r="M1617" s="4"/>
      <c r="N1617" s="7"/>
      <c r="O1617" s="4"/>
      <c r="P1617" s="51"/>
      <c r="Q1617" s="51"/>
      <c r="R1617" s="51"/>
      <c r="S1617" s="7"/>
      <c r="T1617" s="7"/>
    </row>
    <row r="1618" spans="1:20" ht="14.25" customHeight="1">
      <c r="A1618" s="4"/>
      <c r="B1618" s="38">
        <v>14990</v>
      </c>
      <c r="C1618" s="22" t="str">
        <f>IFERROR(VLOOKUP(B1618,Colaboradores!A:D,2,),"")</f>
        <v>DAVID DE JESUS PEREIRA FONSECA</v>
      </c>
      <c r="D1618" s="22" t="str">
        <f>IFERROR(VLOOKUP(B1618,Colaboradores!A:D,3,),"")</f>
        <v>SAÚDE OCUPACIONAL</v>
      </c>
      <c r="E1618" s="22" t="str">
        <f>IFERROR(VLOOKUP(B1618,Colaboradores!A:D,4,),"")</f>
        <v>JOVEM APRENDIZ</v>
      </c>
      <c r="F1618" s="47" t="s">
        <v>53</v>
      </c>
      <c r="G1618" s="24" t="str">
        <f>IFERROR(VLOOKUP(F1618,Procedimentos!A:C,2,),"")</f>
        <v>DIRETRIZES PARA MONITORAMENTO DE GESTANTE</v>
      </c>
      <c r="H1618" s="25"/>
      <c r="I1618" s="51"/>
      <c r="J1618" s="4"/>
      <c r="K1618" s="25" t="str">
        <f t="shared" si="66"/>
        <v/>
      </c>
      <c r="L1618" s="7"/>
      <c r="M1618" s="4"/>
      <c r="N1618" s="7"/>
      <c r="O1618" s="4"/>
      <c r="P1618" s="51"/>
      <c r="Q1618" s="51"/>
      <c r="R1618" s="51"/>
      <c r="S1618" s="7"/>
      <c r="T1618" s="7"/>
    </row>
    <row r="1619" spans="1:20" ht="14.25" customHeight="1">
      <c r="A1619" s="4"/>
      <c r="B1619" s="38">
        <v>9058</v>
      </c>
      <c r="C1619" s="22" t="str">
        <f>IFERROR(VLOOKUP(B1619,Colaboradores!A:D,2,),"")</f>
        <v>DENISE CRISTRINA CASTRO</v>
      </c>
      <c r="D1619" s="22" t="str">
        <f>IFERROR(VLOOKUP(B1619,Colaboradores!A:D,3,),"")</f>
        <v>SAÚDE OCUPACIONAL</v>
      </c>
      <c r="E1619" s="22" t="str">
        <f>IFERROR(VLOOKUP(B1619,Colaboradores!A:D,4,),"")</f>
        <v>ASSESSOR(A) DE SERVIÇO SOCIAL</v>
      </c>
      <c r="F1619" s="47" t="s">
        <v>53</v>
      </c>
      <c r="G1619" s="24" t="str">
        <f>IFERROR(VLOOKUP(F1619,Procedimentos!A:C,2,),"")</f>
        <v>DIRETRIZES PARA MONITORAMENTO DE GESTANTE</v>
      </c>
      <c r="H1619" s="25"/>
      <c r="I1619" s="51"/>
      <c r="J1619" s="4"/>
      <c r="K1619" s="25" t="str">
        <f t="shared" si="66"/>
        <v/>
      </c>
      <c r="L1619" s="7"/>
      <c r="M1619" s="4"/>
      <c r="N1619" s="7"/>
      <c r="O1619" s="4"/>
      <c r="P1619" s="51"/>
      <c r="Q1619" s="51"/>
      <c r="R1619" s="51"/>
      <c r="S1619" s="7"/>
      <c r="T1619" s="7"/>
    </row>
    <row r="1620" spans="1:20" ht="14.25" customHeight="1">
      <c r="A1620" s="4"/>
      <c r="B1620" s="38">
        <v>8111</v>
      </c>
      <c r="C1620" s="22" t="str">
        <f>IFERROR(VLOOKUP(B1620,Colaboradores!A:D,2,),"")</f>
        <v>FABIANA SILVA COSTA</v>
      </c>
      <c r="D1620" s="22" t="str">
        <f>IFERROR(VLOOKUP(B1620,Colaboradores!A:D,3,),"")</f>
        <v>SAÚDE OCUPACIONAL</v>
      </c>
      <c r="E1620" s="22" t="str">
        <f>IFERROR(VLOOKUP(B1620,Colaboradores!A:D,4,),"")</f>
        <v>ASSESSOR(A) DE FISIOTERAPIA</v>
      </c>
      <c r="F1620" s="47" t="s">
        <v>53</v>
      </c>
      <c r="G1620" s="24" t="str">
        <f>IFERROR(VLOOKUP(F1620,Procedimentos!A:C,2,),"")</f>
        <v>DIRETRIZES PARA MONITORAMENTO DE GESTANTE</v>
      </c>
      <c r="H1620" s="25"/>
      <c r="I1620" s="51"/>
      <c r="J1620" s="4"/>
      <c r="K1620" s="25" t="str">
        <f t="shared" si="66"/>
        <v/>
      </c>
      <c r="L1620" s="7"/>
      <c r="M1620" s="4"/>
      <c r="N1620" s="7"/>
      <c r="O1620" s="4"/>
      <c r="P1620" s="51"/>
      <c r="Q1620" s="51"/>
      <c r="R1620" s="51"/>
      <c r="S1620" s="7"/>
      <c r="T1620" s="7"/>
    </row>
    <row r="1621" spans="1:20" ht="14.25" customHeight="1">
      <c r="A1621" s="4"/>
      <c r="B1621" s="38">
        <v>14972</v>
      </c>
      <c r="C1621" s="22" t="str">
        <f>IFERROR(VLOOKUP(B1621,Colaboradores!A:D,2,),"")</f>
        <v>JUAN PABLO SOUSA FARIAS</v>
      </c>
      <c r="D1621" s="22" t="str">
        <f>IFERROR(VLOOKUP(B1621,Colaboradores!A:D,3,),"")</f>
        <v>SAÚDE OCUPACIONAL</v>
      </c>
      <c r="E1621" s="22" t="str">
        <f>IFERROR(VLOOKUP(B1621,Colaboradores!A:D,4,),"")</f>
        <v>JOVEM APRENDIZ</v>
      </c>
      <c r="F1621" s="47" t="s">
        <v>53</v>
      </c>
      <c r="G1621" s="24" t="str">
        <f>IFERROR(VLOOKUP(F1621,Procedimentos!A:C,2,),"")</f>
        <v>DIRETRIZES PARA MONITORAMENTO DE GESTANTE</v>
      </c>
      <c r="H1621" s="25"/>
      <c r="I1621" s="51"/>
      <c r="J1621" s="4"/>
      <c r="K1621" s="25" t="str">
        <f t="shared" si="66"/>
        <v/>
      </c>
      <c r="L1621" s="7"/>
      <c r="M1621" s="4"/>
      <c r="N1621" s="7"/>
      <c r="O1621" s="4"/>
      <c r="P1621" s="51"/>
      <c r="Q1621" s="51"/>
      <c r="R1621" s="51"/>
      <c r="S1621" s="7"/>
      <c r="T1621" s="7"/>
    </row>
    <row r="1622" spans="1:20" ht="14.25" customHeight="1">
      <c r="A1622" s="4"/>
      <c r="B1622" s="38">
        <v>13594</v>
      </c>
      <c r="C1622" s="22" t="str">
        <f>IFERROR(VLOOKUP(B1622,Colaboradores!A:D,2,),"")</f>
        <v>MARCIO AUGUSTO SILVA MIRANDA</v>
      </c>
      <c r="D1622" s="22" t="str">
        <f>IFERROR(VLOOKUP(B1622,Colaboradores!A:D,3,),"")</f>
        <v>SAÚDE OCUPACIONAL</v>
      </c>
      <c r="E1622" s="22" t="str">
        <f>IFERROR(VLOOKUP(B1622,Colaboradores!A:D,4,),"")</f>
        <v>ASSESSOR (A) CLINICO</v>
      </c>
      <c r="F1622" s="47" t="s">
        <v>53</v>
      </c>
      <c r="G1622" s="24" t="str">
        <f>IFERROR(VLOOKUP(F1622,Procedimentos!A:C,2,),"")</f>
        <v>DIRETRIZES PARA MONITORAMENTO DE GESTANTE</v>
      </c>
      <c r="H1622" s="25"/>
      <c r="I1622" s="51"/>
      <c r="J1622" s="4"/>
      <c r="K1622" s="25" t="str">
        <f t="shared" si="66"/>
        <v/>
      </c>
      <c r="L1622" s="7"/>
      <c r="M1622" s="4"/>
      <c r="N1622" s="7"/>
      <c r="O1622" s="4"/>
      <c r="P1622" s="51"/>
      <c r="Q1622" s="51"/>
      <c r="R1622" s="51"/>
      <c r="S1622" s="7"/>
      <c r="T1622" s="7"/>
    </row>
    <row r="1623" spans="1:20" ht="14.25" customHeight="1">
      <c r="A1623" s="4"/>
      <c r="B1623" s="38">
        <v>14499</v>
      </c>
      <c r="C1623" s="22" t="str">
        <f>IFERROR(VLOOKUP(B1623,Colaboradores!A:D,2,),"")</f>
        <v>SAMIRIS COSTA DA SILVA</v>
      </c>
      <c r="D1623" s="22" t="str">
        <f>IFERROR(VLOOKUP(B1623,Colaboradores!A:D,3,),"")</f>
        <v>SAÚDE OCUPACIONAL</v>
      </c>
      <c r="E1623" s="22" t="str">
        <f>IFERROR(VLOOKUP(B1623,Colaboradores!A:D,4,),"")</f>
        <v>PSICÓLOGA</v>
      </c>
      <c r="F1623" s="47" t="s">
        <v>53</v>
      </c>
      <c r="G1623" s="24" t="str">
        <f>IFERROR(VLOOKUP(F1623,Procedimentos!A:C,2,),"")</f>
        <v>DIRETRIZES PARA MONITORAMENTO DE GESTANTE</v>
      </c>
      <c r="H1623" s="25"/>
      <c r="I1623" s="51"/>
      <c r="J1623" s="4"/>
      <c r="K1623" s="25" t="str">
        <f t="shared" si="66"/>
        <v/>
      </c>
      <c r="L1623" s="7"/>
      <c r="M1623" s="4"/>
      <c r="N1623" s="7"/>
      <c r="O1623" s="4"/>
      <c r="P1623" s="51"/>
      <c r="Q1623" s="51"/>
      <c r="R1623" s="51"/>
      <c r="S1623" s="7"/>
      <c r="T1623" s="7"/>
    </row>
    <row r="1624" spans="1:20" ht="14.25" customHeight="1">
      <c r="A1624" s="4"/>
      <c r="B1624" s="38">
        <v>12463</v>
      </c>
      <c r="C1624" s="22" t="str">
        <f>IFERROR(VLOOKUP(B1624,Colaboradores!A:D,2,),"")</f>
        <v>SAMMY RAYANA L. SANTOS</v>
      </c>
      <c r="D1624" s="22" t="str">
        <f>IFERROR(VLOOKUP(B1624,Colaboradores!A:D,3,),"")</f>
        <v>SAÚDE OCUPACIONAL</v>
      </c>
      <c r="E1624" s="22" t="str">
        <f>IFERROR(VLOOKUP(B1624,Colaboradores!A:D,4,),"")</f>
        <v>ASSESSOR(A) DE SERVIÇO SOCIAL</v>
      </c>
      <c r="F1624" s="47" t="s">
        <v>53</v>
      </c>
      <c r="G1624" s="24" t="str">
        <f>IFERROR(VLOOKUP(F1624,Procedimentos!A:C,2,),"")</f>
        <v>DIRETRIZES PARA MONITORAMENTO DE GESTANTE</v>
      </c>
      <c r="H1624" s="25"/>
      <c r="I1624" s="51"/>
      <c r="J1624" s="4"/>
      <c r="K1624" s="25" t="str">
        <f t="shared" si="66"/>
        <v/>
      </c>
      <c r="L1624" s="7"/>
      <c r="M1624" s="4"/>
      <c r="N1624" s="7"/>
      <c r="O1624" s="4"/>
      <c r="P1624" s="51"/>
      <c r="Q1624" s="51"/>
      <c r="R1624" s="51"/>
      <c r="S1624" s="7"/>
      <c r="T1624" s="7"/>
    </row>
    <row r="1625" spans="1:20" ht="14.25" customHeight="1">
      <c r="A1625" s="4"/>
      <c r="B1625" s="38">
        <v>13100</v>
      </c>
      <c r="C1625" s="22" t="str">
        <f>IFERROR(VLOOKUP(B1625,Colaboradores!A:D,2,),"")</f>
        <v>TAYNAH SOARES DE SOUZA CAMARAO</v>
      </c>
      <c r="D1625" s="22" t="str">
        <f>IFERROR(VLOOKUP(B1625,Colaboradores!A:D,3,),"")</f>
        <v>SAÚDE OCUPACIONAL</v>
      </c>
      <c r="E1625" s="22" t="str">
        <f>IFERROR(VLOOKUP(B1625,Colaboradores!A:D,4,),"")</f>
        <v>MÉDICA</v>
      </c>
      <c r="F1625" s="47" t="s">
        <v>53</v>
      </c>
      <c r="G1625" s="24" t="str">
        <f>IFERROR(VLOOKUP(F1625,Procedimentos!A:C,2,),"")</f>
        <v>DIRETRIZES PARA MONITORAMENTO DE GESTANTE</v>
      </c>
      <c r="H1625" s="25"/>
      <c r="I1625" s="51"/>
      <c r="J1625" s="4"/>
      <c r="K1625" s="25" t="str">
        <f t="shared" si="66"/>
        <v/>
      </c>
      <c r="L1625" s="7"/>
      <c r="M1625" s="4"/>
      <c r="N1625" s="7"/>
      <c r="O1625" s="4"/>
      <c r="P1625" s="51"/>
      <c r="Q1625" s="51"/>
      <c r="R1625" s="51"/>
      <c r="S1625" s="7"/>
      <c r="T1625" s="7"/>
    </row>
    <row r="1626" spans="1:20" ht="14.25" customHeight="1">
      <c r="A1626" s="4"/>
      <c r="B1626" s="38">
        <v>14962</v>
      </c>
      <c r="C1626" s="22" t="str">
        <f>IFERROR(VLOOKUP(B1626,Colaboradores!A:D,2,),"")</f>
        <v>YASMIN KARINE DE OLIVEIRA SOARES</v>
      </c>
      <c r="D1626" s="22" t="str">
        <f>IFERROR(VLOOKUP(B1626,Colaboradores!A:D,3,),"")</f>
        <v>SAÚDE OCUPACIONAL</v>
      </c>
      <c r="E1626" s="22" t="str">
        <f>IFERROR(VLOOKUP(B1626,Colaboradores!A:D,4,),"")</f>
        <v>JOVEM APRENDIZ</v>
      </c>
      <c r="F1626" s="47" t="s">
        <v>53</v>
      </c>
      <c r="G1626" s="24" t="str">
        <f>IFERROR(VLOOKUP(F1626,Procedimentos!A:C,2,),"")</f>
        <v>DIRETRIZES PARA MONITORAMENTO DE GESTANTE</v>
      </c>
      <c r="H1626" s="25"/>
      <c r="I1626" s="51"/>
      <c r="J1626" s="4"/>
      <c r="K1626" s="25" t="str">
        <f t="shared" si="66"/>
        <v/>
      </c>
      <c r="L1626" s="7"/>
      <c r="M1626" s="4"/>
      <c r="N1626" s="7"/>
      <c r="O1626" s="4"/>
      <c r="P1626" s="51"/>
      <c r="Q1626" s="51"/>
      <c r="R1626" s="51"/>
      <c r="S1626" s="7"/>
      <c r="T1626" s="7"/>
    </row>
    <row r="1627" spans="1:20" ht="14.25" customHeight="1">
      <c r="A1627" s="4"/>
      <c r="B1627" s="38">
        <v>24306</v>
      </c>
      <c r="C1627" s="22" t="str">
        <f>IFERROR(VLOOKUP(B1627,Colaboradores!A:D,2,),"")</f>
        <v>ANNA MARIA ARAUJO PIORSKI</v>
      </c>
      <c r="D1627" s="22" t="str">
        <f>IFERROR(VLOOKUP(B1627,Colaboradores!A:D,3,),"")</f>
        <v>SAÚDE OCUPACIONAL</v>
      </c>
      <c r="E1627" s="22" t="str">
        <f>IFERROR(VLOOKUP(B1627,Colaboradores!A:D,4,),"")</f>
        <v>ASSESSOR(A) DE NUTRIÇÃO</v>
      </c>
      <c r="F1627" s="47" t="s">
        <v>54</v>
      </c>
      <c r="G1627" s="24" t="str">
        <f>IFERROR(VLOOKUP(F1627,Procedimentos!A:C,2,),"")</f>
        <v>DIRETRIZES DE IMUNIZAÇÃO OCUPACIONAL</v>
      </c>
      <c r="H1627" s="25"/>
      <c r="I1627" s="51"/>
      <c r="J1627" s="4"/>
      <c r="K1627" s="25" t="str">
        <f t="shared" si="66"/>
        <v/>
      </c>
      <c r="L1627" s="7"/>
      <c r="M1627" s="4"/>
      <c r="N1627" s="7"/>
      <c r="O1627" s="4"/>
      <c r="P1627" s="51"/>
      <c r="Q1627" s="51"/>
      <c r="R1627" s="51"/>
      <c r="S1627" s="7"/>
      <c r="T1627" s="7"/>
    </row>
    <row r="1628" spans="1:20" ht="14.25" customHeight="1">
      <c r="A1628" s="4"/>
      <c r="B1628" s="38">
        <v>12330</v>
      </c>
      <c r="C1628" s="22" t="str">
        <f>IFERROR(VLOOKUP(B1628,Colaboradores!A:D,2,),"")</f>
        <v>BIANCA GUEDES SILVA ALMEIDA</v>
      </c>
      <c r="D1628" s="22" t="str">
        <f>IFERROR(VLOOKUP(B1628,Colaboradores!A:D,3,),"")</f>
        <v>SAÚDE OCUPACIONAL</v>
      </c>
      <c r="E1628" s="22" t="str">
        <f>IFERROR(VLOOKUP(B1628,Colaboradores!A:D,4,),"")</f>
        <v>NUTRICIONISTA</v>
      </c>
      <c r="F1628" s="47" t="s">
        <v>54</v>
      </c>
      <c r="G1628" s="24" t="str">
        <f>IFERROR(VLOOKUP(F1628,Procedimentos!A:C,2,),"")</f>
        <v>DIRETRIZES DE IMUNIZAÇÃO OCUPACIONAL</v>
      </c>
      <c r="H1628" s="25"/>
      <c r="I1628" s="51"/>
      <c r="J1628" s="4"/>
      <c r="K1628" s="25" t="str">
        <f t="shared" si="66"/>
        <v/>
      </c>
      <c r="L1628" s="7"/>
      <c r="M1628" s="4"/>
      <c r="N1628" s="7"/>
      <c r="O1628" s="4"/>
      <c r="P1628" s="51"/>
      <c r="Q1628" s="51"/>
      <c r="R1628" s="51"/>
      <c r="S1628" s="7"/>
      <c r="T1628" s="7"/>
    </row>
    <row r="1629" spans="1:20" ht="14.25" customHeight="1">
      <c r="A1629" s="4"/>
      <c r="B1629" s="38">
        <v>14990</v>
      </c>
      <c r="C1629" s="22" t="str">
        <f>IFERROR(VLOOKUP(B1629,Colaboradores!A:D,2,),"")</f>
        <v>DAVID DE JESUS PEREIRA FONSECA</v>
      </c>
      <c r="D1629" s="22" t="str">
        <f>IFERROR(VLOOKUP(B1629,Colaboradores!A:D,3,),"")</f>
        <v>SAÚDE OCUPACIONAL</v>
      </c>
      <c r="E1629" s="22" t="str">
        <f>IFERROR(VLOOKUP(B1629,Colaboradores!A:D,4,),"")</f>
        <v>JOVEM APRENDIZ</v>
      </c>
      <c r="F1629" s="47" t="s">
        <v>54</v>
      </c>
      <c r="G1629" s="24" t="str">
        <f>IFERROR(VLOOKUP(F1629,Procedimentos!A:C,2,),"")</f>
        <v>DIRETRIZES DE IMUNIZAÇÃO OCUPACIONAL</v>
      </c>
      <c r="H1629" s="25"/>
      <c r="I1629" s="51"/>
      <c r="J1629" s="4"/>
      <c r="K1629" s="25" t="str">
        <f t="shared" si="66"/>
        <v/>
      </c>
      <c r="L1629" s="7"/>
      <c r="M1629" s="4"/>
      <c r="N1629" s="7"/>
      <c r="O1629" s="4"/>
      <c r="P1629" s="51"/>
      <c r="Q1629" s="51"/>
      <c r="R1629" s="51"/>
      <c r="S1629" s="7"/>
      <c r="T1629" s="7"/>
    </row>
    <row r="1630" spans="1:20" ht="14.25" customHeight="1">
      <c r="A1630" s="4"/>
      <c r="B1630" s="38">
        <v>9058</v>
      </c>
      <c r="C1630" s="22" t="str">
        <f>IFERROR(VLOOKUP(B1630,Colaboradores!A:D,2,),"")</f>
        <v>DENISE CRISTRINA CASTRO</v>
      </c>
      <c r="D1630" s="22" t="str">
        <f>IFERROR(VLOOKUP(B1630,Colaboradores!A:D,3,),"")</f>
        <v>SAÚDE OCUPACIONAL</v>
      </c>
      <c r="E1630" s="22" t="str">
        <f>IFERROR(VLOOKUP(B1630,Colaboradores!A:D,4,),"")</f>
        <v>ASSESSOR(A) DE SERVIÇO SOCIAL</v>
      </c>
      <c r="F1630" s="47" t="s">
        <v>54</v>
      </c>
      <c r="G1630" s="24" t="str">
        <f>IFERROR(VLOOKUP(F1630,Procedimentos!A:C,2,),"")</f>
        <v>DIRETRIZES DE IMUNIZAÇÃO OCUPACIONAL</v>
      </c>
      <c r="H1630" s="25"/>
      <c r="I1630" s="51"/>
      <c r="J1630" s="4"/>
      <c r="K1630" s="25" t="str">
        <f t="shared" si="66"/>
        <v/>
      </c>
      <c r="L1630" s="7"/>
      <c r="M1630" s="4"/>
      <c r="N1630" s="7"/>
      <c r="O1630" s="4"/>
      <c r="P1630" s="51"/>
      <c r="Q1630" s="51"/>
      <c r="R1630" s="51"/>
      <c r="S1630" s="7"/>
      <c r="T1630" s="7"/>
    </row>
    <row r="1631" spans="1:20" ht="14.25" customHeight="1">
      <c r="A1631" s="4"/>
      <c r="B1631" s="38">
        <v>8111</v>
      </c>
      <c r="C1631" s="22" t="str">
        <f>IFERROR(VLOOKUP(B1631,Colaboradores!A:D,2,),"")</f>
        <v>FABIANA SILVA COSTA</v>
      </c>
      <c r="D1631" s="22" t="str">
        <f>IFERROR(VLOOKUP(B1631,Colaboradores!A:D,3,),"")</f>
        <v>SAÚDE OCUPACIONAL</v>
      </c>
      <c r="E1631" s="22" t="str">
        <f>IFERROR(VLOOKUP(B1631,Colaboradores!A:D,4,),"")</f>
        <v>ASSESSOR(A) DE FISIOTERAPIA</v>
      </c>
      <c r="F1631" s="47" t="s">
        <v>54</v>
      </c>
      <c r="G1631" s="24" t="str">
        <f>IFERROR(VLOOKUP(F1631,Procedimentos!A:C,2,),"")</f>
        <v>DIRETRIZES DE IMUNIZAÇÃO OCUPACIONAL</v>
      </c>
      <c r="H1631" s="25"/>
      <c r="I1631" s="51"/>
      <c r="J1631" s="4"/>
      <c r="K1631" s="25" t="str">
        <f t="shared" si="66"/>
        <v/>
      </c>
      <c r="L1631" s="7"/>
      <c r="M1631" s="4"/>
      <c r="N1631" s="7"/>
      <c r="O1631" s="4"/>
      <c r="P1631" s="51"/>
      <c r="Q1631" s="51"/>
      <c r="R1631" s="51"/>
      <c r="S1631" s="7"/>
      <c r="T1631" s="7"/>
    </row>
    <row r="1632" spans="1:20" ht="14.25" customHeight="1">
      <c r="A1632" s="4"/>
      <c r="B1632" s="38">
        <v>14972</v>
      </c>
      <c r="C1632" s="22" t="str">
        <f>IFERROR(VLOOKUP(B1632,Colaboradores!A:D,2,),"")</f>
        <v>JUAN PABLO SOUSA FARIAS</v>
      </c>
      <c r="D1632" s="22" t="str">
        <f>IFERROR(VLOOKUP(B1632,Colaboradores!A:D,3,),"")</f>
        <v>SAÚDE OCUPACIONAL</v>
      </c>
      <c r="E1632" s="22" t="str">
        <f>IFERROR(VLOOKUP(B1632,Colaboradores!A:D,4,),"")</f>
        <v>JOVEM APRENDIZ</v>
      </c>
      <c r="F1632" s="47" t="s">
        <v>54</v>
      </c>
      <c r="G1632" s="24" t="str">
        <f>IFERROR(VLOOKUP(F1632,Procedimentos!A:C,2,),"")</f>
        <v>DIRETRIZES DE IMUNIZAÇÃO OCUPACIONAL</v>
      </c>
      <c r="H1632" s="25"/>
      <c r="I1632" s="51"/>
      <c r="J1632" s="4"/>
      <c r="K1632" s="25" t="str">
        <f t="shared" si="66"/>
        <v/>
      </c>
      <c r="L1632" s="7"/>
      <c r="M1632" s="4"/>
      <c r="N1632" s="7"/>
      <c r="O1632" s="4"/>
      <c r="P1632" s="51"/>
      <c r="Q1632" s="51"/>
      <c r="R1632" s="51"/>
      <c r="S1632" s="7"/>
      <c r="T1632" s="7"/>
    </row>
    <row r="1633" spans="1:20" ht="14.25" customHeight="1">
      <c r="A1633" s="4"/>
      <c r="B1633" s="38">
        <v>13594</v>
      </c>
      <c r="C1633" s="22" t="str">
        <f>IFERROR(VLOOKUP(B1633,Colaboradores!A:D,2,),"")</f>
        <v>MARCIO AUGUSTO SILVA MIRANDA</v>
      </c>
      <c r="D1633" s="22" t="str">
        <f>IFERROR(VLOOKUP(B1633,Colaboradores!A:D,3,),"")</f>
        <v>SAÚDE OCUPACIONAL</v>
      </c>
      <c r="E1633" s="22" t="str">
        <f>IFERROR(VLOOKUP(B1633,Colaboradores!A:D,4,),"")</f>
        <v>ASSESSOR (A) CLINICO</v>
      </c>
      <c r="F1633" s="47" t="s">
        <v>54</v>
      </c>
      <c r="G1633" s="24" t="str">
        <f>IFERROR(VLOOKUP(F1633,Procedimentos!A:C,2,),"")</f>
        <v>DIRETRIZES DE IMUNIZAÇÃO OCUPACIONAL</v>
      </c>
      <c r="H1633" s="25"/>
      <c r="I1633" s="51"/>
      <c r="J1633" s="4"/>
      <c r="K1633" s="25" t="str">
        <f t="shared" si="66"/>
        <v/>
      </c>
      <c r="L1633" s="7"/>
      <c r="M1633" s="4"/>
      <c r="N1633" s="7"/>
      <c r="O1633" s="4"/>
      <c r="P1633" s="51"/>
      <c r="Q1633" s="51"/>
      <c r="R1633" s="51"/>
      <c r="S1633" s="7"/>
      <c r="T1633" s="7"/>
    </row>
    <row r="1634" spans="1:20" ht="14.25" customHeight="1">
      <c r="A1634" s="4"/>
      <c r="B1634" s="38">
        <v>14499</v>
      </c>
      <c r="C1634" s="22" t="str">
        <f>IFERROR(VLOOKUP(B1634,Colaboradores!A:D,2,),"")</f>
        <v>SAMIRIS COSTA DA SILVA</v>
      </c>
      <c r="D1634" s="22" t="str">
        <f>IFERROR(VLOOKUP(B1634,Colaboradores!A:D,3,),"")</f>
        <v>SAÚDE OCUPACIONAL</v>
      </c>
      <c r="E1634" s="22" t="str">
        <f>IFERROR(VLOOKUP(B1634,Colaboradores!A:D,4,),"")</f>
        <v>PSICÓLOGA</v>
      </c>
      <c r="F1634" s="47" t="s">
        <v>54</v>
      </c>
      <c r="G1634" s="24" t="str">
        <f>IFERROR(VLOOKUP(F1634,Procedimentos!A:C,2,),"")</f>
        <v>DIRETRIZES DE IMUNIZAÇÃO OCUPACIONAL</v>
      </c>
      <c r="H1634" s="25"/>
      <c r="I1634" s="51"/>
      <c r="J1634" s="4"/>
      <c r="K1634" s="25" t="str">
        <f t="shared" si="66"/>
        <v/>
      </c>
      <c r="L1634" s="7"/>
      <c r="M1634" s="4"/>
      <c r="N1634" s="7"/>
      <c r="O1634" s="4"/>
      <c r="P1634" s="51"/>
      <c r="Q1634" s="51"/>
      <c r="R1634" s="51"/>
      <c r="S1634" s="7"/>
      <c r="T1634" s="7"/>
    </row>
    <row r="1635" spans="1:20" ht="14.25" customHeight="1">
      <c r="A1635" s="4"/>
      <c r="B1635" s="38">
        <v>12463</v>
      </c>
      <c r="C1635" s="22" t="str">
        <f>IFERROR(VLOOKUP(B1635,Colaboradores!A:D,2,),"")</f>
        <v>SAMMY RAYANA L. SANTOS</v>
      </c>
      <c r="D1635" s="22" t="str">
        <f>IFERROR(VLOOKUP(B1635,Colaboradores!A:D,3,),"")</f>
        <v>SAÚDE OCUPACIONAL</v>
      </c>
      <c r="E1635" s="22" t="str">
        <f>IFERROR(VLOOKUP(B1635,Colaboradores!A:D,4,),"")</f>
        <v>ASSESSOR(A) DE SERVIÇO SOCIAL</v>
      </c>
      <c r="F1635" s="47" t="s">
        <v>54</v>
      </c>
      <c r="G1635" s="24" t="str">
        <f>IFERROR(VLOOKUP(F1635,Procedimentos!A:C,2,),"")</f>
        <v>DIRETRIZES DE IMUNIZAÇÃO OCUPACIONAL</v>
      </c>
      <c r="H1635" s="25"/>
      <c r="I1635" s="51"/>
      <c r="J1635" s="4"/>
      <c r="K1635" s="25" t="str">
        <f t="shared" si="66"/>
        <v/>
      </c>
      <c r="L1635" s="7"/>
      <c r="M1635" s="4"/>
      <c r="N1635" s="7"/>
      <c r="O1635" s="4"/>
      <c r="P1635" s="51"/>
      <c r="Q1635" s="51"/>
      <c r="R1635" s="51"/>
      <c r="S1635" s="7"/>
      <c r="T1635" s="7"/>
    </row>
    <row r="1636" spans="1:20" ht="14.25" customHeight="1">
      <c r="A1636" s="4"/>
      <c r="B1636" s="38">
        <v>13100</v>
      </c>
      <c r="C1636" s="22" t="str">
        <f>IFERROR(VLOOKUP(B1636,Colaboradores!A:D,2,),"")</f>
        <v>TAYNAH SOARES DE SOUZA CAMARAO</v>
      </c>
      <c r="D1636" s="22" t="str">
        <f>IFERROR(VLOOKUP(B1636,Colaboradores!A:D,3,),"")</f>
        <v>SAÚDE OCUPACIONAL</v>
      </c>
      <c r="E1636" s="22" t="str">
        <f>IFERROR(VLOOKUP(B1636,Colaboradores!A:D,4,),"")</f>
        <v>MÉDICA</v>
      </c>
      <c r="F1636" s="47" t="s">
        <v>54</v>
      </c>
      <c r="G1636" s="24" t="str">
        <f>IFERROR(VLOOKUP(F1636,Procedimentos!A:C,2,),"")</f>
        <v>DIRETRIZES DE IMUNIZAÇÃO OCUPACIONAL</v>
      </c>
      <c r="H1636" s="25"/>
      <c r="I1636" s="51"/>
      <c r="J1636" s="4"/>
      <c r="K1636" s="25" t="str">
        <f t="shared" si="66"/>
        <v/>
      </c>
      <c r="L1636" s="7"/>
      <c r="M1636" s="4"/>
      <c r="N1636" s="7"/>
      <c r="O1636" s="4"/>
      <c r="P1636" s="51"/>
      <c r="Q1636" s="51"/>
      <c r="R1636" s="51"/>
      <c r="S1636" s="7"/>
      <c r="T1636" s="7"/>
    </row>
    <row r="1637" spans="1:20" ht="14.25" customHeight="1">
      <c r="A1637" s="4"/>
      <c r="B1637" s="38">
        <v>14962</v>
      </c>
      <c r="C1637" s="22" t="str">
        <f>IFERROR(VLOOKUP(B1637,Colaboradores!A:D,2,),"")</f>
        <v>YASMIN KARINE DE OLIVEIRA SOARES</v>
      </c>
      <c r="D1637" s="22" t="str">
        <f>IFERROR(VLOOKUP(B1637,Colaboradores!A:D,3,),"")</f>
        <v>SAÚDE OCUPACIONAL</v>
      </c>
      <c r="E1637" s="22" t="str">
        <f>IFERROR(VLOOKUP(B1637,Colaboradores!A:D,4,),"")</f>
        <v>JOVEM APRENDIZ</v>
      </c>
      <c r="F1637" s="47" t="s">
        <v>54</v>
      </c>
      <c r="G1637" s="24" t="str">
        <f>IFERROR(VLOOKUP(F1637,Procedimentos!A:C,2,),"")</f>
        <v>DIRETRIZES DE IMUNIZAÇÃO OCUPACIONAL</v>
      </c>
      <c r="H1637" s="25"/>
      <c r="I1637" s="51"/>
      <c r="J1637" s="4"/>
      <c r="K1637" s="25" t="str">
        <f t="shared" si="66"/>
        <v/>
      </c>
      <c r="L1637" s="7"/>
      <c r="M1637" s="4"/>
      <c r="N1637" s="7"/>
      <c r="O1637" s="4"/>
      <c r="P1637" s="51"/>
      <c r="Q1637" s="51"/>
      <c r="R1637" s="51"/>
      <c r="S1637" s="7"/>
      <c r="T1637" s="7"/>
    </row>
    <row r="1638" spans="1:20" ht="14.25" customHeight="1">
      <c r="A1638" s="4"/>
      <c r="B1638" s="38">
        <v>24306</v>
      </c>
      <c r="C1638" s="22" t="str">
        <f>IFERROR(VLOOKUP(B1638,Colaboradores!A:D,2,),"")</f>
        <v>ANNA MARIA ARAUJO PIORSKI</v>
      </c>
      <c r="D1638" s="22" t="str">
        <f>IFERROR(VLOOKUP(B1638,Colaboradores!A:D,3,),"")</f>
        <v>SAÚDE OCUPACIONAL</v>
      </c>
      <c r="E1638" s="22" t="str">
        <f>IFERROR(VLOOKUP(B1638,Colaboradores!A:D,4,),"")</f>
        <v>ASSESSOR(A) DE NUTRIÇÃO</v>
      </c>
      <c r="F1638" s="47" t="s">
        <v>55</v>
      </c>
      <c r="G1638" s="24" t="str">
        <f>IFERROR(VLOOKUP(F1638,Procedimentos!A:C,2,),"")</f>
        <v>DIRETRIZES PARA ACOMPANHAMENTO DE AFASTADOS</v>
      </c>
      <c r="H1638" s="25"/>
      <c r="I1638" s="51"/>
      <c r="J1638" s="4"/>
      <c r="K1638" s="25" t="str">
        <f t="shared" si="66"/>
        <v/>
      </c>
      <c r="L1638" s="7"/>
      <c r="M1638" s="4"/>
      <c r="N1638" s="7"/>
      <c r="O1638" s="4"/>
      <c r="P1638" s="51"/>
      <c r="Q1638" s="51"/>
      <c r="R1638" s="51"/>
      <c r="S1638" s="7"/>
      <c r="T1638" s="7"/>
    </row>
    <row r="1639" spans="1:20" ht="14.25" customHeight="1">
      <c r="A1639" s="4"/>
      <c r="B1639" s="38">
        <v>12330</v>
      </c>
      <c r="C1639" s="22" t="str">
        <f>IFERROR(VLOOKUP(B1639,Colaboradores!A:D,2,),"")</f>
        <v>BIANCA GUEDES SILVA ALMEIDA</v>
      </c>
      <c r="D1639" s="22" t="str">
        <f>IFERROR(VLOOKUP(B1639,Colaboradores!A:D,3,),"")</f>
        <v>SAÚDE OCUPACIONAL</v>
      </c>
      <c r="E1639" s="22" t="str">
        <f>IFERROR(VLOOKUP(B1639,Colaboradores!A:D,4,),"")</f>
        <v>NUTRICIONISTA</v>
      </c>
      <c r="F1639" s="47" t="s">
        <v>55</v>
      </c>
      <c r="G1639" s="24" t="str">
        <f>IFERROR(VLOOKUP(F1639,Procedimentos!A:C,2,),"")</f>
        <v>DIRETRIZES PARA ACOMPANHAMENTO DE AFASTADOS</v>
      </c>
      <c r="H1639" s="25"/>
      <c r="I1639" s="51"/>
      <c r="J1639" s="4"/>
      <c r="K1639" s="25" t="str">
        <f t="shared" si="66"/>
        <v/>
      </c>
      <c r="L1639" s="7"/>
      <c r="M1639" s="4"/>
      <c r="N1639" s="7"/>
      <c r="O1639" s="4"/>
      <c r="P1639" s="51"/>
      <c r="Q1639" s="51"/>
      <c r="R1639" s="51"/>
      <c r="S1639" s="7"/>
      <c r="T1639" s="7"/>
    </row>
    <row r="1640" spans="1:20" ht="14.25" customHeight="1">
      <c r="A1640" s="4"/>
      <c r="B1640" s="38">
        <v>14990</v>
      </c>
      <c r="C1640" s="22" t="str">
        <f>IFERROR(VLOOKUP(B1640,Colaboradores!A:D,2,),"")</f>
        <v>DAVID DE JESUS PEREIRA FONSECA</v>
      </c>
      <c r="D1640" s="22" t="str">
        <f>IFERROR(VLOOKUP(B1640,Colaboradores!A:D,3,),"")</f>
        <v>SAÚDE OCUPACIONAL</v>
      </c>
      <c r="E1640" s="22" t="str">
        <f>IFERROR(VLOOKUP(B1640,Colaboradores!A:D,4,),"")</f>
        <v>JOVEM APRENDIZ</v>
      </c>
      <c r="F1640" s="47" t="s">
        <v>55</v>
      </c>
      <c r="G1640" s="24" t="str">
        <f>IFERROR(VLOOKUP(F1640,Procedimentos!A:C,2,),"")</f>
        <v>DIRETRIZES PARA ACOMPANHAMENTO DE AFASTADOS</v>
      </c>
      <c r="H1640" s="25"/>
      <c r="I1640" s="51"/>
      <c r="J1640" s="4"/>
      <c r="K1640" s="25" t="str">
        <f t="shared" si="66"/>
        <v/>
      </c>
      <c r="L1640" s="7"/>
      <c r="M1640" s="4"/>
      <c r="N1640" s="7"/>
      <c r="O1640" s="4"/>
      <c r="P1640" s="51"/>
      <c r="Q1640" s="51"/>
      <c r="R1640" s="51"/>
      <c r="S1640" s="7"/>
      <c r="T1640" s="7"/>
    </row>
    <row r="1641" spans="1:20" ht="14.25" customHeight="1">
      <c r="A1641" s="4"/>
      <c r="B1641" s="38">
        <v>9058</v>
      </c>
      <c r="C1641" s="22" t="str">
        <f>IFERROR(VLOOKUP(B1641,Colaboradores!A:D,2,),"")</f>
        <v>DENISE CRISTRINA CASTRO</v>
      </c>
      <c r="D1641" s="22" t="str">
        <f>IFERROR(VLOOKUP(B1641,Colaboradores!A:D,3,),"")</f>
        <v>SAÚDE OCUPACIONAL</v>
      </c>
      <c r="E1641" s="22" t="str">
        <f>IFERROR(VLOOKUP(B1641,Colaboradores!A:D,4,),"")</f>
        <v>ASSESSOR(A) DE SERVIÇO SOCIAL</v>
      </c>
      <c r="F1641" s="47" t="s">
        <v>55</v>
      </c>
      <c r="G1641" s="24" t="str">
        <f>IFERROR(VLOOKUP(F1641,Procedimentos!A:C,2,),"")</f>
        <v>DIRETRIZES PARA ACOMPANHAMENTO DE AFASTADOS</v>
      </c>
      <c r="H1641" s="25"/>
      <c r="I1641" s="51"/>
      <c r="J1641" s="4"/>
      <c r="K1641" s="25" t="str">
        <f t="shared" si="66"/>
        <v/>
      </c>
      <c r="L1641" s="7"/>
      <c r="M1641" s="4"/>
      <c r="N1641" s="7"/>
      <c r="O1641" s="4"/>
      <c r="P1641" s="51"/>
      <c r="Q1641" s="51"/>
      <c r="R1641" s="51"/>
      <c r="S1641" s="7"/>
      <c r="T1641" s="7"/>
    </row>
    <row r="1642" spans="1:20" ht="14.25" customHeight="1">
      <c r="A1642" s="4"/>
      <c r="B1642" s="38">
        <v>8111</v>
      </c>
      <c r="C1642" s="22" t="str">
        <f>IFERROR(VLOOKUP(B1642,Colaboradores!A:D,2,),"")</f>
        <v>FABIANA SILVA COSTA</v>
      </c>
      <c r="D1642" s="22" t="str">
        <f>IFERROR(VLOOKUP(B1642,Colaboradores!A:D,3,),"")</f>
        <v>SAÚDE OCUPACIONAL</v>
      </c>
      <c r="E1642" s="22" t="str">
        <f>IFERROR(VLOOKUP(B1642,Colaboradores!A:D,4,),"")</f>
        <v>ASSESSOR(A) DE FISIOTERAPIA</v>
      </c>
      <c r="F1642" s="47" t="s">
        <v>55</v>
      </c>
      <c r="G1642" s="24" t="str">
        <f>IFERROR(VLOOKUP(F1642,Procedimentos!A:C,2,),"")</f>
        <v>DIRETRIZES PARA ACOMPANHAMENTO DE AFASTADOS</v>
      </c>
      <c r="H1642" s="25"/>
      <c r="I1642" s="51"/>
      <c r="J1642" s="4"/>
      <c r="K1642" s="25" t="str">
        <f t="shared" si="66"/>
        <v/>
      </c>
      <c r="L1642" s="7"/>
      <c r="M1642" s="4"/>
      <c r="N1642" s="7"/>
      <c r="O1642" s="4"/>
      <c r="P1642" s="51"/>
      <c r="Q1642" s="51"/>
      <c r="R1642" s="51"/>
      <c r="S1642" s="7"/>
      <c r="T1642" s="7"/>
    </row>
    <row r="1643" spans="1:20" ht="14.25" customHeight="1">
      <c r="A1643" s="4"/>
      <c r="B1643" s="38">
        <v>14972</v>
      </c>
      <c r="C1643" s="22" t="str">
        <f>IFERROR(VLOOKUP(B1643,Colaboradores!A:D,2,),"")</f>
        <v>JUAN PABLO SOUSA FARIAS</v>
      </c>
      <c r="D1643" s="22" t="str">
        <f>IFERROR(VLOOKUP(B1643,Colaboradores!A:D,3,),"")</f>
        <v>SAÚDE OCUPACIONAL</v>
      </c>
      <c r="E1643" s="22" t="str">
        <f>IFERROR(VLOOKUP(B1643,Colaboradores!A:D,4,),"")</f>
        <v>JOVEM APRENDIZ</v>
      </c>
      <c r="F1643" s="47" t="s">
        <v>55</v>
      </c>
      <c r="G1643" s="24" t="str">
        <f>IFERROR(VLOOKUP(F1643,Procedimentos!A:C,2,),"")</f>
        <v>DIRETRIZES PARA ACOMPANHAMENTO DE AFASTADOS</v>
      </c>
      <c r="H1643" s="25"/>
      <c r="I1643" s="51"/>
      <c r="J1643" s="4"/>
      <c r="K1643" s="25" t="str">
        <f t="shared" si="66"/>
        <v/>
      </c>
      <c r="L1643" s="7"/>
      <c r="M1643" s="4"/>
      <c r="N1643" s="7"/>
      <c r="O1643" s="4"/>
      <c r="P1643" s="51"/>
      <c r="Q1643" s="51"/>
      <c r="R1643" s="51"/>
      <c r="S1643" s="7"/>
      <c r="T1643" s="7"/>
    </row>
    <row r="1644" spans="1:20" ht="14.25" customHeight="1">
      <c r="A1644" s="4"/>
      <c r="B1644" s="38">
        <v>13594</v>
      </c>
      <c r="C1644" s="22" t="str">
        <f>IFERROR(VLOOKUP(B1644,Colaboradores!A:D,2,),"")</f>
        <v>MARCIO AUGUSTO SILVA MIRANDA</v>
      </c>
      <c r="D1644" s="22" t="str">
        <f>IFERROR(VLOOKUP(B1644,Colaboradores!A:D,3,),"")</f>
        <v>SAÚDE OCUPACIONAL</v>
      </c>
      <c r="E1644" s="22" t="str">
        <f>IFERROR(VLOOKUP(B1644,Colaboradores!A:D,4,),"")</f>
        <v>ASSESSOR (A) CLINICO</v>
      </c>
      <c r="F1644" s="47" t="s">
        <v>55</v>
      </c>
      <c r="G1644" s="24" t="str">
        <f>IFERROR(VLOOKUP(F1644,Procedimentos!A:C,2,),"")</f>
        <v>DIRETRIZES PARA ACOMPANHAMENTO DE AFASTADOS</v>
      </c>
      <c r="H1644" s="25"/>
      <c r="I1644" s="51"/>
      <c r="J1644" s="4"/>
      <c r="K1644" s="25" t="str">
        <f t="shared" si="66"/>
        <v/>
      </c>
      <c r="L1644" s="7"/>
      <c r="M1644" s="4"/>
      <c r="N1644" s="7"/>
      <c r="O1644" s="4"/>
      <c r="P1644" s="51"/>
      <c r="Q1644" s="51"/>
      <c r="R1644" s="51"/>
      <c r="S1644" s="7"/>
      <c r="T1644" s="7"/>
    </row>
    <row r="1645" spans="1:20" ht="14.25" customHeight="1">
      <c r="A1645" s="4"/>
      <c r="B1645" s="38">
        <v>14499</v>
      </c>
      <c r="C1645" s="22" t="str">
        <f>IFERROR(VLOOKUP(B1645,Colaboradores!A:D,2,),"")</f>
        <v>SAMIRIS COSTA DA SILVA</v>
      </c>
      <c r="D1645" s="22" t="str">
        <f>IFERROR(VLOOKUP(B1645,Colaboradores!A:D,3,),"")</f>
        <v>SAÚDE OCUPACIONAL</v>
      </c>
      <c r="E1645" s="22" t="str">
        <f>IFERROR(VLOOKUP(B1645,Colaboradores!A:D,4,),"")</f>
        <v>PSICÓLOGA</v>
      </c>
      <c r="F1645" s="47" t="s">
        <v>55</v>
      </c>
      <c r="G1645" s="24" t="str">
        <f>IFERROR(VLOOKUP(F1645,Procedimentos!A:C,2,),"")</f>
        <v>DIRETRIZES PARA ACOMPANHAMENTO DE AFASTADOS</v>
      </c>
      <c r="H1645" s="25"/>
      <c r="I1645" s="51"/>
      <c r="J1645" s="4"/>
      <c r="K1645" s="25" t="str">
        <f t="shared" si="66"/>
        <v/>
      </c>
      <c r="L1645" s="7"/>
      <c r="M1645" s="4"/>
      <c r="N1645" s="7"/>
      <c r="O1645" s="4"/>
      <c r="P1645" s="51"/>
      <c r="Q1645" s="51"/>
      <c r="R1645" s="51"/>
      <c r="S1645" s="7"/>
      <c r="T1645" s="7"/>
    </row>
    <row r="1646" spans="1:20" ht="14.25" customHeight="1">
      <c r="A1646" s="4"/>
      <c r="B1646" s="38">
        <v>12463</v>
      </c>
      <c r="C1646" s="22" t="str">
        <f>IFERROR(VLOOKUP(B1646,Colaboradores!A:D,2,),"")</f>
        <v>SAMMY RAYANA L. SANTOS</v>
      </c>
      <c r="D1646" s="22" t="str">
        <f>IFERROR(VLOOKUP(B1646,Colaboradores!A:D,3,),"")</f>
        <v>SAÚDE OCUPACIONAL</v>
      </c>
      <c r="E1646" s="22" t="str">
        <f>IFERROR(VLOOKUP(B1646,Colaboradores!A:D,4,),"")</f>
        <v>ASSESSOR(A) DE SERVIÇO SOCIAL</v>
      </c>
      <c r="F1646" s="47" t="s">
        <v>55</v>
      </c>
      <c r="G1646" s="24" t="str">
        <f>IFERROR(VLOOKUP(F1646,Procedimentos!A:C,2,),"")</f>
        <v>DIRETRIZES PARA ACOMPANHAMENTO DE AFASTADOS</v>
      </c>
      <c r="H1646" s="25"/>
      <c r="I1646" s="51"/>
      <c r="J1646" s="4"/>
      <c r="K1646" s="25" t="str">
        <f t="shared" si="66"/>
        <v/>
      </c>
      <c r="L1646" s="7"/>
      <c r="M1646" s="4"/>
      <c r="N1646" s="7"/>
      <c r="O1646" s="4"/>
      <c r="P1646" s="51"/>
      <c r="Q1646" s="51"/>
      <c r="R1646" s="51"/>
      <c r="S1646" s="7"/>
      <c r="T1646" s="7"/>
    </row>
    <row r="1647" spans="1:20" ht="14.25" customHeight="1">
      <c r="A1647" s="4"/>
      <c r="B1647" s="38">
        <v>13100</v>
      </c>
      <c r="C1647" s="22" t="str">
        <f>IFERROR(VLOOKUP(B1647,Colaboradores!A:D,2,),"")</f>
        <v>TAYNAH SOARES DE SOUZA CAMARAO</v>
      </c>
      <c r="D1647" s="22" t="str">
        <f>IFERROR(VLOOKUP(B1647,Colaboradores!A:D,3,),"")</f>
        <v>SAÚDE OCUPACIONAL</v>
      </c>
      <c r="E1647" s="22" t="str">
        <f>IFERROR(VLOOKUP(B1647,Colaboradores!A:D,4,),"")</f>
        <v>MÉDICA</v>
      </c>
      <c r="F1647" s="47" t="s">
        <v>55</v>
      </c>
      <c r="G1647" s="24" t="str">
        <f>IFERROR(VLOOKUP(F1647,Procedimentos!A:C,2,),"")</f>
        <v>DIRETRIZES PARA ACOMPANHAMENTO DE AFASTADOS</v>
      </c>
      <c r="H1647" s="25"/>
      <c r="I1647" s="51"/>
      <c r="J1647" s="4"/>
      <c r="K1647" s="25" t="str">
        <f t="shared" si="66"/>
        <v/>
      </c>
      <c r="L1647" s="7"/>
      <c r="M1647" s="4"/>
      <c r="N1647" s="7"/>
      <c r="O1647" s="4"/>
      <c r="P1647" s="51"/>
      <c r="Q1647" s="51"/>
      <c r="R1647" s="51"/>
      <c r="S1647" s="7"/>
      <c r="T1647" s="7"/>
    </row>
    <row r="1648" spans="1:20" ht="14.25" customHeight="1">
      <c r="A1648" s="4"/>
      <c r="B1648" s="38">
        <v>14962</v>
      </c>
      <c r="C1648" s="22" t="str">
        <f>IFERROR(VLOOKUP(B1648,Colaboradores!A:D,2,),"")</f>
        <v>YASMIN KARINE DE OLIVEIRA SOARES</v>
      </c>
      <c r="D1648" s="22" t="str">
        <f>IFERROR(VLOOKUP(B1648,Colaboradores!A:D,3,),"")</f>
        <v>SAÚDE OCUPACIONAL</v>
      </c>
      <c r="E1648" s="22" t="str">
        <f>IFERROR(VLOOKUP(B1648,Colaboradores!A:D,4,),"")</f>
        <v>JOVEM APRENDIZ</v>
      </c>
      <c r="F1648" s="47" t="s">
        <v>55</v>
      </c>
      <c r="G1648" s="24" t="str">
        <f>IFERROR(VLOOKUP(F1648,Procedimentos!A:C,2,),"")</f>
        <v>DIRETRIZES PARA ACOMPANHAMENTO DE AFASTADOS</v>
      </c>
      <c r="H1648" s="25"/>
      <c r="I1648" s="51"/>
      <c r="J1648" s="4"/>
      <c r="K1648" s="25" t="str">
        <f t="shared" si="66"/>
        <v/>
      </c>
      <c r="L1648" s="7"/>
      <c r="M1648" s="4"/>
      <c r="N1648" s="7"/>
      <c r="O1648" s="4"/>
      <c r="P1648" s="51"/>
      <c r="Q1648" s="51"/>
      <c r="R1648" s="51"/>
      <c r="S1648" s="7"/>
      <c r="T1648" s="7"/>
    </row>
    <row r="1649" spans="1:20" ht="14.25" customHeight="1">
      <c r="A1649" s="4"/>
      <c r="B1649" s="38">
        <v>24306</v>
      </c>
      <c r="C1649" s="22" t="str">
        <f>IFERROR(VLOOKUP(B1649,Colaboradores!A:D,2,),"")</f>
        <v>ANNA MARIA ARAUJO PIORSKI</v>
      </c>
      <c r="D1649" s="22" t="str">
        <f>IFERROR(VLOOKUP(B1649,Colaboradores!A:D,3,),"")</f>
        <v>SAÚDE OCUPACIONAL</v>
      </c>
      <c r="E1649" s="22" t="str">
        <f>IFERROR(VLOOKUP(B1649,Colaboradores!A:D,4,),"")</f>
        <v>ASSESSOR(A) DE NUTRIÇÃO</v>
      </c>
      <c r="F1649" s="47" t="s">
        <v>41</v>
      </c>
      <c r="G1649" s="24" t="str">
        <f>IFERROR(VLOOKUP(F1649,Procedimentos!A:C,2,),"")</f>
        <v>DIRETRIZES PARA COMUNICAÇÃO E INVESTIGAÇÃO DE ACIDENTES</v>
      </c>
      <c r="H1649" s="25"/>
      <c r="I1649" s="51"/>
      <c r="J1649" s="4"/>
      <c r="K1649" s="25" t="str">
        <f t="shared" si="66"/>
        <v/>
      </c>
      <c r="L1649" s="7"/>
      <c r="M1649" s="4"/>
      <c r="N1649" s="7"/>
      <c r="O1649" s="4"/>
      <c r="P1649" s="51"/>
      <c r="Q1649" s="51"/>
      <c r="R1649" s="51"/>
      <c r="S1649" s="7"/>
      <c r="T1649" s="7"/>
    </row>
    <row r="1650" spans="1:20" ht="14.25" customHeight="1">
      <c r="A1650" s="4"/>
      <c r="B1650" s="38">
        <v>12330</v>
      </c>
      <c r="C1650" s="22" t="str">
        <f>IFERROR(VLOOKUP(B1650,Colaboradores!A:D,2,),"")</f>
        <v>BIANCA GUEDES SILVA ALMEIDA</v>
      </c>
      <c r="D1650" s="22" t="str">
        <f>IFERROR(VLOOKUP(B1650,Colaboradores!A:D,3,),"")</f>
        <v>SAÚDE OCUPACIONAL</v>
      </c>
      <c r="E1650" s="22" t="str">
        <f>IFERROR(VLOOKUP(B1650,Colaboradores!A:D,4,),"")</f>
        <v>NUTRICIONISTA</v>
      </c>
      <c r="F1650" s="47" t="s">
        <v>41</v>
      </c>
      <c r="G1650" s="24" t="str">
        <f>IFERROR(VLOOKUP(F1650,Procedimentos!A:C,2,),"")</f>
        <v>DIRETRIZES PARA COMUNICAÇÃO E INVESTIGAÇÃO DE ACIDENTES</v>
      </c>
      <c r="H1650" s="25"/>
      <c r="I1650" s="51"/>
      <c r="J1650" s="4"/>
      <c r="K1650" s="25" t="str">
        <f t="shared" si="66"/>
        <v/>
      </c>
      <c r="L1650" s="7"/>
      <c r="M1650" s="4"/>
      <c r="N1650" s="7"/>
      <c r="O1650" s="4"/>
      <c r="P1650" s="51"/>
      <c r="Q1650" s="51"/>
      <c r="R1650" s="51"/>
      <c r="S1650" s="7"/>
      <c r="T1650" s="7"/>
    </row>
    <row r="1651" spans="1:20" ht="14.25" customHeight="1">
      <c r="A1651" s="4"/>
      <c r="B1651" s="38">
        <v>14990</v>
      </c>
      <c r="C1651" s="22" t="str">
        <f>IFERROR(VLOOKUP(B1651,Colaboradores!A:D,2,),"")</f>
        <v>DAVID DE JESUS PEREIRA FONSECA</v>
      </c>
      <c r="D1651" s="22" t="str">
        <f>IFERROR(VLOOKUP(B1651,Colaboradores!A:D,3,),"")</f>
        <v>SAÚDE OCUPACIONAL</v>
      </c>
      <c r="E1651" s="22" t="str">
        <f>IFERROR(VLOOKUP(B1651,Colaboradores!A:D,4,),"")</f>
        <v>JOVEM APRENDIZ</v>
      </c>
      <c r="F1651" s="47" t="s">
        <v>41</v>
      </c>
      <c r="G1651" s="24" t="str">
        <f>IFERROR(VLOOKUP(F1651,Procedimentos!A:C,2,),"")</f>
        <v>DIRETRIZES PARA COMUNICAÇÃO E INVESTIGAÇÃO DE ACIDENTES</v>
      </c>
      <c r="H1651" s="25"/>
      <c r="I1651" s="51"/>
      <c r="J1651" s="4"/>
      <c r="K1651" s="25" t="str">
        <f t="shared" si="66"/>
        <v/>
      </c>
      <c r="L1651" s="7"/>
      <c r="M1651" s="4"/>
      <c r="N1651" s="7"/>
      <c r="O1651" s="4"/>
      <c r="P1651" s="51"/>
      <c r="Q1651" s="51"/>
      <c r="R1651" s="51"/>
      <c r="S1651" s="7"/>
      <c r="T1651" s="7"/>
    </row>
    <row r="1652" spans="1:20" ht="14.25" customHeight="1">
      <c r="A1652" s="4"/>
      <c r="B1652" s="38">
        <v>9058</v>
      </c>
      <c r="C1652" s="22" t="str">
        <f>IFERROR(VLOOKUP(B1652,Colaboradores!A:D,2,),"")</f>
        <v>DENISE CRISTRINA CASTRO</v>
      </c>
      <c r="D1652" s="22" t="str">
        <f>IFERROR(VLOOKUP(B1652,Colaboradores!A:D,3,),"")</f>
        <v>SAÚDE OCUPACIONAL</v>
      </c>
      <c r="E1652" s="22" t="str">
        <f>IFERROR(VLOOKUP(B1652,Colaboradores!A:D,4,),"")</f>
        <v>ASSESSOR(A) DE SERVIÇO SOCIAL</v>
      </c>
      <c r="F1652" s="47" t="s">
        <v>41</v>
      </c>
      <c r="G1652" s="24" t="str">
        <f>IFERROR(VLOOKUP(F1652,Procedimentos!A:C,2,),"")</f>
        <v>DIRETRIZES PARA COMUNICAÇÃO E INVESTIGAÇÃO DE ACIDENTES</v>
      </c>
      <c r="H1652" s="25"/>
      <c r="I1652" s="51"/>
      <c r="J1652" s="4"/>
      <c r="K1652" s="25" t="str">
        <f t="shared" si="66"/>
        <v/>
      </c>
      <c r="L1652" s="7"/>
      <c r="M1652" s="4"/>
      <c r="N1652" s="7"/>
      <c r="O1652" s="4"/>
      <c r="P1652" s="51"/>
      <c r="Q1652" s="51"/>
      <c r="R1652" s="51"/>
      <c r="S1652" s="7"/>
      <c r="T1652" s="7"/>
    </row>
    <row r="1653" spans="1:20" ht="14.25" customHeight="1">
      <c r="A1653" s="4"/>
      <c r="B1653" s="38">
        <v>8111</v>
      </c>
      <c r="C1653" s="22" t="str">
        <f>IFERROR(VLOOKUP(B1653,Colaboradores!A:D,2,),"")</f>
        <v>FABIANA SILVA COSTA</v>
      </c>
      <c r="D1653" s="22" t="str">
        <f>IFERROR(VLOOKUP(B1653,Colaboradores!A:D,3,),"")</f>
        <v>SAÚDE OCUPACIONAL</v>
      </c>
      <c r="E1653" s="22" t="str">
        <f>IFERROR(VLOOKUP(B1653,Colaboradores!A:D,4,),"")</f>
        <v>ASSESSOR(A) DE FISIOTERAPIA</v>
      </c>
      <c r="F1653" s="47" t="s">
        <v>41</v>
      </c>
      <c r="G1653" s="24" t="str">
        <f>IFERROR(VLOOKUP(F1653,Procedimentos!A:C,2,),"")</f>
        <v>DIRETRIZES PARA COMUNICAÇÃO E INVESTIGAÇÃO DE ACIDENTES</v>
      </c>
      <c r="H1653" s="25"/>
      <c r="I1653" s="51"/>
      <c r="J1653" s="4"/>
      <c r="K1653" s="25" t="str">
        <f t="shared" si="66"/>
        <v/>
      </c>
      <c r="L1653" s="7"/>
      <c r="M1653" s="4"/>
      <c r="N1653" s="7"/>
      <c r="O1653" s="4"/>
      <c r="P1653" s="51"/>
      <c r="Q1653" s="51"/>
      <c r="R1653" s="51"/>
      <c r="S1653" s="7"/>
      <c r="T1653" s="7"/>
    </row>
    <row r="1654" spans="1:20" ht="14.25" customHeight="1">
      <c r="A1654" s="4"/>
      <c r="B1654" s="38">
        <v>14972</v>
      </c>
      <c r="C1654" s="22" t="str">
        <f>IFERROR(VLOOKUP(B1654,Colaboradores!A:D,2,),"")</f>
        <v>JUAN PABLO SOUSA FARIAS</v>
      </c>
      <c r="D1654" s="22" t="str">
        <f>IFERROR(VLOOKUP(B1654,Colaboradores!A:D,3,),"")</f>
        <v>SAÚDE OCUPACIONAL</v>
      </c>
      <c r="E1654" s="22" t="str">
        <f>IFERROR(VLOOKUP(B1654,Colaboradores!A:D,4,),"")</f>
        <v>JOVEM APRENDIZ</v>
      </c>
      <c r="F1654" s="47" t="s">
        <v>41</v>
      </c>
      <c r="G1654" s="24" t="str">
        <f>IFERROR(VLOOKUP(F1654,Procedimentos!A:C,2,),"")</f>
        <v>DIRETRIZES PARA COMUNICAÇÃO E INVESTIGAÇÃO DE ACIDENTES</v>
      </c>
      <c r="H1654" s="25"/>
      <c r="I1654" s="51"/>
      <c r="J1654" s="4"/>
      <c r="K1654" s="25" t="str">
        <f t="shared" si="66"/>
        <v/>
      </c>
      <c r="L1654" s="7"/>
      <c r="M1654" s="4"/>
      <c r="N1654" s="7"/>
      <c r="O1654" s="4"/>
      <c r="P1654" s="51"/>
      <c r="Q1654" s="51"/>
      <c r="R1654" s="51"/>
      <c r="S1654" s="7"/>
      <c r="T1654" s="7"/>
    </row>
    <row r="1655" spans="1:20" ht="14.25" customHeight="1">
      <c r="A1655" s="4"/>
      <c r="B1655" s="38">
        <v>14499</v>
      </c>
      <c r="C1655" s="22" t="str">
        <f>IFERROR(VLOOKUP(B1655,Colaboradores!A:D,2,),"")</f>
        <v>SAMIRIS COSTA DA SILVA</v>
      </c>
      <c r="D1655" s="22" t="str">
        <f>IFERROR(VLOOKUP(B1655,Colaboradores!A:D,3,),"")</f>
        <v>SAÚDE OCUPACIONAL</v>
      </c>
      <c r="E1655" s="22" t="str">
        <f>IFERROR(VLOOKUP(B1655,Colaboradores!A:D,4,),"")</f>
        <v>PSICÓLOGA</v>
      </c>
      <c r="F1655" s="47" t="s">
        <v>41</v>
      </c>
      <c r="G1655" s="24" t="str">
        <f>IFERROR(VLOOKUP(F1655,Procedimentos!A:C,2,),"")</f>
        <v>DIRETRIZES PARA COMUNICAÇÃO E INVESTIGAÇÃO DE ACIDENTES</v>
      </c>
      <c r="H1655" s="25"/>
      <c r="I1655" s="51"/>
      <c r="J1655" s="4"/>
      <c r="K1655" s="25" t="str">
        <f t="shared" si="66"/>
        <v/>
      </c>
      <c r="L1655" s="7"/>
      <c r="M1655" s="4"/>
      <c r="N1655" s="7"/>
      <c r="O1655" s="4"/>
      <c r="P1655" s="51"/>
      <c r="Q1655" s="51"/>
      <c r="R1655" s="51"/>
      <c r="S1655" s="7"/>
      <c r="T1655" s="7"/>
    </row>
    <row r="1656" spans="1:20" ht="14.25" customHeight="1">
      <c r="A1656" s="4"/>
      <c r="B1656" s="38">
        <v>12463</v>
      </c>
      <c r="C1656" s="22" t="str">
        <f>IFERROR(VLOOKUP(B1656,Colaboradores!A:D,2,),"")</f>
        <v>SAMMY RAYANA L. SANTOS</v>
      </c>
      <c r="D1656" s="22" t="str">
        <f>IFERROR(VLOOKUP(B1656,Colaboradores!A:D,3,),"")</f>
        <v>SAÚDE OCUPACIONAL</v>
      </c>
      <c r="E1656" s="22" t="str">
        <f>IFERROR(VLOOKUP(B1656,Colaboradores!A:D,4,),"")</f>
        <v>ASSESSOR(A) DE SERVIÇO SOCIAL</v>
      </c>
      <c r="F1656" s="47" t="s">
        <v>41</v>
      </c>
      <c r="G1656" s="24" t="str">
        <f>IFERROR(VLOOKUP(F1656,Procedimentos!A:C,2,),"")</f>
        <v>DIRETRIZES PARA COMUNICAÇÃO E INVESTIGAÇÃO DE ACIDENTES</v>
      </c>
      <c r="H1656" s="25"/>
      <c r="I1656" s="51"/>
      <c r="J1656" s="4"/>
      <c r="K1656" s="25" t="str">
        <f t="shared" si="66"/>
        <v/>
      </c>
      <c r="L1656" s="7"/>
      <c r="M1656" s="4"/>
      <c r="N1656" s="7"/>
      <c r="O1656" s="4"/>
      <c r="P1656" s="51"/>
      <c r="Q1656" s="51"/>
      <c r="R1656" s="51"/>
      <c r="S1656" s="7"/>
      <c r="T1656" s="7"/>
    </row>
    <row r="1657" spans="1:20" ht="14.25" customHeight="1">
      <c r="A1657" s="4"/>
      <c r="B1657" s="38">
        <v>14962</v>
      </c>
      <c r="C1657" s="22" t="str">
        <f>IFERROR(VLOOKUP(B1657,Colaboradores!A:D,2,),"")</f>
        <v>YASMIN KARINE DE OLIVEIRA SOARES</v>
      </c>
      <c r="D1657" s="22" t="str">
        <f>IFERROR(VLOOKUP(B1657,Colaboradores!A:D,3,),"")</f>
        <v>SAÚDE OCUPACIONAL</v>
      </c>
      <c r="E1657" s="22" t="str">
        <f>IFERROR(VLOOKUP(B1657,Colaboradores!A:D,4,),"")</f>
        <v>JOVEM APRENDIZ</v>
      </c>
      <c r="F1657" s="47" t="s">
        <v>41</v>
      </c>
      <c r="G1657" s="24" t="str">
        <f>IFERROR(VLOOKUP(F1657,Procedimentos!A:C,2,),"")</f>
        <v>DIRETRIZES PARA COMUNICAÇÃO E INVESTIGAÇÃO DE ACIDENTES</v>
      </c>
      <c r="H1657" s="25"/>
      <c r="I1657" s="51"/>
      <c r="J1657" s="4"/>
      <c r="K1657" s="25" t="str">
        <f t="shared" si="66"/>
        <v/>
      </c>
      <c r="L1657" s="7"/>
      <c r="M1657" s="4"/>
      <c r="N1657" s="7"/>
      <c r="O1657" s="4"/>
      <c r="P1657" s="51"/>
      <c r="Q1657" s="51"/>
      <c r="R1657" s="51"/>
      <c r="S1657" s="7"/>
      <c r="T1657" s="7"/>
    </row>
    <row r="1658" spans="1:20" ht="14.25" customHeight="1">
      <c r="A1658" s="4"/>
      <c r="B1658" s="38">
        <v>24306</v>
      </c>
      <c r="C1658" s="22" t="str">
        <f>IFERROR(VLOOKUP(B1658,Colaboradores!A:D,2,),"")</f>
        <v>ANNA MARIA ARAUJO PIORSKI</v>
      </c>
      <c r="D1658" s="22" t="str">
        <f>IFERROR(VLOOKUP(B1658,Colaboradores!A:D,3,),"")</f>
        <v>SAÚDE OCUPACIONAL</v>
      </c>
      <c r="E1658" s="22" t="str">
        <f>IFERROR(VLOOKUP(B1658,Colaboradores!A:D,4,),"")</f>
        <v>ASSESSOR(A) DE NUTRIÇÃO</v>
      </c>
      <c r="F1658" s="47" t="s">
        <v>43</v>
      </c>
      <c r="G1658" s="24" t="str">
        <f>IFERROR(VLOOKUP(F1658,Procedimentos!A:C,2,),"")</f>
        <v>DIÁLOGO DE SAÚDE E SEGURANÇA - DSS</v>
      </c>
      <c r="H1658" s="25"/>
      <c r="I1658" s="51"/>
      <c r="J1658" s="4"/>
      <c r="K1658" s="25" t="str">
        <f t="shared" si="66"/>
        <v/>
      </c>
      <c r="L1658" s="7"/>
      <c r="M1658" s="4"/>
      <c r="N1658" s="7"/>
      <c r="O1658" s="4"/>
      <c r="P1658" s="51"/>
      <c r="Q1658" s="51"/>
      <c r="R1658" s="51"/>
      <c r="S1658" s="7"/>
      <c r="T1658" s="7"/>
    </row>
    <row r="1659" spans="1:20" ht="14.25" customHeight="1">
      <c r="A1659" s="4"/>
      <c r="B1659" s="38">
        <v>12330</v>
      </c>
      <c r="C1659" s="22" t="str">
        <f>IFERROR(VLOOKUP(B1659,Colaboradores!A:D,2,),"")</f>
        <v>BIANCA GUEDES SILVA ALMEIDA</v>
      </c>
      <c r="D1659" s="22" t="str">
        <f>IFERROR(VLOOKUP(B1659,Colaboradores!A:D,3,),"")</f>
        <v>SAÚDE OCUPACIONAL</v>
      </c>
      <c r="E1659" s="22" t="str">
        <f>IFERROR(VLOOKUP(B1659,Colaboradores!A:D,4,),"")</f>
        <v>NUTRICIONISTA</v>
      </c>
      <c r="F1659" s="47" t="s">
        <v>43</v>
      </c>
      <c r="G1659" s="24" t="str">
        <f>IFERROR(VLOOKUP(F1659,Procedimentos!A:C,2,),"")</f>
        <v>DIÁLOGO DE SAÚDE E SEGURANÇA - DSS</v>
      </c>
      <c r="H1659" s="25"/>
      <c r="I1659" s="51"/>
      <c r="J1659" s="4"/>
      <c r="K1659" s="25" t="str">
        <f t="shared" si="66"/>
        <v/>
      </c>
      <c r="L1659" s="7"/>
      <c r="M1659" s="4"/>
      <c r="N1659" s="7"/>
      <c r="O1659" s="4"/>
      <c r="P1659" s="51"/>
      <c r="Q1659" s="51"/>
      <c r="R1659" s="51"/>
      <c r="S1659" s="7"/>
      <c r="T1659" s="7"/>
    </row>
    <row r="1660" spans="1:20" ht="14.25" customHeight="1">
      <c r="A1660" s="4"/>
      <c r="B1660" s="38">
        <v>14990</v>
      </c>
      <c r="C1660" s="22" t="str">
        <f>IFERROR(VLOOKUP(B1660,Colaboradores!A:D,2,),"")</f>
        <v>DAVID DE JESUS PEREIRA FONSECA</v>
      </c>
      <c r="D1660" s="22" t="str">
        <f>IFERROR(VLOOKUP(B1660,Colaboradores!A:D,3,),"")</f>
        <v>SAÚDE OCUPACIONAL</v>
      </c>
      <c r="E1660" s="22" t="str">
        <f>IFERROR(VLOOKUP(B1660,Colaboradores!A:D,4,),"")</f>
        <v>JOVEM APRENDIZ</v>
      </c>
      <c r="F1660" s="47" t="s">
        <v>43</v>
      </c>
      <c r="G1660" s="24" t="str">
        <f>IFERROR(VLOOKUP(F1660,Procedimentos!A:C,2,),"")</f>
        <v>DIÁLOGO DE SAÚDE E SEGURANÇA - DSS</v>
      </c>
      <c r="H1660" s="25"/>
      <c r="I1660" s="51"/>
      <c r="J1660" s="4"/>
      <c r="K1660" s="25" t="str">
        <f t="shared" si="66"/>
        <v/>
      </c>
      <c r="L1660" s="7"/>
      <c r="M1660" s="4"/>
      <c r="N1660" s="7"/>
      <c r="O1660" s="4"/>
      <c r="P1660" s="51"/>
      <c r="Q1660" s="51"/>
      <c r="R1660" s="51"/>
      <c r="S1660" s="7"/>
      <c r="T1660" s="7"/>
    </row>
    <row r="1661" spans="1:20" ht="14.25" customHeight="1">
      <c r="A1661" s="4"/>
      <c r="B1661" s="38">
        <v>9058</v>
      </c>
      <c r="C1661" s="22" t="str">
        <f>IFERROR(VLOOKUP(B1661,Colaboradores!A:D,2,),"")</f>
        <v>DENISE CRISTRINA CASTRO</v>
      </c>
      <c r="D1661" s="22" t="str">
        <f>IFERROR(VLOOKUP(B1661,Colaboradores!A:D,3,),"")</f>
        <v>SAÚDE OCUPACIONAL</v>
      </c>
      <c r="E1661" s="22" t="str">
        <f>IFERROR(VLOOKUP(B1661,Colaboradores!A:D,4,),"")</f>
        <v>ASSESSOR(A) DE SERVIÇO SOCIAL</v>
      </c>
      <c r="F1661" s="47" t="s">
        <v>43</v>
      </c>
      <c r="G1661" s="24" t="str">
        <f>IFERROR(VLOOKUP(F1661,Procedimentos!A:C,2,),"")</f>
        <v>DIÁLOGO DE SAÚDE E SEGURANÇA - DSS</v>
      </c>
      <c r="H1661" s="25"/>
      <c r="I1661" s="51"/>
      <c r="J1661" s="4"/>
      <c r="K1661" s="25" t="str">
        <f t="shared" si="66"/>
        <v/>
      </c>
      <c r="L1661" s="7"/>
      <c r="M1661" s="4"/>
      <c r="N1661" s="7"/>
      <c r="O1661" s="4"/>
      <c r="P1661" s="51"/>
      <c r="Q1661" s="51"/>
      <c r="R1661" s="51"/>
      <c r="S1661" s="7"/>
      <c r="T1661" s="7"/>
    </row>
    <row r="1662" spans="1:20" ht="14.25" customHeight="1">
      <c r="A1662" s="4"/>
      <c r="B1662" s="38">
        <v>8111</v>
      </c>
      <c r="C1662" s="22" t="str">
        <f>IFERROR(VLOOKUP(B1662,Colaboradores!A:D,2,),"")</f>
        <v>FABIANA SILVA COSTA</v>
      </c>
      <c r="D1662" s="22" t="str">
        <f>IFERROR(VLOOKUP(B1662,Colaboradores!A:D,3,),"")</f>
        <v>SAÚDE OCUPACIONAL</v>
      </c>
      <c r="E1662" s="22" t="str">
        <f>IFERROR(VLOOKUP(B1662,Colaboradores!A:D,4,),"")</f>
        <v>ASSESSOR(A) DE FISIOTERAPIA</v>
      </c>
      <c r="F1662" s="47" t="s">
        <v>43</v>
      </c>
      <c r="G1662" s="24" t="str">
        <f>IFERROR(VLOOKUP(F1662,Procedimentos!A:C,2,),"")</f>
        <v>DIÁLOGO DE SAÚDE E SEGURANÇA - DSS</v>
      </c>
      <c r="H1662" s="25"/>
      <c r="I1662" s="51"/>
      <c r="J1662" s="4"/>
      <c r="K1662" s="25" t="str">
        <f t="shared" si="66"/>
        <v/>
      </c>
      <c r="L1662" s="7"/>
      <c r="M1662" s="4"/>
      <c r="N1662" s="7"/>
      <c r="O1662" s="4"/>
      <c r="P1662" s="51"/>
      <c r="Q1662" s="51"/>
      <c r="R1662" s="51"/>
      <c r="S1662" s="7"/>
      <c r="T1662" s="7"/>
    </row>
    <row r="1663" spans="1:20" ht="14.25" customHeight="1">
      <c r="A1663" s="4"/>
      <c r="B1663" s="38">
        <v>14972</v>
      </c>
      <c r="C1663" s="22" t="str">
        <f>IFERROR(VLOOKUP(B1663,Colaboradores!A:D,2,),"")</f>
        <v>JUAN PABLO SOUSA FARIAS</v>
      </c>
      <c r="D1663" s="22" t="str">
        <f>IFERROR(VLOOKUP(B1663,Colaboradores!A:D,3,),"")</f>
        <v>SAÚDE OCUPACIONAL</v>
      </c>
      <c r="E1663" s="22" t="str">
        <f>IFERROR(VLOOKUP(B1663,Colaboradores!A:D,4,),"")</f>
        <v>JOVEM APRENDIZ</v>
      </c>
      <c r="F1663" s="47" t="s">
        <v>43</v>
      </c>
      <c r="G1663" s="24" t="str">
        <f>IFERROR(VLOOKUP(F1663,Procedimentos!A:C,2,),"")</f>
        <v>DIÁLOGO DE SAÚDE E SEGURANÇA - DSS</v>
      </c>
      <c r="H1663" s="25"/>
      <c r="I1663" s="51"/>
      <c r="J1663" s="4"/>
      <c r="K1663" s="25" t="str">
        <f t="shared" si="66"/>
        <v/>
      </c>
      <c r="L1663" s="7"/>
      <c r="M1663" s="4"/>
      <c r="N1663" s="7"/>
      <c r="O1663" s="4"/>
      <c r="P1663" s="51"/>
      <c r="Q1663" s="51"/>
      <c r="R1663" s="51"/>
      <c r="S1663" s="7"/>
      <c r="T1663" s="7"/>
    </row>
    <row r="1664" spans="1:20" ht="14.25" customHeight="1">
      <c r="A1664" s="4"/>
      <c r="B1664" s="38">
        <v>14499</v>
      </c>
      <c r="C1664" s="22" t="str">
        <f>IFERROR(VLOOKUP(B1664,Colaboradores!A:D,2,),"")</f>
        <v>SAMIRIS COSTA DA SILVA</v>
      </c>
      <c r="D1664" s="22" t="str">
        <f>IFERROR(VLOOKUP(B1664,Colaboradores!A:D,3,),"")</f>
        <v>SAÚDE OCUPACIONAL</v>
      </c>
      <c r="E1664" s="22" t="str">
        <f>IFERROR(VLOOKUP(B1664,Colaboradores!A:D,4,),"")</f>
        <v>PSICÓLOGA</v>
      </c>
      <c r="F1664" s="47" t="s">
        <v>43</v>
      </c>
      <c r="G1664" s="24" t="str">
        <f>IFERROR(VLOOKUP(F1664,Procedimentos!A:C,2,),"")</f>
        <v>DIÁLOGO DE SAÚDE E SEGURANÇA - DSS</v>
      </c>
      <c r="H1664" s="25"/>
      <c r="I1664" s="51"/>
      <c r="J1664" s="4"/>
      <c r="K1664" s="25" t="str">
        <f t="shared" si="66"/>
        <v/>
      </c>
      <c r="L1664" s="7"/>
      <c r="M1664" s="4"/>
      <c r="N1664" s="7"/>
      <c r="O1664" s="4"/>
      <c r="P1664" s="51"/>
      <c r="Q1664" s="51"/>
      <c r="R1664" s="51"/>
      <c r="S1664" s="7"/>
      <c r="T1664" s="7"/>
    </row>
    <row r="1665" spans="1:20" ht="14.25" customHeight="1">
      <c r="A1665" s="4"/>
      <c r="B1665" s="38">
        <v>12463</v>
      </c>
      <c r="C1665" s="22" t="str">
        <f>IFERROR(VLOOKUP(B1665,Colaboradores!A:D,2,),"")</f>
        <v>SAMMY RAYANA L. SANTOS</v>
      </c>
      <c r="D1665" s="22" t="str">
        <f>IFERROR(VLOOKUP(B1665,Colaboradores!A:D,3,),"")</f>
        <v>SAÚDE OCUPACIONAL</v>
      </c>
      <c r="E1665" s="22" t="str">
        <f>IFERROR(VLOOKUP(B1665,Colaboradores!A:D,4,),"")</f>
        <v>ASSESSOR(A) DE SERVIÇO SOCIAL</v>
      </c>
      <c r="F1665" s="47" t="s">
        <v>43</v>
      </c>
      <c r="G1665" s="24" t="str">
        <f>IFERROR(VLOOKUP(F1665,Procedimentos!A:C,2,),"")</f>
        <v>DIÁLOGO DE SAÚDE E SEGURANÇA - DSS</v>
      </c>
      <c r="H1665" s="25"/>
      <c r="I1665" s="51"/>
      <c r="J1665" s="4"/>
      <c r="K1665" s="25" t="str">
        <f t="shared" si="66"/>
        <v/>
      </c>
      <c r="L1665" s="7"/>
      <c r="M1665" s="4"/>
      <c r="N1665" s="7"/>
      <c r="O1665" s="4"/>
      <c r="P1665" s="51"/>
      <c r="Q1665" s="51"/>
      <c r="R1665" s="51"/>
      <c r="S1665" s="7"/>
      <c r="T1665" s="7"/>
    </row>
    <row r="1666" spans="1:20" ht="14.25" customHeight="1">
      <c r="A1666" s="4"/>
      <c r="B1666" s="38">
        <v>14962</v>
      </c>
      <c r="C1666" s="22" t="str">
        <f>IFERROR(VLOOKUP(B1666,Colaboradores!A:D,2,),"")</f>
        <v>YASMIN KARINE DE OLIVEIRA SOARES</v>
      </c>
      <c r="D1666" s="22" t="str">
        <f>IFERROR(VLOOKUP(B1666,Colaboradores!A:D,3,),"")</f>
        <v>SAÚDE OCUPACIONAL</v>
      </c>
      <c r="E1666" s="22" t="str">
        <f>IFERROR(VLOOKUP(B1666,Colaboradores!A:D,4,),"")</f>
        <v>JOVEM APRENDIZ</v>
      </c>
      <c r="F1666" s="47" t="s">
        <v>43</v>
      </c>
      <c r="G1666" s="24" t="str">
        <f>IFERROR(VLOOKUP(F1666,Procedimentos!A:C,2,),"")</f>
        <v>DIÁLOGO DE SAÚDE E SEGURANÇA - DSS</v>
      </c>
      <c r="H1666" s="25"/>
      <c r="I1666" s="51"/>
      <c r="J1666" s="4"/>
      <c r="K1666" s="25" t="str">
        <f t="shared" si="66"/>
        <v/>
      </c>
      <c r="L1666" s="7"/>
      <c r="M1666" s="4"/>
      <c r="N1666" s="7"/>
      <c r="O1666" s="4"/>
      <c r="P1666" s="51"/>
      <c r="Q1666" s="51"/>
      <c r="R1666" s="51"/>
      <c r="S1666" s="7"/>
      <c r="T1666" s="7"/>
    </row>
    <row r="1667" spans="1:20" ht="14.25" customHeight="1">
      <c r="A1667" s="4"/>
      <c r="B1667" s="38">
        <v>24306</v>
      </c>
      <c r="C1667" s="22" t="str">
        <f>IFERROR(VLOOKUP(B1667,Colaboradores!A:D,2,),"")</f>
        <v>ANNA MARIA ARAUJO PIORSKI</v>
      </c>
      <c r="D1667" s="22" t="str">
        <f>IFERROR(VLOOKUP(B1667,Colaboradores!A:D,3,),"")</f>
        <v>SAÚDE OCUPACIONAL</v>
      </c>
      <c r="E1667" s="22" t="str">
        <f>IFERROR(VLOOKUP(B1667,Colaboradores!A:D,4,),"")</f>
        <v>ASSESSOR(A) DE NUTRIÇÃO</v>
      </c>
      <c r="F1667" s="47" t="s">
        <v>44</v>
      </c>
      <c r="G1667" s="24" t="str">
        <f>IFERROR(VLOOKUP(F1667,Procedimentos!A:C,2,),"")</f>
        <v>DIRETRIZES PARA GESTÃO DE EQUIPAMENTOS DE PROTEÇÃO INDIVIDUAL - EPI'S</v>
      </c>
      <c r="H1667" s="25"/>
      <c r="I1667" s="51"/>
      <c r="J1667" s="4"/>
      <c r="K1667" s="25" t="str">
        <f t="shared" ref="K1667:K1730" si="67">IF(AND(I1667&lt;&gt;"",J1667&lt;&gt;""),DATE(YEAR(I1667),MONTH(I1667)+J1667,DAY(I1667)),"")</f>
        <v/>
      </c>
      <c r="L1667" s="7"/>
      <c r="M1667" s="4"/>
      <c r="N1667" s="7"/>
      <c r="O1667" s="4"/>
      <c r="P1667" s="51"/>
      <c r="Q1667" s="51"/>
      <c r="R1667" s="51"/>
      <c r="S1667" s="7"/>
      <c r="T1667" s="7"/>
    </row>
    <row r="1668" spans="1:20" ht="14.25" customHeight="1">
      <c r="A1668" s="4"/>
      <c r="B1668" s="38">
        <v>12330</v>
      </c>
      <c r="C1668" s="22" t="str">
        <f>IFERROR(VLOOKUP(B1668,Colaboradores!A:D,2,),"")</f>
        <v>BIANCA GUEDES SILVA ALMEIDA</v>
      </c>
      <c r="D1668" s="22" t="str">
        <f>IFERROR(VLOOKUP(B1668,Colaboradores!A:D,3,),"")</f>
        <v>SAÚDE OCUPACIONAL</v>
      </c>
      <c r="E1668" s="22" t="str">
        <f>IFERROR(VLOOKUP(B1668,Colaboradores!A:D,4,),"")</f>
        <v>NUTRICIONISTA</v>
      </c>
      <c r="F1668" s="47" t="s">
        <v>44</v>
      </c>
      <c r="G1668" s="24" t="str">
        <f>IFERROR(VLOOKUP(F1668,Procedimentos!A:C,2,),"")</f>
        <v>DIRETRIZES PARA GESTÃO DE EQUIPAMENTOS DE PROTEÇÃO INDIVIDUAL - EPI'S</v>
      </c>
      <c r="H1668" s="25"/>
      <c r="I1668" s="51"/>
      <c r="J1668" s="4"/>
      <c r="K1668" s="25" t="str">
        <f t="shared" si="67"/>
        <v/>
      </c>
      <c r="L1668" s="7"/>
      <c r="M1668" s="4"/>
      <c r="N1668" s="7"/>
      <c r="O1668" s="4"/>
      <c r="P1668" s="51"/>
      <c r="Q1668" s="51"/>
      <c r="R1668" s="51"/>
      <c r="S1668" s="7"/>
      <c r="T1668" s="7"/>
    </row>
    <row r="1669" spans="1:20" ht="14.25" customHeight="1">
      <c r="A1669" s="4"/>
      <c r="B1669" s="38">
        <v>14990</v>
      </c>
      <c r="C1669" s="22" t="str">
        <f>IFERROR(VLOOKUP(B1669,Colaboradores!A:D,2,),"")</f>
        <v>DAVID DE JESUS PEREIRA FONSECA</v>
      </c>
      <c r="D1669" s="22" t="str">
        <f>IFERROR(VLOOKUP(B1669,Colaboradores!A:D,3,),"")</f>
        <v>SAÚDE OCUPACIONAL</v>
      </c>
      <c r="E1669" s="22" t="str">
        <f>IFERROR(VLOOKUP(B1669,Colaboradores!A:D,4,),"")</f>
        <v>JOVEM APRENDIZ</v>
      </c>
      <c r="F1669" s="47" t="s">
        <v>44</v>
      </c>
      <c r="G1669" s="24" t="str">
        <f>IFERROR(VLOOKUP(F1669,Procedimentos!A:C,2,),"")</f>
        <v>DIRETRIZES PARA GESTÃO DE EQUIPAMENTOS DE PROTEÇÃO INDIVIDUAL - EPI'S</v>
      </c>
      <c r="H1669" s="25"/>
      <c r="I1669" s="51"/>
      <c r="J1669" s="4"/>
      <c r="K1669" s="25" t="str">
        <f t="shared" si="67"/>
        <v/>
      </c>
      <c r="L1669" s="7"/>
      <c r="M1669" s="4"/>
      <c r="N1669" s="7"/>
      <c r="O1669" s="4"/>
      <c r="P1669" s="51"/>
      <c r="Q1669" s="51"/>
      <c r="R1669" s="51"/>
      <c r="S1669" s="7"/>
      <c r="T1669" s="7"/>
    </row>
    <row r="1670" spans="1:20" ht="14.25" customHeight="1">
      <c r="A1670" s="4"/>
      <c r="B1670" s="38">
        <v>9058</v>
      </c>
      <c r="C1670" s="22" t="str">
        <f>IFERROR(VLOOKUP(B1670,Colaboradores!A:D,2,),"")</f>
        <v>DENISE CRISTRINA CASTRO</v>
      </c>
      <c r="D1670" s="22" t="str">
        <f>IFERROR(VLOOKUP(B1670,Colaboradores!A:D,3,),"")</f>
        <v>SAÚDE OCUPACIONAL</v>
      </c>
      <c r="E1670" s="22" t="str">
        <f>IFERROR(VLOOKUP(B1670,Colaboradores!A:D,4,),"")</f>
        <v>ASSESSOR(A) DE SERVIÇO SOCIAL</v>
      </c>
      <c r="F1670" s="47" t="s">
        <v>44</v>
      </c>
      <c r="G1670" s="24" t="str">
        <f>IFERROR(VLOOKUP(F1670,Procedimentos!A:C,2,),"")</f>
        <v>DIRETRIZES PARA GESTÃO DE EQUIPAMENTOS DE PROTEÇÃO INDIVIDUAL - EPI'S</v>
      </c>
      <c r="H1670" s="25"/>
      <c r="I1670" s="51"/>
      <c r="J1670" s="4"/>
      <c r="K1670" s="25" t="str">
        <f t="shared" si="67"/>
        <v/>
      </c>
      <c r="L1670" s="7"/>
      <c r="M1670" s="4"/>
      <c r="N1670" s="7"/>
      <c r="O1670" s="4"/>
      <c r="P1670" s="51"/>
      <c r="Q1670" s="51"/>
      <c r="R1670" s="51"/>
      <c r="S1670" s="7"/>
      <c r="T1670" s="7"/>
    </row>
    <row r="1671" spans="1:20" ht="14.25" customHeight="1">
      <c r="A1671" s="4"/>
      <c r="B1671" s="38">
        <v>8111</v>
      </c>
      <c r="C1671" s="22" t="str">
        <f>IFERROR(VLOOKUP(B1671,Colaboradores!A:D,2,),"")</f>
        <v>FABIANA SILVA COSTA</v>
      </c>
      <c r="D1671" s="22" t="str">
        <f>IFERROR(VLOOKUP(B1671,Colaboradores!A:D,3,),"")</f>
        <v>SAÚDE OCUPACIONAL</v>
      </c>
      <c r="E1671" s="22" t="str">
        <f>IFERROR(VLOOKUP(B1671,Colaboradores!A:D,4,),"")</f>
        <v>ASSESSOR(A) DE FISIOTERAPIA</v>
      </c>
      <c r="F1671" s="47" t="s">
        <v>44</v>
      </c>
      <c r="G1671" s="24" t="str">
        <f>IFERROR(VLOOKUP(F1671,Procedimentos!A:C,2,),"")</f>
        <v>DIRETRIZES PARA GESTÃO DE EQUIPAMENTOS DE PROTEÇÃO INDIVIDUAL - EPI'S</v>
      </c>
      <c r="H1671" s="25"/>
      <c r="I1671" s="51"/>
      <c r="J1671" s="4"/>
      <c r="K1671" s="25" t="str">
        <f t="shared" si="67"/>
        <v/>
      </c>
      <c r="L1671" s="7"/>
      <c r="M1671" s="4"/>
      <c r="N1671" s="7"/>
      <c r="O1671" s="4"/>
      <c r="P1671" s="51"/>
      <c r="Q1671" s="51"/>
      <c r="R1671" s="51"/>
      <c r="S1671" s="7"/>
      <c r="T1671" s="7"/>
    </row>
    <row r="1672" spans="1:20" ht="14.25" customHeight="1">
      <c r="A1672" s="4"/>
      <c r="B1672" s="38">
        <v>14972</v>
      </c>
      <c r="C1672" s="22" t="str">
        <f>IFERROR(VLOOKUP(B1672,Colaboradores!A:D,2,),"")</f>
        <v>JUAN PABLO SOUSA FARIAS</v>
      </c>
      <c r="D1672" s="22" t="str">
        <f>IFERROR(VLOOKUP(B1672,Colaboradores!A:D,3,),"")</f>
        <v>SAÚDE OCUPACIONAL</v>
      </c>
      <c r="E1672" s="22" t="str">
        <f>IFERROR(VLOOKUP(B1672,Colaboradores!A:D,4,),"")</f>
        <v>JOVEM APRENDIZ</v>
      </c>
      <c r="F1672" s="47" t="s">
        <v>44</v>
      </c>
      <c r="G1672" s="24" t="str">
        <f>IFERROR(VLOOKUP(F1672,Procedimentos!A:C,2,),"")</f>
        <v>DIRETRIZES PARA GESTÃO DE EQUIPAMENTOS DE PROTEÇÃO INDIVIDUAL - EPI'S</v>
      </c>
      <c r="H1672" s="25"/>
      <c r="I1672" s="51"/>
      <c r="J1672" s="4"/>
      <c r="K1672" s="25" t="str">
        <f t="shared" si="67"/>
        <v/>
      </c>
      <c r="L1672" s="7"/>
      <c r="M1672" s="4"/>
      <c r="N1672" s="7"/>
      <c r="O1672" s="4"/>
      <c r="P1672" s="51"/>
      <c r="Q1672" s="51"/>
      <c r="R1672" s="51"/>
      <c r="S1672" s="7"/>
      <c r="T1672" s="7"/>
    </row>
    <row r="1673" spans="1:20" ht="14.25" customHeight="1">
      <c r="A1673" s="4"/>
      <c r="B1673" s="38">
        <v>14499</v>
      </c>
      <c r="C1673" s="22" t="str">
        <f>IFERROR(VLOOKUP(B1673,Colaboradores!A:D,2,),"")</f>
        <v>SAMIRIS COSTA DA SILVA</v>
      </c>
      <c r="D1673" s="22" t="str">
        <f>IFERROR(VLOOKUP(B1673,Colaboradores!A:D,3,),"")</f>
        <v>SAÚDE OCUPACIONAL</v>
      </c>
      <c r="E1673" s="22" t="str">
        <f>IFERROR(VLOOKUP(B1673,Colaboradores!A:D,4,),"")</f>
        <v>PSICÓLOGA</v>
      </c>
      <c r="F1673" s="47" t="s">
        <v>44</v>
      </c>
      <c r="G1673" s="24" t="str">
        <f>IFERROR(VLOOKUP(F1673,Procedimentos!A:C,2,),"")</f>
        <v>DIRETRIZES PARA GESTÃO DE EQUIPAMENTOS DE PROTEÇÃO INDIVIDUAL - EPI'S</v>
      </c>
      <c r="H1673" s="25"/>
      <c r="I1673" s="51"/>
      <c r="J1673" s="4"/>
      <c r="K1673" s="25" t="str">
        <f t="shared" si="67"/>
        <v/>
      </c>
      <c r="L1673" s="7"/>
      <c r="M1673" s="4"/>
      <c r="N1673" s="7"/>
      <c r="O1673" s="4"/>
      <c r="P1673" s="51"/>
      <c r="Q1673" s="51"/>
      <c r="R1673" s="51"/>
      <c r="S1673" s="7"/>
      <c r="T1673" s="7"/>
    </row>
    <row r="1674" spans="1:20" ht="14.25" customHeight="1">
      <c r="A1674" s="4"/>
      <c r="B1674" s="38">
        <v>12463</v>
      </c>
      <c r="C1674" s="22" t="str">
        <f>IFERROR(VLOOKUP(B1674,Colaboradores!A:D,2,),"")</f>
        <v>SAMMY RAYANA L. SANTOS</v>
      </c>
      <c r="D1674" s="22" t="str">
        <f>IFERROR(VLOOKUP(B1674,Colaboradores!A:D,3,),"")</f>
        <v>SAÚDE OCUPACIONAL</v>
      </c>
      <c r="E1674" s="22" t="str">
        <f>IFERROR(VLOOKUP(B1674,Colaboradores!A:D,4,),"")</f>
        <v>ASSESSOR(A) DE SERVIÇO SOCIAL</v>
      </c>
      <c r="F1674" s="47" t="s">
        <v>44</v>
      </c>
      <c r="G1674" s="24" t="str">
        <f>IFERROR(VLOOKUP(F1674,Procedimentos!A:C,2,),"")</f>
        <v>DIRETRIZES PARA GESTÃO DE EQUIPAMENTOS DE PROTEÇÃO INDIVIDUAL - EPI'S</v>
      </c>
      <c r="H1674" s="25"/>
      <c r="I1674" s="51"/>
      <c r="J1674" s="4"/>
      <c r="K1674" s="25" t="str">
        <f t="shared" si="67"/>
        <v/>
      </c>
      <c r="L1674" s="7"/>
      <c r="M1674" s="4"/>
      <c r="N1674" s="7"/>
      <c r="O1674" s="4"/>
      <c r="P1674" s="51"/>
      <c r="Q1674" s="51"/>
      <c r="R1674" s="51"/>
      <c r="S1674" s="7"/>
      <c r="T1674" s="7"/>
    </row>
    <row r="1675" spans="1:20" ht="14.25" customHeight="1">
      <c r="A1675" s="4"/>
      <c r="B1675" s="38">
        <v>14962</v>
      </c>
      <c r="C1675" s="22" t="str">
        <f>IFERROR(VLOOKUP(B1675,Colaboradores!A:D,2,),"")</f>
        <v>YASMIN KARINE DE OLIVEIRA SOARES</v>
      </c>
      <c r="D1675" s="22" t="str">
        <f>IFERROR(VLOOKUP(B1675,Colaboradores!A:D,3,),"")</f>
        <v>SAÚDE OCUPACIONAL</v>
      </c>
      <c r="E1675" s="22" t="str">
        <f>IFERROR(VLOOKUP(B1675,Colaboradores!A:D,4,),"")</f>
        <v>JOVEM APRENDIZ</v>
      </c>
      <c r="F1675" s="47" t="s">
        <v>44</v>
      </c>
      <c r="G1675" s="24" t="str">
        <f>IFERROR(VLOOKUP(F1675,Procedimentos!A:C,2,),"")</f>
        <v>DIRETRIZES PARA GESTÃO DE EQUIPAMENTOS DE PROTEÇÃO INDIVIDUAL - EPI'S</v>
      </c>
      <c r="H1675" s="25"/>
      <c r="I1675" s="51"/>
      <c r="J1675" s="4"/>
      <c r="K1675" s="25" t="str">
        <f t="shared" si="67"/>
        <v/>
      </c>
      <c r="L1675" s="7"/>
      <c r="M1675" s="4"/>
      <c r="N1675" s="7"/>
      <c r="O1675" s="4"/>
      <c r="P1675" s="51"/>
      <c r="Q1675" s="51"/>
      <c r="R1675" s="51"/>
      <c r="S1675" s="7"/>
      <c r="T1675" s="7"/>
    </row>
    <row r="1676" spans="1:20" ht="14.25" customHeight="1">
      <c r="A1676" s="4"/>
      <c r="B1676" s="38">
        <v>24306</v>
      </c>
      <c r="C1676" s="22" t="str">
        <f>IFERROR(VLOOKUP(B1676,Colaboradores!A:D,2,),"")</f>
        <v>ANNA MARIA ARAUJO PIORSKI</v>
      </c>
      <c r="D1676" s="22" t="str">
        <f>IFERROR(VLOOKUP(B1676,Colaboradores!A:D,3,),"")</f>
        <v>SAÚDE OCUPACIONAL</v>
      </c>
      <c r="E1676" s="22" t="str">
        <f>IFERROR(VLOOKUP(B1676,Colaboradores!A:D,4,),"")</f>
        <v>ASSESSOR(A) DE NUTRIÇÃO</v>
      </c>
      <c r="F1676" s="47" t="s">
        <v>45</v>
      </c>
      <c r="G1676" s="24" t="str">
        <f>IFERROR(VLOOKUP(F1676,Procedimentos!A:C,2,),"")</f>
        <v>CONSTITUIÇÃO INTERNA DE PREVENÇÃO DE ACIDENTES E DE ASSÉDIOS - CIPA</v>
      </c>
      <c r="H1676" s="25"/>
      <c r="I1676" s="51"/>
      <c r="J1676" s="4"/>
      <c r="K1676" s="25" t="str">
        <f t="shared" si="67"/>
        <v/>
      </c>
      <c r="L1676" s="7"/>
      <c r="M1676" s="4"/>
      <c r="N1676" s="7"/>
      <c r="O1676" s="4"/>
      <c r="P1676" s="51"/>
      <c r="Q1676" s="51"/>
      <c r="R1676" s="51"/>
      <c r="S1676" s="7"/>
      <c r="T1676" s="7"/>
    </row>
    <row r="1677" spans="1:20" ht="14.25" customHeight="1">
      <c r="A1677" s="4"/>
      <c r="B1677" s="38">
        <v>12330</v>
      </c>
      <c r="C1677" s="22" t="str">
        <f>IFERROR(VLOOKUP(B1677,Colaboradores!A:D,2,),"")</f>
        <v>BIANCA GUEDES SILVA ALMEIDA</v>
      </c>
      <c r="D1677" s="22" t="str">
        <f>IFERROR(VLOOKUP(B1677,Colaboradores!A:D,3,),"")</f>
        <v>SAÚDE OCUPACIONAL</v>
      </c>
      <c r="E1677" s="22" t="str">
        <f>IFERROR(VLOOKUP(B1677,Colaboradores!A:D,4,),"")</f>
        <v>NUTRICIONISTA</v>
      </c>
      <c r="F1677" s="47" t="s">
        <v>45</v>
      </c>
      <c r="G1677" s="24" t="str">
        <f>IFERROR(VLOOKUP(F1677,Procedimentos!A:C,2,),"")</f>
        <v>CONSTITUIÇÃO INTERNA DE PREVENÇÃO DE ACIDENTES E DE ASSÉDIOS - CIPA</v>
      </c>
      <c r="H1677" s="25"/>
      <c r="I1677" s="51"/>
      <c r="J1677" s="4"/>
      <c r="K1677" s="25" t="str">
        <f t="shared" si="67"/>
        <v/>
      </c>
      <c r="L1677" s="7"/>
      <c r="M1677" s="4"/>
      <c r="N1677" s="7"/>
      <c r="O1677" s="4"/>
      <c r="P1677" s="51"/>
      <c r="Q1677" s="51"/>
      <c r="R1677" s="51"/>
      <c r="S1677" s="7"/>
      <c r="T1677" s="7"/>
    </row>
    <row r="1678" spans="1:20" ht="14.25" customHeight="1">
      <c r="A1678" s="4"/>
      <c r="B1678" s="38">
        <v>14990</v>
      </c>
      <c r="C1678" s="22" t="str">
        <f>IFERROR(VLOOKUP(B1678,Colaboradores!A:D,2,),"")</f>
        <v>DAVID DE JESUS PEREIRA FONSECA</v>
      </c>
      <c r="D1678" s="22" t="str">
        <f>IFERROR(VLOOKUP(B1678,Colaboradores!A:D,3,),"")</f>
        <v>SAÚDE OCUPACIONAL</v>
      </c>
      <c r="E1678" s="22" t="str">
        <f>IFERROR(VLOOKUP(B1678,Colaboradores!A:D,4,),"")</f>
        <v>JOVEM APRENDIZ</v>
      </c>
      <c r="F1678" s="47" t="s">
        <v>45</v>
      </c>
      <c r="G1678" s="24" t="str">
        <f>IFERROR(VLOOKUP(F1678,Procedimentos!A:C,2,),"")</f>
        <v>CONSTITUIÇÃO INTERNA DE PREVENÇÃO DE ACIDENTES E DE ASSÉDIOS - CIPA</v>
      </c>
      <c r="H1678" s="25"/>
      <c r="I1678" s="51"/>
      <c r="J1678" s="4"/>
      <c r="K1678" s="25" t="str">
        <f t="shared" si="67"/>
        <v/>
      </c>
      <c r="L1678" s="7"/>
      <c r="M1678" s="4"/>
      <c r="N1678" s="7"/>
      <c r="O1678" s="4"/>
      <c r="P1678" s="51"/>
      <c r="Q1678" s="51"/>
      <c r="R1678" s="51"/>
      <c r="S1678" s="7"/>
      <c r="T1678" s="7"/>
    </row>
    <row r="1679" spans="1:20" ht="14.25" customHeight="1">
      <c r="A1679" s="4"/>
      <c r="B1679" s="38">
        <v>9058</v>
      </c>
      <c r="C1679" s="22" t="str">
        <f>IFERROR(VLOOKUP(B1679,Colaboradores!A:D,2,),"")</f>
        <v>DENISE CRISTRINA CASTRO</v>
      </c>
      <c r="D1679" s="22" t="str">
        <f>IFERROR(VLOOKUP(B1679,Colaboradores!A:D,3,),"")</f>
        <v>SAÚDE OCUPACIONAL</v>
      </c>
      <c r="E1679" s="22" t="str">
        <f>IFERROR(VLOOKUP(B1679,Colaboradores!A:D,4,),"")</f>
        <v>ASSESSOR(A) DE SERVIÇO SOCIAL</v>
      </c>
      <c r="F1679" s="47" t="s">
        <v>45</v>
      </c>
      <c r="G1679" s="24" t="str">
        <f>IFERROR(VLOOKUP(F1679,Procedimentos!A:C,2,),"")</f>
        <v>CONSTITUIÇÃO INTERNA DE PREVENÇÃO DE ACIDENTES E DE ASSÉDIOS - CIPA</v>
      </c>
      <c r="H1679" s="25"/>
      <c r="I1679" s="51"/>
      <c r="J1679" s="4"/>
      <c r="K1679" s="25" t="str">
        <f t="shared" si="67"/>
        <v/>
      </c>
      <c r="L1679" s="7"/>
      <c r="M1679" s="4"/>
      <c r="N1679" s="7"/>
      <c r="O1679" s="4"/>
      <c r="P1679" s="51"/>
      <c r="Q1679" s="51"/>
      <c r="R1679" s="51"/>
      <c r="S1679" s="7"/>
      <c r="T1679" s="7"/>
    </row>
    <row r="1680" spans="1:20" ht="14.25" customHeight="1">
      <c r="A1680" s="4"/>
      <c r="B1680" s="38">
        <v>8111</v>
      </c>
      <c r="C1680" s="22" t="str">
        <f>IFERROR(VLOOKUP(B1680,Colaboradores!A:D,2,),"")</f>
        <v>FABIANA SILVA COSTA</v>
      </c>
      <c r="D1680" s="22" t="str">
        <f>IFERROR(VLOOKUP(B1680,Colaboradores!A:D,3,),"")</f>
        <v>SAÚDE OCUPACIONAL</v>
      </c>
      <c r="E1680" s="22" t="str">
        <f>IFERROR(VLOOKUP(B1680,Colaboradores!A:D,4,),"")</f>
        <v>ASSESSOR(A) DE FISIOTERAPIA</v>
      </c>
      <c r="F1680" s="47" t="s">
        <v>45</v>
      </c>
      <c r="G1680" s="24" t="str">
        <f>IFERROR(VLOOKUP(F1680,Procedimentos!A:C,2,),"")</f>
        <v>CONSTITUIÇÃO INTERNA DE PREVENÇÃO DE ACIDENTES E DE ASSÉDIOS - CIPA</v>
      </c>
      <c r="H1680" s="25"/>
      <c r="I1680" s="51"/>
      <c r="J1680" s="4"/>
      <c r="K1680" s="25" t="str">
        <f t="shared" si="67"/>
        <v/>
      </c>
      <c r="L1680" s="7"/>
      <c r="M1680" s="4"/>
      <c r="N1680" s="7"/>
      <c r="O1680" s="4"/>
      <c r="P1680" s="51"/>
      <c r="Q1680" s="51"/>
      <c r="R1680" s="51"/>
      <c r="S1680" s="7"/>
      <c r="T1680" s="7"/>
    </row>
    <row r="1681" spans="1:20" ht="14.25" customHeight="1">
      <c r="A1681" s="4"/>
      <c r="B1681" s="38">
        <v>14972</v>
      </c>
      <c r="C1681" s="22" t="str">
        <f>IFERROR(VLOOKUP(B1681,Colaboradores!A:D,2,),"")</f>
        <v>JUAN PABLO SOUSA FARIAS</v>
      </c>
      <c r="D1681" s="22" t="str">
        <f>IFERROR(VLOOKUP(B1681,Colaboradores!A:D,3,),"")</f>
        <v>SAÚDE OCUPACIONAL</v>
      </c>
      <c r="E1681" s="22" t="str">
        <f>IFERROR(VLOOKUP(B1681,Colaboradores!A:D,4,),"")</f>
        <v>JOVEM APRENDIZ</v>
      </c>
      <c r="F1681" s="47" t="s">
        <v>45</v>
      </c>
      <c r="G1681" s="24" t="str">
        <f>IFERROR(VLOOKUP(F1681,Procedimentos!A:C,2,),"")</f>
        <v>CONSTITUIÇÃO INTERNA DE PREVENÇÃO DE ACIDENTES E DE ASSÉDIOS - CIPA</v>
      </c>
      <c r="H1681" s="25"/>
      <c r="I1681" s="51"/>
      <c r="J1681" s="4"/>
      <c r="K1681" s="25" t="str">
        <f t="shared" si="67"/>
        <v/>
      </c>
      <c r="L1681" s="7"/>
      <c r="M1681" s="4"/>
      <c r="N1681" s="7"/>
      <c r="O1681" s="4"/>
      <c r="P1681" s="51"/>
      <c r="Q1681" s="51"/>
      <c r="R1681" s="51"/>
      <c r="S1681" s="7"/>
      <c r="T1681" s="7"/>
    </row>
    <row r="1682" spans="1:20" ht="14.25" customHeight="1">
      <c r="A1682" s="4"/>
      <c r="B1682" s="38">
        <v>14499</v>
      </c>
      <c r="C1682" s="22" t="str">
        <f>IFERROR(VLOOKUP(B1682,Colaboradores!A:D,2,),"")</f>
        <v>SAMIRIS COSTA DA SILVA</v>
      </c>
      <c r="D1682" s="22" t="str">
        <f>IFERROR(VLOOKUP(B1682,Colaboradores!A:D,3,),"")</f>
        <v>SAÚDE OCUPACIONAL</v>
      </c>
      <c r="E1682" s="22" t="str">
        <f>IFERROR(VLOOKUP(B1682,Colaboradores!A:D,4,),"")</f>
        <v>PSICÓLOGA</v>
      </c>
      <c r="F1682" s="47" t="s">
        <v>45</v>
      </c>
      <c r="G1682" s="24" t="str">
        <f>IFERROR(VLOOKUP(F1682,Procedimentos!A:C,2,),"")</f>
        <v>CONSTITUIÇÃO INTERNA DE PREVENÇÃO DE ACIDENTES E DE ASSÉDIOS - CIPA</v>
      </c>
      <c r="H1682" s="25"/>
      <c r="I1682" s="51"/>
      <c r="J1682" s="4"/>
      <c r="K1682" s="25" t="str">
        <f t="shared" si="67"/>
        <v/>
      </c>
      <c r="L1682" s="7"/>
      <c r="M1682" s="4"/>
      <c r="N1682" s="7"/>
      <c r="O1682" s="4"/>
      <c r="P1682" s="51"/>
      <c r="Q1682" s="51"/>
      <c r="R1682" s="51"/>
      <c r="S1682" s="7"/>
      <c r="T1682" s="7"/>
    </row>
    <row r="1683" spans="1:20" ht="14.25" customHeight="1">
      <c r="A1683" s="4"/>
      <c r="B1683" s="38">
        <v>12463</v>
      </c>
      <c r="C1683" s="22" t="str">
        <f>IFERROR(VLOOKUP(B1683,Colaboradores!A:D,2,),"")</f>
        <v>SAMMY RAYANA L. SANTOS</v>
      </c>
      <c r="D1683" s="22" t="str">
        <f>IFERROR(VLOOKUP(B1683,Colaboradores!A:D,3,),"")</f>
        <v>SAÚDE OCUPACIONAL</v>
      </c>
      <c r="E1683" s="22" t="str">
        <f>IFERROR(VLOOKUP(B1683,Colaboradores!A:D,4,),"")</f>
        <v>ASSESSOR(A) DE SERVIÇO SOCIAL</v>
      </c>
      <c r="F1683" s="47" t="s">
        <v>45</v>
      </c>
      <c r="G1683" s="24" t="str">
        <f>IFERROR(VLOOKUP(F1683,Procedimentos!A:C,2,),"")</f>
        <v>CONSTITUIÇÃO INTERNA DE PREVENÇÃO DE ACIDENTES E DE ASSÉDIOS - CIPA</v>
      </c>
      <c r="H1683" s="25"/>
      <c r="I1683" s="51"/>
      <c r="J1683" s="4"/>
      <c r="K1683" s="25" t="str">
        <f t="shared" si="67"/>
        <v/>
      </c>
      <c r="L1683" s="7"/>
      <c r="M1683" s="4"/>
      <c r="N1683" s="7"/>
      <c r="O1683" s="4"/>
      <c r="P1683" s="51"/>
      <c r="Q1683" s="51"/>
      <c r="R1683" s="51"/>
      <c r="S1683" s="7"/>
      <c r="T1683" s="7"/>
    </row>
    <row r="1684" spans="1:20" ht="14.25" customHeight="1">
      <c r="A1684" s="4"/>
      <c r="B1684" s="38">
        <v>14962</v>
      </c>
      <c r="C1684" s="22" t="str">
        <f>IFERROR(VLOOKUP(B1684,Colaboradores!A:D,2,),"")</f>
        <v>YASMIN KARINE DE OLIVEIRA SOARES</v>
      </c>
      <c r="D1684" s="22" t="str">
        <f>IFERROR(VLOOKUP(B1684,Colaboradores!A:D,3,),"")</f>
        <v>SAÚDE OCUPACIONAL</v>
      </c>
      <c r="E1684" s="22" t="str">
        <f>IFERROR(VLOOKUP(B1684,Colaboradores!A:D,4,),"")</f>
        <v>JOVEM APRENDIZ</v>
      </c>
      <c r="F1684" s="47" t="s">
        <v>45</v>
      </c>
      <c r="G1684" s="24" t="str">
        <f>IFERROR(VLOOKUP(F1684,Procedimentos!A:C,2,),"")</f>
        <v>CONSTITUIÇÃO INTERNA DE PREVENÇÃO DE ACIDENTES E DE ASSÉDIOS - CIPA</v>
      </c>
      <c r="H1684" s="25"/>
      <c r="I1684" s="51"/>
      <c r="J1684" s="4"/>
      <c r="K1684" s="25" t="str">
        <f t="shared" si="67"/>
        <v/>
      </c>
      <c r="L1684" s="7"/>
      <c r="M1684" s="4"/>
      <c r="N1684" s="7"/>
      <c r="O1684" s="4"/>
      <c r="P1684" s="51"/>
      <c r="Q1684" s="51"/>
      <c r="R1684" s="51"/>
      <c r="S1684" s="7"/>
      <c r="T1684" s="7"/>
    </row>
    <row r="1685" spans="1:20" ht="14.25" customHeight="1">
      <c r="A1685" s="4"/>
      <c r="B1685" s="38">
        <v>24306</v>
      </c>
      <c r="C1685" s="22" t="str">
        <f>IFERROR(VLOOKUP(B1685,Colaboradores!A:D,2,),"")</f>
        <v>ANNA MARIA ARAUJO PIORSKI</v>
      </c>
      <c r="D1685" s="22" t="str">
        <f>IFERROR(VLOOKUP(B1685,Colaboradores!A:D,3,),"")</f>
        <v>SAÚDE OCUPACIONAL</v>
      </c>
      <c r="E1685" s="22" t="str">
        <f>IFERROR(VLOOKUP(B1685,Colaboradores!A:D,4,),"")</f>
        <v>ASSESSOR(A) DE NUTRIÇÃO</v>
      </c>
      <c r="F1685" s="47" t="s">
        <v>48</v>
      </c>
      <c r="G1685" s="24" t="str">
        <f>IFERROR(VLOOKUP(F1685,Procedimentos!A:C,2,),"")</f>
        <v>POLÍTICA MEIO AMBIENTE EMSERH</v>
      </c>
      <c r="H1685" s="25"/>
      <c r="I1685" s="51"/>
      <c r="J1685" s="4"/>
      <c r="K1685" s="25" t="str">
        <f t="shared" si="67"/>
        <v/>
      </c>
      <c r="L1685" s="7"/>
      <c r="M1685" s="4"/>
      <c r="N1685" s="7"/>
      <c r="O1685" s="4"/>
      <c r="P1685" s="51"/>
      <c r="Q1685" s="51"/>
      <c r="R1685" s="51"/>
      <c r="S1685" s="7"/>
      <c r="T1685" s="7"/>
    </row>
    <row r="1686" spans="1:20" ht="14.25" customHeight="1">
      <c r="A1686" s="4"/>
      <c r="B1686" s="38">
        <v>12330</v>
      </c>
      <c r="C1686" s="22" t="str">
        <f>IFERROR(VLOOKUP(B1686,Colaboradores!A:D,2,),"")</f>
        <v>BIANCA GUEDES SILVA ALMEIDA</v>
      </c>
      <c r="D1686" s="22" t="str">
        <f>IFERROR(VLOOKUP(B1686,Colaboradores!A:D,3,),"")</f>
        <v>SAÚDE OCUPACIONAL</v>
      </c>
      <c r="E1686" s="22" t="str">
        <f>IFERROR(VLOOKUP(B1686,Colaboradores!A:D,4,),"")</f>
        <v>NUTRICIONISTA</v>
      </c>
      <c r="F1686" s="47" t="s">
        <v>48</v>
      </c>
      <c r="G1686" s="24" t="str">
        <f>IFERROR(VLOOKUP(F1686,Procedimentos!A:C,2,),"")</f>
        <v>POLÍTICA MEIO AMBIENTE EMSERH</v>
      </c>
      <c r="H1686" s="25"/>
      <c r="I1686" s="51"/>
      <c r="J1686" s="4"/>
      <c r="K1686" s="25" t="str">
        <f t="shared" si="67"/>
        <v/>
      </c>
      <c r="L1686" s="7"/>
      <c r="M1686" s="4"/>
      <c r="N1686" s="7"/>
      <c r="O1686" s="4"/>
      <c r="P1686" s="51"/>
      <c r="Q1686" s="51"/>
      <c r="R1686" s="51"/>
      <c r="S1686" s="7"/>
      <c r="T1686" s="7"/>
    </row>
    <row r="1687" spans="1:20" ht="14.25" customHeight="1">
      <c r="A1687" s="4"/>
      <c r="B1687" s="38">
        <v>14990</v>
      </c>
      <c r="C1687" s="22" t="str">
        <f>IFERROR(VLOOKUP(B1687,Colaboradores!A:D,2,),"")</f>
        <v>DAVID DE JESUS PEREIRA FONSECA</v>
      </c>
      <c r="D1687" s="22" t="str">
        <f>IFERROR(VLOOKUP(B1687,Colaboradores!A:D,3,),"")</f>
        <v>SAÚDE OCUPACIONAL</v>
      </c>
      <c r="E1687" s="22" t="str">
        <f>IFERROR(VLOOKUP(B1687,Colaboradores!A:D,4,),"")</f>
        <v>JOVEM APRENDIZ</v>
      </c>
      <c r="F1687" s="47" t="s">
        <v>48</v>
      </c>
      <c r="G1687" s="24" t="str">
        <f>IFERROR(VLOOKUP(F1687,Procedimentos!A:C,2,),"")</f>
        <v>POLÍTICA MEIO AMBIENTE EMSERH</v>
      </c>
      <c r="H1687" s="25"/>
      <c r="I1687" s="51"/>
      <c r="J1687" s="4"/>
      <c r="K1687" s="25" t="str">
        <f t="shared" si="67"/>
        <v/>
      </c>
      <c r="L1687" s="7"/>
      <c r="M1687" s="4"/>
      <c r="N1687" s="7"/>
      <c r="O1687" s="4"/>
      <c r="P1687" s="51"/>
      <c r="Q1687" s="51"/>
      <c r="R1687" s="51"/>
      <c r="S1687" s="7"/>
      <c r="T1687" s="7"/>
    </row>
    <row r="1688" spans="1:20" ht="14.25" customHeight="1">
      <c r="A1688" s="4"/>
      <c r="B1688" s="38">
        <v>9058</v>
      </c>
      <c r="C1688" s="22" t="str">
        <f>IFERROR(VLOOKUP(B1688,Colaboradores!A:D,2,),"")</f>
        <v>DENISE CRISTRINA CASTRO</v>
      </c>
      <c r="D1688" s="22" t="str">
        <f>IFERROR(VLOOKUP(B1688,Colaboradores!A:D,3,),"")</f>
        <v>SAÚDE OCUPACIONAL</v>
      </c>
      <c r="E1688" s="22" t="str">
        <f>IFERROR(VLOOKUP(B1688,Colaboradores!A:D,4,),"")</f>
        <v>ASSESSOR(A) DE SERVIÇO SOCIAL</v>
      </c>
      <c r="F1688" s="47" t="s">
        <v>48</v>
      </c>
      <c r="G1688" s="24" t="str">
        <f>IFERROR(VLOOKUP(F1688,Procedimentos!A:C,2,),"")</f>
        <v>POLÍTICA MEIO AMBIENTE EMSERH</v>
      </c>
      <c r="H1688" s="25"/>
      <c r="I1688" s="51"/>
      <c r="J1688" s="4"/>
      <c r="K1688" s="25" t="str">
        <f t="shared" si="67"/>
        <v/>
      </c>
      <c r="L1688" s="7"/>
      <c r="M1688" s="4"/>
      <c r="N1688" s="7"/>
      <c r="O1688" s="4"/>
      <c r="P1688" s="51"/>
      <c r="Q1688" s="51"/>
      <c r="R1688" s="51"/>
      <c r="S1688" s="7"/>
      <c r="T1688" s="7"/>
    </row>
    <row r="1689" spans="1:20" ht="14.25" customHeight="1">
      <c r="A1689" s="4"/>
      <c r="B1689" s="38">
        <v>8111</v>
      </c>
      <c r="C1689" s="22" t="str">
        <f>IFERROR(VLOOKUP(B1689,Colaboradores!A:D,2,),"")</f>
        <v>FABIANA SILVA COSTA</v>
      </c>
      <c r="D1689" s="22" t="str">
        <f>IFERROR(VLOOKUP(B1689,Colaboradores!A:D,3,),"")</f>
        <v>SAÚDE OCUPACIONAL</v>
      </c>
      <c r="E1689" s="22" t="str">
        <f>IFERROR(VLOOKUP(B1689,Colaboradores!A:D,4,),"")</f>
        <v>ASSESSOR(A) DE FISIOTERAPIA</v>
      </c>
      <c r="F1689" s="47" t="s">
        <v>48</v>
      </c>
      <c r="G1689" s="24" t="str">
        <f>IFERROR(VLOOKUP(F1689,Procedimentos!A:C,2,),"")</f>
        <v>POLÍTICA MEIO AMBIENTE EMSERH</v>
      </c>
      <c r="H1689" s="25"/>
      <c r="I1689" s="51"/>
      <c r="J1689" s="4"/>
      <c r="K1689" s="25" t="str">
        <f t="shared" si="67"/>
        <v/>
      </c>
      <c r="L1689" s="7"/>
      <c r="M1689" s="4"/>
      <c r="N1689" s="7"/>
      <c r="O1689" s="4"/>
      <c r="P1689" s="51"/>
      <c r="Q1689" s="51"/>
      <c r="R1689" s="51"/>
      <c r="S1689" s="7"/>
      <c r="T1689" s="7"/>
    </row>
    <row r="1690" spans="1:20" ht="14.25" customHeight="1">
      <c r="A1690" s="4"/>
      <c r="B1690" s="38">
        <v>14972</v>
      </c>
      <c r="C1690" s="22" t="str">
        <f>IFERROR(VLOOKUP(B1690,Colaboradores!A:D,2,),"")</f>
        <v>JUAN PABLO SOUSA FARIAS</v>
      </c>
      <c r="D1690" s="22" t="str">
        <f>IFERROR(VLOOKUP(B1690,Colaboradores!A:D,3,),"")</f>
        <v>SAÚDE OCUPACIONAL</v>
      </c>
      <c r="E1690" s="22" t="str">
        <f>IFERROR(VLOOKUP(B1690,Colaboradores!A:D,4,),"")</f>
        <v>JOVEM APRENDIZ</v>
      </c>
      <c r="F1690" s="47" t="s">
        <v>48</v>
      </c>
      <c r="G1690" s="24" t="str">
        <f>IFERROR(VLOOKUP(F1690,Procedimentos!A:C,2,),"")</f>
        <v>POLÍTICA MEIO AMBIENTE EMSERH</v>
      </c>
      <c r="H1690" s="25"/>
      <c r="I1690" s="51"/>
      <c r="J1690" s="4"/>
      <c r="K1690" s="25" t="str">
        <f t="shared" si="67"/>
        <v/>
      </c>
      <c r="L1690" s="7"/>
      <c r="M1690" s="4"/>
      <c r="N1690" s="7"/>
      <c r="O1690" s="4"/>
      <c r="P1690" s="51"/>
      <c r="Q1690" s="51"/>
      <c r="R1690" s="51"/>
      <c r="S1690" s="7"/>
      <c r="T1690" s="7"/>
    </row>
    <row r="1691" spans="1:20" ht="14.25" customHeight="1">
      <c r="A1691" s="4"/>
      <c r="B1691" s="38">
        <v>13594</v>
      </c>
      <c r="C1691" s="22" t="str">
        <f>IFERROR(VLOOKUP(B1691,Colaboradores!A:D,2,),"")</f>
        <v>MARCIO AUGUSTO SILVA MIRANDA</v>
      </c>
      <c r="D1691" s="22" t="str">
        <f>IFERROR(VLOOKUP(B1691,Colaboradores!A:D,3,),"")</f>
        <v>SAÚDE OCUPACIONAL</v>
      </c>
      <c r="E1691" s="22" t="str">
        <f>IFERROR(VLOOKUP(B1691,Colaboradores!A:D,4,),"")</f>
        <v>ASSESSOR (A) CLINICO</v>
      </c>
      <c r="F1691" s="47" t="s">
        <v>48</v>
      </c>
      <c r="G1691" s="24" t="str">
        <f>IFERROR(VLOOKUP(F1691,Procedimentos!A:C,2,),"")</f>
        <v>POLÍTICA MEIO AMBIENTE EMSERH</v>
      </c>
      <c r="H1691" s="25"/>
      <c r="I1691" s="51"/>
      <c r="J1691" s="4"/>
      <c r="K1691" s="25" t="str">
        <f t="shared" si="67"/>
        <v/>
      </c>
      <c r="L1691" s="7"/>
      <c r="M1691" s="4"/>
      <c r="N1691" s="7"/>
      <c r="O1691" s="4"/>
      <c r="P1691" s="51"/>
      <c r="Q1691" s="51"/>
      <c r="R1691" s="51"/>
      <c r="S1691" s="7"/>
      <c r="T1691" s="7"/>
    </row>
    <row r="1692" spans="1:20" ht="14.25" customHeight="1">
      <c r="A1692" s="4"/>
      <c r="B1692" s="38">
        <v>14499</v>
      </c>
      <c r="C1692" s="22" t="str">
        <f>IFERROR(VLOOKUP(B1692,Colaboradores!A:D,2,),"")</f>
        <v>SAMIRIS COSTA DA SILVA</v>
      </c>
      <c r="D1692" s="22" t="str">
        <f>IFERROR(VLOOKUP(B1692,Colaboradores!A:D,3,),"")</f>
        <v>SAÚDE OCUPACIONAL</v>
      </c>
      <c r="E1692" s="22" t="str">
        <f>IFERROR(VLOOKUP(B1692,Colaboradores!A:D,4,),"")</f>
        <v>PSICÓLOGA</v>
      </c>
      <c r="F1692" s="47" t="s">
        <v>48</v>
      </c>
      <c r="G1692" s="24" t="str">
        <f>IFERROR(VLOOKUP(F1692,Procedimentos!A:C,2,),"")</f>
        <v>POLÍTICA MEIO AMBIENTE EMSERH</v>
      </c>
      <c r="H1692" s="25"/>
      <c r="I1692" s="51"/>
      <c r="J1692" s="4"/>
      <c r="K1692" s="25" t="str">
        <f t="shared" si="67"/>
        <v/>
      </c>
      <c r="L1692" s="7"/>
      <c r="M1692" s="4"/>
      <c r="N1692" s="7"/>
      <c r="O1692" s="4"/>
      <c r="P1692" s="51"/>
      <c r="Q1692" s="51"/>
      <c r="R1692" s="51"/>
      <c r="S1692" s="7"/>
      <c r="T1692" s="7"/>
    </row>
    <row r="1693" spans="1:20" ht="14.25" customHeight="1">
      <c r="A1693" s="4"/>
      <c r="B1693" s="38">
        <v>12463</v>
      </c>
      <c r="C1693" s="22" t="str">
        <f>IFERROR(VLOOKUP(B1693,Colaboradores!A:D,2,),"")</f>
        <v>SAMMY RAYANA L. SANTOS</v>
      </c>
      <c r="D1693" s="22" t="str">
        <f>IFERROR(VLOOKUP(B1693,Colaboradores!A:D,3,),"")</f>
        <v>SAÚDE OCUPACIONAL</v>
      </c>
      <c r="E1693" s="22" t="str">
        <f>IFERROR(VLOOKUP(B1693,Colaboradores!A:D,4,),"")</f>
        <v>ASSESSOR(A) DE SERVIÇO SOCIAL</v>
      </c>
      <c r="F1693" s="47" t="s">
        <v>48</v>
      </c>
      <c r="G1693" s="24" t="str">
        <f>IFERROR(VLOOKUP(F1693,Procedimentos!A:C,2,),"")</f>
        <v>POLÍTICA MEIO AMBIENTE EMSERH</v>
      </c>
      <c r="H1693" s="25"/>
      <c r="I1693" s="51"/>
      <c r="J1693" s="4"/>
      <c r="K1693" s="25" t="str">
        <f t="shared" si="67"/>
        <v/>
      </c>
      <c r="L1693" s="7"/>
      <c r="M1693" s="4"/>
      <c r="N1693" s="7"/>
      <c r="O1693" s="4"/>
      <c r="P1693" s="51"/>
      <c r="Q1693" s="51"/>
      <c r="R1693" s="51"/>
      <c r="S1693" s="7"/>
      <c r="T1693" s="7"/>
    </row>
    <row r="1694" spans="1:20" ht="14.25" customHeight="1">
      <c r="A1694" s="4"/>
      <c r="B1694" s="38">
        <v>13100</v>
      </c>
      <c r="C1694" s="22" t="str">
        <f>IFERROR(VLOOKUP(B1694,Colaboradores!A:D,2,),"")</f>
        <v>TAYNAH SOARES DE SOUZA CAMARAO</v>
      </c>
      <c r="D1694" s="22" t="str">
        <f>IFERROR(VLOOKUP(B1694,Colaboradores!A:D,3,),"")</f>
        <v>SAÚDE OCUPACIONAL</v>
      </c>
      <c r="E1694" s="22" t="str">
        <f>IFERROR(VLOOKUP(B1694,Colaboradores!A:D,4,),"")</f>
        <v>MÉDICA</v>
      </c>
      <c r="F1694" s="47" t="s">
        <v>48</v>
      </c>
      <c r="G1694" s="24" t="str">
        <f>IFERROR(VLOOKUP(F1694,Procedimentos!A:C,2,),"")</f>
        <v>POLÍTICA MEIO AMBIENTE EMSERH</v>
      </c>
      <c r="H1694" s="25"/>
      <c r="I1694" s="51"/>
      <c r="J1694" s="4"/>
      <c r="K1694" s="25" t="str">
        <f t="shared" si="67"/>
        <v/>
      </c>
      <c r="L1694" s="7"/>
      <c r="M1694" s="4"/>
      <c r="N1694" s="7"/>
      <c r="O1694" s="4"/>
      <c r="P1694" s="51"/>
      <c r="Q1694" s="51"/>
      <c r="R1694" s="51"/>
      <c r="S1694" s="7"/>
      <c r="T1694" s="7"/>
    </row>
    <row r="1695" spans="1:20" ht="14.25" customHeight="1">
      <c r="A1695" s="4"/>
      <c r="B1695" s="38">
        <v>14962</v>
      </c>
      <c r="C1695" s="22" t="str">
        <f>IFERROR(VLOOKUP(B1695,Colaboradores!A:D,2,),"")</f>
        <v>YASMIN KARINE DE OLIVEIRA SOARES</v>
      </c>
      <c r="D1695" s="22" t="str">
        <f>IFERROR(VLOOKUP(B1695,Colaboradores!A:D,3,),"")</f>
        <v>SAÚDE OCUPACIONAL</v>
      </c>
      <c r="E1695" s="22" t="str">
        <f>IFERROR(VLOOKUP(B1695,Colaboradores!A:D,4,),"")</f>
        <v>JOVEM APRENDIZ</v>
      </c>
      <c r="F1695" s="47" t="s">
        <v>48</v>
      </c>
      <c r="G1695" s="24" t="str">
        <f>IFERROR(VLOOKUP(F1695,Procedimentos!A:C,2,),"")</f>
        <v>POLÍTICA MEIO AMBIENTE EMSERH</v>
      </c>
      <c r="H1695" s="25"/>
      <c r="I1695" s="51"/>
      <c r="J1695" s="4"/>
      <c r="K1695" s="25" t="str">
        <f t="shared" si="67"/>
        <v/>
      </c>
      <c r="L1695" s="7"/>
      <c r="M1695" s="4"/>
      <c r="N1695" s="7"/>
      <c r="O1695" s="4"/>
      <c r="P1695" s="51"/>
      <c r="Q1695" s="51"/>
      <c r="R1695" s="51"/>
      <c r="S1695" s="7"/>
      <c r="T1695" s="7"/>
    </row>
    <row r="1696" spans="1:20" ht="14.25" customHeight="1">
      <c r="A1696" s="4"/>
      <c r="B1696" s="38">
        <v>24306</v>
      </c>
      <c r="C1696" s="22" t="str">
        <f>IFERROR(VLOOKUP(B1696,Colaboradores!A:D,2,),"")</f>
        <v>ANNA MARIA ARAUJO PIORSKI</v>
      </c>
      <c r="D1696" s="22" t="str">
        <f>IFERROR(VLOOKUP(B1696,Colaboradores!A:D,3,),"")</f>
        <v>SAÚDE OCUPACIONAL</v>
      </c>
      <c r="E1696" s="22" t="str">
        <f>IFERROR(VLOOKUP(B1696,Colaboradores!A:D,4,),"")</f>
        <v>ASSESSOR(A) DE NUTRIÇÃO</v>
      </c>
      <c r="F1696" s="47" t="s">
        <v>46</v>
      </c>
      <c r="G1696" s="24" t="str">
        <f>IFERROR(VLOOKUP(F1696,Procedimentos!A:C,2,),"")</f>
        <v>POLÍTICA DE SAÚDE E SEGURANÇA DO TRABALHO EMSERH</v>
      </c>
      <c r="H1696" s="25"/>
      <c r="I1696" s="51"/>
      <c r="J1696" s="4"/>
      <c r="K1696" s="25" t="str">
        <f t="shared" si="67"/>
        <v/>
      </c>
      <c r="L1696" s="7"/>
      <c r="M1696" s="4"/>
      <c r="N1696" s="7"/>
      <c r="O1696" s="4"/>
      <c r="P1696" s="51"/>
      <c r="Q1696" s="51"/>
      <c r="R1696" s="51"/>
      <c r="S1696" s="7"/>
      <c r="T1696" s="7"/>
    </row>
    <row r="1697" spans="1:20" ht="14.25" customHeight="1">
      <c r="A1697" s="4"/>
      <c r="B1697" s="38">
        <v>12330</v>
      </c>
      <c r="C1697" s="22" t="str">
        <f>IFERROR(VLOOKUP(B1697,Colaboradores!A:D,2,),"")</f>
        <v>BIANCA GUEDES SILVA ALMEIDA</v>
      </c>
      <c r="D1697" s="22" t="str">
        <f>IFERROR(VLOOKUP(B1697,Colaboradores!A:D,3,),"")</f>
        <v>SAÚDE OCUPACIONAL</v>
      </c>
      <c r="E1697" s="22" t="str">
        <f>IFERROR(VLOOKUP(B1697,Colaboradores!A:D,4,),"")</f>
        <v>NUTRICIONISTA</v>
      </c>
      <c r="F1697" s="47" t="s">
        <v>46</v>
      </c>
      <c r="G1697" s="24" t="str">
        <f>IFERROR(VLOOKUP(F1697,Procedimentos!A:C,2,),"")</f>
        <v>POLÍTICA DE SAÚDE E SEGURANÇA DO TRABALHO EMSERH</v>
      </c>
      <c r="H1697" s="25"/>
      <c r="I1697" s="51"/>
      <c r="J1697" s="4"/>
      <c r="K1697" s="25" t="str">
        <f t="shared" si="67"/>
        <v/>
      </c>
      <c r="L1697" s="7"/>
      <c r="M1697" s="4"/>
      <c r="N1697" s="7"/>
      <c r="O1697" s="4"/>
      <c r="P1697" s="51"/>
      <c r="Q1697" s="51"/>
      <c r="R1697" s="51"/>
      <c r="S1697" s="7"/>
      <c r="T1697" s="7"/>
    </row>
    <row r="1698" spans="1:20" ht="14.25" customHeight="1">
      <c r="A1698" s="4"/>
      <c r="B1698" s="38">
        <v>14990</v>
      </c>
      <c r="C1698" s="22" t="str">
        <f>IFERROR(VLOOKUP(B1698,Colaboradores!A:D,2,),"")</f>
        <v>DAVID DE JESUS PEREIRA FONSECA</v>
      </c>
      <c r="D1698" s="22" t="str">
        <f>IFERROR(VLOOKUP(B1698,Colaboradores!A:D,3,),"")</f>
        <v>SAÚDE OCUPACIONAL</v>
      </c>
      <c r="E1698" s="22" t="str">
        <f>IFERROR(VLOOKUP(B1698,Colaboradores!A:D,4,),"")</f>
        <v>JOVEM APRENDIZ</v>
      </c>
      <c r="F1698" s="47" t="s">
        <v>46</v>
      </c>
      <c r="G1698" s="24" t="str">
        <f>IFERROR(VLOOKUP(F1698,Procedimentos!A:C,2,),"")</f>
        <v>POLÍTICA DE SAÚDE E SEGURANÇA DO TRABALHO EMSERH</v>
      </c>
      <c r="H1698" s="25"/>
      <c r="I1698" s="51"/>
      <c r="J1698" s="4"/>
      <c r="K1698" s="25" t="str">
        <f t="shared" si="67"/>
        <v/>
      </c>
      <c r="L1698" s="7"/>
      <c r="M1698" s="4"/>
      <c r="N1698" s="7"/>
      <c r="O1698" s="4"/>
      <c r="P1698" s="51"/>
      <c r="Q1698" s="51"/>
      <c r="R1698" s="51"/>
      <c r="S1698" s="7"/>
      <c r="T1698" s="7"/>
    </row>
    <row r="1699" spans="1:20" ht="14.25" customHeight="1">
      <c r="A1699" s="4"/>
      <c r="B1699" s="38">
        <v>9058</v>
      </c>
      <c r="C1699" s="22" t="str">
        <f>IFERROR(VLOOKUP(B1699,Colaboradores!A:D,2,),"")</f>
        <v>DENISE CRISTRINA CASTRO</v>
      </c>
      <c r="D1699" s="22" t="str">
        <f>IFERROR(VLOOKUP(B1699,Colaboradores!A:D,3,),"")</f>
        <v>SAÚDE OCUPACIONAL</v>
      </c>
      <c r="E1699" s="22" t="str">
        <f>IFERROR(VLOOKUP(B1699,Colaboradores!A:D,4,),"")</f>
        <v>ASSESSOR(A) DE SERVIÇO SOCIAL</v>
      </c>
      <c r="F1699" s="47" t="s">
        <v>46</v>
      </c>
      <c r="G1699" s="24" t="str">
        <f>IFERROR(VLOOKUP(F1699,Procedimentos!A:C,2,),"")</f>
        <v>POLÍTICA DE SAÚDE E SEGURANÇA DO TRABALHO EMSERH</v>
      </c>
      <c r="H1699" s="25"/>
      <c r="I1699" s="51"/>
      <c r="J1699" s="4"/>
      <c r="K1699" s="25" t="str">
        <f t="shared" si="67"/>
        <v/>
      </c>
      <c r="L1699" s="7"/>
      <c r="M1699" s="4"/>
      <c r="N1699" s="7"/>
      <c r="O1699" s="4"/>
      <c r="P1699" s="51"/>
      <c r="Q1699" s="51"/>
      <c r="R1699" s="51"/>
      <c r="S1699" s="7"/>
      <c r="T1699" s="7"/>
    </row>
    <row r="1700" spans="1:20" ht="14.25" customHeight="1">
      <c r="A1700" s="4"/>
      <c r="B1700" s="38">
        <v>8111</v>
      </c>
      <c r="C1700" s="22" t="str">
        <f>IFERROR(VLOOKUP(B1700,Colaboradores!A:D,2,),"")</f>
        <v>FABIANA SILVA COSTA</v>
      </c>
      <c r="D1700" s="22" t="str">
        <f>IFERROR(VLOOKUP(B1700,Colaboradores!A:D,3,),"")</f>
        <v>SAÚDE OCUPACIONAL</v>
      </c>
      <c r="E1700" s="22" t="str">
        <f>IFERROR(VLOOKUP(B1700,Colaboradores!A:D,4,),"")</f>
        <v>ASSESSOR(A) DE FISIOTERAPIA</v>
      </c>
      <c r="F1700" s="47" t="s">
        <v>46</v>
      </c>
      <c r="G1700" s="24" t="str">
        <f>IFERROR(VLOOKUP(F1700,Procedimentos!A:C,2,),"")</f>
        <v>POLÍTICA DE SAÚDE E SEGURANÇA DO TRABALHO EMSERH</v>
      </c>
      <c r="H1700" s="25"/>
      <c r="I1700" s="51"/>
      <c r="J1700" s="4"/>
      <c r="K1700" s="25" t="str">
        <f t="shared" si="67"/>
        <v/>
      </c>
      <c r="L1700" s="7"/>
      <c r="M1700" s="4"/>
      <c r="N1700" s="7"/>
      <c r="O1700" s="4"/>
      <c r="P1700" s="51"/>
      <c r="Q1700" s="51"/>
      <c r="R1700" s="51"/>
      <c r="S1700" s="7"/>
      <c r="T1700" s="7"/>
    </row>
    <row r="1701" spans="1:20" ht="14.25" customHeight="1">
      <c r="A1701" s="4"/>
      <c r="B1701" s="38">
        <v>14972</v>
      </c>
      <c r="C1701" s="22" t="str">
        <f>IFERROR(VLOOKUP(B1701,Colaboradores!A:D,2,),"")</f>
        <v>JUAN PABLO SOUSA FARIAS</v>
      </c>
      <c r="D1701" s="22" t="str">
        <f>IFERROR(VLOOKUP(B1701,Colaboradores!A:D,3,),"")</f>
        <v>SAÚDE OCUPACIONAL</v>
      </c>
      <c r="E1701" s="22" t="str">
        <f>IFERROR(VLOOKUP(B1701,Colaboradores!A:D,4,),"")</f>
        <v>JOVEM APRENDIZ</v>
      </c>
      <c r="F1701" s="47" t="s">
        <v>46</v>
      </c>
      <c r="G1701" s="24" t="str">
        <f>IFERROR(VLOOKUP(F1701,Procedimentos!A:C,2,),"")</f>
        <v>POLÍTICA DE SAÚDE E SEGURANÇA DO TRABALHO EMSERH</v>
      </c>
      <c r="H1701" s="25"/>
      <c r="I1701" s="51"/>
      <c r="J1701" s="4"/>
      <c r="K1701" s="25" t="str">
        <f t="shared" si="67"/>
        <v/>
      </c>
      <c r="L1701" s="7"/>
      <c r="M1701" s="4"/>
      <c r="N1701" s="7"/>
      <c r="O1701" s="4"/>
      <c r="P1701" s="51"/>
      <c r="Q1701" s="51"/>
      <c r="R1701" s="51"/>
      <c r="S1701" s="7"/>
      <c r="T1701" s="7"/>
    </row>
    <row r="1702" spans="1:20" ht="14.25" customHeight="1">
      <c r="A1702" s="4"/>
      <c r="B1702" s="38">
        <v>13594</v>
      </c>
      <c r="C1702" s="22" t="str">
        <f>IFERROR(VLOOKUP(B1702,Colaboradores!A:D,2,),"")</f>
        <v>MARCIO AUGUSTO SILVA MIRANDA</v>
      </c>
      <c r="D1702" s="22" t="str">
        <f>IFERROR(VLOOKUP(B1702,Colaboradores!A:D,3,),"")</f>
        <v>SAÚDE OCUPACIONAL</v>
      </c>
      <c r="E1702" s="22" t="str">
        <f>IFERROR(VLOOKUP(B1702,Colaboradores!A:D,4,),"")</f>
        <v>ASSESSOR (A) CLINICO</v>
      </c>
      <c r="F1702" s="47" t="s">
        <v>46</v>
      </c>
      <c r="G1702" s="24" t="str">
        <f>IFERROR(VLOOKUP(F1702,Procedimentos!A:C,2,),"")</f>
        <v>POLÍTICA DE SAÚDE E SEGURANÇA DO TRABALHO EMSERH</v>
      </c>
      <c r="H1702" s="25"/>
      <c r="I1702" s="51"/>
      <c r="J1702" s="4"/>
      <c r="K1702" s="25" t="str">
        <f t="shared" si="67"/>
        <v/>
      </c>
      <c r="L1702" s="7"/>
      <c r="M1702" s="4"/>
      <c r="N1702" s="7"/>
      <c r="O1702" s="4"/>
      <c r="P1702" s="51"/>
      <c r="Q1702" s="51"/>
      <c r="R1702" s="51"/>
      <c r="S1702" s="7"/>
      <c r="T1702" s="7"/>
    </row>
    <row r="1703" spans="1:20" ht="14.25" customHeight="1">
      <c r="A1703" s="4"/>
      <c r="B1703" s="38">
        <v>14499</v>
      </c>
      <c r="C1703" s="22" t="str">
        <f>IFERROR(VLOOKUP(B1703,Colaboradores!A:D,2,),"")</f>
        <v>SAMIRIS COSTA DA SILVA</v>
      </c>
      <c r="D1703" s="22" t="str">
        <f>IFERROR(VLOOKUP(B1703,Colaboradores!A:D,3,),"")</f>
        <v>SAÚDE OCUPACIONAL</v>
      </c>
      <c r="E1703" s="22" t="str">
        <f>IFERROR(VLOOKUP(B1703,Colaboradores!A:D,4,),"")</f>
        <v>PSICÓLOGA</v>
      </c>
      <c r="F1703" s="47" t="s">
        <v>46</v>
      </c>
      <c r="G1703" s="24" t="str">
        <f>IFERROR(VLOOKUP(F1703,Procedimentos!A:C,2,),"")</f>
        <v>POLÍTICA DE SAÚDE E SEGURANÇA DO TRABALHO EMSERH</v>
      </c>
      <c r="H1703" s="25"/>
      <c r="I1703" s="51"/>
      <c r="J1703" s="4"/>
      <c r="K1703" s="25" t="str">
        <f t="shared" si="67"/>
        <v/>
      </c>
      <c r="L1703" s="7"/>
      <c r="M1703" s="4"/>
      <c r="N1703" s="7"/>
      <c r="O1703" s="4"/>
      <c r="P1703" s="51"/>
      <c r="Q1703" s="51"/>
      <c r="R1703" s="51"/>
      <c r="S1703" s="7"/>
      <c r="T1703" s="7"/>
    </row>
    <row r="1704" spans="1:20" ht="14.25" customHeight="1">
      <c r="A1704" s="4"/>
      <c r="B1704" s="38">
        <v>12463</v>
      </c>
      <c r="C1704" s="22" t="str">
        <f>IFERROR(VLOOKUP(B1704,Colaboradores!A:D,2,),"")</f>
        <v>SAMMY RAYANA L. SANTOS</v>
      </c>
      <c r="D1704" s="22" t="str">
        <f>IFERROR(VLOOKUP(B1704,Colaboradores!A:D,3,),"")</f>
        <v>SAÚDE OCUPACIONAL</v>
      </c>
      <c r="E1704" s="22" t="str">
        <f>IFERROR(VLOOKUP(B1704,Colaboradores!A:D,4,),"")</f>
        <v>ASSESSOR(A) DE SERVIÇO SOCIAL</v>
      </c>
      <c r="F1704" s="47" t="s">
        <v>46</v>
      </c>
      <c r="G1704" s="24" t="str">
        <f>IFERROR(VLOOKUP(F1704,Procedimentos!A:C,2,),"")</f>
        <v>POLÍTICA DE SAÚDE E SEGURANÇA DO TRABALHO EMSERH</v>
      </c>
      <c r="H1704" s="25"/>
      <c r="I1704" s="51"/>
      <c r="J1704" s="4"/>
      <c r="K1704" s="25" t="str">
        <f t="shared" si="67"/>
        <v/>
      </c>
      <c r="L1704" s="7"/>
      <c r="M1704" s="4"/>
      <c r="N1704" s="7"/>
      <c r="O1704" s="4"/>
      <c r="P1704" s="51"/>
      <c r="Q1704" s="51"/>
      <c r="R1704" s="51"/>
      <c r="S1704" s="7"/>
      <c r="T1704" s="7"/>
    </row>
    <row r="1705" spans="1:20" ht="14.25" customHeight="1">
      <c r="A1705" s="4"/>
      <c r="B1705" s="38">
        <v>13100</v>
      </c>
      <c r="C1705" s="22" t="str">
        <f>IFERROR(VLOOKUP(B1705,Colaboradores!A:D,2,),"")</f>
        <v>TAYNAH SOARES DE SOUZA CAMARAO</v>
      </c>
      <c r="D1705" s="22" t="str">
        <f>IFERROR(VLOOKUP(B1705,Colaboradores!A:D,3,),"")</f>
        <v>SAÚDE OCUPACIONAL</v>
      </c>
      <c r="E1705" s="22" t="str">
        <f>IFERROR(VLOOKUP(B1705,Colaboradores!A:D,4,),"")</f>
        <v>MÉDICA</v>
      </c>
      <c r="F1705" s="47" t="s">
        <v>46</v>
      </c>
      <c r="G1705" s="24" t="str">
        <f>IFERROR(VLOOKUP(F1705,Procedimentos!A:C,2,),"")</f>
        <v>POLÍTICA DE SAÚDE E SEGURANÇA DO TRABALHO EMSERH</v>
      </c>
      <c r="H1705" s="25"/>
      <c r="I1705" s="51"/>
      <c r="J1705" s="4"/>
      <c r="K1705" s="25" t="str">
        <f t="shared" si="67"/>
        <v/>
      </c>
      <c r="L1705" s="7"/>
      <c r="M1705" s="4"/>
      <c r="N1705" s="7"/>
      <c r="O1705" s="4"/>
      <c r="P1705" s="51"/>
      <c r="Q1705" s="51"/>
      <c r="R1705" s="51"/>
      <c r="S1705" s="7"/>
      <c r="T1705" s="7"/>
    </row>
    <row r="1706" spans="1:20" ht="14.25" customHeight="1">
      <c r="A1706" s="4"/>
      <c r="B1706" s="38">
        <v>14962</v>
      </c>
      <c r="C1706" s="22" t="str">
        <f>IFERROR(VLOOKUP(B1706,Colaboradores!A:D,2,),"")</f>
        <v>YASMIN KARINE DE OLIVEIRA SOARES</v>
      </c>
      <c r="D1706" s="22" t="str">
        <f>IFERROR(VLOOKUP(B1706,Colaboradores!A:D,3,),"")</f>
        <v>SAÚDE OCUPACIONAL</v>
      </c>
      <c r="E1706" s="22" t="str">
        <f>IFERROR(VLOOKUP(B1706,Colaboradores!A:D,4,),"")</f>
        <v>JOVEM APRENDIZ</v>
      </c>
      <c r="F1706" s="47" t="s">
        <v>46</v>
      </c>
      <c r="G1706" s="24" t="str">
        <f>IFERROR(VLOOKUP(F1706,Procedimentos!A:C,2,),"")</f>
        <v>POLÍTICA DE SAÚDE E SEGURANÇA DO TRABALHO EMSERH</v>
      </c>
      <c r="H1706" s="25"/>
      <c r="I1706" s="51"/>
      <c r="J1706" s="4"/>
      <c r="K1706" s="25" t="str">
        <f t="shared" si="67"/>
        <v/>
      </c>
      <c r="L1706" s="7"/>
      <c r="M1706" s="4"/>
      <c r="N1706" s="7"/>
      <c r="O1706" s="4"/>
      <c r="P1706" s="51"/>
      <c r="Q1706" s="51"/>
      <c r="R1706" s="51"/>
      <c r="S1706" s="7"/>
      <c r="T1706" s="7"/>
    </row>
    <row r="1707" spans="1:20" ht="14.25" customHeight="1">
      <c r="A1707" s="4"/>
      <c r="B1707" s="38">
        <v>24306</v>
      </c>
      <c r="C1707" s="22" t="str">
        <f>IFERROR(VLOOKUP(B1707,Colaboradores!A:D,2,),"")</f>
        <v>ANNA MARIA ARAUJO PIORSKI</v>
      </c>
      <c r="D1707" s="22" t="str">
        <f>IFERROR(VLOOKUP(B1707,Colaboradores!A:D,3,),"")</f>
        <v>SAÚDE OCUPACIONAL</v>
      </c>
      <c r="E1707" s="22" t="str">
        <f>IFERROR(VLOOKUP(B1707,Colaboradores!A:D,4,),"")</f>
        <v>ASSESSOR(A) DE NUTRIÇÃO</v>
      </c>
      <c r="F1707" s="47" t="s">
        <v>83</v>
      </c>
      <c r="G1707" s="24" t="str">
        <f>IFERROR(VLOOKUP(F1707,Procedimentos!A:C,2,),"")</f>
        <v>POL 0004 - POLÍTICA DE QUALIDADE ASSISTENCIAL</v>
      </c>
      <c r="H1707" s="25"/>
      <c r="I1707" s="51"/>
      <c r="J1707" s="4"/>
      <c r="K1707" s="25" t="str">
        <f t="shared" si="67"/>
        <v/>
      </c>
      <c r="L1707" s="7"/>
      <c r="M1707" s="4"/>
      <c r="N1707" s="7"/>
      <c r="O1707" s="4"/>
      <c r="P1707" s="51"/>
      <c r="Q1707" s="51"/>
      <c r="R1707" s="51"/>
      <c r="S1707" s="7"/>
      <c r="T1707" s="7"/>
    </row>
    <row r="1708" spans="1:20" ht="14.25" customHeight="1">
      <c r="A1708" s="4"/>
      <c r="B1708" s="38">
        <v>12330</v>
      </c>
      <c r="C1708" s="22" t="str">
        <f>IFERROR(VLOOKUP(B1708,Colaboradores!A:D,2,),"")</f>
        <v>BIANCA GUEDES SILVA ALMEIDA</v>
      </c>
      <c r="D1708" s="22" t="str">
        <f>IFERROR(VLOOKUP(B1708,Colaboradores!A:D,3,),"")</f>
        <v>SAÚDE OCUPACIONAL</v>
      </c>
      <c r="E1708" s="22" t="str">
        <f>IFERROR(VLOOKUP(B1708,Colaboradores!A:D,4,),"")</f>
        <v>NUTRICIONISTA</v>
      </c>
      <c r="F1708" s="47" t="s">
        <v>83</v>
      </c>
      <c r="G1708" s="24" t="str">
        <f>IFERROR(VLOOKUP(F1708,Procedimentos!A:C,2,),"")</f>
        <v>POL 0004 - POLÍTICA DE QUALIDADE ASSISTENCIAL</v>
      </c>
      <c r="H1708" s="25"/>
      <c r="I1708" s="51"/>
      <c r="J1708" s="4"/>
      <c r="K1708" s="25" t="str">
        <f t="shared" si="67"/>
        <v/>
      </c>
      <c r="L1708" s="7"/>
      <c r="M1708" s="4"/>
      <c r="N1708" s="7"/>
      <c r="O1708" s="4"/>
      <c r="P1708" s="51"/>
      <c r="Q1708" s="51"/>
      <c r="R1708" s="51"/>
      <c r="S1708" s="7"/>
      <c r="T1708" s="7"/>
    </row>
    <row r="1709" spans="1:20" ht="14.25" customHeight="1">
      <c r="A1709" s="4"/>
      <c r="B1709" s="38">
        <v>14990</v>
      </c>
      <c r="C1709" s="22" t="str">
        <f>IFERROR(VLOOKUP(B1709,Colaboradores!A:D,2,),"")</f>
        <v>DAVID DE JESUS PEREIRA FONSECA</v>
      </c>
      <c r="D1709" s="22" t="str">
        <f>IFERROR(VLOOKUP(B1709,Colaboradores!A:D,3,),"")</f>
        <v>SAÚDE OCUPACIONAL</v>
      </c>
      <c r="E1709" s="22" t="str">
        <f>IFERROR(VLOOKUP(B1709,Colaboradores!A:D,4,),"")</f>
        <v>JOVEM APRENDIZ</v>
      </c>
      <c r="F1709" s="47" t="s">
        <v>83</v>
      </c>
      <c r="G1709" s="24" t="str">
        <f>IFERROR(VLOOKUP(F1709,Procedimentos!A:C,2,),"")</f>
        <v>POL 0004 - POLÍTICA DE QUALIDADE ASSISTENCIAL</v>
      </c>
      <c r="H1709" s="25"/>
      <c r="I1709" s="51"/>
      <c r="J1709" s="4"/>
      <c r="K1709" s="25" t="str">
        <f t="shared" si="67"/>
        <v/>
      </c>
      <c r="L1709" s="7"/>
      <c r="M1709" s="4"/>
      <c r="N1709" s="7"/>
      <c r="O1709" s="4"/>
      <c r="P1709" s="51"/>
      <c r="Q1709" s="51"/>
      <c r="R1709" s="51"/>
      <c r="S1709" s="7"/>
      <c r="T1709" s="7"/>
    </row>
    <row r="1710" spans="1:20" ht="14.25" customHeight="1">
      <c r="A1710" s="4"/>
      <c r="B1710" s="38">
        <v>9058</v>
      </c>
      <c r="C1710" s="22" t="str">
        <f>IFERROR(VLOOKUP(B1710,Colaboradores!A:D,2,),"")</f>
        <v>DENISE CRISTRINA CASTRO</v>
      </c>
      <c r="D1710" s="22" t="str">
        <f>IFERROR(VLOOKUP(B1710,Colaboradores!A:D,3,),"")</f>
        <v>SAÚDE OCUPACIONAL</v>
      </c>
      <c r="E1710" s="22" t="str">
        <f>IFERROR(VLOOKUP(B1710,Colaboradores!A:D,4,),"")</f>
        <v>ASSESSOR(A) DE SERVIÇO SOCIAL</v>
      </c>
      <c r="F1710" s="47" t="s">
        <v>83</v>
      </c>
      <c r="G1710" s="24" t="str">
        <f>IFERROR(VLOOKUP(F1710,Procedimentos!A:C,2,),"")</f>
        <v>POL 0004 - POLÍTICA DE QUALIDADE ASSISTENCIAL</v>
      </c>
      <c r="H1710" s="25"/>
      <c r="I1710" s="51"/>
      <c r="J1710" s="4"/>
      <c r="K1710" s="25" t="str">
        <f t="shared" si="67"/>
        <v/>
      </c>
      <c r="L1710" s="7"/>
      <c r="M1710" s="4"/>
      <c r="N1710" s="7"/>
      <c r="O1710" s="4"/>
      <c r="P1710" s="51"/>
      <c r="Q1710" s="51"/>
      <c r="R1710" s="51"/>
      <c r="S1710" s="7"/>
      <c r="T1710" s="7"/>
    </row>
    <row r="1711" spans="1:20" ht="14.25" customHeight="1">
      <c r="A1711" s="4"/>
      <c r="B1711" s="38">
        <v>8111</v>
      </c>
      <c r="C1711" s="22" t="str">
        <f>IFERROR(VLOOKUP(B1711,Colaboradores!A:D,2,),"")</f>
        <v>FABIANA SILVA COSTA</v>
      </c>
      <c r="D1711" s="22" t="str">
        <f>IFERROR(VLOOKUP(B1711,Colaboradores!A:D,3,),"")</f>
        <v>SAÚDE OCUPACIONAL</v>
      </c>
      <c r="E1711" s="22" t="str">
        <f>IFERROR(VLOOKUP(B1711,Colaboradores!A:D,4,),"")</f>
        <v>ASSESSOR(A) DE FISIOTERAPIA</v>
      </c>
      <c r="F1711" s="47" t="s">
        <v>83</v>
      </c>
      <c r="G1711" s="24" t="str">
        <f>IFERROR(VLOOKUP(F1711,Procedimentos!A:C,2,),"")</f>
        <v>POL 0004 - POLÍTICA DE QUALIDADE ASSISTENCIAL</v>
      </c>
      <c r="H1711" s="25"/>
      <c r="I1711" s="51"/>
      <c r="J1711" s="4"/>
      <c r="K1711" s="25" t="str">
        <f t="shared" si="67"/>
        <v/>
      </c>
      <c r="L1711" s="7"/>
      <c r="M1711" s="4"/>
      <c r="N1711" s="7"/>
      <c r="O1711" s="4"/>
      <c r="P1711" s="51"/>
      <c r="Q1711" s="51"/>
      <c r="R1711" s="51"/>
      <c r="S1711" s="7"/>
      <c r="T1711" s="7"/>
    </row>
    <row r="1712" spans="1:20" ht="14.25" customHeight="1">
      <c r="A1712" s="4"/>
      <c r="B1712" s="38">
        <v>14972</v>
      </c>
      <c r="C1712" s="22" t="str">
        <f>IFERROR(VLOOKUP(B1712,Colaboradores!A:D,2,),"")</f>
        <v>JUAN PABLO SOUSA FARIAS</v>
      </c>
      <c r="D1712" s="22" t="str">
        <f>IFERROR(VLOOKUP(B1712,Colaboradores!A:D,3,),"")</f>
        <v>SAÚDE OCUPACIONAL</v>
      </c>
      <c r="E1712" s="22" t="str">
        <f>IFERROR(VLOOKUP(B1712,Colaboradores!A:D,4,),"")</f>
        <v>JOVEM APRENDIZ</v>
      </c>
      <c r="F1712" s="47" t="s">
        <v>83</v>
      </c>
      <c r="G1712" s="24" t="str">
        <f>IFERROR(VLOOKUP(F1712,Procedimentos!A:C,2,),"")</f>
        <v>POL 0004 - POLÍTICA DE QUALIDADE ASSISTENCIAL</v>
      </c>
      <c r="H1712" s="25"/>
      <c r="I1712" s="51"/>
      <c r="J1712" s="4"/>
      <c r="K1712" s="25" t="str">
        <f t="shared" si="67"/>
        <v/>
      </c>
      <c r="L1712" s="7"/>
      <c r="M1712" s="4"/>
      <c r="N1712" s="7"/>
      <c r="O1712" s="4"/>
      <c r="P1712" s="51"/>
      <c r="Q1712" s="51"/>
      <c r="R1712" s="51"/>
      <c r="S1712" s="7"/>
      <c r="T1712" s="7"/>
    </row>
    <row r="1713" spans="1:20" ht="14.25" customHeight="1">
      <c r="A1713" s="4"/>
      <c r="B1713" s="38">
        <v>13594</v>
      </c>
      <c r="C1713" s="22" t="str">
        <f>IFERROR(VLOOKUP(B1713,Colaboradores!A:D,2,),"")</f>
        <v>MARCIO AUGUSTO SILVA MIRANDA</v>
      </c>
      <c r="D1713" s="22" t="str">
        <f>IFERROR(VLOOKUP(B1713,Colaboradores!A:D,3,),"")</f>
        <v>SAÚDE OCUPACIONAL</v>
      </c>
      <c r="E1713" s="22" t="str">
        <f>IFERROR(VLOOKUP(B1713,Colaboradores!A:D,4,),"")</f>
        <v>ASSESSOR (A) CLINICO</v>
      </c>
      <c r="F1713" s="47" t="s">
        <v>83</v>
      </c>
      <c r="G1713" s="24" t="str">
        <f>IFERROR(VLOOKUP(F1713,Procedimentos!A:C,2,),"")</f>
        <v>POL 0004 - POLÍTICA DE QUALIDADE ASSISTENCIAL</v>
      </c>
      <c r="H1713" s="25"/>
      <c r="I1713" s="51"/>
      <c r="J1713" s="4"/>
      <c r="K1713" s="25" t="str">
        <f t="shared" si="67"/>
        <v/>
      </c>
      <c r="L1713" s="7"/>
      <c r="M1713" s="4"/>
      <c r="N1713" s="7"/>
      <c r="O1713" s="4"/>
      <c r="P1713" s="51"/>
      <c r="Q1713" s="51"/>
      <c r="R1713" s="51"/>
      <c r="S1713" s="7"/>
      <c r="T1713" s="7"/>
    </row>
    <row r="1714" spans="1:20" ht="14.25" customHeight="1">
      <c r="A1714" s="4"/>
      <c r="B1714" s="38">
        <v>14499</v>
      </c>
      <c r="C1714" s="22" t="str">
        <f>IFERROR(VLOOKUP(B1714,Colaboradores!A:D,2,),"")</f>
        <v>SAMIRIS COSTA DA SILVA</v>
      </c>
      <c r="D1714" s="22" t="str">
        <f>IFERROR(VLOOKUP(B1714,Colaboradores!A:D,3,),"")</f>
        <v>SAÚDE OCUPACIONAL</v>
      </c>
      <c r="E1714" s="22" t="str">
        <f>IFERROR(VLOOKUP(B1714,Colaboradores!A:D,4,),"")</f>
        <v>PSICÓLOGA</v>
      </c>
      <c r="F1714" s="47" t="s">
        <v>83</v>
      </c>
      <c r="G1714" s="24" t="str">
        <f>IFERROR(VLOOKUP(F1714,Procedimentos!A:C,2,),"")</f>
        <v>POL 0004 - POLÍTICA DE QUALIDADE ASSISTENCIAL</v>
      </c>
      <c r="H1714" s="25"/>
      <c r="I1714" s="51"/>
      <c r="J1714" s="4"/>
      <c r="K1714" s="25" t="str">
        <f t="shared" si="67"/>
        <v/>
      </c>
      <c r="L1714" s="7"/>
      <c r="M1714" s="4"/>
      <c r="N1714" s="7"/>
      <c r="O1714" s="4"/>
      <c r="P1714" s="51"/>
      <c r="Q1714" s="51"/>
      <c r="R1714" s="51"/>
      <c r="S1714" s="7"/>
      <c r="T1714" s="7"/>
    </row>
    <row r="1715" spans="1:20" ht="14.25" customHeight="1">
      <c r="A1715" s="4"/>
      <c r="B1715" s="38">
        <v>12463</v>
      </c>
      <c r="C1715" s="22" t="str">
        <f>IFERROR(VLOOKUP(B1715,Colaboradores!A:D,2,),"")</f>
        <v>SAMMY RAYANA L. SANTOS</v>
      </c>
      <c r="D1715" s="22" t="str">
        <f>IFERROR(VLOOKUP(B1715,Colaboradores!A:D,3,),"")</f>
        <v>SAÚDE OCUPACIONAL</v>
      </c>
      <c r="E1715" s="22" t="str">
        <f>IFERROR(VLOOKUP(B1715,Colaboradores!A:D,4,),"")</f>
        <v>ASSESSOR(A) DE SERVIÇO SOCIAL</v>
      </c>
      <c r="F1715" s="47" t="s">
        <v>83</v>
      </c>
      <c r="G1715" s="24" t="str">
        <f>IFERROR(VLOOKUP(F1715,Procedimentos!A:C,2,),"")</f>
        <v>POL 0004 - POLÍTICA DE QUALIDADE ASSISTENCIAL</v>
      </c>
      <c r="H1715" s="25"/>
      <c r="I1715" s="51"/>
      <c r="J1715" s="4"/>
      <c r="K1715" s="25" t="str">
        <f t="shared" si="67"/>
        <v/>
      </c>
      <c r="L1715" s="7"/>
      <c r="M1715" s="4"/>
      <c r="N1715" s="7"/>
      <c r="O1715" s="4"/>
      <c r="P1715" s="51"/>
      <c r="Q1715" s="51"/>
      <c r="R1715" s="51"/>
      <c r="S1715" s="7"/>
      <c r="T1715" s="7"/>
    </row>
    <row r="1716" spans="1:20" ht="14.25" customHeight="1">
      <c r="A1716" s="4"/>
      <c r="B1716" s="38">
        <v>13100</v>
      </c>
      <c r="C1716" s="22" t="str">
        <f>IFERROR(VLOOKUP(B1716,Colaboradores!A:D,2,),"")</f>
        <v>TAYNAH SOARES DE SOUZA CAMARAO</v>
      </c>
      <c r="D1716" s="22" t="str">
        <f>IFERROR(VLOOKUP(B1716,Colaboradores!A:D,3,),"")</f>
        <v>SAÚDE OCUPACIONAL</v>
      </c>
      <c r="E1716" s="22" t="str">
        <f>IFERROR(VLOOKUP(B1716,Colaboradores!A:D,4,),"")</f>
        <v>MÉDICA</v>
      </c>
      <c r="F1716" s="47" t="s">
        <v>83</v>
      </c>
      <c r="G1716" s="24" t="str">
        <f>IFERROR(VLOOKUP(F1716,Procedimentos!A:C,2,),"")</f>
        <v>POL 0004 - POLÍTICA DE QUALIDADE ASSISTENCIAL</v>
      </c>
      <c r="H1716" s="25"/>
      <c r="I1716" s="51"/>
      <c r="J1716" s="4"/>
      <c r="K1716" s="25" t="str">
        <f t="shared" si="67"/>
        <v/>
      </c>
      <c r="L1716" s="7"/>
      <c r="M1716" s="4"/>
      <c r="N1716" s="7"/>
      <c r="O1716" s="4"/>
      <c r="P1716" s="51"/>
      <c r="Q1716" s="51"/>
      <c r="R1716" s="51"/>
      <c r="S1716" s="7"/>
      <c r="T1716" s="7"/>
    </row>
    <row r="1717" spans="1:20" ht="14.25" customHeight="1">
      <c r="A1717" s="4"/>
      <c r="B1717" s="38">
        <v>14962</v>
      </c>
      <c r="C1717" s="22" t="str">
        <f>IFERROR(VLOOKUP(B1717,Colaboradores!A:D,2,),"")</f>
        <v>YASMIN KARINE DE OLIVEIRA SOARES</v>
      </c>
      <c r="D1717" s="22" t="str">
        <f>IFERROR(VLOOKUP(B1717,Colaboradores!A:D,3,),"")</f>
        <v>SAÚDE OCUPACIONAL</v>
      </c>
      <c r="E1717" s="22" t="str">
        <f>IFERROR(VLOOKUP(B1717,Colaboradores!A:D,4,),"")</f>
        <v>JOVEM APRENDIZ</v>
      </c>
      <c r="F1717" s="47" t="s">
        <v>83</v>
      </c>
      <c r="G1717" s="24" t="str">
        <f>IFERROR(VLOOKUP(F1717,Procedimentos!A:C,2,),"")</f>
        <v>POL 0004 - POLÍTICA DE QUALIDADE ASSISTENCIAL</v>
      </c>
      <c r="H1717" s="25"/>
      <c r="I1717" s="51"/>
      <c r="J1717" s="4"/>
      <c r="K1717" s="25" t="str">
        <f t="shared" si="67"/>
        <v/>
      </c>
      <c r="L1717" s="7"/>
      <c r="M1717" s="4"/>
      <c r="N1717" s="7"/>
      <c r="O1717" s="4"/>
      <c r="P1717" s="51"/>
      <c r="Q1717" s="51"/>
      <c r="R1717" s="51"/>
      <c r="S1717" s="7"/>
      <c r="T1717" s="7"/>
    </row>
    <row r="1718" spans="1:20" ht="14.25" customHeight="1">
      <c r="A1718" s="4"/>
      <c r="B1718" s="38">
        <v>24306</v>
      </c>
      <c r="C1718" s="22" t="str">
        <f>IFERROR(VLOOKUP(B1718,Colaboradores!A:D,2,),"")</f>
        <v>ANNA MARIA ARAUJO PIORSKI</v>
      </c>
      <c r="D1718" s="22" t="str">
        <f>IFERROR(VLOOKUP(B1718,Colaboradores!A:D,3,),"")</f>
        <v>SAÚDE OCUPACIONAL</v>
      </c>
      <c r="E1718" s="22" t="str">
        <f>IFERROR(VLOOKUP(B1718,Colaboradores!A:D,4,),"")</f>
        <v>ASSESSOR(A) DE NUTRIÇÃO</v>
      </c>
      <c r="F1718" s="47" t="s">
        <v>83</v>
      </c>
      <c r="G1718" s="24" t="str">
        <f>IFERROR(VLOOKUP(F1718,Procedimentos!A:C,2,),"")</f>
        <v>POL 0004 - POLÍTICA DE QUALIDADE ASSISTENCIAL</v>
      </c>
      <c r="H1718" s="25"/>
      <c r="I1718" s="51"/>
      <c r="J1718" s="4"/>
      <c r="K1718" s="25" t="str">
        <f t="shared" si="67"/>
        <v/>
      </c>
      <c r="L1718" s="7"/>
      <c r="M1718" s="4"/>
      <c r="N1718" s="7"/>
      <c r="O1718" s="4"/>
      <c r="P1718" s="51"/>
      <c r="Q1718" s="51"/>
      <c r="R1718" s="51"/>
      <c r="S1718" s="7"/>
      <c r="T1718" s="7"/>
    </row>
    <row r="1719" spans="1:20" ht="14.25" customHeight="1">
      <c r="A1719" s="4"/>
      <c r="B1719" s="38">
        <v>12330</v>
      </c>
      <c r="C1719" s="22" t="str">
        <f>IFERROR(VLOOKUP(B1719,Colaboradores!A:D,2,),"")</f>
        <v>BIANCA GUEDES SILVA ALMEIDA</v>
      </c>
      <c r="D1719" s="22" t="str">
        <f>IFERROR(VLOOKUP(B1719,Colaboradores!A:D,3,),"")</f>
        <v>SAÚDE OCUPACIONAL</v>
      </c>
      <c r="E1719" s="22" t="str">
        <f>IFERROR(VLOOKUP(B1719,Colaboradores!A:D,4,),"")</f>
        <v>NUTRICIONISTA</v>
      </c>
      <c r="F1719" s="47" t="s">
        <v>84</v>
      </c>
      <c r="G1719" s="24" t="str">
        <f>IFERROR(VLOOKUP(F1719,Procedimentos!A:C,2,),"")</f>
        <v>NOR - 0001 - NORMAS DE BIOSSEGURANÇA</v>
      </c>
      <c r="H1719" s="25"/>
      <c r="I1719" s="51"/>
      <c r="J1719" s="4"/>
      <c r="K1719" s="25" t="str">
        <f t="shared" si="67"/>
        <v/>
      </c>
      <c r="L1719" s="7"/>
      <c r="M1719" s="4"/>
      <c r="N1719" s="7"/>
      <c r="O1719" s="4"/>
      <c r="P1719" s="51"/>
      <c r="Q1719" s="51"/>
      <c r="R1719" s="51"/>
      <c r="S1719" s="7"/>
      <c r="T1719" s="7"/>
    </row>
    <row r="1720" spans="1:20" ht="14.25" customHeight="1">
      <c r="A1720" s="4"/>
      <c r="B1720" s="38">
        <v>14990</v>
      </c>
      <c r="C1720" s="22" t="str">
        <f>IFERROR(VLOOKUP(B1720,Colaboradores!A:D,2,),"")</f>
        <v>DAVID DE JESUS PEREIRA FONSECA</v>
      </c>
      <c r="D1720" s="22" t="str">
        <f>IFERROR(VLOOKUP(B1720,Colaboradores!A:D,3,),"")</f>
        <v>SAÚDE OCUPACIONAL</v>
      </c>
      <c r="E1720" s="22" t="str">
        <f>IFERROR(VLOOKUP(B1720,Colaboradores!A:D,4,),"")</f>
        <v>JOVEM APRENDIZ</v>
      </c>
      <c r="F1720" s="47" t="s">
        <v>84</v>
      </c>
      <c r="G1720" s="24" t="str">
        <f>IFERROR(VLOOKUP(F1720,Procedimentos!A:C,2,),"")</f>
        <v>NOR - 0001 - NORMAS DE BIOSSEGURANÇA</v>
      </c>
      <c r="H1720" s="25"/>
      <c r="I1720" s="51"/>
      <c r="J1720" s="4"/>
      <c r="K1720" s="25" t="str">
        <f t="shared" si="67"/>
        <v/>
      </c>
      <c r="L1720" s="7"/>
      <c r="M1720" s="4"/>
      <c r="N1720" s="7"/>
      <c r="O1720" s="4"/>
      <c r="P1720" s="51"/>
      <c r="Q1720" s="51"/>
      <c r="R1720" s="51"/>
      <c r="S1720" s="7"/>
      <c r="T1720" s="7"/>
    </row>
    <row r="1721" spans="1:20" ht="14.25" customHeight="1">
      <c r="A1721" s="4"/>
      <c r="B1721" s="38">
        <v>9058</v>
      </c>
      <c r="C1721" s="22" t="str">
        <f>IFERROR(VLOOKUP(B1721,Colaboradores!A:D,2,),"")</f>
        <v>DENISE CRISTRINA CASTRO</v>
      </c>
      <c r="D1721" s="22" t="str">
        <f>IFERROR(VLOOKUP(B1721,Colaboradores!A:D,3,),"")</f>
        <v>SAÚDE OCUPACIONAL</v>
      </c>
      <c r="E1721" s="22" t="str">
        <f>IFERROR(VLOOKUP(B1721,Colaboradores!A:D,4,),"")</f>
        <v>ASSESSOR(A) DE SERVIÇO SOCIAL</v>
      </c>
      <c r="F1721" s="47" t="s">
        <v>84</v>
      </c>
      <c r="G1721" s="24" t="str">
        <f>IFERROR(VLOOKUP(F1721,Procedimentos!A:C,2,),"")</f>
        <v>NOR - 0001 - NORMAS DE BIOSSEGURANÇA</v>
      </c>
      <c r="H1721" s="25"/>
      <c r="I1721" s="51"/>
      <c r="J1721" s="4"/>
      <c r="K1721" s="25" t="str">
        <f t="shared" si="67"/>
        <v/>
      </c>
      <c r="L1721" s="7"/>
      <c r="M1721" s="4"/>
      <c r="N1721" s="7"/>
      <c r="O1721" s="4"/>
      <c r="P1721" s="51"/>
      <c r="Q1721" s="51"/>
      <c r="R1721" s="51"/>
      <c r="S1721" s="7"/>
      <c r="T1721" s="7"/>
    </row>
    <row r="1722" spans="1:20" ht="14.25" customHeight="1">
      <c r="A1722" s="4"/>
      <c r="B1722" s="38">
        <v>8111</v>
      </c>
      <c r="C1722" s="22" t="str">
        <f>IFERROR(VLOOKUP(B1722,Colaboradores!A:D,2,),"")</f>
        <v>FABIANA SILVA COSTA</v>
      </c>
      <c r="D1722" s="22" t="str">
        <f>IFERROR(VLOOKUP(B1722,Colaboradores!A:D,3,),"")</f>
        <v>SAÚDE OCUPACIONAL</v>
      </c>
      <c r="E1722" s="22" t="str">
        <f>IFERROR(VLOOKUP(B1722,Colaboradores!A:D,4,),"")</f>
        <v>ASSESSOR(A) DE FISIOTERAPIA</v>
      </c>
      <c r="F1722" s="47" t="s">
        <v>84</v>
      </c>
      <c r="G1722" s="24" t="str">
        <f>IFERROR(VLOOKUP(F1722,Procedimentos!A:C,2,),"")</f>
        <v>NOR - 0001 - NORMAS DE BIOSSEGURANÇA</v>
      </c>
      <c r="H1722" s="25"/>
      <c r="I1722" s="51"/>
      <c r="J1722" s="4"/>
      <c r="K1722" s="25" t="str">
        <f t="shared" si="67"/>
        <v/>
      </c>
      <c r="L1722" s="7"/>
      <c r="M1722" s="4"/>
      <c r="N1722" s="7"/>
      <c r="O1722" s="4"/>
      <c r="P1722" s="51"/>
      <c r="Q1722" s="51"/>
      <c r="R1722" s="51"/>
      <c r="S1722" s="7"/>
      <c r="T1722" s="7"/>
    </row>
    <row r="1723" spans="1:20" ht="14.25" customHeight="1">
      <c r="A1723" s="4"/>
      <c r="B1723" s="38">
        <v>14972</v>
      </c>
      <c r="C1723" s="22" t="str">
        <f>IFERROR(VLOOKUP(B1723,Colaboradores!A:D,2,),"")</f>
        <v>JUAN PABLO SOUSA FARIAS</v>
      </c>
      <c r="D1723" s="22" t="str">
        <f>IFERROR(VLOOKUP(B1723,Colaboradores!A:D,3,),"")</f>
        <v>SAÚDE OCUPACIONAL</v>
      </c>
      <c r="E1723" s="22" t="str">
        <f>IFERROR(VLOOKUP(B1723,Colaboradores!A:D,4,),"")</f>
        <v>JOVEM APRENDIZ</v>
      </c>
      <c r="F1723" s="47" t="s">
        <v>84</v>
      </c>
      <c r="G1723" s="24" t="str">
        <f>IFERROR(VLOOKUP(F1723,Procedimentos!A:C,2,),"")</f>
        <v>NOR - 0001 - NORMAS DE BIOSSEGURANÇA</v>
      </c>
      <c r="H1723" s="25"/>
      <c r="I1723" s="51"/>
      <c r="J1723" s="4"/>
      <c r="K1723" s="25" t="str">
        <f t="shared" si="67"/>
        <v/>
      </c>
      <c r="L1723" s="7"/>
      <c r="M1723" s="4"/>
      <c r="N1723" s="7"/>
      <c r="O1723" s="4"/>
      <c r="P1723" s="51"/>
      <c r="Q1723" s="51"/>
      <c r="R1723" s="51"/>
      <c r="S1723" s="7"/>
      <c r="T1723" s="7"/>
    </row>
    <row r="1724" spans="1:20" ht="14.25" customHeight="1">
      <c r="A1724" s="4"/>
      <c r="B1724" s="38">
        <v>13594</v>
      </c>
      <c r="C1724" s="22" t="str">
        <f>IFERROR(VLOOKUP(B1724,Colaboradores!A:D,2,),"")</f>
        <v>MARCIO AUGUSTO SILVA MIRANDA</v>
      </c>
      <c r="D1724" s="22" t="str">
        <f>IFERROR(VLOOKUP(B1724,Colaboradores!A:D,3,),"")</f>
        <v>SAÚDE OCUPACIONAL</v>
      </c>
      <c r="E1724" s="22" t="str">
        <f>IFERROR(VLOOKUP(B1724,Colaboradores!A:D,4,),"")</f>
        <v>ASSESSOR (A) CLINICO</v>
      </c>
      <c r="F1724" s="47" t="s">
        <v>84</v>
      </c>
      <c r="G1724" s="24" t="str">
        <f>IFERROR(VLOOKUP(F1724,Procedimentos!A:C,2,),"")</f>
        <v>NOR - 0001 - NORMAS DE BIOSSEGURANÇA</v>
      </c>
      <c r="H1724" s="25"/>
      <c r="I1724" s="51"/>
      <c r="J1724" s="4"/>
      <c r="K1724" s="25" t="str">
        <f t="shared" si="67"/>
        <v/>
      </c>
      <c r="L1724" s="7"/>
      <c r="M1724" s="4"/>
      <c r="N1724" s="7"/>
      <c r="O1724" s="4"/>
      <c r="P1724" s="51"/>
      <c r="Q1724" s="51"/>
      <c r="R1724" s="51"/>
      <c r="S1724" s="7"/>
      <c r="T1724" s="7"/>
    </row>
    <row r="1725" spans="1:20" ht="14.25" customHeight="1">
      <c r="A1725" s="4"/>
      <c r="B1725" s="38">
        <v>14499</v>
      </c>
      <c r="C1725" s="22" t="str">
        <f>IFERROR(VLOOKUP(B1725,Colaboradores!A:D,2,),"")</f>
        <v>SAMIRIS COSTA DA SILVA</v>
      </c>
      <c r="D1725" s="22" t="str">
        <f>IFERROR(VLOOKUP(B1725,Colaboradores!A:D,3,),"")</f>
        <v>SAÚDE OCUPACIONAL</v>
      </c>
      <c r="E1725" s="22" t="str">
        <f>IFERROR(VLOOKUP(B1725,Colaboradores!A:D,4,),"")</f>
        <v>PSICÓLOGA</v>
      </c>
      <c r="F1725" s="47" t="s">
        <v>84</v>
      </c>
      <c r="G1725" s="24" t="str">
        <f>IFERROR(VLOOKUP(F1725,Procedimentos!A:C,2,),"")</f>
        <v>NOR - 0001 - NORMAS DE BIOSSEGURANÇA</v>
      </c>
      <c r="H1725" s="25"/>
      <c r="I1725" s="51"/>
      <c r="J1725" s="4"/>
      <c r="K1725" s="25" t="str">
        <f t="shared" si="67"/>
        <v/>
      </c>
      <c r="L1725" s="7"/>
      <c r="M1725" s="4"/>
      <c r="N1725" s="7"/>
      <c r="O1725" s="4"/>
      <c r="P1725" s="51"/>
      <c r="Q1725" s="51"/>
      <c r="R1725" s="51"/>
      <c r="S1725" s="7"/>
      <c r="T1725" s="7"/>
    </row>
    <row r="1726" spans="1:20" ht="14.25" customHeight="1">
      <c r="A1726" s="4"/>
      <c r="B1726" s="38">
        <v>12463</v>
      </c>
      <c r="C1726" s="22" t="str">
        <f>IFERROR(VLOOKUP(B1726,Colaboradores!A:D,2,),"")</f>
        <v>SAMMY RAYANA L. SANTOS</v>
      </c>
      <c r="D1726" s="22" t="str">
        <f>IFERROR(VLOOKUP(B1726,Colaboradores!A:D,3,),"")</f>
        <v>SAÚDE OCUPACIONAL</v>
      </c>
      <c r="E1726" s="22" t="str">
        <f>IFERROR(VLOOKUP(B1726,Colaboradores!A:D,4,),"")</f>
        <v>ASSESSOR(A) DE SERVIÇO SOCIAL</v>
      </c>
      <c r="F1726" s="47" t="s">
        <v>84</v>
      </c>
      <c r="G1726" s="24" t="str">
        <f>IFERROR(VLOOKUP(F1726,Procedimentos!A:C,2,),"")</f>
        <v>NOR - 0001 - NORMAS DE BIOSSEGURANÇA</v>
      </c>
      <c r="H1726" s="25"/>
      <c r="I1726" s="51"/>
      <c r="J1726" s="4"/>
      <c r="K1726" s="25" t="str">
        <f t="shared" si="67"/>
        <v/>
      </c>
      <c r="L1726" s="7"/>
      <c r="M1726" s="4"/>
      <c r="N1726" s="7"/>
      <c r="O1726" s="4"/>
      <c r="P1726" s="51"/>
      <c r="Q1726" s="51"/>
      <c r="R1726" s="51"/>
      <c r="S1726" s="7"/>
      <c r="T1726" s="7"/>
    </row>
    <row r="1727" spans="1:20" ht="14.25" customHeight="1">
      <c r="A1727" s="4"/>
      <c r="B1727" s="38">
        <v>13100</v>
      </c>
      <c r="C1727" s="22" t="str">
        <f>IFERROR(VLOOKUP(B1727,Colaboradores!A:D,2,),"")</f>
        <v>TAYNAH SOARES DE SOUZA CAMARAO</v>
      </c>
      <c r="D1727" s="22" t="str">
        <f>IFERROR(VLOOKUP(B1727,Colaboradores!A:D,3,),"")</f>
        <v>SAÚDE OCUPACIONAL</v>
      </c>
      <c r="E1727" s="22" t="str">
        <f>IFERROR(VLOOKUP(B1727,Colaboradores!A:D,4,),"")</f>
        <v>MÉDICA</v>
      </c>
      <c r="F1727" s="47" t="s">
        <v>84</v>
      </c>
      <c r="G1727" s="24" t="str">
        <f>IFERROR(VLOOKUP(F1727,Procedimentos!A:C,2,),"")</f>
        <v>NOR - 0001 - NORMAS DE BIOSSEGURANÇA</v>
      </c>
      <c r="H1727" s="25"/>
      <c r="I1727" s="51"/>
      <c r="J1727" s="4"/>
      <c r="K1727" s="25" t="str">
        <f t="shared" si="67"/>
        <v/>
      </c>
      <c r="L1727" s="7"/>
      <c r="M1727" s="4"/>
      <c r="N1727" s="7"/>
      <c r="O1727" s="4"/>
      <c r="P1727" s="51"/>
      <c r="Q1727" s="51"/>
      <c r="R1727" s="51"/>
      <c r="S1727" s="7"/>
      <c r="T1727" s="7"/>
    </row>
    <row r="1728" spans="1:20" ht="14.25" customHeight="1">
      <c r="A1728" s="4"/>
      <c r="B1728" s="38">
        <v>14962</v>
      </c>
      <c r="C1728" s="22" t="str">
        <f>IFERROR(VLOOKUP(B1728,Colaboradores!A:D,2,),"")</f>
        <v>YASMIN KARINE DE OLIVEIRA SOARES</v>
      </c>
      <c r="D1728" s="22" t="str">
        <f>IFERROR(VLOOKUP(B1728,Colaboradores!A:D,3,),"")</f>
        <v>SAÚDE OCUPACIONAL</v>
      </c>
      <c r="E1728" s="22" t="str">
        <f>IFERROR(VLOOKUP(B1728,Colaboradores!A:D,4,),"")</f>
        <v>JOVEM APRENDIZ</v>
      </c>
      <c r="F1728" s="47" t="s">
        <v>84</v>
      </c>
      <c r="G1728" s="24" t="str">
        <f>IFERROR(VLOOKUP(F1728,Procedimentos!A:C,2,),"")</f>
        <v>NOR - 0001 - NORMAS DE BIOSSEGURANÇA</v>
      </c>
      <c r="H1728" s="25"/>
      <c r="I1728" s="51"/>
      <c r="J1728" s="4"/>
      <c r="K1728" s="25" t="str">
        <f t="shared" si="67"/>
        <v/>
      </c>
      <c r="L1728" s="7"/>
      <c r="M1728" s="4"/>
      <c r="N1728" s="7"/>
      <c r="O1728" s="4"/>
      <c r="P1728" s="51"/>
      <c r="Q1728" s="51"/>
      <c r="R1728" s="51"/>
      <c r="S1728" s="7"/>
      <c r="T1728" s="7"/>
    </row>
    <row r="1729" spans="1:20" ht="14.25" customHeight="1">
      <c r="A1729" s="4"/>
      <c r="B1729" s="38">
        <v>24306</v>
      </c>
      <c r="C1729" s="22" t="str">
        <f>IFERROR(VLOOKUP(B1729,Colaboradores!A:D,2,),"")</f>
        <v>ANNA MARIA ARAUJO PIORSKI</v>
      </c>
      <c r="D1729" s="22" t="str">
        <f>IFERROR(VLOOKUP(B1729,Colaboradores!A:D,3,),"")</f>
        <v>SAÚDE OCUPACIONAL</v>
      </c>
      <c r="E1729" s="22" t="str">
        <f>IFERROR(VLOOKUP(B1729,Colaboradores!A:D,4,),"")</f>
        <v>ASSESSOR(A) DE NUTRIÇÃO</v>
      </c>
      <c r="F1729" s="47" t="s">
        <v>85</v>
      </c>
      <c r="G1729" s="24" t="str">
        <f>IFERROR(VLOOKUP(F1729,Procedimentos!A:C,2,),"")</f>
        <v>PLANO DE CONTIGÊNCIA ESPAÇO CUIDAR</v>
      </c>
      <c r="H1729" s="25"/>
      <c r="I1729" s="51"/>
      <c r="J1729" s="4"/>
      <c r="K1729" s="25" t="str">
        <f t="shared" si="67"/>
        <v/>
      </c>
      <c r="L1729" s="7"/>
      <c r="M1729" s="4"/>
      <c r="N1729" s="7"/>
      <c r="O1729" s="4"/>
      <c r="P1729" s="51"/>
      <c r="Q1729" s="51"/>
      <c r="R1729" s="51"/>
      <c r="S1729" s="7"/>
      <c r="T1729" s="7"/>
    </row>
    <row r="1730" spans="1:20" ht="14.25" customHeight="1">
      <c r="A1730" s="4"/>
      <c r="B1730" s="38">
        <v>12330</v>
      </c>
      <c r="C1730" s="22" t="str">
        <f>IFERROR(VLOOKUP(B1730,Colaboradores!A:D,2,),"")</f>
        <v>BIANCA GUEDES SILVA ALMEIDA</v>
      </c>
      <c r="D1730" s="22" t="str">
        <f>IFERROR(VLOOKUP(B1730,Colaboradores!A:D,3,),"")</f>
        <v>SAÚDE OCUPACIONAL</v>
      </c>
      <c r="E1730" s="22" t="str">
        <f>IFERROR(VLOOKUP(B1730,Colaboradores!A:D,4,),"")</f>
        <v>NUTRICIONISTA</v>
      </c>
      <c r="F1730" s="47" t="s">
        <v>85</v>
      </c>
      <c r="G1730" s="24" t="str">
        <f>IFERROR(VLOOKUP(F1730,Procedimentos!A:C,2,),"")</f>
        <v>PLANO DE CONTIGÊNCIA ESPAÇO CUIDAR</v>
      </c>
      <c r="H1730" s="25"/>
      <c r="I1730" s="51"/>
      <c r="J1730" s="4"/>
      <c r="K1730" s="25" t="str">
        <f t="shared" si="67"/>
        <v/>
      </c>
      <c r="L1730" s="7"/>
      <c r="M1730" s="4"/>
      <c r="N1730" s="7"/>
      <c r="O1730" s="4"/>
      <c r="P1730" s="51"/>
      <c r="Q1730" s="51"/>
      <c r="R1730" s="51"/>
      <c r="S1730" s="7"/>
      <c r="T1730" s="7"/>
    </row>
    <row r="1731" spans="1:20" ht="14.25" customHeight="1">
      <c r="A1731" s="4"/>
      <c r="B1731" s="38">
        <v>14990</v>
      </c>
      <c r="C1731" s="22" t="str">
        <f>IFERROR(VLOOKUP(B1731,Colaboradores!A:D,2,),"")</f>
        <v>DAVID DE JESUS PEREIRA FONSECA</v>
      </c>
      <c r="D1731" s="22" t="str">
        <f>IFERROR(VLOOKUP(B1731,Colaboradores!A:D,3,),"")</f>
        <v>SAÚDE OCUPACIONAL</v>
      </c>
      <c r="E1731" s="22" t="str">
        <f>IFERROR(VLOOKUP(B1731,Colaboradores!A:D,4,),"")</f>
        <v>JOVEM APRENDIZ</v>
      </c>
      <c r="F1731" s="47" t="s">
        <v>85</v>
      </c>
      <c r="G1731" s="24" t="str">
        <f>IFERROR(VLOOKUP(F1731,Procedimentos!A:C,2,),"")</f>
        <v>PLANO DE CONTIGÊNCIA ESPAÇO CUIDAR</v>
      </c>
      <c r="H1731" s="25"/>
      <c r="I1731" s="51"/>
      <c r="J1731" s="4"/>
      <c r="K1731" s="25" t="str">
        <f t="shared" ref="K1731:K1794" si="68">IF(AND(I1731&lt;&gt;"",J1731&lt;&gt;""),DATE(YEAR(I1731),MONTH(I1731)+J1731,DAY(I1731)),"")</f>
        <v/>
      </c>
      <c r="L1731" s="7"/>
      <c r="M1731" s="4"/>
      <c r="N1731" s="7"/>
      <c r="O1731" s="4"/>
      <c r="P1731" s="51"/>
      <c r="Q1731" s="51"/>
      <c r="R1731" s="51"/>
      <c r="S1731" s="7"/>
      <c r="T1731" s="7"/>
    </row>
    <row r="1732" spans="1:20" ht="14.25" customHeight="1">
      <c r="A1732" s="4"/>
      <c r="B1732" s="38">
        <v>9058</v>
      </c>
      <c r="C1732" s="22" t="str">
        <f>IFERROR(VLOOKUP(B1732,Colaboradores!A:D,2,),"")</f>
        <v>DENISE CRISTRINA CASTRO</v>
      </c>
      <c r="D1732" s="22" t="str">
        <f>IFERROR(VLOOKUP(B1732,Colaboradores!A:D,3,),"")</f>
        <v>SAÚDE OCUPACIONAL</v>
      </c>
      <c r="E1732" s="22" t="str">
        <f>IFERROR(VLOOKUP(B1732,Colaboradores!A:D,4,),"")</f>
        <v>ASSESSOR(A) DE SERVIÇO SOCIAL</v>
      </c>
      <c r="F1732" s="47" t="s">
        <v>85</v>
      </c>
      <c r="G1732" s="24" t="str">
        <f>IFERROR(VLOOKUP(F1732,Procedimentos!A:C,2,),"")</f>
        <v>PLANO DE CONTIGÊNCIA ESPAÇO CUIDAR</v>
      </c>
      <c r="H1732" s="25"/>
      <c r="I1732" s="51"/>
      <c r="J1732" s="4"/>
      <c r="K1732" s="25" t="str">
        <f t="shared" si="68"/>
        <v/>
      </c>
      <c r="L1732" s="7"/>
      <c r="M1732" s="4"/>
      <c r="N1732" s="7"/>
      <c r="O1732" s="4"/>
      <c r="P1732" s="51"/>
      <c r="Q1732" s="51"/>
      <c r="R1732" s="51"/>
      <c r="S1732" s="7"/>
      <c r="T1732" s="7"/>
    </row>
    <row r="1733" spans="1:20" ht="14.25" customHeight="1">
      <c r="A1733" s="4"/>
      <c r="B1733" s="38">
        <v>8111</v>
      </c>
      <c r="C1733" s="22" t="str">
        <f>IFERROR(VLOOKUP(B1733,Colaboradores!A:D,2,),"")</f>
        <v>FABIANA SILVA COSTA</v>
      </c>
      <c r="D1733" s="22" t="str">
        <f>IFERROR(VLOOKUP(B1733,Colaboradores!A:D,3,),"")</f>
        <v>SAÚDE OCUPACIONAL</v>
      </c>
      <c r="E1733" s="22" t="str">
        <f>IFERROR(VLOOKUP(B1733,Colaboradores!A:D,4,),"")</f>
        <v>ASSESSOR(A) DE FISIOTERAPIA</v>
      </c>
      <c r="F1733" s="47" t="s">
        <v>85</v>
      </c>
      <c r="G1733" s="24" t="str">
        <f>IFERROR(VLOOKUP(F1733,Procedimentos!A:C,2,),"")</f>
        <v>PLANO DE CONTIGÊNCIA ESPAÇO CUIDAR</v>
      </c>
      <c r="H1733" s="25"/>
      <c r="I1733" s="51"/>
      <c r="J1733" s="4"/>
      <c r="K1733" s="25" t="str">
        <f t="shared" si="68"/>
        <v/>
      </c>
      <c r="L1733" s="7"/>
      <c r="M1733" s="4"/>
      <c r="N1733" s="7"/>
      <c r="O1733" s="4"/>
      <c r="P1733" s="51"/>
      <c r="Q1733" s="51"/>
      <c r="R1733" s="51"/>
      <c r="S1733" s="7"/>
      <c r="T1733" s="7"/>
    </row>
    <row r="1734" spans="1:20" ht="14.25" customHeight="1">
      <c r="A1734" s="4"/>
      <c r="B1734" s="38">
        <v>14972</v>
      </c>
      <c r="C1734" s="22" t="str">
        <f>IFERROR(VLOOKUP(B1734,Colaboradores!A:D,2,),"")</f>
        <v>JUAN PABLO SOUSA FARIAS</v>
      </c>
      <c r="D1734" s="22" t="str">
        <f>IFERROR(VLOOKUP(B1734,Colaboradores!A:D,3,),"")</f>
        <v>SAÚDE OCUPACIONAL</v>
      </c>
      <c r="E1734" s="22" t="str">
        <f>IFERROR(VLOOKUP(B1734,Colaboradores!A:D,4,),"")</f>
        <v>JOVEM APRENDIZ</v>
      </c>
      <c r="F1734" s="47" t="s">
        <v>85</v>
      </c>
      <c r="G1734" s="24" t="str">
        <f>IFERROR(VLOOKUP(F1734,Procedimentos!A:C,2,),"")</f>
        <v>PLANO DE CONTIGÊNCIA ESPAÇO CUIDAR</v>
      </c>
      <c r="H1734" s="25"/>
      <c r="I1734" s="51"/>
      <c r="J1734" s="4"/>
      <c r="K1734" s="25" t="str">
        <f t="shared" si="68"/>
        <v/>
      </c>
      <c r="L1734" s="7"/>
      <c r="M1734" s="4"/>
      <c r="N1734" s="7"/>
      <c r="O1734" s="4"/>
      <c r="P1734" s="51"/>
      <c r="Q1734" s="51"/>
      <c r="R1734" s="51"/>
      <c r="S1734" s="7"/>
      <c r="T1734" s="7"/>
    </row>
    <row r="1735" spans="1:20" ht="14.25" customHeight="1">
      <c r="A1735" s="4"/>
      <c r="B1735" s="38">
        <v>13594</v>
      </c>
      <c r="C1735" s="22" t="str">
        <f>IFERROR(VLOOKUP(B1735,Colaboradores!A:D,2,),"")</f>
        <v>MARCIO AUGUSTO SILVA MIRANDA</v>
      </c>
      <c r="D1735" s="22" t="str">
        <f>IFERROR(VLOOKUP(B1735,Colaboradores!A:D,3,),"")</f>
        <v>SAÚDE OCUPACIONAL</v>
      </c>
      <c r="E1735" s="22" t="str">
        <f>IFERROR(VLOOKUP(B1735,Colaboradores!A:D,4,),"")</f>
        <v>ASSESSOR (A) CLINICO</v>
      </c>
      <c r="F1735" s="47" t="s">
        <v>85</v>
      </c>
      <c r="G1735" s="24" t="str">
        <f>IFERROR(VLOOKUP(F1735,Procedimentos!A:C,2,),"")</f>
        <v>PLANO DE CONTIGÊNCIA ESPAÇO CUIDAR</v>
      </c>
      <c r="H1735" s="25"/>
      <c r="I1735" s="51"/>
      <c r="J1735" s="4"/>
      <c r="K1735" s="25" t="str">
        <f t="shared" si="68"/>
        <v/>
      </c>
      <c r="L1735" s="7"/>
      <c r="M1735" s="4"/>
      <c r="N1735" s="7"/>
      <c r="O1735" s="4"/>
      <c r="P1735" s="51"/>
      <c r="Q1735" s="51"/>
      <c r="R1735" s="51"/>
      <c r="S1735" s="7"/>
      <c r="T1735" s="7"/>
    </row>
    <row r="1736" spans="1:20" ht="14.25" customHeight="1">
      <c r="A1736" s="4"/>
      <c r="B1736" s="38">
        <v>14499</v>
      </c>
      <c r="C1736" s="22" t="str">
        <f>IFERROR(VLOOKUP(B1736,Colaboradores!A:D,2,),"")</f>
        <v>SAMIRIS COSTA DA SILVA</v>
      </c>
      <c r="D1736" s="22" t="str">
        <f>IFERROR(VLOOKUP(B1736,Colaboradores!A:D,3,),"")</f>
        <v>SAÚDE OCUPACIONAL</v>
      </c>
      <c r="E1736" s="22" t="str">
        <f>IFERROR(VLOOKUP(B1736,Colaboradores!A:D,4,),"")</f>
        <v>PSICÓLOGA</v>
      </c>
      <c r="F1736" s="47" t="s">
        <v>85</v>
      </c>
      <c r="G1736" s="24" t="str">
        <f>IFERROR(VLOOKUP(F1736,Procedimentos!A:C,2,),"")</f>
        <v>PLANO DE CONTIGÊNCIA ESPAÇO CUIDAR</v>
      </c>
      <c r="H1736" s="25"/>
      <c r="I1736" s="51"/>
      <c r="J1736" s="4"/>
      <c r="K1736" s="25" t="str">
        <f t="shared" si="68"/>
        <v/>
      </c>
      <c r="L1736" s="7"/>
      <c r="M1736" s="4"/>
      <c r="N1736" s="7"/>
      <c r="O1736" s="4"/>
      <c r="P1736" s="51"/>
      <c r="Q1736" s="51"/>
      <c r="R1736" s="51"/>
      <c r="S1736" s="7"/>
      <c r="T1736" s="7"/>
    </row>
    <row r="1737" spans="1:20" ht="14.25" customHeight="1">
      <c r="A1737" s="4"/>
      <c r="B1737" s="38">
        <v>12463</v>
      </c>
      <c r="C1737" s="22" t="str">
        <f>IFERROR(VLOOKUP(B1737,Colaboradores!A:D,2,),"")</f>
        <v>SAMMY RAYANA L. SANTOS</v>
      </c>
      <c r="D1737" s="22" t="str">
        <f>IFERROR(VLOOKUP(B1737,Colaboradores!A:D,3,),"")</f>
        <v>SAÚDE OCUPACIONAL</v>
      </c>
      <c r="E1737" s="22" t="str">
        <f>IFERROR(VLOOKUP(B1737,Colaboradores!A:D,4,),"")</f>
        <v>ASSESSOR(A) DE SERVIÇO SOCIAL</v>
      </c>
      <c r="F1737" s="47" t="s">
        <v>85</v>
      </c>
      <c r="G1737" s="24" t="str">
        <f>IFERROR(VLOOKUP(F1737,Procedimentos!A:C,2,),"")</f>
        <v>PLANO DE CONTIGÊNCIA ESPAÇO CUIDAR</v>
      </c>
      <c r="H1737" s="25"/>
      <c r="I1737" s="51"/>
      <c r="J1737" s="4"/>
      <c r="K1737" s="25" t="str">
        <f t="shared" si="68"/>
        <v/>
      </c>
      <c r="L1737" s="7"/>
      <c r="M1737" s="4"/>
      <c r="N1737" s="7"/>
      <c r="O1737" s="4"/>
      <c r="P1737" s="51"/>
      <c r="Q1737" s="51"/>
      <c r="R1737" s="51"/>
      <c r="S1737" s="7"/>
      <c r="T1737" s="7"/>
    </row>
    <row r="1738" spans="1:20" ht="14.25" customHeight="1">
      <c r="A1738" s="4"/>
      <c r="B1738" s="38">
        <v>13100</v>
      </c>
      <c r="C1738" s="22" t="str">
        <f>IFERROR(VLOOKUP(B1738,Colaboradores!A:D,2,),"")</f>
        <v>TAYNAH SOARES DE SOUZA CAMARAO</v>
      </c>
      <c r="D1738" s="22" t="str">
        <f>IFERROR(VLOOKUP(B1738,Colaboradores!A:D,3,),"")</f>
        <v>SAÚDE OCUPACIONAL</v>
      </c>
      <c r="E1738" s="22" t="str">
        <f>IFERROR(VLOOKUP(B1738,Colaboradores!A:D,4,),"")</f>
        <v>MÉDICA</v>
      </c>
      <c r="F1738" s="47" t="s">
        <v>85</v>
      </c>
      <c r="G1738" s="24" t="str">
        <f>IFERROR(VLOOKUP(F1738,Procedimentos!A:C,2,),"")</f>
        <v>PLANO DE CONTIGÊNCIA ESPAÇO CUIDAR</v>
      </c>
      <c r="H1738" s="25"/>
      <c r="I1738" s="51"/>
      <c r="J1738" s="4"/>
      <c r="K1738" s="25" t="str">
        <f t="shared" si="68"/>
        <v/>
      </c>
      <c r="L1738" s="7"/>
      <c r="M1738" s="4"/>
      <c r="N1738" s="7"/>
      <c r="O1738" s="4"/>
      <c r="P1738" s="51"/>
      <c r="Q1738" s="51"/>
      <c r="R1738" s="51"/>
      <c r="S1738" s="7"/>
      <c r="T1738" s="7"/>
    </row>
    <row r="1739" spans="1:20" ht="14.25" customHeight="1">
      <c r="A1739" s="4"/>
      <c r="B1739" s="38">
        <v>14962</v>
      </c>
      <c r="C1739" s="22" t="str">
        <f>IFERROR(VLOOKUP(B1739,Colaboradores!A:D,2,),"")</f>
        <v>YASMIN KARINE DE OLIVEIRA SOARES</v>
      </c>
      <c r="D1739" s="22" t="str">
        <f>IFERROR(VLOOKUP(B1739,Colaboradores!A:D,3,),"")</f>
        <v>SAÚDE OCUPACIONAL</v>
      </c>
      <c r="E1739" s="22" t="str">
        <f>IFERROR(VLOOKUP(B1739,Colaboradores!A:D,4,),"")</f>
        <v>JOVEM APRENDIZ</v>
      </c>
      <c r="F1739" s="47" t="s">
        <v>85</v>
      </c>
      <c r="G1739" s="24" t="str">
        <f>IFERROR(VLOOKUP(F1739,Procedimentos!A:C,2,),"")</f>
        <v>PLANO DE CONTIGÊNCIA ESPAÇO CUIDAR</v>
      </c>
      <c r="H1739" s="25"/>
      <c r="I1739" s="51"/>
      <c r="J1739" s="4"/>
      <c r="K1739" s="25" t="str">
        <f t="shared" si="68"/>
        <v/>
      </c>
      <c r="L1739" s="7"/>
      <c r="M1739" s="4"/>
      <c r="N1739" s="7"/>
      <c r="O1739" s="4"/>
      <c r="P1739" s="51"/>
      <c r="Q1739" s="51"/>
      <c r="R1739" s="51"/>
      <c r="S1739" s="7"/>
      <c r="T1739" s="7"/>
    </row>
    <row r="1740" spans="1:20" ht="14.25" customHeight="1">
      <c r="A1740" s="4"/>
      <c r="B1740" s="38">
        <v>24306</v>
      </c>
      <c r="C1740" s="22" t="str">
        <f>IFERROR(VLOOKUP(B1740,Colaboradores!A:D,2,),"")</f>
        <v>ANNA MARIA ARAUJO PIORSKI</v>
      </c>
      <c r="D1740" s="22" t="str">
        <f>IFERROR(VLOOKUP(B1740,Colaboradores!A:D,3,),"")</f>
        <v>SAÚDE OCUPACIONAL</v>
      </c>
      <c r="E1740" s="22" t="str">
        <f>IFERROR(VLOOKUP(B1740,Colaboradores!A:D,4,),"")</f>
        <v>ASSESSOR(A) DE NUTRIÇÃO</v>
      </c>
      <c r="F1740" s="47" t="s">
        <v>86</v>
      </c>
      <c r="G1740" s="24" t="str">
        <f>IFERROR(VLOOKUP(F1740,Procedimentos!A:C,2,),"")</f>
        <v>PROGRAMA DE CONTROLE DE INFECÇÃO RELACIONADA À ASSISTÊNCIA À SAÚDE – CCIRAS - ASSISTÊNCIA AMBULATORIAL</v>
      </c>
      <c r="H1740" s="25"/>
      <c r="I1740" s="51"/>
      <c r="J1740" s="4"/>
      <c r="K1740" s="25" t="str">
        <f t="shared" si="68"/>
        <v/>
      </c>
      <c r="L1740" s="7"/>
      <c r="M1740" s="4"/>
      <c r="N1740" s="7"/>
      <c r="O1740" s="4"/>
      <c r="P1740" s="51"/>
      <c r="Q1740" s="51"/>
      <c r="R1740" s="51"/>
      <c r="S1740" s="7"/>
      <c r="T1740" s="7"/>
    </row>
    <row r="1741" spans="1:20" ht="14.25" customHeight="1">
      <c r="A1741" s="4"/>
      <c r="B1741" s="38">
        <v>12330</v>
      </c>
      <c r="C1741" s="22" t="str">
        <f>IFERROR(VLOOKUP(B1741,Colaboradores!A:D,2,),"")</f>
        <v>BIANCA GUEDES SILVA ALMEIDA</v>
      </c>
      <c r="D1741" s="22" t="str">
        <f>IFERROR(VLOOKUP(B1741,Colaboradores!A:D,3,),"")</f>
        <v>SAÚDE OCUPACIONAL</v>
      </c>
      <c r="E1741" s="22" t="str">
        <f>IFERROR(VLOOKUP(B1741,Colaboradores!A:D,4,),"")</f>
        <v>NUTRICIONISTA</v>
      </c>
      <c r="F1741" s="47" t="s">
        <v>86</v>
      </c>
      <c r="G1741" s="24" t="str">
        <f>IFERROR(VLOOKUP(F1741,Procedimentos!A:C,2,),"")</f>
        <v>PROGRAMA DE CONTROLE DE INFECÇÃO RELACIONADA À ASSISTÊNCIA À SAÚDE – CCIRAS - ASSISTÊNCIA AMBULATORIAL</v>
      </c>
      <c r="H1741" s="25"/>
      <c r="I1741" s="51"/>
      <c r="J1741" s="4"/>
      <c r="K1741" s="25" t="str">
        <f t="shared" si="68"/>
        <v/>
      </c>
      <c r="L1741" s="7"/>
      <c r="M1741" s="4"/>
      <c r="N1741" s="7"/>
      <c r="O1741" s="4"/>
      <c r="P1741" s="51"/>
      <c r="Q1741" s="51"/>
      <c r="R1741" s="51"/>
      <c r="S1741" s="7"/>
      <c r="T1741" s="7"/>
    </row>
    <row r="1742" spans="1:20" ht="14.25" customHeight="1">
      <c r="A1742" s="4"/>
      <c r="B1742" s="38">
        <v>14990</v>
      </c>
      <c r="C1742" s="22" t="str">
        <f>IFERROR(VLOOKUP(B1742,Colaboradores!A:D,2,),"")</f>
        <v>DAVID DE JESUS PEREIRA FONSECA</v>
      </c>
      <c r="D1742" s="22" t="str">
        <f>IFERROR(VLOOKUP(B1742,Colaboradores!A:D,3,),"")</f>
        <v>SAÚDE OCUPACIONAL</v>
      </c>
      <c r="E1742" s="22" t="str">
        <f>IFERROR(VLOOKUP(B1742,Colaboradores!A:D,4,),"")</f>
        <v>JOVEM APRENDIZ</v>
      </c>
      <c r="F1742" s="47" t="s">
        <v>86</v>
      </c>
      <c r="G1742" s="24" t="str">
        <f>IFERROR(VLOOKUP(F1742,Procedimentos!A:C,2,),"")</f>
        <v>PROGRAMA DE CONTROLE DE INFECÇÃO RELACIONADA À ASSISTÊNCIA À SAÚDE – CCIRAS - ASSISTÊNCIA AMBULATORIAL</v>
      </c>
      <c r="H1742" s="25"/>
      <c r="I1742" s="51"/>
      <c r="J1742" s="4"/>
      <c r="K1742" s="25" t="str">
        <f t="shared" si="68"/>
        <v/>
      </c>
      <c r="L1742" s="7"/>
      <c r="M1742" s="4"/>
      <c r="N1742" s="7"/>
      <c r="O1742" s="4"/>
      <c r="P1742" s="51"/>
      <c r="Q1742" s="51"/>
      <c r="R1742" s="51"/>
      <c r="S1742" s="7"/>
      <c r="T1742" s="7"/>
    </row>
    <row r="1743" spans="1:20" ht="14.25" customHeight="1">
      <c r="A1743" s="4"/>
      <c r="B1743" s="38">
        <v>9058</v>
      </c>
      <c r="C1743" s="22" t="str">
        <f>IFERROR(VLOOKUP(B1743,Colaboradores!A:D,2,),"")</f>
        <v>DENISE CRISTRINA CASTRO</v>
      </c>
      <c r="D1743" s="22" t="str">
        <f>IFERROR(VLOOKUP(B1743,Colaboradores!A:D,3,),"")</f>
        <v>SAÚDE OCUPACIONAL</v>
      </c>
      <c r="E1743" s="22" t="str">
        <f>IFERROR(VLOOKUP(B1743,Colaboradores!A:D,4,),"")</f>
        <v>ASSESSOR(A) DE SERVIÇO SOCIAL</v>
      </c>
      <c r="F1743" s="47" t="s">
        <v>86</v>
      </c>
      <c r="G1743" s="24" t="str">
        <f>IFERROR(VLOOKUP(F1743,Procedimentos!A:C,2,),"")</f>
        <v>PROGRAMA DE CONTROLE DE INFECÇÃO RELACIONADA À ASSISTÊNCIA À SAÚDE – CCIRAS - ASSISTÊNCIA AMBULATORIAL</v>
      </c>
      <c r="H1743" s="25"/>
      <c r="I1743" s="51"/>
      <c r="J1743" s="4"/>
      <c r="K1743" s="25" t="str">
        <f t="shared" si="68"/>
        <v/>
      </c>
      <c r="L1743" s="7"/>
      <c r="M1743" s="4"/>
      <c r="N1743" s="7"/>
      <c r="O1743" s="4"/>
      <c r="P1743" s="51"/>
      <c r="Q1743" s="51"/>
      <c r="R1743" s="51"/>
      <c r="S1743" s="7"/>
      <c r="T1743" s="7"/>
    </row>
    <row r="1744" spans="1:20" ht="14.25" customHeight="1">
      <c r="A1744" s="4"/>
      <c r="B1744" s="38">
        <v>8111</v>
      </c>
      <c r="C1744" s="22" t="str">
        <f>IFERROR(VLOOKUP(B1744,Colaboradores!A:D,2,),"")</f>
        <v>FABIANA SILVA COSTA</v>
      </c>
      <c r="D1744" s="22" t="str">
        <f>IFERROR(VLOOKUP(B1744,Colaboradores!A:D,3,),"")</f>
        <v>SAÚDE OCUPACIONAL</v>
      </c>
      <c r="E1744" s="22" t="str">
        <f>IFERROR(VLOOKUP(B1744,Colaboradores!A:D,4,),"")</f>
        <v>ASSESSOR(A) DE FISIOTERAPIA</v>
      </c>
      <c r="F1744" s="47" t="s">
        <v>86</v>
      </c>
      <c r="G1744" s="24" t="str">
        <f>IFERROR(VLOOKUP(F1744,Procedimentos!A:C,2,),"")</f>
        <v>PROGRAMA DE CONTROLE DE INFECÇÃO RELACIONADA À ASSISTÊNCIA À SAÚDE – CCIRAS - ASSISTÊNCIA AMBULATORIAL</v>
      </c>
      <c r="H1744" s="25"/>
      <c r="I1744" s="51"/>
      <c r="J1744" s="4"/>
      <c r="K1744" s="25" t="str">
        <f t="shared" si="68"/>
        <v/>
      </c>
      <c r="L1744" s="7"/>
      <c r="M1744" s="4"/>
      <c r="N1744" s="7"/>
      <c r="O1744" s="4"/>
      <c r="P1744" s="51"/>
      <c r="Q1744" s="51"/>
      <c r="R1744" s="51"/>
      <c r="S1744" s="7"/>
      <c r="T1744" s="7"/>
    </row>
    <row r="1745" spans="1:20" ht="14.25" customHeight="1">
      <c r="A1745" s="4"/>
      <c r="B1745" s="38">
        <v>14972</v>
      </c>
      <c r="C1745" s="22" t="str">
        <f>IFERROR(VLOOKUP(B1745,Colaboradores!A:D,2,),"")</f>
        <v>JUAN PABLO SOUSA FARIAS</v>
      </c>
      <c r="D1745" s="22" t="str">
        <f>IFERROR(VLOOKUP(B1745,Colaboradores!A:D,3,),"")</f>
        <v>SAÚDE OCUPACIONAL</v>
      </c>
      <c r="E1745" s="22" t="str">
        <f>IFERROR(VLOOKUP(B1745,Colaboradores!A:D,4,),"")</f>
        <v>JOVEM APRENDIZ</v>
      </c>
      <c r="F1745" s="47" t="s">
        <v>86</v>
      </c>
      <c r="G1745" s="24" t="str">
        <f>IFERROR(VLOOKUP(F1745,Procedimentos!A:C,2,),"")</f>
        <v>PROGRAMA DE CONTROLE DE INFECÇÃO RELACIONADA À ASSISTÊNCIA À SAÚDE – CCIRAS - ASSISTÊNCIA AMBULATORIAL</v>
      </c>
      <c r="H1745" s="25"/>
      <c r="I1745" s="51"/>
      <c r="J1745" s="4"/>
      <c r="K1745" s="25" t="str">
        <f t="shared" si="68"/>
        <v/>
      </c>
      <c r="L1745" s="7"/>
      <c r="M1745" s="4"/>
      <c r="N1745" s="7"/>
      <c r="O1745" s="4"/>
      <c r="P1745" s="51"/>
      <c r="Q1745" s="51"/>
      <c r="R1745" s="51"/>
      <c r="S1745" s="7"/>
      <c r="T1745" s="7"/>
    </row>
    <row r="1746" spans="1:20" ht="14.25" customHeight="1">
      <c r="A1746" s="4"/>
      <c r="B1746" s="38">
        <v>13594</v>
      </c>
      <c r="C1746" s="22" t="str">
        <f>IFERROR(VLOOKUP(B1746,Colaboradores!A:D,2,),"")</f>
        <v>MARCIO AUGUSTO SILVA MIRANDA</v>
      </c>
      <c r="D1746" s="22" t="str">
        <f>IFERROR(VLOOKUP(B1746,Colaboradores!A:D,3,),"")</f>
        <v>SAÚDE OCUPACIONAL</v>
      </c>
      <c r="E1746" s="22" t="str">
        <f>IFERROR(VLOOKUP(B1746,Colaboradores!A:D,4,),"")</f>
        <v>ASSESSOR (A) CLINICO</v>
      </c>
      <c r="F1746" s="47" t="s">
        <v>86</v>
      </c>
      <c r="G1746" s="24" t="str">
        <f>IFERROR(VLOOKUP(F1746,Procedimentos!A:C,2,),"")</f>
        <v>PROGRAMA DE CONTROLE DE INFECÇÃO RELACIONADA À ASSISTÊNCIA À SAÚDE – CCIRAS - ASSISTÊNCIA AMBULATORIAL</v>
      </c>
      <c r="H1746" s="25"/>
      <c r="I1746" s="51"/>
      <c r="J1746" s="4"/>
      <c r="K1746" s="25" t="str">
        <f t="shared" si="68"/>
        <v/>
      </c>
      <c r="L1746" s="7"/>
      <c r="M1746" s="4"/>
      <c r="N1746" s="7"/>
      <c r="O1746" s="4"/>
      <c r="P1746" s="51"/>
      <c r="Q1746" s="51"/>
      <c r="R1746" s="51"/>
      <c r="S1746" s="7"/>
      <c r="T1746" s="7"/>
    </row>
    <row r="1747" spans="1:20" ht="14.25" customHeight="1">
      <c r="A1747" s="4"/>
      <c r="B1747" s="38">
        <v>14499</v>
      </c>
      <c r="C1747" s="22" t="str">
        <f>IFERROR(VLOOKUP(B1747,Colaboradores!A:D,2,),"")</f>
        <v>SAMIRIS COSTA DA SILVA</v>
      </c>
      <c r="D1747" s="22" t="str">
        <f>IFERROR(VLOOKUP(B1747,Colaboradores!A:D,3,),"")</f>
        <v>SAÚDE OCUPACIONAL</v>
      </c>
      <c r="E1747" s="22" t="str">
        <f>IFERROR(VLOOKUP(B1747,Colaboradores!A:D,4,),"")</f>
        <v>PSICÓLOGA</v>
      </c>
      <c r="F1747" s="47" t="s">
        <v>86</v>
      </c>
      <c r="G1747" s="24" t="str">
        <f>IFERROR(VLOOKUP(F1747,Procedimentos!A:C,2,),"")</f>
        <v>PROGRAMA DE CONTROLE DE INFECÇÃO RELACIONADA À ASSISTÊNCIA À SAÚDE – CCIRAS - ASSISTÊNCIA AMBULATORIAL</v>
      </c>
      <c r="H1747" s="25"/>
      <c r="I1747" s="51"/>
      <c r="J1747" s="4"/>
      <c r="K1747" s="25" t="str">
        <f t="shared" si="68"/>
        <v/>
      </c>
      <c r="L1747" s="7"/>
      <c r="M1747" s="4"/>
      <c r="N1747" s="7"/>
      <c r="O1747" s="4"/>
      <c r="P1747" s="51"/>
      <c r="Q1747" s="51"/>
      <c r="R1747" s="51"/>
      <c r="S1747" s="7"/>
      <c r="T1747" s="7"/>
    </row>
    <row r="1748" spans="1:20" ht="14.25" customHeight="1">
      <c r="A1748" s="4"/>
      <c r="B1748" s="38">
        <v>12463</v>
      </c>
      <c r="C1748" s="22" t="str">
        <f>IFERROR(VLOOKUP(B1748,Colaboradores!A:D,2,),"")</f>
        <v>SAMMY RAYANA L. SANTOS</v>
      </c>
      <c r="D1748" s="22" t="str">
        <f>IFERROR(VLOOKUP(B1748,Colaboradores!A:D,3,),"")</f>
        <v>SAÚDE OCUPACIONAL</v>
      </c>
      <c r="E1748" s="22" t="str">
        <f>IFERROR(VLOOKUP(B1748,Colaboradores!A:D,4,),"")</f>
        <v>ASSESSOR(A) DE SERVIÇO SOCIAL</v>
      </c>
      <c r="F1748" s="47" t="s">
        <v>86</v>
      </c>
      <c r="G1748" s="24" t="str">
        <f>IFERROR(VLOOKUP(F1748,Procedimentos!A:C,2,),"")</f>
        <v>PROGRAMA DE CONTROLE DE INFECÇÃO RELACIONADA À ASSISTÊNCIA À SAÚDE – CCIRAS - ASSISTÊNCIA AMBULATORIAL</v>
      </c>
      <c r="H1748" s="25"/>
      <c r="I1748" s="51"/>
      <c r="J1748" s="4"/>
      <c r="K1748" s="25" t="str">
        <f t="shared" si="68"/>
        <v/>
      </c>
      <c r="L1748" s="7"/>
      <c r="M1748" s="4"/>
      <c r="N1748" s="7"/>
      <c r="O1748" s="4"/>
      <c r="P1748" s="51"/>
      <c r="Q1748" s="51"/>
      <c r="R1748" s="51"/>
      <c r="S1748" s="7"/>
      <c r="T1748" s="7"/>
    </row>
    <row r="1749" spans="1:20" ht="14.25" customHeight="1">
      <c r="A1749" s="4"/>
      <c r="B1749" s="38">
        <v>13100</v>
      </c>
      <c r="C1749" s="22" t="str">
        <f>IFERROR(VLOOKUP(B1749,Colaboradores!A:D,2,),"")</f>
        <v>TAYNAH SOARES DE SOUZA CAMARAO</v>
      </c>
      <c r="D1749" s="22" t="str">
        <f>IFERROR(VLOOKUP(B1749,Colaboradores!A:D,3,),"")</f>
        <v>SAÚDE OCUPACIONAL</v>
      </c>
      <c r="E1749" s="22" t="str">
        <f>IFERROR(VLOOKUP(B1749,Colaboradores!A:D,4,),"")</f>
        <v>MÉDICA</v>
      </c>
      <c r="F1749" s="47" t="s">
        <v>86</v>
      </c>
      <c r="G1749" s="24" t="str">
        <f>IFERROR(VLOOKUP(F1749,Procedimentos!A:C,2,),"")</f>
        <v>PROGRAMA DE CONTROLE DE INFECÇÃO RELACIONADA À ASSISTÊNCIA À SAÚDE – CCIRAS - ASSISTÊNCIA AMBULATORIAL</v>
      </c>
      <c r="H1749" s="25"/>
      <c r="I1749" s="51"/>
      <c r="J1749" s="4"/>
      <c r="K1749" s="25" t="str">
        <f t="shared" si="68"/>
        <v/>
      </c>
      <c r="L1749" s="7"/>
      <c r="M1749" s="4"/>
      <c r="N1749" s="7"/>
      <c r="O1749" s="4"/>
      <c r="P1749" s="51"/>
      <c r="Q1749" s="51"/>
      <c r="R1749" s="51"/>
      <c r="S1749" s="7"/>
      <c r="T1749" s="7"/>
    </row>
    <row r="1750" spans="1:20" ht="14.25" customHeight="1">
      <c r="A1750" s="4"/>
      <c r="B1750" s="38">
        <v>14962</v>
      </c>
      <c r="C1750" s="22" t="str">
        <f>IFERROR(VLOOKUP(B1750,Colaboradores!A:D,2,),"")</f>
        <v>YASMIN KARINE DE OLIVEIRA SOARES</v>
      </c>
      <c r="D1750" s="22" t="str">
        <f>IFERROR(VLOOKUP(B1750,Colaboradores!A:D,3,),"")</f>
        <v>SAÚDE OCUPACIONAL</v>
      </c>
      <c r="E1750" s="22" t="str">
        <f>IFERROR(VLOOKUP(B1750,Colaboradores!A:D,4,),"")</f>
        <v>JOVEM APRENDIZ</v>
      </c>
      <c r="F1750" s="47" t="s">
        <v>86</v>
      </c>
      <c r="G1750" s="24" t="str">
        <f>IFERROR(VLOOKUP(F1750,Procedimentos!A:C,2,),"")</f>
        <v>PROGRAMA DE CONTROLE DE INFECÇÃO RELACIONADA À ASSISTÊNCIA À SAÚDE – CCIRAS - ASSISTÊNCIA AMBULATORIAL</v>
      </c>
      <c r="H1750" s="25"/>
      <c r="I1750" s="51"/>
      <c r="J1750" s="4"/>
      <c r="K1750" s="25" t="str">
        <f t="shared" si="68"/>
        <v/>
      </c>
      <c r="L1750" s="7"/>
      <c r="M1750" s="4"/>
      <c r="N1750" s="7"/>
      <c r="O1750" s="4"/>
      <c r="P1750" s="51"/>
      <c r="Q1750" s="51"/>
      <c r="R1750" s="51"/>
      <c r="S1750" s="7"/>
      <c r="T1750" s="7"/>
    </row>
    <row r="1751" spans="1:20" ht="14.25" customHeight="1">
      <c r="A1751" s="4"/>
      <c r="B1751" s="38">
        <v>24306</v>
      </c>
      <c r="C1751" s="22" t="str">
        <f>IFERROR(VLOOKUP(B1751,Colaboradores!A:D,2,),"")</f>
        <v>ANNA MARIA ARAUJO PIORSKI</v>
      </c>
      <c r="D1751" s="22" t="str">
        <f>IFERROR(VLOOKUP(B1751,Colaboradores!A:D,3,),"")</f>
        <v>SAÚDE OCUPACIONAL</v>
      </c>
      <c r="E1751" s="22" t="str">
        <f>IFERROR(VLOOKUP(B1751,Colaboradores!A:D,4,),"")</f>
        <v>ASSESSOR(A) DE NUTRIÇÃO</v>
      </c>
      <c r="F1751" s="47" t="s">
        <v>87</v>
      </c>
      <c r="G1751" s="24" t="str">
        <f>IFERROR(VLOOKUP(F1751,Procedimentos!A:C,2,),"")</f>
        <v>PLANO ANUAL DE SEGURANÇA DO PACIENTE - NSP</v>
      </c>
      <c r="H1751" s="25"/>
      <c r="I1751" s="51"/>
      <c r="J1751" s="4"/>
      <c r="K1751" s="25" t="str">
        <f t="shared" si="68"/>
        <v/>
      </c>
      <c r="L1751" s="7"/>
      <c r="M1751" s="4"/>
      <c r="N1751" s="7"/>
      <c r="O1751" s="4"/>
      <c r="P1751" s="51"/>
      <c r="Q1751" s="51"/>
      <c r="R1751" s="51"/>
      <c r="S1751" s="7"/>
      <c r="T1751" s="7"/>
    </row>
    <row r="1752" spans="1:20" ht="14.25" customHeight="1">
      <c r="A1752" s="4"/>
      <c r="B1752" s="38">
        <v>12330</v>
      </c>
      <c r="C1752" s="22" t="str">
        <f>IFERROR(VLOOKUP(B1752,Colaboradores!A:D,2,),"")</f>
        <v>BIANCA GUEDES SILVA ALMEIDA</v>
      </c>
      <c r="D1752" s="22" t="str">
        <f>IFERROR(VLOOKUP(B1752,Colaboradores!A:D,3,),"")</f>
        <v>SAÚDE OCUPACIONAL</v>
      </c>
      <c r="E1752" s="22" t="str">
        <f>IFERROR(VLOOKUP(B1752,Colaboradores!A:D,4,),"")</f>
        <v>NUTRICIONISTA</v>
      </c>
      <c r="F1752" s="47" t="s">
        <v>87</v>
      </c>
      <c r="G1752" s="24" t="str">
        <f>IFERROR(VLOOKUP(F1752,Procedimentos!A:C,2,),"")</f>
        <v>PLANO ANUAL DE SEGURANÇA DO PACIENTE - NSP</v>
      </c>
      <c r="H1752" s="25"/>
      <c r="I1752" s="51"/>
      <c r="J1752" s="4"/>
      <c r="K1752" s="25" t="str">
        <f t="shared" si="68"/>
        <v/>
      </c>
      <c r="L1752" s="7"/>
      <c r="M1752" s="4"/>
      <c r="N1752" s="7"/>
      <c r="O1752" s="4"/>
      <c r="P1752" s="51"/>
      <c r="Q1752" s="51"/>
      <c r="R1752" s="51"/>
      <c r="S1752" s="7"/>
      <c r="T1752" s="7"/>
    </row>
    <row r="1753" spans="1:20" ht="14.25" customHeight="1">
      <c r="A1753" s="4"/>
      <c r="B1753" s="38">
        <v>14990</v>
      </c>
      <c r="C1753" s="22" t="str">
        <f>IFERROR(VLOOKUP(B1753,Colaboradores!A:D,2,),"")</f>
        <v>DAVID DE JESUS PEREIRA FONSECA</v>
      </c>
      <c r="D1753" s="22" t="str">
        <f>IFERROR(VLOOKUP(B1753,Colaboradores!A:D,3,),"")</f>
        <v>SAÚDE OCUPACIONAL</v>
      </c>
      <c r="E1753" s="22" t="str">
        <f>IFERROR(VLOOKUP(B1753,Colaboradores!A:D,4,),"")</f>
        <v>JOVEM APRENDIZ</v>
      </c>
      <c r="F1753" s="47" t="s">
        <v>87</v>
      </c>
      <c r="G1753" s="24" t="str">
        <f>IFERROR(VLOOKUP(F1753,Procedimentos!A:C,2,),"")</f>
        <v>PLANO ANUAL DE SEGURANÇA DO PACIENTE - NSP</v>
      </c>
      <c r="H1753" s="25"/>
      <c r="I1753" s="51"/>
      <c r="J1753" s="4"/>
      <c r="K1753" s="25" t="str">
        <f t="shared" si="68"/>
        <v/>
      </c>
      <c r="L1753" s="7"/>
      <c r="M1753" s="4"/>
      <c r="N1753" s="7"/>
      <c r="O1753" s="4"/>
      <c r="P1753" s="51"/>
      <c r="Q1753" s="51"/>
      <c r="R1753" s="51"/>
      <c r="S1753" s="7"/>
      <c r="T1753" s="7"/>
    </row>
    <row r="1754" spans="1:20" ht="14.25" customHeight="1">
      <c r="A1754" s="4"/>
      <c r="B1754" s="38">
        <v>9058</v>
      </c>
      <c r="C1754" s="22" t="str">
        <f>IFERROR(VLOOKUP(B1754,Colaboradores!A:D,2,),"")</f>
        <v>DENISE CRISTRINA CASTRO</v>
      </c>
      <c r="D1754" s="22" t="str">
        <f>IFERROR(VLOOKUP(B1754,Colaboradores!A:D,3,),"")</f>
        <v>SAÚDE OCUPACIONAL</v>
      </c>
      <c r="E1754" s="22" t="str">
        <f>IFERROR(VLOOKUP(B1754,Colaboradores!A:D,4,),"")</f>
        <v>ASSESSOR(A) DE SERVIÇO SOCIAL</v>
      </c>
      <c r="F1754" s="47" t="s">
        <v>87</v>
      </c>
      <c r="G1754" s="24" t="str">
        <f>IFERROR(VLOOKUP(F1754,Procedimentos!A:C,2,),"")</f>
        <v>PLANO ANUAL DE SEGURANÇA DO PACIENTE - NSP</v>
      </c>
      <c r="H1754" s="25"/>
      <c r="I1754" s="51"/>
      <c r="J1754" s="4"/>
      <c r="K1754" s="25" t="str">
        <f t="shared" si="68"/>
        <v/>
      </c>
      <c r="L1754" s="7"/>
      <c r="M1754" s="4"/>
      <c r="N1754" s="7"/>
      <c r="O1754" s="4"/>
      <c r="P1754" s="51"/>
      <c r="Q1754" s="51"/>
      <c r="R1754" s="51"/>
      <c r="S1754" s="7"/>
      <c r="T1754" s="7"/>
    </row>
    <row r="1755" spans="1:20" ht="14.25" customHeight="1">
      <c r="A1755" s="4"/>
      <c r="B1755" s="38">
        <v>8111</v>
      </c>
      <c r="C1755" s="22" t="str">
        <f>IFERROR(VLOOKUP(B1755,Colaboradores!A:D,2,),"")</f>
        <v>FABIANA SILVA COSTA</v>
      </c>
      <c r="D1755" s="22" t="str">
        <f>IFERROR(VLOOKUP(B1755,Colaboradores!A:D,3,),"")</f>
        <v>SAÚDE OCUPACIONAL</v>
      </c>
      <c r="E1755" s="22" t="str">
        <f>IFERROR(VLOOKUP(B1755,Colaboradores!A:D,4,),"")</f>
        <v>ASSESSOR(A) DE FISIOTERAPIA</v>
      </c>
      <c r="F1755" s="47" t="s">
        <v>87</v>
      </c>
      <c r="G1755" s="24" t="str">
        <f>IFERROR(VLOOKUP(F1755,Procedimentos!A:C,2,),"")</f>
        <v>PLANO ANUAL DE SEGURANÇA DO PACIENTE - NSP</v>
      </c>
      <c r="H1755" s="25"/>
      <c r="I1755" s="51"/>
      <c r="J1755" s="4"/>
      <c r="K1755" s="25" t="str">
        <f t="shared" si="68"/>
        <v/>
      </c>
      <c r="L1755" s="7"/>
      <c r="M1755" s="4"/>
      <c r="N1755" s="7"/>
      <c r="O1755" s="4"/>
      <c r="P1755" s="51"/>
      <c r="Q1755" s="51"/>
      <c r="R1755" s="51"/>
      <c r="S1755" s="7"/>
      <c r="T1755" s="7"/>
    </row>
    <row r="1756" spans="1:20" ht="14.25" customHeight="1">
      <c r="A1756" s="4"/>
      <c r="B1756" s="38">
        <v>14972</v>
      </c>
      <c r="C1756" s="22" t="str">
        <f>IFERROR(VLOOKUP(B1756,Colaboradores!A:D,2,),"")</f>
        <v>JUAN PABLO SOUSA FARIAS</v>
      </c>
      <c r="D1756" s="22" t="str">
        <f>IFERROR(VLOOKUP(B1756,Colaboradores!A:D,3,),"")</f>
        <v>SAÚDE OCUPACIONAL</v>
      </c>
      <c r="E1756" s="22" t="str">
        <f>IFERROR(VLOOKUP(B1756,Colaboradores!A:D,4,),"")</f>
        <v>JOVEM APRENDIZ</v>
      </c>
      <c r="F1756" s="47" t="s">
        <v>87</v>
      </c>
      <c r="G1756" s="24" t="str">
        <f>IFERROR(VLOOKUP(F1756,Procedimentos!A:C,2,),"")</f>
        <v>PLANO ANUAL DE SEGURANÇA DO PACIENTE - NSP</v>
      </c>
      <c r="H1756" s="25"/>
      <c r="I1756" s="51"/>
      <c r="J1756" s="4"/>
      <c r="K1756" s="25" t="str">
        <f t="shared" si="68"/>
        <v/>
      </c>
      <c r="L1756" s="7"/>
      <c r="M1756" s="4"/>
      <c r="N1756" s="7"/>
      <c r="O1756" s="4"/>
      <c r="P1756" s="51"/>
      <c r="Q1756" s="51"/>
      <c r="R1756" s="51"/>
      <c r="S1756" s="7"/>
      <c r="T1756" s="7"/>
    </row>
    <row r="1757" spans="1:20" ht="14.25" customHeight="1">
      <c r="A1757" s="4"/>
      <c r="B1757" s="38">
        <v>13594</v>
      </c>
      <c r="C1757" s="22" t="str">
        <f>IFERROR(VLOOKUP(B1757,Colaboradores!A:D,2,),"")</f>
        <v>MARCIO AUGUSTO SILVA MIRANDA</v>
      </c>
      <c r="D1757" s="22" t="str">
        <f>IFERROR(VLOOKUP(B1757,Colaboradores!A:D,3,),"")</f>
        <v>SAÚDE OCUPACIONAL</v>
      </c>
      <c r="E1757" s="22" t="str">
        <f>IFERROR(VLOOKUP(B1757,Colaboradores!A:D,4,),"")</f>
        <v>ASSESSOR (A) CLINICO</v>
      </c>
      <c r="F1757" s="47" t="s">
        <v>87</v>
      </c>
      <c r="G1757" s="24" t="str">
        <f>IFERROR(VLOOKUP(F1757,Procedimentos!A:C,2,),"")</f>
        <v>PLANO ANUAL DE SEGURANÇA DO PACIENTE - NSP</v>
      </c>
      <c r="H1757" s="25"/>
      <c r="I1757" s="51"/>
      <c r="J1757" s="4"/>
      <c r="K1757" s="25" t="str">
        <f t="shared" si="68"/>
        <v/>
      </c>
      <c r="L1757" s="7"/>
      <c r="M1757" s="4"/>
      <c r="N1757" s="7"/>
      <c r="O1757" s="4"/>
      <c r="P1757" s="51"/>
      <c r="Q1757" s="51"/>
      <c r="R1757" s="51"/>
      <c r="S1757" s="7"/>
      <c r="T1757" s="7"/>
    </row>
    <row r="1758" spans="1:20" ht="14.25" customHeight="1">
      <c r="A1758" s="4"/>
      <c r="B1758" s="38">
        <v>14499</v>
      </c>
      <c r="C1758" s="22" t="str">
        <f>IFERROR(VLOOKUP(B1758,Colaboradores!A:D,2,),"")</f>
        <v>SAMIRIS COSTA DA SILVA</v>
      </c>
      <c r="D1758" s="22" t="str">
        <f>IFERROR(VLOOKUP(B1758,Colaboradores!A:D,3,),"")</f>
        <v>SAÚDE OCUPACIONAL</v>
      </c>
      <c r="E1758" s="22" t="str">
        <f>IFERROR(VLOOKUP(B1758,Colaboradores!A:D,4,),"")</f>
        <v>PSICÓLOGA</v>
      </c>
      <c r="F1758" s="47" t="s">
        <v>87</v>
      </c>
      <c r="G1758" s="24" t="str">
        <f>IFERROR(VLOOKUP(F1758,Procedimentos!A:C,2,),"")</f>
        <v>PLANO ANUAL DE SEGURANÇA DO PACIENTE - NSP</v>
      </c>
      <c r="H1758" s="25"/>
      <c r="I1758" s="51"/>
      <c r="J1758" s="4"/>
      <c r="K1758" s="25" t="str">
        <f t="shared" si="68"/>
        <v/>
      </c>
      <c r="L1758" s="7"/>
      <c r="M1758" s="4"/>
      <c r="N1758" s="7"/>
      <c r="O1758" s="4"/>
      <c r="P1758" s="51"/>
      <c r="Q1758" s="51"/>
      <c r="R1758" s="51"/>
      <c r="S1758" s="7"/>
      <c r="T1758" s="7"/>
    </row>
    <row r="1759" spans="1:20" ht="14.25" customHeight="1">
      <c r="A1759" s="4"/>
      <c r="B1759" s="38">
        <v>12463</v>
      </c>
      <c r="C1759" s="22" t="str">
        <f>IFERROR(VLOOKUP(B1759,Colaboradores!A:D,2,),"")</f>
        <v>SAMMY RAYANA L. SANTOS</v>
      </c>
      <c r="D1759" s="22" t="str">
        <f>IFERROR(VLOOKUP(B1759,Colaboradores!A:D,3,),"")</f>
        <v>SAÚDE OCUPACIONAL</v>
      </c>
      <c r="E1759" s="22" t="str">
        <f>IFERROR(VLOOKUP(B1759,Colaboradores!A:D,4,),"")</f>
        <v>ASSESSOR(A) DE SERVIÇO SOCIAL</v>
      </c>
      <c r="F1759" s="47" t="s">
        <v>87</v>
      </c>
      <c r="G1759" s="24" t="str">
        <f>IFERROR(VLOOKUP(F1759,Procedimentos!A:C,2,),"")</f>
        <v>PLANO ANUAL DE SEGURANÇA DO PACIENTE - NSP</v>
      </c>
      <c r="H1759" s="25"/>
      <c r="I1759" s="51"/>
      <c r="J1759" s="4"/>
      <c r="K1759" s="25" t="str">
        <f t="shared" si="68"/>
        <v/>
      </c>
      <c r="L1759" s="7"/>
      <c r="M1759" s="4"/>
      <c r="N1759" s="7"/>
      <c r="O1759" s="4"/>
      <c r="P1759" s="51"/>
      <c r="Q1759" s="51"/>
      <c r="R1759" s="51"/>
      <c r="S1759" s="7"/>
      <c r="T1759" s="7"/>
    </row>
    <row r="1760" spans="1:20" ht="14.25" customHeight="1">
      <c r="A1760" s="4"/>
      <c r="B1760" s="38">
        <v>13100</v>
      </c>
      <c r="C1760" s="22" t="str">
        <f>IFERROR(VLOOKUP(B1760,Colaboradores!A:D,2,),"")</f>
        <v>TAYNAH SOARES DE SOUZA CAMARAO</v>
      </c>
      <c r="D1760" s="22" t="str">
        <f>IFERROR(VLOOKUP(B1760,Colaboradores!A:D,3,),"")</f>
        <v>SAÚDE OCUPACIONAL</v>
      </c>
      <c r="E1760" s="22" t="str">
        <f>IFERROR(VLOOKUP(B1760,Colaboradores!A:D,4,),"")</f>
        <v>MÉDICA</v>
      </c>
      <c r="F1760" s="47" t="s">
        <v>87</v>
      </c>
      <c r="G1760" s="24" t="str">
        <f>IFERROR(VLOOKUP(F1760,Procedimentos!A:C,2,),"")</f>
        <v>PLANO ANUAL DE SEGURANÇA DO PACIENTE - NSP</v>
      </c>
      <c r="H1760" s="25"/>
      <c r="I1760" s="51"/>
      <c r="J1760" s="4"/>
      <c r="K1760" s="25" t="str">
        <f t="shared" si="68"/>
        <v/>
      </c>
      <c r="L1760" s="7"/>
      <c r="M1760" s="4"/>
      <c r="N1760" s="7"/>
      <c r="O1760" s="4"/>
      <c r="P1760" s="51"/>
      <c r="Q1760" s="51"/>
      <c r="R1760" s="51"/>
      <c r="S1760" s="7"/>
      <c r="T1760" s="7"/>
    </row>
    <row r="1761" spans="1:20" ht="14.25" customHeight="1">
      <c r="A1761" s="4"/>
      <c r="B1761" s="38">
        <v>14962</v>
      </c>
      <c r="C1761" s="22" t="str">
        <f>IFERROR(VLOOKUP(B1761,Colaboradores!A:D,2,),"")</f>
        <v>YASMIN KARINE DE OLIVEIRA SOARES</v>
      </c>
      <c r="D1761" s="22" t="str">
        <f>IFERROR(VLOOKUP(B1761,Colaboradores!A:D,3,),"")</f>
        <v>SAÚDE OCUPACIONAL</v>
      </c>
      <c r="E1761" s="22" t="str">
        <f>IFERROR(VLOOKUP(B1761,Colaboradores!A:D,4,),"")</f>
        <v>JOVEM APRENDIZ</v>
      </c>
      <c r="F1761" s="47" t="s">
        <v>87</v>
      </c>
      <c r="G1761" s="24" t="str">
        <f>IFERROR(VLOOKUP(F1761,Procedimentos!A:C,2,),"")</f>
        <v>PLANO ANUAL DE SEGURANÇA DO PACIENTE - NSP</v>
      </c>
      <c r="H1761" s="25"/>
      <c r="I1761" s="51"/>
      <c r="J1761" s="4"/>
      <c r="K1761" s="25" t="str">
        <f t="shared" si="68"/>
        <v/>
      </c>
      <c r="L1761" s="7"/>
      <c r="M1761" s="4"/>
      <c r="N1761" s="7"/>
      <c r="O1761" s="4"/>
      <c r="P1761" s="51"/>
      <c r="Q1761" s="51"/>
      <c r="R1761" s="51"/>
      <c r="S1761" s="7"/>
      <c r="T1761" s="7"/>
    </row>
    <row r="1762" spans="1:20" ht="14.25" customHeight="1">
      <c r="A1762" s="4"/>
      <c r="B1762" s="38">
        <v>24306</v>
      </c>
      <c r="C1762" s="22" t="str">
        <f>IFERROR(VLOOKUP(B1762,Colaboradores!A:D,2,),"")</f>
        <v>ANNA MARIA ARAUJO PIORSKI</v>
      </c>
      <c r="D1762" s="22" t="str">
        <f>IFERROR(VLOOKUP(B1762,Colaboradores!A:D,3,),"")</f>
        <v>SAÚDE OCUPACIONAL</v>
      </c>
      <c r="E1762" s="22" t="str">
        <f>IFERROR(VLOOKUP(B1762,Colaboradores!A:D,4,),"")</f>
        <v>ASSESSOR(A) DE NUTRIÇÃO</v>
      </c>
      <c r="F1762" s="47" t="s">
        <v>88</v>
      </c>
      <c r="G1762" s="24" t="str">
        <f>IFERROR(VLOOKUP(F1762,Procedimentos!A:C,2,),"")</f>
        <v>PLANO ANUAL COMISSÃO BIOSSEGURANÇA</v>
      </c>
      <c r="H1762" s="25"/>
      <c r="I1762" s="51"/>
      <c r="J1762" s="4"/>
      <c r="K1762" s="25" t="str">
        <f t="shared" si="68"/>
        <v/>
      </c>
      <c r="L1762" s="7"/>
      <c r="M1762" s="4"/>
      <c r="N1762" s="7"/>
      <c r="O1762" s="4"/>
      <c r="P1762" s="51"/>
      <c r="Q1762" s="51"/>
      <c r="R1762" s="51"/>
      <c r="S1762" s="7"/>
      <c r="T1762" s="7"/>
    </row>
    <row r="1763" spans="1:20" ht="14.25" customHeight="1">
      <c r="A1763" s="4"/>
      <c r="B1763" s="38">
        <v>12330</v>
      </c>
      <c r="C1763" s="22" t="str">
        <f>IFERROR(VLOOKUP(B1763,Colaboradores!A:D,2,),"")</f>
        <v>BIANCA GUEDES SILVA ALMEIDA</v>
      </c>
      <c r="D1763" s="22" t="str">
        <f>IFERROR(VLOOKUP(B1763,Colaboradores!A:D,3,),"")</f>
        <v>SAÚDE OCUPACIONAL</v>
      </c>
      <c r="E1763" s="22" t="str">
        <f>IFERROR(VLOOKUP(B1763,Colaboradores!A:D,4,),"")</f>
        <v>NUTRICIONISTA</v>
      </c>
      <c r="F1763" s="47" t="s">
        <v>88</v>
      </c>
      <c r="G1763" s="24" t="str">
        <f>IFERROR(VLOOKUP(F1763,Procedimentos!A:C,2,),"")</f>
        <v>PLANO ANUAL COMISSÃO BIOSSEGURANÇA</v>
      </c>
      <c r="H1763" s="25"/>
      <c r="I1763" s="51"/>
      <c r="J1763" s="4"/>
      <c r="K1763" s="25" t="str">
        <f t="shared" si="68"/>
        <v/>
      </c>
      <c r="L1763" s="7"/>
      <c r="M1763" s="4"/>
      <c r="N1763" s="7"/>
      <c r="O1763" s="4"/>
      <c r="P1763" s="51"/>
      <c r="Q1763" s="51"/>
      <c r="R1763" s="51"/>
      <c r="S1763" s="7"/>
      <c r="T1763" s="7"/>
    </row>
    <row r="1764" spans="1:20" ht="14.25" customHeight="1">
      <c r="A1764" s="4"/>
      <c r="B1764" s="38">
        <v>14990</v>
      </c>
      <c r="C1764" s="22" t="str">
        <f>IFERROR(VLOOKUP(B1764,Colaboradores!A:D,2,),"")</f>
        <v>DAVID DE JESUS PEREIRA FONSECA</v>
      </c>
      <c r="D1764" s="22" t="str">
        <f>IFERROR(VLOOKUP(B1764,Colaboradores!A:D,3,),"")</f>
        <v>SAÚDE OCUPACIONAL</v>
      </c>
      <c r="E1764" s="22" t="str">
        <f>IFERROR(VLOOKUP(B1764,Colaboradores!A:D,4,),"")</f>
        <v>JOVEM APRENDIZ</v>
      </c>
      <c r="F1764" s="47" t="s">
        <v>88</v>
      </c>
      <c r="G1764" s="24" t="str">
        <f>IFERROR(VLOOKUP(F1764,Procedimentos!A:C,2,),"")</f>
        <v>PLANO ANUAL COMISSÃO BIOSSEGURANÇA</v>
      </c>
      <c r="H1764" s="25"/>
      <c r="I1764" s="51"/>
      <c r="J1764" s="4"/>
      <c r="K1764" s="25" t="str">
        <f t="shared" si="68"/>
        <v/>
      </c>
      <c r="L1764" s="7"/>
      <c r="M1764" s="4"/>
      <c r="N1764" s="7"/>
      <c r="O1764" s="4"/>
      <c r="P1764" s="51"/>
      <c r="Q1764" s="51"/>
      <c r="R1764" s="51"/>
      <c r="S1764" s="7"/>
      <c r="T1764" s="7"/>
    </row>
    <row r="1765" spans="1:20" ht="14.25" customHeight="1">
      <c r="A1765" s="4"/>
      <c r="B1765" s="38">
        <v>9058</v>
      </c>
      <c r="C1765" s="22" t="str">
        <f>IFERROR(VLOOKUP(B1765,Colaboradores!A:D,2,),"")</f>
        <v>DENISE CRISTRINA CASTRO</v>
      </c>
      <c r="D1765" s="22" t="str">
        <f>IFERROR(VLOOKUP(B1765,Colaboradores!A:D,3,),"")</f>
        <v>SAÚDE OCUPACIONAL</v>
      </c>
      <c r="E1765" s="22" t="str">
        <f>IFERROR(VLOOKUP(B1765,Colaboradores!A:D,4,),"")</f>
        <v>ASSESSOR(A) DE SERVIÇO SOCIAL</v>
      </c>
      <c r="F1765" s="47" t="s">
        <v>88</v>
      </c>
      <c r="G1765" s="24" t="str">
        <f>IFERROR(VLOOKUP(F1765,Procedimentos!A:C,2,),"")</f>
        <v>PLANO ANUAL COMISSÃO BIOSSEGURANÇA</v>
      </c>
      <c r="H1765" s="25"/>
      <c r="I1765" s="51"/>
      <c r="J1765" s="4"/>
      <c r="K1765" s="25" t="str">
        <f t="shared" si="68"/>
        <v/>
      </c>
      <c r="L1765" s="7"/>
      <c r="M1765" s="4"/>
      <c r="N1765" s="7"/>
      <c r="O1765" s="4"/>
      <c r="P1765" s="51"/>
      <c r="Q1765" s="51"/>
      <c r="R1765" s="51"/>
      <c r="S1765" s="7"/>
      <c r="T1765" s="7"/>
    </row>
    <row r="1766" spans="1:20" ht="14.25" customHeight="1">
      <c r="A1766" s="4"/>
      <c r="B1766" s="38">
        <v>8111</v>
      </c>
      <c r="C1766" s="22" t="str">
        <f>IFERROR(VLOOKUP(B1766,Colaboradores!A:D,2,),"")</f>
        <v>FABIANA SILVA COSTA</v>
      </c>
      <c r="D1766" s="22" t="str">
        <f>IFERROR(VLOOKUP(B1766,Colaboradores!A:D,3,),"")</f>
        <v>SAÚDE OCUPACIONAL</v>
      </c>
      <c r="E1766" s="22" t="str">
        <f>IFERROR(VLOOKUP(B1766,Colaboradores!A:D,4,),"")</f>
        <v>ASSESSOR(A) DE FISIOTERAPIA</v>
      </c>
      <c r="F1766" s="47" t="s">
        <v>88</v>
      </c>
      <c r="G1766" s="24" t="str">
        <f>IFERROR(VLOOKUP(F1766,Procedimentos!A:C,2,),"")</f>
        <v>PLANO ANUAL COMISSÃO BIOSSEGURANÇA</v>
      </c>
      <c r="H1766" s="25"/>
      <c r="I1766" s="51"/>
      <c r="J1766" s="4"/>
      <c r="K1766" s="25" t="str">
        <f t="shared" si="68"/>
        <v/>
      </c>
      <c r="L1766" s="7"/>
      <c r="M1766" s="4"/>
      <c r="N1766" s="7"/>
      <c r="O1766" s="4"/>
      <c r="P1766" s="51"/>
      <c r="Q1766" s="51"/>
      <c r="R1766" s="51"/>
      <c r="S1766" s="7"/>
      <c r="T1766" s="7"/>
    </row>
    <row r="1767" spans="1:20" ht="14.25" customHeight="1">
      <c r="A1767" s="4"/>
      <c r="B1767" s="38">
        <v>14972</v>
      </c>
      <c r="C1767" s="22" t="str">
        <f>IFERROR(VLOOKUP(B1767,Colaboradores!A:D,2,),"")</f>
        <v>JUAN PABLO SOUSA FARIAS</v>
      </c>
      <c r="D1767" s="22" t="str">
        <f>IFERROR(VLOOKUP(B1767,Colaboradores!A:D,3,),"")</f>
        <v>SAÚDE OCUPACIONAL</v>
      </c>
      <c r="E1767" s="22" t="str">
        <f>IFERROR(VLOOKUP(B1767,Colaboradores!A:D,4,),"")</f>
        <v>JOVEM APRENDIZ</v>
      </c>
      <c r="F1767" s="47" t="s">
        <v>88</v>
      </c>
      <c r="G1767" s="24" t="str">
        <f>IFERROR(VLOOKUP(F1767,Procedimentos!A:C,2,),"")</f>
        <v>PLANO ANUAL COMISSÃO BIOSSEGURANÇA</v>
      </c>
      <c r="H1767" s="25"/>
      <c r="I1767" s="51"/>
      <c r="J1767" s="4"/>
      <c r="K1767" s="25" t="str">
        <f t="shared" si="68"/>
        <v/>
      </c>
      <c r="L1767" s="7"/>
      <c r="M1767" s="4"/>
      <c r="N1767" s="7"/>
      <c r="O1767" s="4"/>
      <c r="P1767" s="51"/>
      <c r="Q1767" s="51"/>
      <c r="R1767" s="51"/>
      <c r="S1767" s="7"/>
      <c r="T1767" s="7"/>
    </row>
    <row r="1768" spans="1:20" ht="14.25" customHeight="1">
      <c r="A1768" s="4"/>
      <c r="B1768" s="38">
        <v>13594</v>
      </c>
      <c r="C1768" s="22" t="str">
        <f>IFERROR(VLOOKUP(B1768,Colaboradores!A:D,2,),"")</f>
        <v>MARCIO AUGUSTO SILVA MIRANDA</v>
      </c>
      <c r="D1768" s="22" t="str">
        <f>IFERROR(VLOOKUP(B1768,Colaboradores!A:D,3,),"")</f>
        <v>SAÚDE OCUPACIONAL</v>
      </c>
      <c r="E1768" s="22" t="str">
        <f>IFERROR(VLOOKUP(B1768,Colaboradores!A:D,4,),"")</f>
        <v>ASSESSOR (A) CLINICO</v>
      </c>
      <c r="F1768" s="47" t="s">
        <v>88</v>
      </c>
      <c r="G1768" s="24" t="str">
        <f>IFERROR(VLOOKUP(F1768,Procedimentos!A:C,2,),"")</f>
        <v>PLANO ANUAL COMISSÃO BIOSSEGURANÇA</v>
      </c>
      <c r="H1768" s="25"/>
      <c r="I1768" s="51"/>
      <c r="J1768" s="4"/>
      <c r="K1768" s="25" t="str">
        <f t="shared" si="68"/>
        <v/>
      </c>
      <c r="L1768" s="7"/>
      <c r="M1768" s="4"/>
      <c r="N1768" s="7"/>
      <c r="O1768" s="4"/>
      <c r="P1768" s="51"/>
      <c r="Q1768" s="51"/>
      <c r="R1768" s="51"/>
      <c r="S1768" s="7"/>
      <c r="T1768" s="7"/>
    </row>
    <row r="1769" spans="1:20" ht="14.25" customHeight="1">
      <c r="A1769" s="4"/>
      <c r="B1769" s="38">
        <v>14499</v>
      </c>
      <c r="C1769" s="22" t="str">
        <f>IFERROR(VLOOKUP(B1769,Colaboradores!A:D,2,),"")</f>
        <v>SAMIRIS COSTA DA SILVA</v>
      </c>
      <c r="D1769" s="22" t="str">
        <f>IFERROR(VLOOKUP(B1769,Colaboradores!A:D,3,),"")</f>
        <v>SAÚDE OCUPACIONAL</v>
      </c>
      <c r="E1769" s="22" t="str">
        <f>IFERROR(VLOOKUP(B1769,Colaboradores!A:D,4,),"")</f>
        <v>PSICÓLOGA</v>
      </c>
      <c r="F1769" s="47" t="s">
        <v>88</v>
      </c>
      <c r="G1769" s="24" t="str">
        <f>IFERROR(VLOOKUP(F1769,Procedimentos!A:C,2,),"")</f>
        <v>PLANO ANUAL COMISSÃO BIOSSEGURANÇA</v>
      </c>
      <c r="H1769" s="25"/>
      <c r="I1769" s="51"/>
      <c r="J1769" s="4"/>
      <c r="K1769" s="25" t="str">
        <f t="shared" si="68"/>
        <v/>
      </c>
      <c r="L1769" s="7"/>
      <c r="M1769" s="4"/>
      <c r="N1769" s="7"/>
      <c r="O1769" s="4"/>
      <c r="P1769" s="51"/>
      <c r="Q1769" s="51"/>
      <c r="R1769" s="51"/>
      <c r="S1769" s="7"/>
      <c r="T1769" s="7"/>
    </row>
    <row r="1770" spans="1:20" ht="14.25" customHeight="1">
      <c r="A1770" s="4"/>
      <c r="B1770" s="38">
        <v>12463</v>
      </c>
      <c r="C1770" s="22" t="str">
        <f>IFERROR(VLOOKUP(B1770,Colaboradores!A:D,2,),"")</f>
        <v>SAMMY RAYANA L. SANTOS</v>
      </c>
      <c r="D1770" s="22" t="str">
        <f>IFERROR(VLOOKUP(B1770,Colaboradores!A:D,3,),"")</f>
        <v>SAÚDE OCUPACIONAL</v>
      </c>
      <c r="E1770" s="22" t="str">
        <f>IFERROR(VLOOKUP(B1770,Colaboradores!A:D,4,),"")</f>
        <v>ASSESSOR(A) DE SERVIÇO SOCIAL</v>
      </c>
      <c r="F1770" s="47" t="s">
        <v>88</v>
      </c>
      <c r="G1770" s="24" t="str">
        <f>IFERROR(VLOOKUP(F1770,Procedimentos!A:C,2,),"")</f>
        <v>PLANO ANUAL COMISSÃO BIOSSEGURANÇA</v>
      </c>
      <c r="H1770" s="25"/>
      <c r="I1770" s="51"/>
      <c r="J1770" s="4"/>
      <c r="K1770" s="25" t="str">
        <f t="shared" si="68"/>
        <v/>
      </c>
      <c r="L1770" s="7"/>
      <c r="M1770" s="4"/>
      <c r="N1770" s="7"/>
      <c r="O1770" s="4"/>
      <c r="P1770" s="51"/>
      <c r="Q1770" s="51"/>
      <c r="R1770" s="51"/>
      <c r="S1770" s="7"/>
      <c r="T1770" s="7"/>
    </row>
    <row r="1771" spans="1:20" ht="14.25" customHeight="1">
      <c r="A1771" s="4"/>
      <c r="B1771" s="38">
        <v>13100</v>
      </c>
      <c r="C1771" s="22" t="str">
        <f>IFERROR(VLOOKUP(B1771,Colaboradores!A:D,2,),"")</f>
        <v>TAYNAH SOARES DE SOUZA CAMARAO</v>
      </c>
      <c r="D1771" s="22" t="str">
        <f>IFERROR(VLOOKUP(B1771,Colaboradores!A:D,3,),"")</f>
        <v>SAÚDE OCUPACIONAL</v>
      </c>
      <c r="E1771" s="22" t="str">
        <f>IFERROR(VLOOKUP(B1771,Colaboradores!A:D,4,),"")</f>
        <v>MÉDICA</v>
      </c>
      <c r="F1771" s="47" t="s">
        <v>88</v>
      </c>
      <c r="G1771" s="24" t="str">
        <f>IFERROR(VLOOKUP(F1771,Procedimentos!A:C,2,),"")</f>
        <v>PLANO ANUAL COMISSÃO BIOSSEGURANÇA</v>
      </c>
      <c r="H1771" s="25"/>
      <c r="I1771" s="51"/>
      <c r="J1771" s="4"/>
      <c r="K1771" s="25" t="str">
        <f t="shared" si="68"/>
        <v/>
      </c>
      <c r="L1771" s="7"/>
      <c r="M1771" s="4"/>
      <c r="N1771" s="7"/>
      <c r="O1771" s="4"/>
      <c r="P1771" s="51"/>
      <c r="Q1771" s="51"/>
      <c r="R1771" s="51"/>
      <c r="S1771" s="7"/>
      <c r="T1771" s="7"/>
    </row>
    <row r="1772" spans="1:20" ht="14.25" customHeight="1">
      <c r="A1772" s="4"/>
      <c r="B1772" s="38">
        <v>14962</v>
      </c>
      <c r="C1772" s="22" t="str">
        <f>IFERROR(VLOOKUP(B1772,Colaboradores!A:D,2,),"")</f>
        <v>YASMIN KARINE DE OLIVEIRA SOARES</v>
      </c>
      <c r="D1772" s="22" t="str">
        <f>IFERROR(VLOOKUP(B1772,Colaboradores!A:D,3,),"")</f>
        <v>SAÚDE OCUPACIONAL</v>
      </c>
      <c r="E1772" s="22" t="str">
        <f>IFERROR(VLOOKUP(B1772,Colaboradores!A:D,4,),"")</f>
        <v>JOVEM APRENDIZ</v>
      </c>
      <c r="F1772" s="47" t="s">
        <v>88</v>
      </c>
      <c r="G1772" s="24" t="str">
        <f>IFERROR(VLOOKUP(F1772,Procedimentos!A:C,2,),"")</f>
        <v>PLANO ANUAL COMISSÃO BIOSSEGURANÇA</v>
      </c>
      <c r="H1772" s="25"/>
      <c r="I1772" s="51"/>
      <c r="J1772" s="4"/>
      <c r="K1772" s="25" t="str">
        <f t="shared" si="68"/>
        <v/>
      </c>
      <c r="L1772" s="7"/>
      <c r="M1772" s="4"/>
      <c r="N1772" s="7"/>
      <c r="O1772" s="4"/>
      <c r="P1772" s="51"/>
      <c r="Q1772" s="51"/>
      <c r="R1772" s="51"/>
      <c r="S1772" s="7"/>
      <c r="T1772" s="7"/>
    </row>
    <row r="1773" spans="1:20" ht="14.25" customHeight="1">
      <c r="A1773" s="4"/>
      <c r="B1773" s="38">
        <v>24306</v>
      </c>
      <c r="C1773" s="22" t="str">
        <f>IFERROR(VLOOKUP(B1773,Colaboradores!A:D,2,),"")</f>
        <v>ANNA MARIA ARAUJO PIORSKI</v>
      </c>
      <c r="D1773" s="22" t="str">
        <f>IFERROR(VLOOKUP(B1773,Colaboradores!A:D,3,),"")</f>
        <v>SAÚDE OCUPACIONAL</v>
      </c>
      <c r="E1773" s="22" t="str">
        <f>IFERROR(VLOOKUP(B1773,Colaboradores!A:D,4,),"")</f>
        <v>ASSESSOR(A) DE NUTRIÇÃO</v>
      </c>
      <c r="F1773" s="47" t="s">
        <v>89</v>
      </c>
      <c r="G1773" s="24" t="str">
        <f>IFERROR(VLOOKUP(F1773,Procedimentos!A:C,2,),"")</f>
        <v>PLANO ANUAL DA COMISSÃO DE REVISÃO DE PRONTUÁRIO</v>
      </c>
      <c r="H1773" s="25"/>
      <c r="I1773" s="51"/>
      <c r="J1773" s="4"/>
      <c r="K1773" s="25" t="str">
        <f t="shared" si="68"/>
        <v/>
      </c>
      <c r="L1773" s="7"/>
      <c r="M1773" s="4"/>
      <c r="N1773" s="7"/>
      <c r="O1773" s="4"/>
      <c r="P1773" s="51"/>
      <c r="Q1773" s="51"/>
      <c r="R1773" s="51"/>
      <c r="S1773" s="7"/>
      <c r="T1773" s="7"/>
    </row>
    <row r="1774" spans="1:20" ht="14.25" customHeight="1">
      <c r="A1774" s="4"/>
      <c r="B1774" s="38">
        <v>12330</v>
      </c>
      <c r="C1774" s="22" t="str">
        <f>IFERROR(VLOOKUP(B1774,Colaboradores!A:D,2,),"")</f>
        <v>BIANCA GUEDES SILVA ALMEIDA</v>
      </c>
      <c r="D1774" s="22" t="str">
        <f>IFERROR(VLOOKUP(B1774,Colaboradores!A:D,3,),"")</f>
        <v>SAÚDE OCUPACIONAL</v>
      </c>
      <c r="E1774" s="22" t="str">
        <f>IFERROR(VLOOKUP(B1774,Colaboradores!A:D,4,),"")</f>
        <v>NUTRICIONISTA</v>
      </c>
      <c r="F1774" s="47" t="s">
        <v>89</v>
      </c>
      <c r="G1774" s="24" t="str">
        <f>IFERROR(VLOOKUP(F1774,Procedimentos!A:C,2,),"")</f>
        <v>PLANO ANUAL DA COMISSÃO DE REVISÃO DE PRONTUÁRIO</v>
      </c>
      <c r="H1774" s="25"/>
      <c r="I1774" s="51"/>
      <c r="J1774" s="4"/>
      <c r="K1774" s="25" t="str">
        <f t="shared" si="68"/>
        <v/>
      </c>
      <c r="L1774" s="7"/>
      <c r="M1774" s="4"/>
      <c r="N1774" s="7"/>
      <c r="O1774" s="4"/>
      <c r="P1774" s="51"/>
      <c r="Q1774" s="51"/>
      <c r="R1774" s="51"/>
      <c r="S1774" s="7"/>
      <c r="T1774" s="7"/>
    </row>
    <row r="1775" spans="1:20" ht="14.25" customHeight="1">
      <c r="A1775" s="4"/>
      <c r="B1775" s="38">
        <v>14990</v>
      </c>
      <c r="C1775" s="22" t="str">
        <f>IFERROR(VLOOKUP(B1775,Colaboradores!A:D,2,),"")</f>
        <v>DAVID DE JESUS PEREIRA FONSECA</v>
      </c>
      <c r="D1775" s="22" t="str">
        <f>IFERROR(VLOOKUP(B1775,Colaboradores!A:D,3,),"")</f>
        <v>SAÚDE OCUPACIONAL</v>
      </c>
      <c r="E1775" s="22" t="str">
        <f>IFERROR(VLOOKUP(B1775,Colaboradores!A:D,4,),"")</f>
        <v>JOVEM APRENDIZ</v>
      </c>
      <c r="F1775" s="47" t="s">
        <v>89</v>
      </c>
      <c r="G1775" s="24" t="str">
        <f>IFERROR(VLOOKUP(F1775,Procedimentos!A:C,2,),"")</f>
        <v>PLANO ANUAL DA COMISSÃO DE REVISÃO DE PRONTUÁRIO</v>
      </c>
      <c r="H1775" s="25"/>
      <c r="I1775" s="51"/>
      <c r="J1775" s="4"/>
      <c r="K1775" s="25" t="str">
        <f t="shared" si="68"/>
        <v/>
      </c>
      <c r="L1775" s="7"/>
      <c r="M1775" s="4"/>
      <c r="N1775" s="7"/>
      <c r="O1775" s="4"/>
      <c r="P1775" s="51"/>
      <c r="Q1775" s="51"/>
      <c r="R1775" s="51"/>
      <c r="S1775" s="7"/>
      <c r="T1775" s="7"/>
    </row>
    <row r="1776" spans="1:20" ht="14.25" customHeight="1">
      <c r="A1776" s="4"/>
      <c r="B1776" s="38">
        <v>9058</v>
      </c>
      <c r="C1776" s="22" t="str">
        <f>IFERROR(VLOOKUP(B1776,Colaboradores!A:D,2,),"")</f>
        <v>DENISE CRISTRINA CASTRO</v>
      </c>
      <c r="D1776" s="22" t="str">
        <f>IFERROR(VLOOKUP(B1776,Colaboradores!A:D,3,),"")</f>
        <v>SAÚDE OCUPACIONAL</v>
      </c>
      <c r="E1776" s="22" t="str">
        <f>IFERROR(VLOOKUP(B1776,Colaboradores!A:D,4,),"")</f>
        <v>ASSESSOR(A) DE SERVIÇO SOCIAL</v>
      </c>
      <c r="F1776" s="47" t="s">
        <v>89</v>
      </c>
      <c r="G1776" s="24" t="str">
        <f>IFERROR(VLOOKUP(F1776,Procedimentos!A:C,2,),"")</f>
        <v>PLANO ANUAL DA COMISSÃO DE REVISÃO DE PRONTUÁRIO</v>
      </c>
      <c r="H1776" s="25"/>
      <c r="I1776" s="51"/>
      <c r="J1776" s="4"/>
      <c r="K1776" s="25" t="str">
        <f t="shared" si="68"/>
        <v/>
      </c>
      <c r="L1776" s="7"/>
      <c r="M1776" s="4"/>
      <c r="N1776" s="7"/>
      <c r="O1776" s="4"/>
      <c r="P1776" s="51"/>
      <c r="Q1776" s="51"/>
      <c r="R1776" s="51"/>
      <c r="S1776" s="7"/>
      <c r="T1776" s="7"/>
    </row>
    <row r="1777" spans="1:20" ht="14.25" customHeight="1">
      <c r="A1777" s="4"/>
      <c r="B1777" s="38">
        <v>8111</v>
      </c>
      <c r="C1777" s="22" t="str">
        <f>IFERROR(VLOOKUP(B1777,Colaboradores!A:D,2,),"")</f>
        <v>FABIANA SILVA COSTA</v>
      </c>
      <c r="D1777" s="22" t="str">
        <f>IFERROR(VLOOKUP(B1777,Colaboradores!A:D,3,),"")</f>
        <v>SAÚDE OCUPACIONAL</v>
      </c>
      <c r="E1777" s="22" t="str">
        <f>IFERROR(VLOOKUP(B1777,Colaboradores!A:D,4,),"")</f>
        <v>ASSESSOR(A) DE FISIOTERAPIA</v>
      </c>
      <c r="F1777" s="47" t="s">
        <v>89</v>
      </c>
      <c r="G1777" s="24" t="str">
        <f>IFERROR(VLOOKUP(F1777,Procedimentos!A:C,2,),"")</f>
        <v>PLANO ANUAL DA COMISSÃO DE REVISÃO DE PRONTUÁRIO</v>
      </c>
      <c r="H1777" s="25"/>
      <c r="I1777" s="51"/>
      <c r="J1777" s="4"/>
      <c r="K1777" s="25" t="str">
        <f t="shared" si="68"/>
        <v/>
      </c>
      <c r="L1777" s="7"/>
      <c r="M1777" s="4"/>
      <c r="N1777" s="7"/>
      <c r="O1777" s="4"/>
      <c r="P1777" s="51"/>
      <c r="Q1777" s="51"/>
      <c r="R1777" s="51"/>
      <c r="S1777" s="7"/>
      <c r="T1777" s="7"/>
    </row>
    <row r="1778" spans="1:20" ht="14.25" customHeight="1">
      <c r="A1778" s="4"/>
      <c r="B1778" s="38">
        <v>14972</v>
      </c>
      <c r="C1778" s="22" t="str">
        <f>IFERROR(VLOOKUP(B1778,Colaboradores!A:D,2,),"")</f>
        <v>JUAN PABLO SOUSA FARIAS</v>
      </c>
      <c r="D1778" s="22" t="str">
        <f>IFERROR(VLOOKUP(B1778,Colaboradores!A:D,3,),"")</f>
        <v>SAÚDE OCUPACIONAL</v>
      </c>
      <c r="E1778" s="22" t="str">
        <f>IFERROR(VLOOKUP(B1778,Colaboradores!A:D,4,),"")</f>
        <v>JOVEM APRENDIZ</v>
      </c>
      <c r="F1778" s="47" t="s">
        <v>89</v>
      </c>
      <c r="G1778" s="24" t="str">
        <f>IFERROR(VLOOKUP(F1778,Procedimentos!A:C,2,),"")</f>
        <v>PLANO ANUAL DA COMISSÃO DE REVISÃO DE PRONTUÁRIO</v>
      </c>
      <c r="H1778" s="25"/>
      <c r="I1778" s="51"/>
      <c r="J1778" s="4"/>
      <c r="K1778" s="25" t="str">
        <f t="shared" si="68"/>
        <v/>
      </c>
      <c r="L1778" s="7"/>
      <c r="M1778" s="4"/>
      <c r="N1778" s="7"/>
      <c r="O1778" s="4"/>
      <c r="P1778" s="51"/>
      <c r="Q1778" s="51"/>
      <c r="R1778" s="51"/>
      <c r="S1778" s="7"/>
      <c r="T1778" s="7"/>
    </row>
    <row r="1779" spans="1:20" ht="14.25" customHeight="1">
      <c r="A1779" s="4"/>
      <c r="B1779" s="38">
        <v>13594</v>
      </c>
      <c r="C1779" s="22" t="str">
        <f>IFERROR(VLOOKUP(B1779,Colaboradores!A:D,2,),"")</f>
        <v>MARCIO AUGUSTO SILVA MIRANDA</v>
      </c>
      <c r="D1779" s="22" t="str">
        <f>IFERROR(VLOOKUP(B1779,Colaboradores!A:D,3,),"")</f>
        <v>SAÚDE OCUPACIONAL</v>
      </c>
      <c r="E1779" s="22" t="str">
        <f>IFERROR(VLOOKUP(B1779,Colaboradores!A:D,4,),"")</f>
        <v>ASSESSOR (A) CLINICO</v>
      </c>
      <c r="F1779" s="47" t="s">
        <v>89</v>
      </c>
      <c r="G1779" s="24" t="str">
        <f>IFERROR(VLOOKUP(F1779,Procedimentos!A:C,2,),"")</f>
        <v>PLANO ANUAL DA COMISSÃO DE REVISÃO DE PRONTUÁRIO</v>
      </c>
      <c r="H1779" s="25"/>
      <c r="I1779" s="51"/>
      <c r="J1779" s="4"/>
      <c r="K1779" s="25" t="str">
        <f t="shared" si="68"/>
        <v/>
      </c>
      <c r="L1779" s="7"/>
      <c r="M1779" s="4"/>
      <c r="N1779" s="7"/>
      <c r="O1779" s="4"/>
      <c r="P1779" s="51"/>
      <c r="Q1779" s="51"/>
      <c r="R1779" s="51"/>
      <c r="S1779" s="7"/>
      <c r="T1779" s="7"/>
    </row>
    <row r="1780" spans="1:20" ht="14.25" customHeight="1">
      <c r="A1780" s="4"/>
      <c r="B1780" s="38">
        <v>14499</v>
      </c>
      <c r="C1780" s="22" t="str">
        <f>IFERROR(VLOOKUP(B1780,Colaboradores!A:D,2,),"")</f>
        <v>SAMIRIS COSTA DA SILVA</v>
      </c>
      <c r="D1780" s="22" t="str">
        <f>IFERROR(VLOOKUP(B1780,Colaboradores!A:D,3,),"")</f>
        <v>SAÚDE OCUPACIONAL</v>
      </c>
      <c r="E1780" s="22" t="str">
        <f>IFERROR(VLOOKUP(B1780,Colaboradores!A:D,4,),"")</f>
        <v>PSICÓLOGA</v>
      </c>
      <c r="F1780" s="47" t="s">
        <v>89</v>
      </c>
      <c r="G1780" s="24" t="str">
        <f>IFERROR(VLOOKUP(F1780,Procedimentos!A:C,2,),"")</f>
        <v>PLANO ANUAL DA COMISSÃO DE REVISÃO DE PRONTUÁRIO</v>
      </c>
      <c r="H1780" s="25"/>
      <c r="I1780" s="51"/>
      <c r="J1780" s="4"/>
      <c r="K1780" s="25" t="str">
        <f t="shared" si="68"/>
        <v/>
      </c>
      <c r="L1780" s="7"/>
      <c r="M1780" s="4"/>
      <c r="N1780" s="7"/>
      <c r="O1780" s="4"/>
      <c r="P1780" s="51"/>
      <c r="Q1780" s="51"/>
      <c r="R1780" s="51"/>
      <c r="S1780" s="7"/>
      <c r="T1780" s="7"/>
    </row>
    <row r="1781" spans="1:20" ht="14.25" customHeight="1">
      <c r="A1781" s="4"/>
      <c r="B1781" s="38">
        <v>12463</v>
      </c>
      <c r="C1781" s="22" t="str">
        <f>IFERROR(VLOOKUP(B1781,Colaboradores!A:D,2,),"")</f>
        <v>SAMMY RAYANA L. SANTOS</v>
      </c>
      <c r="D1781" s="22" t="str">
        <f>IFERROR(VLOOKUP(B1781,Colaboradores!A:D,3,),"")</f>
        <v>SAÚDE OCUPACIONAL</v>
      </c>
      <c r="E1781" s="22" t="str">
        <f>IFERROR(VLOOKUP(B1781,Colaboradores!A:D,4,),"")</f>
        <v>ASSESSOR(A) DE SERVIÇO SOCIAL</v>
      </c>
      <c r="F1781" s="47" t="s">
        <v>89</v>
      </c>
      <c r="G1781" s="24" t="str">
        <f>IFERROR(VLOOKUP(F1781,Procedimentos!A:C,2,),"")</f>
        <v>PLANO ANUAL DA COMISSÃO DE REVISÃO DE PRONTUÁRIO</v>
      </c>
      <c r="H1781" s="25"/>
      <c r="I1781" s="51"/>
      <c r="J1781" s="4"/>
      <c r="K1781" s="25" t="str">
        <f t="shared" si="68"/>
        <v/>
      </c>
      <c r="L1781" s="7"/>
      <c r="M1781" s="4"/>
      <c r="N1781" s="7"/>
      <c r="O1781" s="4"/>
      <c r="P1781" s="51"/>
      <c r="Q1781" s="51"/>
      <c r="R1781" s="51"/>
      <c r="S1781" s="7"/>
      <c r="T1781" s="7"/>
    </row>
    <row r="1782" spans="1:20" ht="14.25" customHeight="1">
      <c r="A1782" s="4"/>
      <c r="B1782" s="38">
        <v>13100</v>
      </c>
      <c r="C1782" s="22" t="str">
        <f>IFERROR(VLOOKUP(B1782,Colaboradores!A:D,2,),"")</f>
        <v>TAYNAH SOARES DE SOUZA CAMARAO</v>
      </c>
      <c r="D1782" s="22" t="str">
        <f>IFERROR(VLOOKUP(B1782,Colaboradores!A:D,3,),"")</f>
        <v>SAÚDE OCUPACIONAL</v>
      </c>
      <c r="E1782" s="22" t="str">
        <f>IFERROR(VLOOKUP(B1782,Colaboradores!A:D,4,),"")</f>
        <v>MÉDICA</v>
      </c>
      <c r="F1782" s="47" t="s">
        <v>89</v>
      </c>
      <c r="G1782" s="24" t="str">
        <f>IFERROR(VLOOKUP(F1782,Procedimentos!A:C,2,),"")</f>
        <v>PLANO ANUAL DA COMISSÃO DE REVISÃO DE PRONTUÁRIO</v>
      </c>
      <c r="H1782" s="25"/>
      <c r="I1782" s="51"/>
      <c r="J1782" s="4"/>
      <c r="K1782" s="25" t="str">
        <f t="shared" si="68"/>
        <v/>
      </c>
      <c r="L1782" s="7"/>
      <c r="M1782" s="4"/>
      <c r="N1782" s="7"/>
      <c r="O1782" s="4"/>
      <c r="P1782" s="51"/>
      <c r="Q1782" s="51"/>
      <c r="R1782" s="51"/>
      <c r="S1782" s="7"/>
      <c r="T1782" s="7"/>
    </row>
    <row r="1783" spans="1:20" ht="14.25" customHeight="1">
      <c r="A1783" s="4"/>
      <c r="B1783" s="38">
        <v>14962</v>
      </c>
      <c r="C1783" s="22" t="str">
        <f>IFERROR(VLOOKUP(B1783,Colaboradores!A:D,2,),"")</f>
        <v>YASMIN KARINE DE OLIVEIRA SOARES</v>
      </c>
      <c r="D1783" s="22" t="str">
        <f>IFERROR(VLOOKUP(B1783,Colaboradores!A:D,3,),"")</f>
        <v>SAÚDE OCUPACIONAL</v>
      </c>
      <c r="E1783" s="22" t="str">
        <f>IFERROR(VLOOKUP(B1783,Colaboradores!A:D,4,),"")</f>
        <v>JOVEM APRENDIZ</v>
      </c>
      <c r="F1783" s="47" t="s">
        <v>89</v>
      </c>
      <c r="G1783" s="24" t="str">
        <f>IFERROR(VLOOKUP(F1783,Procedimentos!A:C,2,),"")</f>
        <v>PLANO ANUAL DA COMISSÃO DE REVISÃO DE PRONTUÁRIO</v>
      </c>
      <c r="H1783" s="25"/>
      <c r="I1783" s="51"/>
      <c r="J1783" s="4"/>
      <c r="K1783" s="25" t="str">
        <f t="shared" si="68"/>
        <v/>
      </c>
      <c r="L1783" s="7"/>
      <c r="M1783" s="4"/>
      <c r="N1783" s="7"/>
      <c r="O1783" s="4"/>
      <c r="P1783" s="51"/>
      <c r="Q1783" s="51"/>
      <c r="R1783" s="51"/>
      <c r="S1783" s="7"/>
      <c r="T1783" s="7"/>
    </row>
    <row r="1784" spans="1:20" ht="14.25" customHeight="1">
      <c r="A1784" s="4"/>
      <c r="B1784" s="38">
        <v>24306</v>
      </c>
      <c r="C1784" s="22" t="str">
        <f>IFERROR(VLOOKUP(B1784,Colaboradores!A:D,2,),"")</f>
        <v>ANNA MARIA ARAUJO PIORSKI</v>
      </c>
      <c r="D1784" s="22" t="str">
        <f>IFERROR(VLOOKUP(B1784,Colaboradores!A:D,3,),"")</f>
        <v>SAÚDE OCUPACIONAL</v>
      </c>
      <c r="E1784" s="22" t="str">
        <f>IFERROR(VLOOKUP(B1784,Colaboradores!A:D,4,),"")</f>
        <v>ASSESSOR(A) DE NUTRIÇÃO</v>
      </c>
      <c r="F1784" s="47" t="s">
        <v>80</v>
      </c>
      <c r="G1784" s="24" t="str">
        <f>IFERROR(VLOOKUP(F1784,Procedimentos!A:C,2,),"")</f>
        <v>ATENDIMENTO FISIOTERÁPICO NO ESPAÇO CUIDARH</v>
      </c>
      <c r="H1784" s="25"/>
      <c r="I1784" s="51"/>
      <c r="J1784" s="4"/>
      <c r="K1784" s="25" t="str">
        <f t="shared" si="68"/>
        <v/>
      </c>
      <c r="L1784" s="7"/>
      <c r="M1784" s="4"/>
      <c r="N1784" s="7"/>
      <c r="O1784" s="4"/>
      <c r="P1784" s="51"/>
      <c r="Q1784" s="51"/>
      <c r="R1784" s="51"/>
      <c r="S1784" s="7"/>
      <c r="T1784" s="7"/>
    </row>
    <row r="1785" spans="1:20" ht="14.25" customHeight="1">
      <c r="A1785" s="4"/>
      <c r="B1785" s="38">
        <v>12330</v>
      </c>
      <c r="C1785" s="22" t="str">
        <f>IFERROR(VLOOKUP(B1785,Colaboradores!A:D,2,),"")</f>
        <v>BIANCA GUEDES SILVA ALMEIDA</v>
      </c>
      <c r="D1785" s="22" t="str">
        <f>IFERROR(VLOOKUP(B1785,Colaboradores!A:D,3,),"")</f>
        <v>SAÚDE OCUPACIONAL</v>
      </c>
      <c r="E1785" s="22" t="str">
        <f>IFERROR(VLOOKUP(B1785,Colaboradores!A:D,4,),"")</f>
        <v>NUTRICIONISTA</v>
      </c>
      <c r="F1785" s="47" t="s">
        <v>80</v>
      </c>
      <c r="G1785" s="24" t="str">
        <f>IFERROR(VLOOKUP(F1785,Procedimentos!A:C,2,),"")</f>
        <v>ATENDIMENTO FISIOTERÁPICO NO ESPAÇO CUIDARH</v>
      </c>
      <c r="H1785" s="25"/>
      <c r="I1785" s="51"/>
      <c r="J1785" s="4"/>
      <c r="K1785" s="25" t="str">
        <f t="shared" si="68"/>
        <v/>
      </c>
      <c r="L1785" s="7"/>
      <c r="M1785" s="4"/>
      <c r="N1785" s="7"/>
      <c r="O1785" s="4"/>
      <c r="P1785" s="51"/>
      <c r="Q1785" s="51"/>
      <c r="R1785" s="51"/>
      <c r="S1785" s="7"/>
      <c r="T1785" s="7"/>
    </row>
    <row r="1786" spans="1:20" ht="14.25" customHeight="1">
      <c r="A1786" s="4"/>
      <c r="B1786" s="38">
        <v>14990</v>
      </c>
      <c r="C1786" s="22" t="str">
        <f>IFERROR(VLOOKUP(B1786,Colaboradores!A:D,2,),"")</f>
        <v>DAVID DE JESUS PEREIRA FONSECA</v>
      </c>
      <c r="D1786" s="22" t="str">
        <f>IFERROR(VLOOKUP(B1786,Colaboradores!A:D,3,),"")</f>
        <v>SAÚDE OCUPACIONAL</v>
      </c>
      <c r="E1786" s="22" t="str">
        <f>IFERROR(VLOOKUP(B1786,Colaboradores!A:D,4,),"")</f>
        <v>JOVEM APRENDIZ</v>
      </c>
      <c r="F1786" s="47" t="s">
        <v>80</v>
      </c>
      <c r="G1786" s="24" t="str">
        <f>IFERROR(VLOOKUP(F1786,Procedimentos!A:C,2,),"")</f>
        <v>ATENDIMENTO FISIOTERÁPICO NO ESPAÇO CUIDARH</v>
      </c>
      <c r="H1786" s="25"/>
      <c r="I1786" s="51"/>
      <c r="J1786" s="4"/>
      <c r="K1786" s="25" t="str">
        <f t="shared" si="68"/>
        <v/>
      </c>
      <c r="L1786" s="7"/>
      <c r="M1786" s="4"/>
      <c r="N1786" s="7"/>
      <c r="O1786" s="4"/>
      <c r="P1786" s="51"/>
      <c r="Q1786" s="51"/>
      <c r="R1786" s="51"/>
      <c r="S1786" s="7"/>
      <c r="T1786" s="7"/>
    </row>
    <row r="1787" spans="1:20" ht="14.25" customHeight="1">
      <c r="A1787" s="4"/>
      <c r="B1787" s="38">
        <v>9058</v>
      </c>
      <c r="C1787" s="22" t="str">
        <f>IFERROR(VLOOKUP(B1787,Colaboradores!A:D,2,),"")</f>
        <v>DENISE CRISTRINA CASTRO</v>
      </c>
      <c r="D1787" s="22" t="str">
        <f>IFERROR(VLOOKUP(B1787,Colaboradores!A:D,3,),"")</f>
        <v>SAÚDE OCUPACIONAL</v>
      </c>
      <c r="E1787" s="22" t="str">
        <f>IFERROR(VLOOKUP(B1787,Colaboradores!A:D,4,),"")</f>
        <v>ASSESSOR(A) DE SERVIÇO SOCIAL</v>
      </c>
      <c r="F1787" s="47" t="s">
        <v>80</v>
      </c>
      <c r="G1787" s="24" t="str">
        <f>IFERROR(VLOOKUP(F1787,Procedimentos!A:C,2,),"")</f>
        <v>ATENDIMENTO FISIOTERÁPICO NO ESPAÇO CUIDARH</v>
      </c>
      <c r="H1787" s="25"/>
      <c r="I1787" s="51"/>
      <c r="J1787" s="4"/>
      <c r="K1787" s="25" t="str">
        <f t="shared" si="68"/>
        <v/>
      </c>
      <c r="L1787" s="7"/>
      <c r="M1787" s="4"/>
      <c r="N1787" s="7"/>
      <c r="O1787" s="4"/>
      <c r="P1787" s="51"/>
      <c r="Q1787" s="51"/>
      <c r="R1787" s="51"/>
      <c r="S1787" s="7"/>
      <c r="T1787" s="7"/>
    </row>
    <row r="1788" spans="1:20" ht="14.25" customHeight="1">
      <c r="A1788" s="4"/>
      <c r="B1788" s="38">
        <v>8111</v>
      </c>
      <c r="C1788" s="22" t="str">
        <f>IFERROR(VLOOKUP(B1788,Colaboradores!A:D,2,),"")</f>
        <v>FABIANA SILVA COSTA</v>
      </c>
      <c r="D1788" s="22" t="str">
        <f>IFERROR(VLOOKUP(B1788,Colaboradores!A:D,3,),"")</f>
        <v>SAÚDE OCUPACIONAL</v>
      </c>
      <c r="E1788" s="22" t="str">
        <f>IFERROR(VLOOKUP(B1788,Colaboradores!A:D,4,),"")</f>
        <v>ASSESSOR(A) DE FISIOTERAPIA</v>
      </c>
      <c r="F1788" s="47" t="s">
        <v>80</v>
      </c>
      <c r="G1788" s="24" t="str">
        <f>IFERROR(VLOOKUP(F1788,Procedimentos!A:C,2,),"")</f>
        <v>ATENDIMENTO FISIOTERÁPICO NO ESPAÇO CUIDARH</v>
      </c>
      <c r="H1788" s="25"/>
      <c r="I1788" s="51"/>
      <c r="J1788" s="4"/>
      <c r="K1788" s="25" t="str">
        <f t="shared" si="68"/>
        <v/>
      </c>
      <c r="L1788" s="7"/>
      <c r="M1788" s="4"/>
      <c r="N1788" s="7"/>
      <c r="O1788" s="4"/>
      <c r="P1788" s="51"/>
      <c r="Q1788" s="51"/>
      <c r="R1788" s="51"/>
      <c r="S1788" s="7"/>
      <c r="T1788" s="7"/>
    </row>
    <row r="1789" spans="1:20" ht="14.25" customHeight="1">
      <c r="A1789" s="4"/>
      <c r="B1789" s="38">
        <v>14972</v>
      </c>
      <c r="C1789" s="22" t="str">
        <f>IFERROR(VLOOKUP(B1789,Colaboradores!A:D,2,),"")</f>
        <v>JUAN PABLO SOUSA FARIAS</v>
      </c>
      <c r="D1789" s="22" t="str">
        <f>IFERROR(VLOOKUP(B1789,Colaboradores!A:D,3,),"")</f>
        <v>SAÚDE OCUPACIONAL</v>
      </c>
      <c r="E1789" s="22" t="str">
        <f>IFERROR(VLOOKUP(B1789,Colaboradores!A:D,4,),"")</f>
        <v>JOVEM APRENDIZ</v>
      </c>
      <c r="F1789" s="47" t="s">
        <v>80</v>
      </c>
      <c r="G1789" s="24" t="str">
        <f>IFERROR(VLOOKUP(F1789,Procedimentos!A:C,2,),"")</f>
        <v>ATENDIMENTO FISIOTERÁPICO NO ESPAÇO CUIDARH</v>
      </c>
      <c r="H1789" s="25"/>
      <c r="I1789" s="51"/>
      <c r="J1789" s="4"/>
      <c r="K1789" s="25" t="str">
        <f t="shared" si="68"/>
        <v/>
      </c>
      <c r="L1789" s="7"/>
      <c r="M1789" s="4"/>
      <c r="N1789" s="7"/>
      <c r="O1789" s="4"/>
      <c r="P1789" s="51"/>
      <c r="Q1789" s="51"/>
      <c r="R1789" s="51"/>
      <c r="S1789" s="7"/>
      <c r="T1789" s="7"/>
    </row>
    <row r="1790" spans="1:20" ht="14.25" customHeight="1">
      <c r="A1790" s="4"/>
      <c r="B1790" s="38">
        <v>13594</v>
      </c>
      <c r="C1790" s="22" t="str">
        <f>IFERROR(VLOOKUP(B1790,Colaboradores!A:D,2,),"")</f>
        <v>MARCIO AUGUSTO SILVA MIRANDA</v>
      </c>
      <c r="D1790" s="22" t="str">
        <f>IFERROR(VLOOKUP(B1790,Colaboradores!A:D,3,),"")</f>
        <v>SAÚDE OCUPACIONAL</v>
      </c>
      <c r="E1790" s="22" t="str">
        <f>IFERROR(VLOOKUP(B1790,Colaboradores!A:D,4,),"")</f>
        <v>ASSESSOR (A) CLINICO</v>
      </c>
      <c r="F1790" s="47" t="s">
        <v>80</v>
      </c>
      <c r="G1790" s="24" t="str">
        <f>IFERROR(VLOOKUP(F1790,Procedimentos!A:C,2,),"")</f>
        <v>ATENDIMENTO FISIOTERÁPICO NO ESPAÇO CUIDARH</v>
      </c>
      <c r="H1790" s="25"/>
      <c r="I1790" s="51"/>
      <c r="J1790" s="4"/>
      <c r="K1790" s="25" t="str">
        <f t="shared" si="68"/>
        <v/>
      </c>
      <c r="L1790" s="7"/>
      <c r="M1790" s="4"/>
      <c r="N1790" s="7"/>
      <c r="O1790" s="4"/>
      <c r="P1790" s="51"/>
      <c r="Q1790" s="51"/>
      <c r="R1790" s="51"/>
      <c r="S1790" s="7"/>
      <c r="T1790" s="7"/>
    </row>
    <row r="1791" spans="1:20" ht="14.25" customHeight="1">
      <c r="A1791" s="4"/>
      <c r="B1791" s="38">
        <v>14499</v>
      </c>
      <c r="C1791" s="22" t="str">
        <f>IFERROR(VLOOKUP(B1791,Colaboradores!A:D,2,),"")</f>
        <v>SAMIRIS COSTA DA SILVA</v>
      </c>
      <c r="D1791" s="22" t="str">
        <f>IFERROR(VLOOKUP(B1791,Colaboradores!A:D,3,),"")</f>
        <v>SAÚDE OCUPACIONAL</v>
      </c>
      <c r="E1791" s="22" t="str">
        <f>IFERROR(VLOOKUP(B1791,Colaboradores!A:D,4,),"")</f>
        <v>PSICÓLOGA</v>
      </c>
      <c r="F1791" s="47" t="s">
        <v>80</v>
      </c>
      <c r="G1791" s="24" t="str">
        <f>IFERROR(VLOOKUP(F1791,Procedimentos!A:C,2,),"")</f>
        <v>ATENDIMENTO FISIOTERÁPICO NO ESPAÇO CUIDARH</v>
      </c>
      <c r="H1791" s="25"/>
      <c r="I1791" s="51"/>
      <c r="J1791" s="4"/>
      <c r="K1791" s="25" t="str">
        <f t="shared" si="68"/>
        <v/>
      </c>
      <c r="L1791" s="7"/>
      <c r="M1791" s="4"/>
      <c r="N1791" s="7"/>
      <c r="O1791" s="4"/>
      <c r="P1791" s="51"/>
      <c r="Q1791" s="51"/>
      <c r="R1791" s="51"/>
      <c r="S1791" s="7"/>
      <c r="T1791" s="7"/>
    </row>
    <row r="1792" spans="1:20" ht="14.25" customHeight="1">
      <c r="A1792" s="4"/>
      <c r="B1792" s="38">
        <v>12463</v>
      </c>
      <c r="C1792" s="22" t="str">
        <f>IFERROR(VLOOKUP(B1792,Colaboradores!A:D,2,),"")</f>
        <v>SAMMY RAYANA L. SANTOS</v>
      </c>
      <c r="D1792" s="22" t="str">
        <f>IFERROR(VLOOKUP(B1792,Colaboradores!A:D,3,),"")</f>
        <v>SAÚDE OCUPACIONAL</v>
      </c>
      <c r="E1792" s="22" t="str">
        <f>IFERROR(VLOOKUP(B1792,Colaboradores!A:D,4,),"")</f>
        <v>ASSESSOR(A) DE SERVIÇO SOCIAL</v>
      </c>
      <c r="F1792" s="47" t="s">
        <v>80</v>
      </c>
      <c r="G1792" s="24" t="str">
        <f>IFERROR(VLOOKUP(F1792,Procedimentos!A:C,2,),"")</f>
        <v>ATENDIMENTO FISIOTERÁPICO NO ESPAÇO CUIDARH</v>
      </c>
      <c r="H1792" s="25"/>
      <c r="I1792" s="51"/>
      <c r="J1792" s="4"/>
      <c r="K1792" s="25" t="str">
        <f t="shared" si="68"/>
        <v/>
      </c>
      <c r="L1792" s="7"/>
      <c r="M1792" s="4"/>
      <c r="N1792" s="7"/>
      <c r="O1792" s="4"/>
      <c r="P1792" s="51"/>
      <c r="Q1792" s="51"/>
      <c r="R1792" s="51"/>
      <c r="S1792" s="7"/>
      <c r="T1792" s="7"/>
    </row>
    <row r="1793" spans="1:20" ht="14.25" customHeight="1">
      <c r="A1793" s="4"/>
      <c r="B1793" s="38">
        <v>13100</v>
      </c>
      <c r="C1793" s="22" t="str">
        <f>IFERROR(VLOOKUP(B1793,Colaboradores!A:D,2,),"")</f>
        <v>TAYNAH SOARES DE SOUZA CAMARAO</v>
      </c>
      <c r="D1793" s="22" t="str">
        <f>IFERROR(VLOOKUP(B1793,Colaboradores!A:D,3,),"")</f>
        <v>SAÚDE OCUPACIONAL</v>
      </c>
      <c r="E1793" s="22" t="str">
        <f>IFERROR(VLOOKUP(B1793,Colaboradores!A:D,4,),"")</f>
        <v>MÉDICA</v>
      </c>
      <c r="F1793" s="47" t="s">
        <v>80</v>
      </c>
      <c r="G1793" s="24" t="str">
        <f>IFERROR(VLOOKUP(F1793,Procedimentos!A:C,2,),"")</f>
        <v>ATENDIMENTO FISIOTERÁPICO NO ESPAÇO CUIDARH</v>
      </c>
      <c r="H1793" s="25"/>
      <c r="I1793" s="51"/>
      <c r="J1793" s="4"/>
      <c r="K1793" s="25" t="str">
        <f t="shared" si="68"/>
        <v/>
      </c>
      <c r="L1793" s="7"/>
      <c r="M1793" s="4"/>
      <c r="N1793" s="7"/>
      <c r="O1793" s="4"/>
      <c r="P1793" s="51"/>
      <c r="Q1793" s="51"/>
      <c r="R1793" s="51"/>
      <c r="S1793" s="7"/>
      <c r="T1793" s="7"/>
    </row>
    <row r="1794" spans="1:20" ht="14.25" customHeight="1">
      <c r="A1794" s="4"/>
      <c r="B1794" s="38">
        <v>14962</v>
      </c>
      <c r="C1794" s="22" t="str">
        <f>IFERROR(VLOOKUP(B1794,Colaboradores!A:D,2,),"")</f>
        <v>YASMIN KARINE DE OLIVEIRA SOARES</v>
      </c>
      <c r="D1794" s="22" t="str">
        <f>IFERROR(VLOOKUP(B1794,Colaboradores!A:D,3,),"")</f>
        <v>SAÚDE OCUPACIONAL</v>
      </c>
      <c r="E1794" s="22" t="str">
        <f>IFERROR(VLOOKUP(B1794,Colaboradores!A:D,4,),"")</f>
        <v>JOVEM APRENDIZ</v>
      </c>
      <c r="F1794" s="47" t="s">
        <v>80</v>
      </c>
      <c r="G1794" s="24" t="str">
        <f>IFERROR(VLOOKUP(F1794,Procedimentos!A:C,2,),"")</f>
        <v>ATENDIMENTO FISIOTERÁPICO NO ESPAÇO CUIDARH</v>
      </c>
      <c r="H1794" s="25"/>
      <c r="I1794" s="51"/>
      <c r="J1794" s="4"/>
      <c r="K1794" s="25" t="str">
        <f t="shared" si="68"/>
        <v/>
      </c>
      <c r="L1794" s="7"/>
      <c r="M1794" s="4"/>
      <c r="N1794" s="7"/>
      <c r="O1794" s="4"/>
      <c r="P1794" s="51"/>
      <c r="Q1794" s="51"/>
      <c r="R1794" s="51"/>
      <c r="S1794" s="7"/>
      <c r="T1794" s="7"/>
    </row>
    <row r="1795" spans="1:20" ht="14.25" customHeight="1">
      <c r="A1795" s="4"/>
      <c r="B1795" s="38">
        <v>24306</v>
      </c>
      <c r="C1795" s="22" t="str">
        <f>IFERROR(VLOOKUP(B1795,Colaboradores!A:D,2,),"")</f>
        <v>ANNA MARIA ARAUJO PIORSKI</v>
      </c>
      <c r="D1795" s="22" t="str">
        <f>IFERROR(VLOOKUP(B1795,Colaboradores!A:D,3,),"")</f>
        <v>SAÚDE OCUPACIONAL</v>
      </c>
      <c r="E1795" s="22" t="str">
        <f>IFERROR(VLOOKUP(B1795,Colaboradores!A:D,4,),"")</f>
        <v>ASSESSOR(A) DE NUTRIÇÃO</v>
      </c>
      <c r="F1795" s="47" t="s">
        <v>81</v>
      </c>
      <c r="G1795" s="24" t="str">
        <f>IFERROR(VLOOKUP(F1795,Procedimentos!A:C,2,),"")</f>
        <v>ATENDIMENTO PSICOLÓGICO NO ESPAÇO CUIDARH</v>
      </c>
      <c r="H1795" s="25"/>
      <c r="I1795" s="51"/>
      <c r="J1795" s="4"/>
      <c r="K1795" s="25" t="str">
        <f t="shared" ref="K1795:K1858" si="69">IF(AND(I1795&lt;&gt;"",J1795&lt;&gt;""),DATE(YEAR(I1795),MONTH(I1795)+J1795,DAY(I1795)),"")</f>
        <v/>
      </c>
      <c r="L1795" s="7"/>
      <c r="M1795" s="4"/>
      <c r="N1795" s="7"/>
      <c r="O1795" s="4"/>
      <c r="P1795" s="51"/>
      <c r="Q1795" s="51"/>
      <c r="R1795" s="51"/>
      <c r="S1795" s="7"/>
      <c r="T1795" s="7"/>
    </row>
    <row r="1796" spans="1:20" ht="14.25" customHeight="1">
      <c r="A1796" s="4"/>
      <c r="B1796" s="38">
        <v>12330</v>
      </c>
      <c r="C1796" s="22" t="str">
        <f>IFERROR(VLOOKUP(B1796,Colaboradores!A:D,2,),"")</f>
        <v>BIANCA GUEDES SILVA ALMEIDA</v>
      </c>
      <c r="D1796" s="22" t="str">
        <f>IFERROR(VLOOKUP(B1796,Colaboradores!A:D,3,),"")</f>
        <v>SAÚDE OCUPACIONAL</v>
      </c>
      <c r="E1796" s="22" t="str">
        <f>IFERROR(VLOOKUP(B1796,Colaboradores!A:D,4,),"")</f>
        <v>NUTRICIONISTA</v>
      </c>
      <c r="F1796" s="47" t="s">
        <v>81</v>
      </c>
      <c r="G1796" s="24" t="str">
        <f>IFERROR(VLOOKUP(F1796,Procedimentos!A:C,2,),"")</f>
        <v>ATENDIMENTO PSICOLÓGICO NO ESPAÇO CUIDARH</v>
      </c>
      <c r="H1796" s="25"/>
      <c r="I1796" s="51"/>
      <c r="J1796" s="4"/>
      <c r="K1796" s="25" t="str">
        <f t="shared" si="69"/>
        <v/>
      </c>
      <c r="L1796" s="7"/>
      <c r="M1796" s="4"/>
      <c r="N1796" s="7"/>
      <c r="O1796" s="4"/>
      <c r="P1796" s="51"/>
      <c r="Q1796" s="51"/>
      <c r="R1796" s="51"/>
      <c r="S1796" s="7"/>
      <c r="T1796" s="7"/>
    </row>
    <row r="1797" spans="1:20" ht="14.25" customHeight="1">
      <c r="A1797" s="4"/>
      <c r="B1797" s="38">
        <v>14990</v>
      </c>
      <c r="C1797" s="22" t="str">
        <f>IFERROR(VLOOKUP(B1797,Colaboradores!A:D,2,),"")</f>
        <v>DAVID DE JESUS PEREIRA FONSECA</v>
      </c>
      <c r="D1797" s="22" t="str">
        <f>IFERROR(VLOOKUP(B1797,Colaboradores!A:D,3,),"")</f>
        <v>SAÚDE OCUPACIONAL</v>
      </c>
      <c r="E1797" s="22" t="str">
        <f>IFERROR(VLOOKUP(B1797,Colaboradores!A:D,4,),"")</f>
        <v>JOVEM APRENDIZ</v>
      </c>
      <c r="F1797" s="47" t="s">
        <v>81</v>
      </c>
      <c r="G1797" s="24" t="str">
        <f>IFERROR(VLOOKUP(F1797,Procedimentos!A:C,2,),"")</f>
        <v>ATENDIMENTO PSICOLÓGICO NO ESPAÇO CUIDARH</v>
      </c>
      <c r="H1797" s="25"/>
      <c r="I1797" s="51"/>
      <c r="J1797" s="4"/>
      <c r="K1797" s="25" t="str">
        <f t="shared" si="69"/>
        <v/>
      </c>
      <c r="L1797" s="7"/>
      <c r="M1797" s="4"/>
      <c r="N1797" s="7"/>
      <c r="O1797" s="4"/>
      <c r="P1797" s="51"/>
      <c r="Q1797" s="51"/>
      <c r="R1797" s="51"/>
      <c r="S1797" s="7"/>
      <c r="T1797" s="7"/>
    </row>
    <row r="1798" spans="1:20" ht="14.25" customHeight="1">
      <c r="A1798" s="4"/>
      <c r="B1798" s="38">
        <v>9058</v>
      </c>
      <c r="C1798" s="22" t="str">
        <f>IFERROR(VLOOKUP(B1798,Colaboradores!A:D,2,),"")</f>
        <v>DENISE CRISTRINA CASTRO</v>
      </c>
      <c r="D1798" s="22" t="str">
        <f>IFERROR(VLOOKUP(B1798,Colaboradores!A:D,3,),"")</f>
        <v>SAÚDE OCUPACIONAL</v>
      </c>
      <c r="E1798" s="22" t="str">
        <f>IFERROR(VLOOKUP(B1798,Colaboradores!A:D,4,),"")</f>
        <v>ASSESSOR(A) DE SERVIÇO SOCIAL</v>
      </c>
      <c r="F1798" s="47" t="s">
        <v>81</v>
      </c>
      <c r="G1798" s="24" t="str">
        <f>IFERROR(VLOOKUP(F1798,Procedimentos!A:C,2,),"")</f>
        <v>ATENDIMENTO PSICOLÓGICO NO ESPAÇO CUIDARH</v>
      </c>
      <c r="H1798" s="25"/>
      <c r="I1798" s="51"/>
      <c r="J1798" s="4"/>
      <c r="K1798" s="25" t="str">
        <f t="shared" si="69"/>
        <v/>
      </c>
      <c r="L1798" s="7"/>
      <c r="M1798" s="4"/>
      <c r="N1798" s="7"/>
      <c r="O1798" s="4"/>
      <c r="P1798" s="51"/>
      <c r="Q1798" s="51"/>
      <c r="R1798" s="51"/>
      <c r="S1798" s="7"/>
      <c r="T1798" s="7"/>
    </row>
    <row r="1799" spans="1:20" ht="14.25" customHeight="1">
      <c r="A1799" s="4"/>
      <c r="B1799" s="38">
        <v>8111</v>
      </c>
      <c r="C1799" s="22" t="str">
        <f>IFERROR(VLOOKUP(B1799,Colaboradores!A:D,2,),"")</f>
        <v>FABIANA SILVA COSTA</v>
      </c>
      <c r="D1799" s="22" t="str">
        <f>IFERROR(VLOOKUP(B1799,Colaboradores!A:D,3,),"")</f>
        <v>SAÚDE OCUPACIONAL</v>
      </c>
      <c r="E1799" s="22" t="str">
        <f>IFERROR(VLOOKUP(B1799,Colaboradores!A:D,4,),"")</f>
        <v>ASSESSOR(A) DE FISIOTERAPIA</v>
      </c>
      <c r="F1799" s="47" t="s">
        <v>81</v>
      </c>
      <c r="G1799" s="24" t="str">
        <f>IFERROR(VLOOKUP(F1799,Procedimentos!A:C,2,),"")</f>
        <v>ATENDIMENTO PSICOLÓGICO NO ESPAÇO CUIDARH</v>
      </c>
      <c r="H1799" s="25"/>
      <c r="I1799" s="51"/>
      <c r="J1799" s="4"/>
      <c r="K1799" s="25" t="str">
        <f t="shared" si="69"/>
        <v/>
      </c>
      <c r="L1799" s="7"/>
      <c r="M1799" s="4"/>
      <c r="N1799" s="7"/>
      <c r="O1799" s="4"/>
      <c r="P1799" s="51"/>
      <c r="Q1799" s="51"/>
      <c r="R1799" s="51"/>
      <c r="S1799" s="7"/>
      <c r="T1799" s="7"/>
    </row>
    <row r="1800" spans="1:20" ht="14.25" customHeight="1">
      <c r="A1800" s="4"/>
      <c r="B1800" s="38">
        <v>14972</v>
      </c>
      <c r="C1800" s="22" t="str">
        <f>IFERROR(VLOOKUP(B1800,Colaboradores!A:D,2,),"")</f>
        <v>JUAN PABLO SOUSA FARIAS</v>
      </c>
      <c r="D1800" s="22" t="str">
        <f>IFERROR(VLOOKUP(B1800,Colaboradores!A:D,3,),"")</f>
        <v>SAÚDE OCUPACIONAL</v>
      </c>
      <c r="E1800" s="22" t="str">
        <f>IFERROR(VLOOKUP(B1800,Colaboradores!A:D,4,),"")</f>
        <v>JOVEM APRENDIZ</v>
      </c>
      <c r="F1800" s="47" t="s">
        <v>81</v>
      </c>
      <c r="G1800" s="24" t="str">
        <f>IFERROR(VLOOKUP(F1800,Procedimentos!A:C,2,),"")</f>
        <v>ATENDIMENTO PSICOLÓGICO NO ESPAÇO CUIDARH</v>
      </c>
      <c r="H1800" s="25"/>
      <c r="I1800" s="51"/>
      <c r="J1800" s="4"/>
      <c r="K1800" s="25" t="str">
        <f t="shared" si="69"/>
        <v/>
      </c>
      <c r="L1800" s="7"/>
      <c r="M1800" s="4"/>
      <c r="N1800" s="7"/>
      <c r="O1800" s="4"/>
      <c r="P1800" s="51"/>
      <c r="Q1800" s="51"/>
      <c r="R1800" s="51"/>
      <c r="S1800" s="7"/>
      <c r="T1800" s="7"/>
    </row>
    <row r="1801" spans="1:20" ht="14.25" customHeight="1">
      <c r="A1801" s="4"/>
      <c r="B1801" s="38">
        <v>13594</v>
      </c>
      <c r="C1801" s="22" t="str">
        <f>IFERROR(VLOOKUP(B1801,Colaboradores!A:D,2,),"")</f>
        <v>MARCIO AUGUSTO SILVA MIRANDA</v>
      </c>
      <c r="D1801" s="22" t="str">
        <f>IFERROR(VLOOKUP(B1801,Colaboradores!A:D,3,),"")</f>
        <v>SAÚDE OCUPACIONAL</v>
      </c>
      <c r="E1801" s="22" t="str">
        <f>IFERROR(VLOOKUP(B1801,Colaboradores!A:D,4,),"")</f>
        <v>ASSESSOR (A) CLINICO</v>
      </c>
      <c r="F1801" s="47" t="s">
        <v>81</v>
      </c>
      <c r="G1801" s="24" t="str">
        <f>IFERROR(VLOOKUP(F1801,Procedimentos!A:C,2,),"")</f>
        <v>ATENDIMENTO PSICOLÓGICO NO ESPAÇO CUIDARH</v>
      </c>
      <c r="H1801" s="25"/>
      <c r="I1801" s="51"/>
      <c r="J1801" s="4"/>
      <c r="K1801" s="25" t="str">
        <f t="shared" si="69"/>
        <v/>
      </c>
      <c r="L1801" s="7"/>
      <c r="M1801" s="4"/>
      <c r="N1801" s="7"/>
      <c r="O1801" s="4"/>
      <c r="P1801" s="51"/>
      <c r="Q1801" s="51"/>
      <c r="R1801" s="51"/>
      <c r="S1801" s="7"/>
      <c r="T1801" s="7"/>
    </row>
    <row r="1802" spans="1:20" ht="14.25" customHeight="1">
      <c r="A1802" s="4"/>
      <c r="B1802" s="38">
        <v>14499</v>
      </c>
      <c r="C1802" s="22" t="str">
        <f>IFERROR(VLOOKUP(B1802,Colaboradores!A:D,2,),"")</f>
        <v>SAMIRIS COSTA DA SILVA</v>
      </c>
      <c r="D1802" s="22" t="str">
        <f>IFERROR(VLOOKUP(B1802,Colaboradores!A:D,3,),"")</f>
        <v>SAÚDE OCUPACIONAL</v>
      </c>
      <c r="E1802" s="22" t="str">
        <f>IFERROR(VLOOKUP(B1802,Colaboradores!A:D,4,),"")</f>
        <v>PSICÓLOGA</v>
      </c>
      <c r="F1802" s="47" t="s">
        <v>81</v>
      </c>
      <c r="G1802" s="24" t="str">
        <f>IFERROR(VLOOKUP(F1802,Procedimentos!A:C,2,),"")</f>
        <v>ATENDIMENTO PSICOLÓGICO NO ESPAÇO CUIDARH</v>
      </c>
      <c r="H1802" s="25"/>
      <c r="I1802" s="51"/>
      <c r="J1802" s="4"/>
      <c r="K1802" s="25" t="str">
        <f t="shared" si="69"/>
        <v/>
      </c>
      <c r="L1802" s="7"/>
      <c r="M1802" s="4"/>
      <c r="N1802" s="7"/>
      <c r="O1802" s="4"/>
      <c r="P1802" s="51"/>
      <c r="Q1802" s="51"/>
      <c r="R1802" s="51"/>
      <c r="S1802" s="7"/>
      <c r="T1802" s="7"/>
    </row>
    <row r="1803" spans="1:20" ht="14.25" customHeight="1">
      <c r="A1803" s="4"/>
      <c r="B1803" s="38">
        <v>12463</v>
      </c>
      <c r="C1803" s="22" t="str">
        <f>IFERROR(VLOOKUP(B1803,Colaboradores!A:D,2,),"")</f>
        <v>SAMMY RAYANA L. SANTOS</v>
      </c>
      <c r="D1803" s="22" t="str">
        <f>IFERROR(VLOOKUP(B1803,Colaboradores!A:D,3,),"")</f>
        <v>SAÚDE OCUPACIONAL</v>
      </c>
      <c r="E1803" s="22" t="str">
        <f>IFERROR(VLOOKUP(B1803,Colaboradores!A:D,4,),"")</f>
        <v>ASSESSOR(A) DE SERVIÇO SOCIAL</v>
      </c>
      <c r="F1803" s="47" t="s">
        <v>81</v>
      </c>
      <c r="G1803" s="24" t="str">
        <f>IFERROR(VLOOKUP(F1803,Procedimentos!A:C,2,),"")</f>
        <v>ATENDIMENTO PSICOLÓGICO NO ESPAÇO CUIDARH</v>
      </c>
      <c r="H1803" s="25"/>
      <c r="I1803" s="51"/>
      <c r="J1803" s="4"/>
      <c r="K1803" s="25" t="str">
        <f t="shared" si="69"/>
        <v/>
      </c>
      <c r="L1803" s="7"/>
      <c r="M1803" s="4"/>
      <c r="N1803" s="7"/>
      <c r="O1803" s="4"/>
      <c r="P1803" s="51"/>
      <c r="Q1803" s="51"/>
      <c r="R1803" s="51"/>
      <c r="S1803" s="7"/>
      <c r="T1803" s="7"/>
    </row>
    <row r="1804" spans="1:20" ht="14.25" customHeight="1">
      <c r="A1804" s="4"/>
      <c r="B1804" s="38">
        <v>13100</v>
      </c>
      <c r="C1804" s="22" t="str">
        <f>IFERROR(VLOOKUP(B1804,Colaboradores!A:D,2,),"")</f>
        <v>TAYNAH SOARES DE SOUZA CAMARAO</v>
      </c>
      <c r="D1804" s="22" t="str">
        <f>IFERROR(VLOOKUP(B1804,Colaboradores!A:D,3,),"")</f>
        <v>SAÚDE OCUPACIONAL</v>
      </c>
      <c r="E1804" s="22" t="str">
        <f>IFERROR(VLOOKUP(B1804,Colaboradores!A:D,4,),"")</f>
        <v>MÉDICA</v>
      </c>
      <c r="F1804" s="47" t="s">
        <v>81</v>
      </c>
      <c r="G1804" s="24" t="str">
        <f>IFERROR(VLOOKUP(F1804,Procedimentos!A:C,2,),"")</f>
        <v>ATENDIMENTO PSICOLÓGICO NO ESPAÇO CUIDARH</v>
      </c>
      <c r="H1804" s="25"/>
      <c r="I1804" s="51"/>
      <c r="J1804" s="4"/>
      <c r="K1804" s="25" t="str">
        <f t="shared" si="69"/>
        <v/>
      </c>
      <c r="L1804" s="7"/>
      <c r="M1804" s="4"/>
      <c r="N1804" s="7"/>
      <c r="O1804" s="4"/>
      <c r="P1804" s="51"/>
      <c r="Q1804" s="51"/>
      <c r="R1804" s="51"/>
      <c r="S1804" s="7"/>
      <c r="T1804" s="7"/>
    </row>
    <row r="1805" spans="1:20" ht="14.25" customHeight="1">
      <c r="A1805" s="4"/>
      <c r="B1805" s="38">
        <v>14962</v>
      </c>
      <c r="C1805" s="22" t="str">
        <f>IFERROR(VLOOKUP(B1805,Colaboradores!A:D,2,),"")</f>
        <v>YASMIN KARINE DE OLIVEIRA SOARES</v>
      </c>
      <c r="D1805" s="22" t="str">
        <f>IFERROR(VLOOKUP(B1805,Colaboradores!A:D,3,),"")</f>
        <v>SAÚDE OCUPACIONAL</v>
      </c>
      <c r="E1805" s="22" t="str">
        <f>IFERROR(VLOOKUP(B1805,Colaboradores!A:D,4,),"")</f>
        <v>JOVEM APRENDIZ</v>
      </c>
      <c r="F1805" s="47" t="s">
        <v>81</v>
      </c>
      <c r="G1805" s="24" t="str">
        <f>IFERROR(VLOOKUP(F1805,Procedimentos!A:C,2,),"")</f>
        <v>ATENDIMENTO PSICOLÓGICO NO ESPAÇO CUIDARH</v>
      </c>
      <c r="H1805" s="25"/>
      <c r="I1805" s="51"/>
      <c r="J1805" s="4"/>
      <c r="K1805" s="25" t="str">
        <f t="shared" si="69"/>
        <v/>
      </c>
      <c r="L1805" s="7"/>
      <c r="M1805" s="4"/>
      <c r="N1805" s="7"/>
      <c r="O1805" s="4"/>
      <c r="P1805" s="51"/>
      <c r="Q1805" s="51"/>
      <c r="R1805" s="51"/>
      <c r="S1805" s="7"/>
      <c r="T1805" s="7"/>
    </row>
    <row r="1806" spans="1:20" ht="14.25" customHeight="1">
      <c r="A1806" s="4"/>
      <c r="B1806" s="38">
        <v>24306</v>
      </c>
      <c r="C1806" s="22" t="str">
        <f>IFERROR(VLOOKUP(B1806,Colaboradores!A:D,2,),"")</f>
        <v>ANNA MARIA ARAUJO PIORSKI</v>
      </c>
      <c r="D1806" s="22" t="str">
        <f>IFERROR(VLOOKUP(B1806,Colaboradores!A:D,3,),"")</f>
        <v>SAÚDE OCUPACIONAL</v>
      </c>
      <c r="E1806" s="22" t="str">
        <f>IFERROR(VLOOKUP(B1806,Colaboradores!A:D,4,),"")</f>
        <v>ASSESSOR(A) DE NUTRIÇÃO</v>
      </c>
      <c r="F1806" s="47" t="s">
        <v>90</v>
      </c>
      <c r="G1806" s="24" t="str">
        <f>IFERROR(VLOOKUP(F1806,Procedimentos!A:C,2,),"")</f>
        <v>PROCEDIMENTO DE ATENDIMENTO DA NUTRIÇÃO</v>
      </c>
      <c r="H1806" s="22" t="s">
        <v>7</v>
      </c>
      <c r="I1806" s="51"/>
      <c r="J1806" s="4"/>
      <c r="K1806" s="25" t="str">
        <f t="shared" si="69"/>
        <v/>
      </c>
      <c r="L1806" s="7"/>
      <c r="M1806" s="4"/>
      <c r="N1806" s="7"/>
      <c r="O1806" s="4"/>
      <c r="P1806" s="51"/>
      <c r="Q1806" s="51"/>
      <c r="R1806" s="51"/>
      <c r="S1806" s="7"/>
      <c r="T1806" s="7"/>
    </row>
    <row r="1807" spans="1:20" ht="14.25" customHeight="1">
      <c r="A1807" s="4"/>
      <c r="B1807" s="38">
        <v>12330</v>
      </c>
      <c r="C1807" s="22" t="str">
        <f>IFERROR(VLOOKUP(B1807,Colaboradores!A:D,2,),"")</f>
        <v>BIANCA GUEDES SILVA ALMEIDA</v>
      </c>
      <c r="D1807" s="22" t="str">
        <f>IFERROR(VLOOKUP(B1807,Colaboradores!A:D,3,),"")</f>
        <v>SAÚDE OCUPACIONAL</v>
      </c>
      <c r="E1807" s="22" t="str">
        <f>IFERROR(VLOOKUP(B1807,Colaboradores!A:D,4,),"")</f>
        <v>NUTRICIONISTA</v>
      </c>
      <c r="F1807" s="47" t="s">
        <v>90</v>
      </c>
      <c r="G1807" s="24" t="str">
        <f>IFERROR(VLOOKUP(F1807,Procedimentos!A:C,2,),"")</f>
        <v>PROCEDIMENTO DE ATENDIMENTO DA NUTRIÇÃO</v>
      </c>
      <c r="H1807" s="22" t="s">
        <v>7</v>
      </c>
      <c r="I1807" s="51"/>
      <c r="J1807" s="4"/>
      <c r="K1807" s="25" t="str">
        <f t="shared" si="69"/>
        <v/>
      </c>
      <c r="L1807" s="7"/>
      <c r="M1807" s="4"/>
      <c r="N1807" s="7"/>
      <c r="O1807" s="4"/>
      <c r="P1807" s="51"/>
      <c r="Q1807" s="51"/>
      <c r="R1807" s="51"/>
      <c r="S1807" s="7"/>
      <c r="T1807" s="7"/>
    </row>
    <row r="1808" spans="1:20" ht="14.25" customHeight="1">
      <c r="A1808" s="4"/>
      <c r="B1808" s="38">
        <v>14990</v>
      </c>
      <c r="C1808" s="22" t="str">
        <f>IFERROR(VLOOKUP(B1808,Colaboradores!A:D,2,),"")</f>
        <v>DAVID DE JESUS PEREIRA FONSECA</v>
      </c>
      <c r="D1808" s="22" t="str">
        <f>IFERROR(VLOOKUP(B1808,Colaboradores!A:D,3,),"")</f>
        <v>SAÚDE OCUPACIONAL</v>
      </c>
      <c r="E1808" s="22" t="str">
        <f>IFERROR(VLOOKUP(B1808,Colaboradores!A:D,4,),"")</f>
        <v>JOVEM APRENDIZ</v>
      </c>
      <c r="F1808" s="47" t="s">
        <v>90</v>
      </c>
      <c r="G1808" s="24" t="str">
        <f>IFERROR(VLOOKUP(F1808,Procedimentos!A:C,2,),"")</f>
        <v>PROCEDIMENTO DE ATENDIMENTO DA NUTRIÇÃO</v>
      </c>
      <c r="H1808" s="25"/>
      <c r="I1808" s="51"/>
      <c r="J1808" s="4"/>
      <c r="K1808" s="25" t="str">
        <f t="shared" si="69"/>
        <v/>
      </c>
      <c r="L1808" s="7"/>
      <c r="M1808" s="4"/>
      <c r="N1808" s="7"/>
      <c r="O1808" s="4"/>
      <c r="P1808" s="51"/>
      <c r="Q1808" s="51"/>
      <c r="R1808" s="51"/>
      <c r="S1808" s="7"/>
      <c r="T1808" s="7"/>
    </row>
    <row r="1809" spans="1:20" ht="14.25" customHeight="1">
      <c r="A1809" s="4"/>
      <c r="B1809" s="38">
        <v>9058</v>
      </c>
      <c r="C1809" s="22" t="str">
        <f>IFERROR(VLOOKUP(B1809,Colaboradores!A:D,2,),"")</f>
        <v>DENISE CRISTRINA CASTRO</v>
      </c>
      <c r="D1809" s="22" t="str">
        <f>IFERROR(VLOOKUP(B1809,Colaboradores!A:D,3,),"")</f>
        <v>SAÚDE OCUPACIONAL</v>
      </c>
      <c r="E1809" s="22" t="str">
        <f>IFERROR(VLOOKUP(B1809,Colaboradores!A:D,4,),"")</f>
        <v>ASSESSOR(A) DE SERVIÇO SOCIAL</v>
      </c>
      <c r="F1809" s="47" t="s">
        <v>90</v>
      </c>
      <c r="G1809" s="24" t="str">
        <f>IFERROR(VLOOKUP(F1809,Procedimentos!A:C,2,),"")</f>
        <v>PROCEDIMENTO DE ATENDIMENTO DA NUTRIÇÃO</v>
      </c>
      <c r="H1809" s="25"/>
      <c r="I1809" s="51"/>
      <c r="J1809" s="4"/>
      <c r="K1809" s="25" t="str">
        <f t="shared" si="69"/>
        <v/>
      </c>
      <c r="L1809" s="7"/>
      <c r="M1809" s="4"/>
      <c r="N1809" s="7"/>
      <c r="O1809" s="4"/>
      <c r="P1809" s="51"/>
      <c r="Q1809" s="51"/>
      <c r="R1809" s="51"/>
      <c r="S1809" s="7"/>
      <c r="T1809" s="7"/>
    </row>
    <row r="1810" spans="1:20" ht="14.25" customHeight="1">
      <c r="A1810" s="4"/>
      <c r="B1810" s="38">
        <v>8111</v>
      </c>
      <c r="C1810" s="22" t="str">
        <f>IFERROR(VLOOKUP(B1810,Colaboradores!A:D,2,),"")</f>
        <v>FABIANA SILVA COSTA</v>
      </c>
      <c r="D1810" s="22" t="str">
        <f>IFERROR(VLOOKUP(B1810,Colaboradores!A:D,3,),"")</f>
        <v>SAÚDE OCUPACIONAL</v>
      </c>
      <c r="E1810" s="22" t="str">
        <f>IFERROR(VLOOKUP(B1810,Colaboradores!A:D,4,),"")</f>
        <v>ASSESSOR(A) DE FISIOTERAPIA</v>
      </c>
      <c r="F1810" s="47" t="s">
        <v>90</v>
      </c>
      <c r="G1810" s="24" t="str">
        <f>IFERROR(VLOOKUP(F1810,Procedimentos!A:C,2,),"")</f>
        <v>PROCEDIMENTO DE ATENDIMENTO DA NUTRIÇÃO</v>
      </c>
      <c r="H1810" s="25"/>
      <c r="I1810" s="51"/>
      <c r="J1810" s="4"/>
      <c r="K1810" s="25" t="str">
        <f t="shared" si="69"/>
        <v/>
      </c>
      <c r="L1810" s="7"/>
      <c r="M1810" s="4"/>
      <c r="N1810" s="7"/>
      <c r="O1810" s="4"/>
      <c r="P1810" s="51"/>
      <c r="Q1810" s="51"/>
      <c r="R1810" s="51"/>
      <c r="S1810" s="7"/>
      <c r="T1810" s="7"/>
    </row>
    <row r="1811" spans="1:20" ht="14.25" customHeight="1">
      <c r="A1811" s="4"/>
      <c r="B1811" s="38">
        <v>14972</v>
      </c>
      <c r="C1811" s="22" t="str">
        <f>IFERROR(VLOOKUP(B1811,Colaboradores!A:D,2,),"")</f>
        <v>JUAN PABLO SOUSA FARIAS</v>
      </c>
      <c r="D1811" s="22" t="str">
        <f>IFERROR(VLOOKUP(B1811,Colaboradores!A:D,3,),"")</f>
        <v>SAÚDE OCUPACIONAL</v>
      </c>
      <c r="E1811" s="22" t="str">
        <f>IFERROR(VLOOKUP(B1811,Colaboradores!A:D,4,),"")</f>
        <v>JOVEM APRENDIZ</v>
      </c>
      <c r="F1811" s="47" t="s">
        <v>90</v>
      </c>
      <c r="G1811" s="24" t="str">
        <f>IFERROR(VLOOKUP(F1811,Procedimentos!A:C,2,),"")</f>
        <v>PROCEDIMENTO DE ATENDIMENTO DA NUTRIÇÃO</v>
      </c>
      <c r="H1811" s="25"/>
      <c r="I1811" s="51"/>
      <c r="J1811" s="4"/>
      <c r="K1811" s="25" t="str">
        <f t="shared" si="69"/>
        <v/>
      </c>
      <c r="L1811" s="7"/>
      <c r="M1811" s="4"/>
      <c r="N1811" s="7"/>
      <c r="O1811" s="4"/>
      <c r="P1811" s="51"/>
      <c r="Q1811" s="51"/>
      <c r="R1811" s="51"/>
      <c r="S1811" s="7"/>
      <c r="T1811" s="7"/>
    </row>
    <row r="1812" spans="1:20" ht="14.25" customHeight="1">
      <c r="A1812" s="4"/>
      <c r="B1812" s="38">
        <v>13594</v>
      </c>
      <c r="C1812" s="22" t="str">
        <f>IFERROR(VLOOKUP(B1812,Colaboradores!A:D,2,),"")</f>
        <v>MARCIO AUGUSTO SILVA MIRANDA</v>
      </c>
      <c r="D1812" s="22" t="str">
        <f>IFERROR(VLOOKUP(B1812,Colaboradores!A:D,3,),"")</f>
        <v>SAÚDE OCUPACIONAL</v>
      </c>
      <c r="E1812" s="22" t="str">
        <f>IFERROR(VLOOKUP(B1812,Colaboradores!A:D,4,),"")</f>
        <v>ASSESSOR (A) CLINICO</v>
      </c>
      <c r="F1812" s="47" t="s">
        <v>90</v>
      </c>
      <c r="G1812" s="24" t="str">
        <f>IFERROR(VLOOKUP(F1812,Procedimentos!A:C,2,),"")</f>
        <v>PROCEDIMENTO DE ATENDIMENTO DA NUTRIÇÃO</v>
      </c>
      <c r="H1812" s="25"/>
      <c r="I1812" s="51"/>
      <c r="J1812" s="4"/>
      <c r="K1812" s="25" t="str">
        <f t="shared" si="69"/>
        <v/>
      </c>
      <c r="L1812" s="7"/>
      <c r="M1812" s="4"/>
      <c r="N1812" s="7"/>
      <c r="O1812" s="4"/>
      <c r="P1812" s="51"/>
      <c r="Q1812" s="51"/>
      <c r="R1812" s="51"/>
      <c r="S1812" s="7"/>
      <c r="T1812" s="7"/>
    </row>
    <row r="1813" spans="1:20" ht="14.25" customHeight="1">
      <c r="A1813" s="4"/>
      <c r="B1813" s="38">
        <v>14499</v>
      </c>
      <c r="C1813" s="22" t="str">
        <f>IFERROR(VLOOKUP(B1813,Colaboradores!A:D,2,),"")</f>
        <v>SAMIRIS COSTA DA SILVA</v>
      </c>
      <c r="D1813" s="22" t="str">
        <f>IFERROR(VLOOKUP(B1813,Colaboradores!A:D,3,),"")</f>
        <v>SAÚDE OCUPACIONAL</v>
      </c>
      <c r="E1813" s="22" t="str">
        <f>IFERROR(VLOOKUP(B1813,Colaboradores!A:D,4,),"")</f>
        <v>PSICÓLOGA</v>
      </c>
      <c r="F1813" s="47" t="s">
        <v>90</v>
      </c>
      <c r="G1813" s="24" t="str">
        <f>IFERROR(VLOOKUP(F1813,Procedimentos!A:C,2,),"")</f>
        <v>PROCEDIMENTO DE ATENDIMENTO DA NUTRIÇÃO</v>
      </c>
      <c r="H1813" s="25"/>
      <c r="I1813" s="51"/>
      <c r="J1813" s="4"/>
      <c r="K1813" s="25" t="str">
        <f t="shared" si="69"/>
        <v/>
      </c>
      <c r="L1813" s="7"/>
      <c r="M1813" s="4"/>
      <c r="N1813" s="7"/>
      <c r="O1813" s="4"/>
      <c r="P1813" s="51"/>
      <c r="Q1813" s="51"/>
      <c r="R1813" s="51"/>
      <c r="S1813" s="7"/>
      <c r="T1813" s="7"/>
    </row>
    <row r="1814" spans="1:20" ht="14.25" customHeight="1">
      <c r="A1814" s="4"/>
      <c r="B1814" s="38">
        <v>12463</v>
      </c>
      <c r="C1814" s="22" t="str">
        <f>IFERROR(VLOOKUP(B1814,Colaboradores!A:D,2,),"")</f>
        <v>SAMMY RAYANA L. SANTOS</v>
      </c>
      <c r="D1814" s="22" t="str">
        <f>IFERROR(VLOOKUP(B1814,Colaboradores!A:D,3,),"")</f>
        <v>SAÚDE OCUPACIONAL</v>
      </c>
      <c r="E1814" s="22" t="str">
        <f>IFERROR(VLOOKUP(B1814,Colaboradores!A:D,4,),"")</f>
        <v>ASSESSOR(A) DE SERVIÇO SOCIAL</v>
      </c>
      <c r="F1814" s="47" t="s">
        <v>90</v>
      </c>
      <c r="G1814" s="24" t="str">
        <f>IFERROR(VLOOKUP(F1814,Procedimentos!A:C,2,),"")</f>
        <v>PROCEDIMENTO DE ATENDIMENTO DA NUTRIÇÃO</v>
      </c>
      <c r="H1814" s="25"/>
      <c r="I1814" s="51"/>
      <c r="J1814" s="4"/>
      <c r="K1814" s="25" t="str">
        <f t="shared" si="69"/>
        <v/>
      </c>
      <c r="L1814" s="7"/>
      <c r="M1814" s="4"/>
      <c r="N1814" s="7"/>
      <c r="O1814" s="4"/>
      <c r="P1814" s="51"/>
      <c r="Q1814" s="51"/>
      <c r="R1814" s="51"/>
      <c r="S1814" s="7"/>
      <c r="T1814" s="7"/>
    </row>
    <row r="1815" spans="1:20" ht="14.25" customHeight="1">
      <c r="A1815" s="4"/>
      <c r="B1815" s="38">
        <v>13100</v>
      </c>
      <c r="C1815" s="22" t="str">
        <f>IFERROR(VLOOKUP(B1815,Colaboradores!A:D,2,),"")</f>
        <v>TAYNAH SOARES DE SOUZA CAMARAO</v>
      </c>
      <c r="D1815" s="22" t="str">
        <f>IFERROR(VLOOKUP(B1815,Colaboradores!A:D,3,),"")</f>
        <v>SAÚDE OCUPACIONAL</v>
      </c>
      <c r="E1815" s="22" t="str">
        <f>IFERROR(VLOOKUP(B1815,Colaboradores!A:D,4,),"")</f>
        <v>MÉDICA</v>
      </c>
      <c r="F1815" s="47" t="s">
        <v>90</v>
      </c>
      <c r="G1815" s="24" t="str">
        <f>IFERROR(VLOOKUP(F1815,Procedimentos!A:C,2,),"")</f>
        <v>PROCEDIMENTO DE ATENDIMENTO DA NUTRIÇÃO</v>
      </c>
      <c r="H1815" s="25"/>
      <c r="I1815" s="51"/>
      <c r="J1815" s="4"/>
      <c r="K1815" s="25" t="str">
        <f t="shared" si="69"/>
        <v/>
      </c>
      <c r="L1815" s="7"/>
      <c r="M1815" s="4"/>
      <c r="N1815" s="7"/>
      <c r="O1815" s="4"/>
      <c r="P1815" s="51"/>
      <c r="Q1815" s="51"/>
      <c r="R1815" s="51"/>
      <c r="S1815" s="7"/>
      <c r="T1815" s="7"/>
    </row>
    <row r="1816" spans="1:20" ht="14.25" customHeight="1">
      <c r="A1816" s="4"/>
      <c r="B1816" s="38">
        <v>14962</v>
      </c>
      <c r="C1816" s="22" t="str">
        <f>IFERROR(VLOOKUP(B1816,Colaboradores!A:D,2,),"")</f>
        <v>YASMIN KARINE DE OLIVEIRA SOARES</v>
      </c>
      <c r="D1816" s="22" t="str">
        <f>IFERROR(VLOOKUP(B1816,Colaboradores!A:D,3,),"")</f>
        <v>SAÚDE OCUPACIONAL</v>
      </c>
      <c r="E1816" s="22" t="str">
        <f>IFERROR(VLOOKUP(B1816,Colaboradores!A:D,4,),"")</f>
        <v>JOVEM APRENDIZ</v>
      </c>
      <c r="F1816" s="47" t="s">
        <v>90</v>
      </c>
      <c r="G1816" s="24" t="str">
        <f>IFERROR(VLOOKUP(F1816,Procedimentos!A:C,2,),"")</f>
        <v>PROCEDIMENTO DE ATENDIMENTO DA NUTRIÇÃO</v>
      </c>
      <c r="H1816" s="25"/>
      <c r="I1816" s="51"/>
      <c r="J1816" s="4"/>
      <c r="K1816" s="25" t="str">
        <f t="shared" si="69"/>
        <v/>
      </c>
      <c r="L1816" s="7"/>
      <c r="M1816" s="4"/>
      <c r="N1816" s="7"/>
      <c r="O1816" s="4"/>
      <c r="P1816" s="51"/>
      <c r="Q1816" s="51"/>
      <c r="R1816" s="51"/>
      <c r="S1816" s="7"/>
      <c r="T1816" s="7"/>
    </row>
    <row r="1817" spans="1:20" ht="14.25" customHeight="1">
      <c r="A1817" s="4"/>
      <c r="B1817" s="38">
        <v>24306</v>
      </c>
      <c r="C1817" s="22" t="str">
        <f>IFERROR(VLOOKUP(B1817,Colaboradores!A:D,2,),"")</f>
        <v>ANNA MARIA ARAUJO PIORSKI</v>
      </c>
      <c r="D1817" s="22" t="str">
        <f>IFERROR(VLOOKUP(B1817,Colaboradores!A:D,3,),"")</f>
        <v>SAÚDE OCUPACIONAL</v>
      </c>
      <c r="E1817" s="22" t="str">
        <f>IFERROR(VLOOKUP(B1817,Colaboradores!A:D,4,),"")</f>
        <v>ASSESSOR(A) DE NUTRIÇÃO</v>
      </c>
      <c r="F1817" s="47" t="s">
        <v>91</v>
      </c>
      <c r="G1817" s="24" t="str">
        <f>IFERROR(VLOOKUP(F1817,Procedimentos!A:C,2,),"")</f>
        <v>PROCEDIMENTO PARA ATENDIMENTO SOCIAL</v>
      </c>
      <c r="H1817" s="25"/>
      <c r="I1817" s="51"/>
      <c r="J1817" s="4"/>
      <c r="K1817" s="25" t="str">
        <f t="shared" si="69"/>
        <v/>
      </c>
      <c r="L1817" s="7"/>
      <c r="M1817" s="4"/>
      <c r="N1817" s="7"/>
      <c r="O1817" s="4"/>
      <c r="P1817" s="51"/>
      <c r="Q1817" s="51"/>
      <c r="R1817" s="51"/>
      <c r="S1817" s="7"/>
      <c r="T1817" s="7"/>
    </row>
    <row r="1818" spans="1:20" ht="14.25" customHeight="1">
      <c r="A1818" s="4"/>
      <c r="B1818" s="38">
        <v>12330</v>
      </c>
      <c r="C1818" s="22" t="str">
        <f>IFERROR(VLOOKUP(B1818,Colaboradores!A:D,2,),"")</f>
        <v>BIANCA GUEDES SILVA ALMEIDA</v>
      </c>
      <c r="D1818" s="22" t="str">
        <f>IFERROR(VLOOKUP(B1818,Colaboradores!A:D,3,),"")</f>
        <v>SAÚDE OCUPACIONAL</v>
      </c>
      <c r="E1818" s="22" t="str">
        <f>IFERROR(VLOOKUP(B1818,Colaboradores!A:D,4,),"")</f>
        <v>NUTRICIONISTA</v>
      </c>
      <c r="F1818" s="47" t="s">
        <v>91</v>
      </c>
      <c r="G1818" s="24" t="str">
        <f>IFERROR(VLOOKUP(F1818,Procedimentos!A:C,2,),"")</f>
        <v>PROCEDIMENTO PARA ATENDIMENTO SOCIAL</v>
      </c>
      <c r="H1818" s="25"/>
      <c r="I1818" s="51"/>
      <c r="J1818" s="4"/>
      <c r="K1818" s="25" t="str">
        <f t="shared" si="69"/>
        <v/>
      </c>
      <c r="L1818" s="7"/>
      <c r="M1818" s="4"/>
      <c r="N1818" s="7"/>
      <c r="O1818" s="4"/>
      <c r="P1818" s="51"/>
      <c r="Q1818" s="51"/>
      <c r="R1818" s="51"/>
      <c r="S1818" s="7"/>
      <c r="T1818" s="7"/>
    </row>
    <row r="1819" spans="1:20" ht="14.25" customHeight="1">
      <c r="A1819" s="4"/>
      <c r="B1819" s="38">
        <v>14990</v>
      </c>
      <c r="C1819" s="22" t="str">
        <f>IFERROR(VLOOKUP(B1819,Colaboradores!A:D,2,),"")</f>
        <v>DAVID DE JESUS PEREIRA FONSECA</v>
      </c>
      <c r="D1819" s="22" t="str">
        <f>IFERROR(VLOOKUP(B1819,Colaboradores!A:D,3,),"")</f>
        <v>SAÚDE OCUPACIONAL</v>
      </c>
      <c r="E1819" s="22" t="str">
        <f>IFERROR(VLOOKUP(B1819,Colaboradores!A:D,4,),"")</f>
        <v>JOVEM APRENDIZ</v>
      </c>
      <c r="F1819" s="47" t="s">
        <v>91</v>
      </c>
      <c r="G1819" s="24" t="str">
        <f>IFERROR(VLOOKUP(F1819,Procedimentos!A:C,2,),"")</f>
        <v>PROCEDIMENTO PARA ATENDIMENTO SOCIAL</v>
      </c>
      <c r="H1819" s="25"/>
      <c r="I1819" s="51"/>
      <c r="J1819" s="4"/>
      <c r="K1819" s="25" t="str">
        <f t="shared" si="69"/>
        <v/>
      </c>
      <c r="L1819" s="7"/>
      <c r="M1819" s="4"/>
      <c r="N1819" s="7"/>
      <c r="O1819" s="4"/>
      <c r="P1819" s="51"/>
      <c r="Q1819" s="51"/>
      <c r="R1819" s="51"/>
      <c r="S1819" s="7"/>
      <c r="T1819" s="7"/>
    </row>
    <row r="1820" spans="1:20" ht="14.25" customHeight="1">
      <c r="A1820" s="4"/>
      <c r="B1820" s="38">
        <v>9058</v>
      </c>
      <c r="C1820" s="22" t="str">
        <f>IFERROR(VLOOKUP(B1820,Colaboradores!A:D,2,),"")</f>
        <v>DENISE CRISTRINA CASTRO</v>
      </c>
      <c r="D1820" s="22" t="str">
        <f>IFERROR(VLOOKUP(B1820,Colaboradores!A:D,3,),"")</f>
        <v>SAÚDE OCUPACIONAL</v>
      </c>
      <c r="E1820" s="22" t="str">
        <f>IFERROR(VLOOKUP(B1820,Colaboradores!A:D,4,),"")</f>
        <v>ASSESSOR(A) DE SERVIÇO SOCIAL</v>
      </c>
      <c r="F1820" s="47" t="s">
        <v>91</v>
      </c>
      <c r="G1820" s="24" t="str">
        <f>IFERROR(VLOOKUP(F1820,Procedimentos!A:C,2,),"")</f>
        <v>PROCEDIMENTO PARA ATENDIMENTO SOCIAL</v>
      </c>
      <c r="H1820" s="22" t="s">
        <v>7</v>
      </c>
      <c r="I1820" s="51"/>
      <c r="J1820" s="4"/>
      <c r="K1820" s="25" t="str">
        <f t="shared" si="69"/>
        <v/>
      </c>
      <c r="L1820" s="7"/>
      <c r="M1820" s="4"/>
      <c r="N1820" s="7"/>
      <c r="O1820" s="4"/>
      <c r="P1820" s="51"/>
      <c r="Q1820" s="51"/>
      <c r="R1820" s="51"/>
      <c r="S1820" s="7"/>
      <c r="T1820" s="7"/>
    </row>
    <row r="1821" spans="1:20" ht="14.25" customHeight="1">
      <c r="A1821" s="4"/>
      <c r="B1821" s="38">
        <v>8111</v>
      </c>
      <c r="C1821" s="22" t="str">
        <f>IFERROR(VLOOKUP(B1821,Colaboradores!A:D,2,),"")</f>
        <v>FABIANA SILVA COSTA</v>
      </c>
      <c r="D1821" s="22" t="str">
        <f>IFERROR(VLOOKUP(B1821,Colaboradores!A:D,3,),"")</f>
        <v>SAÚDE OCUPACIONAL</v>
      </c>
      <c r="E1821" s="22" t="str">
        <f>IFERROR(VLOOKUP(B1821,Colaboradores!A:D,4,),"")</f>
        <v>ASSESSOR(A) DE FISIOTERAPIA</v>
      </c>
      <c r="F1821" s="47" t="s">
        <v>91</v>
      </c>
      <c r="G1821" s="24" t="str">
        <f>IFERROR(VLOOKUP(F1821,Procedimentos!A:C,2,),"")</f>
        <v>PROCEDIMENTO PARA ATENDIMENTO SOCIAL</v>
      </c>
      <c r="H1821" s="25"/>
      <c r="I1821" s="51"/>
      <c r="J1821" s="4"/>
      <c r="K1821" s="25" t="str">
        <f t="shared" si="69"/>
        <v/>
      </c>
      <c r="L1821" s="7"/>
      <c r="M1821" s="4"/>
      <c r="N1821" s="7"/>
      <c r="O1821" s="4"/>
      <c r="P1821" s="51"/>
      <c r="Q1821" s="51"/>
      <c r="R1821" s="51"/>
      <c r="S1821" s="7"/>
      <c r="T1821" s="7"/>
    </row>
    <row r="1822" spans="1:20" ht="14.25" customHeight="1">
      <c r="A1822" s="4"/>
      <c r="B1822" s="38">
        <v>14972</v>
      </c>
      <c r="C1822" s="22" t="str">
        <f>IFERROR(VLOOKUP(B1822,Colaboradores!A:D,2,),"")</f>
        <v>JUAN PABLO SOUSA FARIAS</v>
      </c>
      <c r="D1822" s="22" t="str">
        <f>IFERROR(VLOOKUP(B1822,Colaboradores!A:D,3,),"")</f>
        <v>SAÚDE OCUPACIONAL</v>
      </c>
      <c r="E1822" s="22" t="str">
        <f>IFERROR(VLOOKUP(B1822,Colaboradores!A:D,4,),"")</f>
        <v>JOVEM APRENDIZ</v>
      </c>
      <c r="F1822" s="47" t="s">
        <v>91</v>
      </c>
      <c r="G1822" s="24" t="str">
        <f>IFERROR(VLOOKUP(F1822,Procedimentos!A:C,2,),"")</f>
        <v>PROCEDIMENTO PARA ATENDIMENTO SOCIAL</v>
      </c>
      <c r="H1822" s="25"/>
      <c r="I1822" s="51"/>
      <c r="J1822" s="4"/>
      <c r="K1822" s="25" t="str">
        <f t="shared" si="69"/>
        <v/>
      </c>
      <c r="L1822" s="7"/>
      <c r="M1822" s="4"/>
      <c r="N1822" s="7"/>
      <c r="O1822" s="4"/>
      <c r="P1822" s="51"/>
      <c r="Q1822" s="51"/>
      <c r="R1822" s="51"/>
      <c r="S1822" s="7"/>
      <c r="T1822" s="7"/>
    </row>
    <row r="1823" spans="1:20" ht="14.25" customHeight="1">
      <c r="A1823" s="4"/>
      <c r="B1823" s="38">
        <v>13594</v>
      </c>
      <c r="C1823" s="22" t="str">
        <f>IFERROR(VLOOKUP(B1823,Colaboradores!A:D,2,),"")</f>
        <v>MARCIO AUGUSTO SILVA MIRANDA</v>
      </c>
      <c r="D1823" s="22" t="str">
        <f>IFERROR(VLOOKUP(B1823,Colaboradores!A:D,3,),"")</f>
        <v>SAÚDE OCUPACIONAL</v>
      </c>
      <c r="E1823" s="22" t="str">
        <f>IFERROR(VLOOKUP(B1823,Colaboradores!A:D,4,),"")</f>
        <v>ASSESSOR (A) CLINICO</v>
      </c>
      <c r="F1823" s="47" t="s">
        <v>91</v>
      </c>
      <c r="G1823" s="24" t="str">
        <f>IFERROR(VLOOKUP(F1823,Procedimentos!A:C,2,),"")</f>
        <v>PROCEDIMENTO PARA ATENDIMENTO SOCIAL</v>
      </c>
      <c r="H1823" s="25"/>
      <c r="I1823" s="51"/>
      <c r="J1823" s="4"/>
      <c r="K1823" s="25" t="str">
        <f t="shared" si="69"/>
        <v/>
      </c>
      <c r="L1823" s="7"/>
      <c r="M1823" s="4"/>
      <c r="N1823" s="7"/>
      <c r="O1823" s="4"/>
      <c r="P1823" s="51"/>
      <c r="Q1823" s="51"/>
      <c r="R1823" s="51"/>
      <c r="S1823" s="7"/>
      <c r="T1823" s="7"/>
    </row>
    <row r="1824" spans="1:20" ht="14.25" customHeight="1">
      <c r="A1824" s="4"/>
      <c r="B1824" s="38">
        <v>14499</v>
      </c>
      <c r="C1824" s="22" t="str">
        <f>IFERROR(VLOOKUP(B1824,Colaboradores!A:D,2,),"")</f>
        <v>SAMIRIS COSTA DA SILVA</v>
      </c>
      <c r="D1824" s="22" t="str">
        <f>IFERROR(VLOOKUP(B1824,Colaboradores!A:D,3,),"")</f>
        <v>SAÚDE OCUPACIONAL</v>
      </c>
      <c r="E1824" s="22" t="str">
        <f>IFERROR(VLOOKUP(B1824,Colaboradores!A:D,4,),"")</f>
        <v>PSICÓLOGA</v>
      </c>
      <c r="F1824" s="47" t="s">
        <v>91</v>
      </c>
      <c r="G1824" s="24" t="str">
        <f>IFERROR(VLOOKUP(F1824,Procedimentos!A:C,2,),"")</f>
        <v>PROCEDIMENTO PARA ATENDIMENTO SOCIAL</v>
      </c>
      <c r="H1824" s="25"/>
      <c r="I1824" s="51"/>
      <c r="J1824" s="4"/>
      <c r="K1824" s="25" t="str">
        <f t="shared" si="69"/>
        <v/>
      </c>
      <c r="L1824" s="7"/>
      <c r="M1824" s="4"/>
      <c r="N1824" s="7"/>
      <c r="O1824" s="4"/>
      <c r="P1824" s="51"/>
      <c r="Q1824" s="51"/>
      <c r="R1824" s="51"/>
      <c r="S1824" s="7"/>
      <c r="T1824" s="7"/>
    </row>
    <row r="1825" spans="1:20" ht="14.25" customHeight="1">
      <c r="A1825" s="4"/>
      <c r="B1825" s="38">
        <v>12463</v>
      </c>
      <c r="C1825" s="22" t="str">
        <f>IFERROR(VLOOKUP(B1825,Colaboradores!A:D,2,),"")</f>
        <v>SAMMY RAYANA L. SANTOS</v>
      </c>
      <c r="D1825" s="22" t="str">
        <f>IFERROR(VLOOKUP(B1825,Colaboradores!A:D,3,),"")</f>
        <v>SAÚDE OCUPACIONAL</v>
      </c>
      <c r="E1825" s="22" t="str">
        <f>IFERROR(VLOOKUP(B1825,Colaboradores!A:D,4,),"")</f>
        <v>ASSESSOR(A) DE SERVIÇO SOCIAL</v>
      </c>
      <c r="F1825" s="47" t="s">
        <v>91</v>
      </c>
      <c r="G1825" s="24" t="str">
        <f>IFERROR(VLOOKUP(F1825,Procedimentos!A:C,2,),"")</f>
        <v>PROCEDIMENTO PARA ATENDIMENTO SOCIAL</v>
      </c>
      <c r="H1825" s="22" t="s">
        <v>7</v>
      </c>
      <c r="I1825" s="51"/>
      <c r="J1825" s="4"/>
      <c r="K1825" s="25" t="str">
        <f t="shared" si="69"/>
        <v/>
      </c>
      <c r="L1825" s="7"/>
      <c r="M1825" s="4"/>
      <c r="N1825" s="7"/>
      <c r="O1825" s="4"/>
      <c r="P1825" s="51"/>
      <c r="Q1825" s="51"/>
      <c r="R1825" s="51"/>
      <c r="S1825" s="7"/>
      <c r="T1825" s="7"/>
    </row>
    <row r="1826" spans="1:20" ht="14.25" customHeight="1">
      <c r="A1826" s="4"/>
      <c r="B1826" s="38">
        <v>13100</v>
      </c>
      <c r="C1826" s="22" t="str">
        <f>IFERROR(VLOOKUP(B1826,Colaboradores!A:D,2,),"")</f>
        <v>TAYNAH SOARES DE SOUZA CAMARAO</v>
      </c>
      <c r="D1826" s="22" t="str">
        <f>IFERROR(VLOOKUP(B1826,Colaboradores!A:D,3,),"")</f>
        <v>SAÚDE OCUPACIONAL</v>
      </c>
      <c r="E1826" s="22" t="str">
        <f>IFERROR(VLOOKUP(B1826,Colaboradores!A:D,4,),"")</f>
        <v>MÉDICA</v>
      </c>
      <c r="F1826" s="47" t="s">
        <v>91</v>
      </c>
      <c r="G1826" s="24" t="str">
        <f>IFERROR(VLOOKUP(F1826,Procedimentos!A:C,2,),"")</f>
        <v>PROCEDIMENTO PARA ATENDIMENTO SOCIAL</v>
      </c>
      <c r="H1826" s="25"/>
      <c r="I1826" s="51"/>
      <c r="J1826" s="4"/>
      <c r="K1826" s="25" t="str">
        <f t="shared" si="69"/>
        <v/>
      </c>
      <c r="L1826" s="7"/>
      <c r="M1826" s="4"/>
      <c r="N1826" s="7"/>
      <c r="O1826" s="4"/>
      <c r="P1826" s="51"/>
      <c r="Q1826" s="51"/>
      <c r="R1826" s="51"/>
      <c r="S1826" s="7"/>
      <c r="T1826" s="7"/>
    </row>
    <row r="1827" spans="1:20" ht="14.25" customHeight="1">
      <c r="A1827" s="4"/>
      <c r="B1827" s="38">
        <v>14962</v>
      </c>
      <c r="C1827" s="22" t="str">
        <f>IFERROR(VLOOKUP(B1827,Colaboradores!A:D,2,),"")</f>
        <v>YASMIN KARINE DE OLIVEIRA SOARES</v>
      </c>
      <c r="D1827" s="22" t="str">
        <f>IFERROR(VLOOKUP(B1827,Colaboradores!A:D,3,),"")</f>
        <v>SAÚDE OCUPACIONAL</v>
      </c>
      <c r="E1827" s="22" t="str">
        <f>IFERROR(VLOOKUP(B1827,Colaboradores!A:D,4,),"")</f>
        <v>JOVEM APRENDIZ</v>
      </c>
      <c r="F1827" s="47" t="s">
        <v>91</v>
      </c>
      <c r="G1827" s="24" t="str">
        <f>IFERROR(VLOOKUP(F1827,Procedimentos!A:C,2,),"")</f>
        <v>PROCEDIMENTO PARA ATENDIMENTO SOCIAL</v>
      </c>
      <c r="H1827" s="25"/>
      <c r="I1827" s="51"/>
      <c r="J1827" s="4"/>
      <c r="K1827" s="25" t="str">
        <f t="shared" si="69"/>
        <v/>
      </c>
      <c r="L1827" s="7"/>
      <c r="M1827" s="4"/>
      <c r="N1827" s="7"/>
      <c r="O1827" s="4"/>
      <c r="P1827" s="51"/>
      <c r="Q1827" s="51"/>
      <c r="R1827" s="51"/>
      <c r="S1827" s="7"/>
      <c r="T1827" s="7"/>
    </row>
    <row r="1828" spans="1:20" ht="14.25" customHeight="1">
      <c r="A1828" s="4"/>
      <c r="B1828" s="38">
        <v>24306</v>
      </c>
      <c r="C1828" s="22" t="str">
        <f>IFERROR(VLOOKUP(B1828,Colaboradores!A:D,2,),"")</f>
        <v>ANNA MARIA ARAUJO PIORSKI</v>
      </c>
      <c r="D1828" s="22" t="str">
        <f>IFERROR(VLOOKUP(B1828,Colaboradores!A:D,3,),"")</f>
        <v>SAÚDE OCUPACIONAL</v>
      </c>
      <c r="E1828" s="22" t="str">
        <f>IFERROR(VLOOKUP(B1828,Colaboradores!A:D,4,),"")</f>
        <v>ASSESSOR(A) DE NUTRIÇÃO</v>
      </c>
      <c r="F1828" s="47" t="s">
        <v>92</v>
      </c>
      <c r="G1828" s="24" t="str">
        <f>IFERROR(VLOOKUP(F1828,Procedimentos!A:C,2,),"")</f>
        <v>PROCEDIMENTO PARA GESTÃO DE PRONTUÁRIO</v>
      </c>
      <c r="H1828" s="25"/>
      <c r="I1828" s="51"/>
      <c r="J1828" s="4"/>
      <c r="K1828" s="25" t="str">
        <f t="shared" si="69"/>
        <v/>
      </c>
      <c r="L1828" s="7"/>
      <c r="M1828" s="4"/>
      <c r="N1828" s="7"/>
      <c r="O1828" s="4"/>
      <c r="P1828" s="51"/>
      <c r="Q1828" s="51"/>
      <c r="R1828" s="51"/>
      <c r="S1828" s="7"/>
      <c r="T1828" s="7"/>
    </row>
    <row r="1829" spans="1:20" ht="14.25" customHeight="1">
      <c r="A1829" s="4"/>
      <c r="B1829" s="38">
        <v>12330</v>
      </c>
      <c r="C1829" s="22" t="str">
        <f>IFERROR(VLOOKUP(B1829,Colaboradores!A:D,2,),"")</f>
        <v>BIANCA GUEDES SILVA ALMEIDA</v>
      </c>
      <c r="D1829" s="22" t="str">
        <f>IFERROR(VLOOKUP(B1829,Colaboradores!A:D,3,),"")</f>
        <v>SAÚDE OCUPACIONAL</v>
      </c>
      <c r="E1829" s="22" t="str">
        <f>IFERROR(VLOOKUP(B1829,Colaboradores!A:D,4,),"")</f>
        <v>NUTRICIONISTA</v>
      </c>
      <c r="F1829" s="47" t="s">
        <v>92</v>
      </c>
      <c r="G1829" s="24" t="str">
        <f>IFERROR(VLOOKUP(F1829,Procedimentos!A:C,2,),"")</f>
        <v>PROCEDIMENTO PARA GESTÃO DE PRONTUÁRIO</v>
      </c>
      <c r="H1829" s="25"/>
      <c r="I1829" s="51"/>
      <c r="J1829" s="4"/>
      <c r="K1829" s="25" t="str">
        <f t="shared" si="69"/>
        <v/>
      </c>
      <c r="L1829" s="7"/>
      <c r="M1829" s="4"/>
      <c r="N1829" s="7"/>
      <c r="O1829" s="4"/>
      <c r="P1829" s="51"/>
      <c r="Q1829" s="51"/>
      <c r="R1829" s="51"/>
      <c r="S1829" s="7"/>
      <c r="T1829" s="7"/>
    </row>
    <row r="1830" spans="1:20" ht="14.25" customHeight="1">
      <c r="A1830" s="4"/>
      <c r="B1830" s="38">
        <v>14990</v>
      </c>
      <c r="C1830" s="22" t="str">
        <f>IFERROR(VLOOKUP(B1830,Colaboradores!A:D,2,),"")</f>
        <v>DAVID DE JESUS PEREIRA FONSECA</v>
      </c>
      <c r="D1830" s="22" t="str">
        <f>IFERROR(VLOOKUP(B1830,Colaboradores!A:D,3,),"")</f>
        <v>SAÚDE OCUPACIONAL</v>
      </c>
      <c r="E1830" s="22" t="str">
        <f>IFERROR(VLOOKUP(B1830,Colaboradores!A:D,4,),"")</f>
        <v>JOVEM APRENDIZ</v>
      </c>
      <c r="F1830" s="47" t="s">
        <v>92</v>
      </c>
      <c r="G1830" s="24" t="str">
        <f>IFERROR(VLOOKUP(F1830,Procedimentos!A:C,2,),"")</f>
        <v>PROCEDIMENTO PARA GESTÃO DE PRONTUÁRIO</v>
      </c>
      <c r="H1830" s="25"/>
      <c r="I1830" s="51"/>
      <c r="J1830" s="4"/>
      <c r="K1830" s="25" t="str">
        <f t="shared" si="69"/>
        <v/>
      </c>
      <c r="L1830" s="7"/>
      <c r="M1830" s="4"/>
      <c r="N1830" s="7"/>
      <c r="O1830" s="4"/>
      <c r="P1830" s="51"/>
      <c r="Q1830" s="51"/>
      <c r="R1830" s="51"/>
      <c r="S1830" s="7"/>
      <c r="T1830" s="7"/>
    </row>
    <row r="1831" spans="1:20" ht="14.25" customHeight="1">
      <c r="A1831" s="4"/>
      <c r="B1831" s="38">
        <v>9058</v>
      </c>
      <c r="C1831" s="22" t="str">
        <f>IFERROR(VLOOKUP(B1831,Colaboradores!A:D,2,),"")</f>
        <v>DENISE CRISTRINA CASTRO</v>
      </c>
      <c r="D1831" s="22" t="str">
        <f>IFERROR(VLOOKUP(B1831,Colaboradores!A:D,3,),"")</f>
        <v>SAÚDE OCUPACIONAL</v>
      </c>
      <c r="E1831" s="22" t="str">
        <f>IFERROR(VLOOKUP(B1831,Colaboradores!A:D,4,),"")</f>
        <v>ASSESSOR(A) DE SERVIÇO SOCIAL</v>
      </c>
      <c r="F1831" s="47" t="s">
        <v>92</v>
      </c>
      <c r="G1831" s="24" t="str">
        <f>IFERROR(VLOOKUP(F1831,Procedimentos!A:C,2,),"")</f>
        <v>PROCEDIMENTO PARA GESTÃO DE PRONTUÁRIO</v>
      </c>
      <c r="H1831" s="25"/>
      <c r="I1831" s="51"/>
      <c r="J1831" s="4"/>
      <c r="K1831" s="25" t="str">
        <f t="shared" si="69"/>
        <v/>
      </c>
      <c r="L1831" s="7"/>
      <c r="M1831" s="4"/>
      <c r="N1831" s="7"/>
      <c r="O1831" s="4"/>
      <c r="P1831" s="51"/>
      <c r="Q1831" s="51"/>
      <c r="R1831" s="51"/>
      <c r="S1831" s="7"/>
      <c r="T1831" s="7"/>
    </row>
    <row r="1832" spans="1:20" ht="14.25" customHeight="1">
      <c r="A1832" s="4"/>
      <c r="B1832" s="38">
        <v>8111</v>
      </c>
      <c r="C1832" s="22" t="str">
        <f>IFERROR(VLOOKUP(B1832,Colaboradores!A:D,2,),"")</f>
        <v>FABIANA SILVA COSTA</v>
      </c>
      <c r="D1832" s="22" t="str">
        <f>IFERROR(VLOOKUP(B1832,Colaboradores!A:D,3,),"")</f>
        <v>SAÚDE OCUPACIONAL</v>
      </c>
      <c r="E1832" s="22" t="str">
        <f>IFERROR(VLOOKUP(B1832,Colaboradores!A:D,4,),"")</f>
        <v>ASSESSOR(A) DE FISIOTERAPIA</v>
      </c>
      <c r="F1832" s="47" t="s">
        <v>92</v>
      </c>
      <c r="G1832" s="24" t="str">
        <f>IFERROR(VLOOKUP(F1832,Procedimentos!A:C,2,),"")</f>
        <v>PROCEDIMENTO PARA GESTÃO DE PRONTUÁRIO</v>
      </c>
      <c r="H1832" s="25"/>
      <c r="I1832" s="51"/>
      <c r="J1832" s="4"/>
      <c r="K1832" s="25" t="str">
        <f t="shared" si="69"/>
        <v/>
      </c>
      <c r="L1832" s="7"/>
      <c r="M1832" s="4"/>
      <c r="N1832" s="7"/>
      <c r="O1832" s="4"/>
      <c r="P1832" s="51"/>
      <c r="Q1832" s="51"/>
      <c r="R1832" s="51"/>
      <c r="S1832" s="7"/>
      <c r="T1832" s="7"/>
    </row>
    <row r="1833" spans="1:20" ht="14.25" customHeight="1">
      <c r="A1833" s="4"/>
      <c r="B1833" s="38">
        <v>14972</v>
      </c>
      <c r="C1833" s="22" t="str">
        <f>IFERROR(VLOOKUP(B1833,Colaboradores!A:D,2,),"")</f>
        <v>JUAN PABLO SOUSA FARIAS</v>
      </c>
      <c r="D1833" s="22" t="str">
        <f>IFERROR(VLOOKUP(B1833,Colaboradores!A:D,3,),"")</f>
        <v>SAÚDE OCUPACIONAL</v>
      </c>
      <c r="E1833" s="22" t="str">
        <f>IFERROR(VLOOKUP(B1833,Colaboradores!A:D,4,),"")</f>
        <v>JOVEM APRENDIZ</v>
      </c>
      <c r="F1833" s="47" t="s">
        <v>92</v>
      </c>
      <c r="G1833" s="24" t="str">
        <f>IFERROR(VLOOKUP(F1833,Procedimentos!A:C,2,),"")</f>
        <v>PROCEDIMENTO PARA GESTÃO DE PRONTUÁRIO</v>
      </c>
      <c r="H1833" s="25"/>
      <c r="I1833" s="51"/>
      <c r="J1833" s="4"/>
      <c r="K1833" s="25" t="str">
        <f t="shared" si="69"/>
        <v/>
      </c>
      <c r="L1833" s="7"/>
      <c r="M1833" s="4"/>
      <c r="N1833" s="7"/>
      <c r="O1833" s="4"/>
      <c r="P1833" s="51"/>
      <c r="Q1833" s="51"/>
      <c r="R1833" s="51"/>
      <c r="S1833" s="7"/>
      <c r="T1833" s="7"/>
    </row>
    <row r="1834" spans="1:20" ht="14.25" customHeight="1">
      <c r="A1834" s="4"/>
      <c r="B1834" s="38">
        <v>13594</v>
      </c>
      <c r="C1834" s="22" t="str">
        <f>IFERROR(VLOOKUP(B1834,Colaboradores!A:D,2,),"")</f>
        <v>MARCIO AUGUSTO SILVA MIRANDA</v>
      </c>
      <c r="D1834" s="22" t="str">
        <f>IFERROR(VLOOKUP(B1834,Colaboradores!A:D,3,),"")</f>
        <v>SAÚDE OCUPACIONAL</v>
      </c>
      <c r="E1834" s="22" t="str">
        <f>IFERROR(VLOOKUP(B1834,Colaboradores!A:D,4,),"")</f>
        <v>ASSESSOR (A) CLINICO</v>
      </c>
      <c r="F1834" s="47" t="s">
        <v>92</v>
      </c>
      <c r="G1834" s="24" t="str">
        <f>IFERROR(VLOOKUP(F1834,Procedimentos!A:C,2,),"")</f>
        <v>PROCEDIMENTO PARA GESTÃO DE PRONTUÁRIO</v>
      </c>
      <c r="H1834" s="25"/>
      <c r="I1834" s="51"/>
      <c r="J1834" s="4"/>
      <c r="K1834" s="25" t="str">
        <f t="shared" si="69"/>
        <v/>
      </c>
      <c r="L1834" s="7"/>
      <c r="M1834" s="4"/>
      <c r="N1834" s="7"/>
      <c r="O1834" s="4"/>
      <c r="P1834" s="51"/>
      <c r="Q1834" s="51"/>
      <c r="R1834" s="51"/>
      <c r="S1834" s="7"/>
      <c r="T1834" s="7"/>
    </row>
    <row r="1835" spans="1:20" ht="14.25" customHeight="1">
      <c r="A1835" s="4"/>
      <c r="B1835" s="38">
        <v>14499</v>
      </c>
      <c r="C1835" s="22" t="str">
        <f>IFERROR(VLOOKUP(B1835,Colaboradores!A:D,2,),"")</f>
        <v>SAMIRIS COSTA DA SILVA</v>
      </c>
      <c r="D1835" s="22" t="str">
        <f>IFERROR(VLOOKUP(B1835,Colaboradores!A:D,3,),"")</f>
        <v>SAÚDE OCUPACIONAL</v>
      </c>
      <c r="E1835" s="22" t="str">
        <f>IFERROR(VLOOKUP(B1835,Colaboradores!A:D,4,),"")</f>
        <v>PSICÓLOGA</v>
      </c>
      <c r="F1835" s="47" t="s">
        <v>92</v>
      </c>
      <c r="G1835" s="24" t="str">
        <f>IFERROR(VLOOKUP(F1835,Procedimentos!A:C,2,),"")</f>
        <v>PROCEDIMENTO PARA GESTÃO DE PRONTUÁRIO</v>
      </c>
      <c r="H1835" s="25"/>
      <c r="I1835" s="51"/>
      <c r="J1835" s="4"/>
      <c r="K1835" s="25" t="str">
        <f t="shared" si="69"/>
        <v/>
      </c>
      <c r="L1835" s="7"/>
      <c r="M1835" s="4"/>
      <c r="N1835" s="7"/>
      <c r="O1835" s="4"/>
      <c r="P1835" s="51"/>
      <c r="Q1835" s="51"/>
      <c r="R1835" s="51"/>
      <c r="S1835" s="7"/>
      <c r="T1835" s="7"/>
    </row>
    <row r="1836" spans="1:20" ht="14.25" customHeight="1">
      <c r="A1836" s="4"/>
      <c r="B1836" s="38">
        <v>12463</v>
      </c>
      <c r="C1836" s="22" t="str">
        <f>IFERROR(VLOOKUP(B1836,Colaboradores!A:D,2,),"")</f>
        <v>SAMMY RAYANA L. SANTOS</v>
      </c>
      <c r="D1836" s="22" t="str">
        <f>IFERROR(VLOOKUP(B1836,Colaboradores!A:D,3,),"")</f>
        <v>SAÚDE OCUPACIONAL</v>
      </c>
      <c r="E1836" s="22" t="str">
        <f>IFERROR(VLOOKUP(B1836,Colaboradores!A:D,4,),"")</f>
        <v>ASSESSOR(A) DE SERVIÇO SOCIAL</v>
      </c>
      <c r="F1836" s="47" t="s">
        <v>92</v>
      </c>
      <c r="G1836" s="24" t="str">
        <f>IFERROR(VLOOKUP(F1836,Procedimentos!A:C,2,),"")</f>
        <v>PROCEDIMENTO PARA GESTÃO DE PRONTUÁRIO</v>
      </c>
      <c r="H1836" s="25"/>
      <c r="I1836" s="51"/>
      <c r="J1836" s="4"/>
      <c r="K1836" s="25" t="str">
        <f t="shared" si="69"/>
        <v/>
      </c>
      <c r="L1836" s="7"/>
      <c r="M1836" s="4"/>
      <c r="N1836" s="7"/>
      <c r="O1836" s="4"/>
      <c r="P1836" s="51"/>
      <c r="Q1836" s="51"/>
      <c r="R1836" s="51"/>
      <c r="S1836" s="7"/>
      <c r="T1836" s="7"/>
    </row>
    <row r="1837" spans="1:20" ht="14.25" customHeight="1">
      <c r="A1837" s="4"/>
      <c r="B1837" s="38">
        <v>13100</v>
      </c>
      <c r="C1837" s="22" t="str">
        <f>IFERROR(VLOOKUP(B1837,Colaboradores!A:D,2,),"")</f>
        <v>TAYNAH SOARES DE SOUZA CAMARAO</v>
      </c>
      <c r="D1837" s="22" t="str">
        <f>IFERROR(VLOOKUP(B1837,Colaboradores!A:D,3,),"")</f>
        <v>SAÚDE OCUPACIONAL</v>
      </c>
      <c r="E1837" s="22" t="str">
        <f>IFERROR(VLOOKUP(B1837,Colaboradores!A:D,4,),"")</f>
        <v>MÉDICA</v>
      </c>
      <c r="F1837" s="47" t="s">
        <v>92</v>
      </c>
      <c r="G1837" s="24" t="str">
        <f>IFERROR(VLOOKUP(F1837,Procedimentos!A:C,2,),"")</f>
        <v>PROCEDIMENTO PARA GESTÃO DE PRONTUÁRIO</v>
      </c>
      <c r="H1837" s="25"/>
      <c r="I1837" s="51"/>
      <c r="J1837" s="4"/>
      <c r="K1837" s="25" t="str">
        <f t="shared" si="69"/>
        <v/>
      </c>
      <c r="L1837" s="7"/>
      <c r="M1837" s="4"/>
      <c r="N1837" s="7"/>
      <c r="O1837" s="4"/>
      <c r="P1837" s="51"/>
      <c r="Q1837" s="51"/>
      <c r="R1837" s="51"/>
      <c r="S1837" s="7"/>
      <c r="T1837" s="7"/>
    </row>
    <row r="1838" spans="1:20" ht="14.25" customHeight="1">
      <c r="A1838" s="4"/>
      <c r="B1838" s="38">
        <v>14962</v>
      </c>
      <c r="C1838" s="22" t="str">
        <f>IFERROR(VLOOKUP(B1838,Colaboradores!A:D,2,),"")</f>
        <v>YASMIN KARINE DE OLIVEIRA SOARES</v>
      </c>
      <c r="D1838" s="22" t="str">
        <f>IFERROR(VLOOKUP(B1838,Colaboradores!A:D,3,),"")</f>
        <v>SAÚDE OCUPACIONAL</v>
      </c>
      <c r="E1838" s="22" t="str">
        <f>IFERROR(VLOOKUP(B1838,Colaboradores!A:D,4,),"")</f>
        <v>JOVEM APRENDIZ</v>
      </c>
      <c r="F1838" s="47" t="s">
        <v>92</v>
      </c>
      <c r="G1838" s="24" t="str">
        <f>IFERROR(VLOOKUP(F1838,Procedimentos!A:C,2,),"")</f>
        <v>PROCEDIMENTO PARA GESTÃO DE PRONTUÁRIO</v>
      </c>
      <c r="H1838" s="25"/>
      <c r="I1838" s="51"/>
      <c r="J1838" s="4"/>
      <c r="K1838" s="25" t="str">
        <f t="shared" si="69"/>
        <v/>
      </c>
      <c r="L1838" s="7"/>
      <c r="M1838" s="4"/>
      <c r="N1838" s="7"/>
      <c r="O1838" s="4"/>
      <c r="P1838" s="51"/>
      <c r="Q1838" s="51"/>
      <c r="R1838" s="51"/>
      <c r="S1838" s="7"/>
      <c r="T1838" s="7"/>
    </row>
    <row r="1839" spans="1:20" ht="14.25" customHeight="1">
      <c r="A1839" s="4"/>
      <c r="B1839" s="38">
        <v>24306</v>
      </c>
      <c r="C1839" s="22" t="str">
        <f>IFERROR(VLOOKUP(B1839,Colaboradores!A:D,2,),"")</f>
        <v>ANNA MARIA ARAUJO PIORSKI</v>
      </c>
      <c r="D1839" s="22" t="str">
        <f>IFERROR(VLOOKUP(B1839,Colaboradores!A:D,3,),"")</f>
        <v>SAÚDE OCUPACIONAL</v>
      </c>
      <c r="E1839" s="22" t="str">
        <f>IFERROR(VLOOKUP(B1839,Colaboradores!A:D,4,),"")</f>
        <v>ASSESSOR(A) DE NUTRIÇÃO</v>
      </c>
      <c r="F1839" s="47" t="s">
        <v>93</v>
      </c>
      <c r="G1839" s="24" t="str">
        <f>IFERROR(VLOOKUP(F1839,Procedimentos!A:C,2,),"")</f>
        <v>ATENDIMENTO PSICOLÓGICO EM FOLLOW UP NO ESPAÇO CUIDAR</v>
      </c>
      <c r="H1839" s="25"/>
      <c r="I1839" s="51"/>
      <c r="J1839" s="4"/>
      <c r="K1839" s="25" t="str">
        <f t="shared" si="69"/>
        <v/>
      </c>
      <c r="L1839" s="7"/>
      <c r="M1839" s="4"/>
      <c r="N1839" s="7"/>
      <c r="O1839" s="4"/>
      <c r="P1839" s="51"/>
      <c r="Q1839" s="51"/>
      <c r="R1839" s="51"/>
      <c r="S1839" s="7"/>
      <c r="T1839" s="7"/>
    </row>
    <row r="1840" spans="1:20" ht="14.25" customHeight="1">
      <c r="A1840" s="4"/>
      <c r="B1840" s="38">
        <v>12330</v>
      </c>
      <c r="C1840" s="22" t="str">
        <f>IFERROR(VLOOKUP(B1840,Colaboradores!A:D,2,),"")</f>
        <v>BIANCA GUEDES SILVA ALMEIDA</v>
      </c>
      <c r="D1840" s="22" t="str">
        <f>IFERROR(VLOOKUP(B1840,Colaboradores!A:D,3,),"")</f>
        <v>SAÚDE OCUPACIONAL</v>
      </c>
      <c r="E1840" s="22" t="str">
        <f>IFERROR(VLOOKUP(B1840,Colaboradores!A:D,4,),"")</f>
        <v>NUTRICIONISTA</v>
      </c>
      <c r="F1840" s="47" t="s">
        <v>93</v>
      </c>
      <c r="G1840" s="24" t="str">
        <f>IFERROR(VLOOKUP(F1840,Procedimentos!A:C,2,),"")</f>
        <v>ATENDIMENTO PSICOLÓGICO EM FOLLOW UP NO ESPAÇO CUIDAR</v>
      </c>
      <c r="H1840" s="25"/>
      <c r="I1840" s="51"/>
      <c r="J1840" s="4"/>
      <c r="K1840" s="25" t="str">
        <f t="shared" si="69"/>
        <v/>
      </c>
      <c r="L1840" s="7"/>
      <c r="M1840" s="4"/>
      <c r="N1840" s="7"/>
      <c r="O1840" s="4"/>
      <c r="P1840" s="51"/>
      <c r="Q1840" s="51"/>
      <c r="R1840" s="51"/>
      <c r="S1840" s="7"/>
      <c r="T1840" s="7"/>
    </row>
    <row r="1841" spans="1:20" ht="14.25" customHeight="1">
      <c r="A1841" s="4"/>
      <c r="B1841" s="38">
        <v>14990</v>
      </c>
      <c r="C1841" s="22" t="str">
        <f>IFERROR(VLOOKUP(B1841,Colaboradores!A:D,2,),"")</f>
        <v>DAVID DE JESUS PEREIRA FONSECA</v>
      </c>
      <c r="D1841" s="22" t="str">
        <f>IFERROR(VLOOKUP(B1841,Colaboradores!A:D,3,),"")</f>
        <v>SAÚDE OCUPACIONAL</v>
      </c>
      <c r="E1841" s="22" t="str">
        <f>IFERROR(VLOOKUP(B1841,Colaboradores!A:D,4,),"")</f>
        <v>JOVEM APRENDIZ</v>
      </c>
      <c r="F1841" s="47" t="s">
        <v>93</v>
      </c>
      <c r="G1841" s="24" t="str">
        <f>IFERROR(VLOOKUP(F1841,Procedimentos!A:C,2,),"")</f>
        <v>ATENDIMENTO PSICOLÓGICO EM FOLLOW UP NO ESPAÇO CUIDAR</v>
      </c>
      <c r="H1841" s="25"/>
      <c r="I1841" s="51"/>
      <c r="J1841" s="4"/>
      <c r="K1841" s="25" t="str">
        <f t="shared" si="69"/>
        <v/>
      </c>
      <c r="L1841" s="7"/>
      <c r="M1841" s="4"/>
      <c r="N1841" s="7"/>
      <c r="O1841" s="4"/>
      <c r="P1841" s="51"/>
      <c r="Q1841" s="51"/>
      <c r="R1841" s="51"/>
      <c r="S1841" s="7"/>
      <c r="T1841" s="7"/>
    </row>
    <row r="1842" spans="1:20" ht="14.25" customHeight="1">
      <c r="A1842" s="4"/>
      <c r="B1842" s="38">
        <v>9058</v>
      </c>
      <c r="C1842" s="22" t="str">
        <f>IFERROR(VLOOKUP(B1842,Colaboradores!A:D,2,),"")</f>
        <v>DENISE CRISTRINA CASTRO</v>
      </c>
      <c r="D1842" s="22" t="str">
        <f>IFERROR(VLOOKUP(B1842,Colaboradores!A:D,3,),"")</f>
        <v>SAÚDE OCUPACIONAL</v>
      </c>
      <c r="E1842" s="22" t="str">
        <f>IFERROR(VLOOKUP(B1842,Colaboradores!A:D,4,),"")</f>
        <v>ASSESSOR(A) DE SERVIÇO SOCIAL</v>
      </c>
      <c r="F1842" s="47" t="s">
        <v>93</v>
      </c>
      <c r="G1842" s="24" t="str">
        <f>IFERROR(VLOOKUP(F1842,Procedimentos!A:C,2,),"")</f>
        <v>ATENDIMENTO PSICOLÓGICO EM FOLLOW UP NO ESPAÇO CUIDAR</v>
      </c>
      <c r="H1842" s="25"/>
      <c r="I1842" s="51"/>
      <c r="J1842" s="4"/>
      <c r="K1842" s="25" t="str">
        <f t="shared" si="69"/>
        <v/>
      </c>
      <c r="L1842" s="7"/>
      <c r="M1842" s="4"/>
      <c r="N1842" s="7"/>
      <c r="O1842" s="4"/>
      <c r="P1842" s="51"/>
      <c r="Q1842" s="51"/>
      <c r="R1842" s="51"/>
      <c r="S1842" s="7"/>
      <c r="T1842" s="7"/>
    </row>
    <row r="1843" spans="1:20" ht="14.25" customHeight="1">
      <c r="A1843" s="4"/>
      <c r="B1843" s="38">
        <v>8111</v>
      </c>
      <c r="C1843" s="22" t="str">
        <f>IFERROR(VLOOKUP(B1843,Colaboradores!A:D,2,),"")</f>
        <v>FABIANA SILVA COSTA</v>
      </c>
      <c r="D1843" s="22" t="str">
        <f>IFERROR(VLOOKUP(B1843,Colaboradores!A:D,3,),"")</f>
        <v>SAÚDE OCUPACIONAL</v>
      </c>
      <c r="E1843" s="22" t="str">
        <f>IFERROR(VLOOKUP(B1843,Colaboradores!A:D,4,),"")</f>
        <v>ASSESSOR(A) DE FISIOTERAPIA</v>
      </c>
      <c r="F1843" s="47" t="s">
        <v>93</v>
      </c>
      <c r="G1843" s="24" t="str">
        <f>IFERROR(VLOOKUP(F1843,Procedimentos!A:C,2,),"")</f>
        <v>ATENDIMENTO PSICOLÓGICO EM FOLLOW UP NO ESPAÇO CUIDAR</v>
      </c>
      <c r="H1843" s="25"/>
      <c r="I1843" s="51"/>
      <c r="J1843" s="4"/>
      <c r="K1843" s="25" t="str">
        <f t="shared" si="69"/>
        <v/>
      </c>
      <c r="L1843" s="7"/>
      <c r="M1843" s="4"/>
      <c r="N1843" s="7"/>
      <c r="O1843" s="4"/>
      <c r="P1843" s="51"/>
      <c r="Q1843" s="51"/>
      <c r="R1843" s="51"/>
      <c r="S1843" s="7"/>
      <c r="T1843" s="7"/>
    </row>
    <row r="1844" spans="1:20" ht="14.25" customHeight="1">
      <c r="A1844" s="4"/>
      <c r="B1844" s="38">
        <v>14972</v>
      </c>
      <c r="C1844" s="22" t="str">
        <f>IFERROR(VLOOKUP(B1844,Colaboradores!A:D,2,),"")</f>
        <v>JUAN PABLO SOUSA FARIAS</v>
      </c>
      <c r="D1844" s="22" t="str">
        <f>IFERROR(VLOOKUP(B1844,Colaboradores!A:D,3,),"")</f>
        <v>SAÚDE OCUPACIONAL</v>
      </c>
      <c r="E1844" s="22" t="str">
        <f>IFERROR(VLOOKUP(B1844,Colaboradores!A:D,4,),"")</f>
        <v>JOVEM APRENDIZ</v>
      </c>
      <c r="F1844" s="47" t="s">
        <v>93</v>
      </c>
      <c r="G1844" s="24" t="str">
        <f>IFERROR(VLOOKUP(F1844,Procedimentos!A:C,2,),"")</f>
        <v>ATENDIMENTO PSICOLÓGICO EM FOLLOW UP NO ESPAÇO CUIDAR</v>
      </c>
      <c r="H1844" s="25"/>
      <c r="I1844" s="51"/>
      <c r="J1844" s="4"/>
      <c r="K1844" s="25" t="str">
        <f t="shared" si="69"/>
        <v/>
      </c>
      <c r="L1844" s="7"/>
      <c r="M1844" s="4"/>
      <c r="N1844" s="7"/>
      <c r="O1844" s="4"/>
      <c r="P1844" s="51"/>
      <c r="Q1844" s="51"/>
      <c r="R1844" s="51"/>
      <c r="S1844" s="7"/>
      <c r="T1844" s="7"/>
    </row>
    <row r="1845" spans="1:20" ht="14.25" customHeight="1">
      <c r="A1845" s="4"/>
      <c r="B1845" s="38">
        <v>13594</v>
      </c>
      <c r="C1845" s="22" t="str">
        <f>IFERROR(VLOOKUP(B1845,Colaboradores!A:D,2,),"")</f>
        <v>MARCIO AUGUSTO SILVA MIRANDA</v>
      </c>
      <c r="D1845" s="22" t="str">
        <f>IFERROR(VLOOKUP(B1845,Colaboradores!A:D,3,),"")</f>
        <v>SAÚDE OCUPACIONAL</v>
      </c>
      <c r="E1845" s="22" t="str">
        <f>IFERROR(VLOOKUP(B1845,Colaboradores!A:D,4,),"")</f>
        <v>ASSESSOR (A) CLINICO</v>
      </c>
      <c r="F1845" s="47" t="s">
        <v>93</v>
      </c>
      <c r="G1845" s="24" t="str">
        <f>IFERROR(VLOOKUP(F1845,Procedimentos!A:C,2,),"")</f>
        <v>ATENDIMENTO PSICOLÓGICO EM FOLLOW UP NO ESPAÇO CUIDAR</v>
      </c>
      <c r="H1845" s="25"/>
      <c r="I1845" s="51"/>
      <c r="J1845" s="4"/>
      <c r="K1845" s="25" t="str">
        <f t="shared" si="69"/>
        <v/>
      </c>
      <c r="L1845" s="7"/>
      <c r="M1845" s="4"/>
      <c r="N1845" s="7"/>
      <c r="O1845" s="4"/>
      <c r="P1845" s="51"/>
      <c r="Q1845" s="51"/>
      <c r="R1845" s="51"/>
      <c r="S1845" s="7"/>
      <c r="T1845" s="7"/>
    </row>
    <row r="1846" spans="1:20" ht="14.25" customHeight="1">
      <c r="A1846" s="4"/>
      <c r="B1846" s="38">
        <v>14499</v>
      </c>
      <c r="C1846" s="22" t="str">
        <f>IFERROR(VLOOKUP(B1846,Colaboradores!A:D,2,),"")</f>
        <v>SAMIRIS COSTA DA SILVA</v>
      </c>
      <c r="D1846" s="22" t="str">
        <f>IFERROR(VLOOKUP(B1846,Colaboradores!A:D,3,),"")</f>
        <v>SAÚDE OCUPACIONAL</v>
      </c>
      <c r="E1846" s="22" t="str">
        <f>IFERROR(VLOOKUP(B1846,Colaboradores!A:D,4,),"")</f>
        <v>PSICÓLOGA</v>
      </c>
      <c r="F1846" s="47" t="s">
        <v>93</v>
      </c>
      <c r="G1846" s="24" t="str">
        <f>IFERROR(VLOOKUP(F1846,Procedimentos!A:C,2,),"")</f>
        <v>ATENDIMENTO PSICOLÓGICO EM FOLLOW UP NO ESPAÇO CUIDAR</v>
      </c>
      <c r="H1846" s="25"/>
      <c r="I1846" s="51"/>
      <c r="J1846" s="4"/>
      <c r="K1846" s="25" t="str">
        <f t="shared" si="69"/>
        <v/>
      </c>
      <c r="L1846" s="7"/>
      <c r="M1846" s="4"/>
      <c r="N1846" s="7"/>
      <c r="O1846" s="4"/>
      <c r="P1846" s="51"/>
      <c r="Q1846" s="51"/>
      <c r="R1846" s="51"/>
      <c r="S1846" s="7"/>
      <c r="T1846" s="7"/>
    </row>
    <row r="1847" spans="1:20" ht="14.25" customHeight="1">
      <c r="A1847" s="4"/>
      <c r="B1847" s="38">
        <v>12463</v>
      </c>
      <c r="C1847" s="22" t="str">
        <f>IFERROR(VLOOKUP(B1847,Colaboradores!A:D,2,),"")</f>
        <v>SAMMY RAYANA L. SANTOS</v>
      </c>
      <c r="D1847" s="22" t="str">
        <f>IFERROR(VLOOKUP(B1847,Colaboradores!A:D,3,),"")</f>
        <v>SAÚDE OCUPACIONAL</v>
      </c>
      <c r="E1847" s="22" t="str">
        <f>IFERROR(VLOOKUP(B1847,Colaboradores!A:D,4,),"")</f>
        <v>ASSESSOR(A) DE SERVIÇO SOCIAL</v>
      </c>
      <c r="F1847" s="47" t="s">
        <v>93</v>
      </c>
      <c r="G1847" s="24" t="str">
        <f>IFERROR(VLOOKUP(F1847,Procedimentos!A:C,2,),"")</f>
        <v>ATENDIMENTO PSICOLÓGICO EM FOLLOW UP NO ESPAÇO CUIDAR</v>
      </c>
      <c r="H1847" s="25"/>
      <c r="I1847" s="51"/>
      <c r="J1847" s="4"/>
      <c r="K1847" s="25" t="str">
        <f t="shared" si="69"/>
        <v/>
      </c>
      <c r="L1847" s="7"/>
      <c r="M1847" s="4"/>
      <c r="N1847" s="7"/>
      <c r="O1847" s="4"/>
      <c r="P1847" s="51"/>
      <c r="Q1847" s="51"/>
      <c r="R1847" s="51"/>
      <c r="S1847" s="7"/>
      <c r="T1847" s="7"/>
    </row>
    <row r="1848" spans="1:20" ht="14.25" customHeight="1">
      <c r="A1848" s="4"/>
      <c r="B1848" s="38">
        <v>13100</v>
      </c>
      <c r="C1848" s="22" t="str">
        <f>IFERROR(VLOOKUP(B1848,Colaboradores!A:D,2,),"")</f>
        <v>TAYNAH SOARES DE SOUZA CAMARAO</v>
      </c>
      <c r="D1848" s="22" t="str">
        <f>IFERROR(VLOOKUP(B1848,Colaboradores!A:D,3,),"")</f>
        <v>SAÚDE OCUPACIONAL</v>
      </c>
      <c r="E1848" s="22" t="str">
        <f>IFERROR(VLOOKUP(B1848,Colaboradores!A:D,4,),"")</f>
        <v>MÉDICA</v>
      </c>
      <c r="F1848" s="47" t="s">
        <v>93</v>
      </c>
      <c r="G1848" s="24" t="str">
        <f>IFERROR(VLOOKUP(F1848,Procedimentos!A:C,2,),"")</f>
        <v>ATENDIMENTO PSICOLÓGICO EM FOLLOW UP NO ESPAÇO CUIDAR</v>
      </c>
      <c r="H1848" s="25"/>
      <c r="I1848" s="51"/>
      <c r="J1848" s="4"/>
      <c r="K1848" s="25" t="str">
        <f t="shared" si="69"/>
        <v/>
      </c>
      <c r="L1848" s="7"/>
      <c r="M1848" s="4"/>
      <c r="N1848" s="7"/>
      <c r="O1848" s="4"/>
      <c r="P1848" s="51"/>
      <c r="Q1848" s="51"/>
      <c r="R1848" s="51"/>
      <c r="S1848" s="7"/>
      <c r="T1848" s="7"/>
    </row>
    <row r="1849" spans="1:20" ht="14.25" customHeight="1">
      <c r="A1849" s="4"/>
      <c r="B1849" s="38">
        <v>14962</v>
      </c>
      <c r="C1849" s="22" t="str">
        <f>IFERROR(VLOOKUP(B1849,Colaboradores!A:D,2,),"")</f>
        <v>YASMIN KARINE DE OLIVEIRA SOARES</v>
      </c>
      <c r="D1849" s="22" t="str">
        <f>IFERROR(VLOOKUP(B1849,Colaboradores!A:D,3,),"")</f>
        <v>SAÚDE OCUPACIONAL</v>
      </c>
      <c r="E1849" s="22" t="str">
        <f>IFERROR(VLOOKUP(B1849,Colaboradores!A:D,4,),"")</f>
        <v>JOVEM APRENDIZ</v>
      </c>
      <c r="F1849" s="47" t="s">
        <v>93</v>
      </c>
      <c r="G1849" s="24" t="str">
        <f>IFERROR(VLOOKUP(F1849,Procedimentos!A:C,2,),"")</f>
        <v>ATENDIMENTO PSICOLÓGICO EM FOLLOW UP NO ESPAÇO CUIDAR</v>
      </c>
      <c r="H1849" s="25"/>
      <c r="I1849" s="51"/>
      <c r="J1849" s="4"/>
      <c r="K1849" s="25" t="str">
        <f t="shared" si="69"/>
        <v/>
      </c>
      <c r="L1849" s="7"/>
      <c r="M1849" s="4"/>
      <c r="N1849" s="7"/>
      <c r="O1849" s="4"/>
      <c r="P1849" s="51"/>
      <c r="Q1849" s="51"/>
      <c r="R1849" s="51"/>
      <c r="S1849" s="7"/>
      <c r="T1849" s="7"/>
    </row>
    <row r="1850" spans="1:20" ht="14.25" customHeight="1">
      <c r="A1850" s="4"/>
      <c r="B1850" s="38">
        <v>24306</v>
      </c>
      <c r="C1850" s="22" t="str">
        <f>IFERROR(VLOOKUP(B1850,Colaboradores!A:D,2,),"")</f>
        <v>ANNA MARIA ARAUJO PIORSKI</v>
      </c>
      <c r="D1850" s="22" t="str">
        <f>IFERROR(VLOOKUP(B1850,Colaboradores!A:D,3,),"")</f>
        <v>SAÚDE OCUPACIONAL</v>
      </c>
      <c r="E1850" s="22" t="str">
        <f>IFERROR(VLOOKUP(B1850,Colaboradores!A:D,4,),"")</f>
        <v>ASSESSOR(A) DE NUTRIÇÃO</v>
      </c>
      <c r="F1850" s="47" t="s">
        <v>94</v>
      </c>
      <c r="G1850" s="24" t="str">
        <f>IFERROR(VLOOKUP(F1850,Procedimentos!A:C,2,),"")</f>
        <v>PROTOCOLO DE CONSENTIMENTO INFORMADO</v>
      </c>
      <c r="H1850" s="25"/>
      <c r="I1850" s="51"/>
      <c r="J1850" s="4"/>
      <c r="K1850" s="25" t="str">
        <f t="shared" si="69"/>
        <v/>
      </c>
      <c r="L1850" s="7"/>
      <c r="M1850" s="4"/>
      <c r="N1850" s="7"/>
      <c r="O1850" s="4"/>
      <c r="P1850" s="51"/>
      <c r="Q1850" s="51"/>
      <c r="R1850" s="51"/>
      <c r="S1850" s="7"/>
      <c r="T1850" s="7"/>
    </row>
    <row r="1851" spans="1:20" ht="14.25" customHeight="1">
      <c r="A1851" s="4"/>
      <c r="B1851" s="38">
        <v>24306</v>
      </c>
      <c r="C1851" s="22" t="str">
        <f>IFERROR(VLOOKUP(B1851,Colaboradores!A:D,2,),"")</f>
        <v>ANNA MARIA ARAUJO PIORSKI</v>
      </c>
      <c r="D1851" s="22" t="str">
        <f>IFERROR(VLOOKUP(B1851,Colaboradores!A:D,3,),"")</f>
        <v>SAÚDE OCUPACIONAL</v>
      </c>
      <c r="E1851" s="22" t="str">
        <f>IFERROR(VLOOKUP(B1851,Colaboradores!A:D,4,),"")</f>
        <v>ASSESSOR(A) DE NUTRIÇÃO</v>
      </c>
      <c r="F1851" s="47" t="s">
        <v>95</v>
      </c>
      <c r="G1851" s="24" t="str">
        <f>IFERROR(VLOOKUP(F1851,Procedimentos!A:C,2,),"")</f>
        <v>PROTOCOLO DE NOTIFICAÇÃO COMPULSORIA - ESPAÇO CUIDAR/EMSERH</v>
      </c>
      <c r="H1851" s="25"/>
      <c r="I1851" s="51"/>
      <c r="J1851" s="4"/>
      <c r="K1851" s="25" t="str">
        <f t="shared" si="69"/>
        <v/>
      </c>
      <c r="L1851" s="7"/>
      <c r="M1851" s="4"/>
      <c r="N1851" s="7"/>
      <c r="O1851" s="4"/>
      <c r="P1851" s="51"/>
      <c r="Q1851" s="51"/>
      <c r="R1851" s="51"/>
      <c r="S1851" s="7"/>
      <c r="T1851" s="7"/>
    </row>
    <row r="1852" spans="1:20" ht="14.25" customHeight="1">
      <c r="A1852" s="4"/>
      <c r="B1852" s="38">
        <v>24306</v>
      </c>
      <c r="C1852" s="22" t="str">
        <f>IFERROR(VLOOKUP(B1852,Colaboradores!A:D,2,),"")</f>
        <v>ANNA MARIA ARAUJO PIORSKI</v>
      </c>
      <c r="D1852" s="22" t="str">
        <f>IFERROR(VLOOKUP(B1852,Colaboradores!A:D,3,),"")</f>
        <v>SAÚDE OCUPACIONAL</v>
      </c>
      <c r="E1852" s="22" t="str">
        <f>IFERROR(VLOOKUP(B1852,Colaboradores!A:D,4,),"")</f>
        <v>ASSESSOR(A) DE NUTRIÇÃO</v>
      </c>
      <c r="F1852" s="47" t="s">
        <v>96</v>
      </c>
      <c r="G1852" s="24" t="str">
        <f>IFERROR(VLOOKUP(F1852,Procedimentos!A:C,2,),"")</f>
        <v>PROTOCOLO PARA HIGIENIZAÇÃO DAS MÃOS</v>
      </c>
      <c r="H1852" s="25"/>
      <c r="I1852" s="51"/>
      <c r="J1852" s="4"/>
      <c r="K1852" s="25" t="str">
        <f t="shared" si="69"/>
        <v/>
      </c>
      <c r="L1852" s="7"/>
      <c r="M1852" s="4"/>
      <c r="N1852" s="7"/>
      <c r="O1852" s="4"/>
      <c r="P1852" s="51"/>
      <c r="Q1852" s="51"/>
      <c r="R1852" s="51"/>
      <c r="S1852" s="7"/>
      <c r="T1852" s="7"/>
    </row>
    <row r="1853" spans="1:20" ht="14.25" customHeight="1">
      <c r="A1853" s="4"/>
      <c r="B1853" s="38">
        <v>24306</v>
      </c>
      <c r="C1853" s="22" t="str">
        <f>IFERROR(VLOOKUP(B1853,Colaboradores!A:D,2,),"")</f>
        <v>ANNA MARIA ARAUJO PIORSKI</v>
      </c>
      <c r="D1853" s="22" t="str">
        <f>IFERROR(VLOOKUP(B1853,Colaboradores!A:D,3,),"")</f>
        <v>SAÚDE OCUPACIONAL</v>
      </c>
      <c r="E1853" s="22" t="str">
        <f>IFERROR(VLOOKUP(B1853,Colaboradores!A:D,4,),"")</f>
        <v>ASSESSOR(A) DE NUTRIÇÃO</v>
      </c>
      <c r="F1853" s="47" t="s">
        <v>97</v>
      </c>
      <c r="G1853" s="24" t="str">
        <f>IFERROR(VLOOKUP(F1853,Procedimentos!A:C,2,),"")</f>
        <v>PROTOCOLO DE PREVENÇÃO DE QUEDAS</v>
      </c>
      <c r="H1853" s="25"/>
      <c r="I1853" s="51"/>
      <c r="J1853" s="4"/>
      <c r="K1853" s="25" t="str">
        <f t="shared" si="69"/>
        <v/>
      </c>
      <c r="L1853" s="7"/>
      <c r="M1853" s="4"/>
      <c r="N1853" s="7"/>
      <c r="O1853" s="4"/>
      <c r="P1853" s="51"/>
      <c r="Q1853" s="51"/>
      <c r="R1853" s="51"/>
      <c r="S1853" s="7"/>
      <c r="T1853" s="7"/>
    </row>
    <row r="1854" spans="1:20" ht="14.25" customHeight="1">
      <c r="A1854" s="4"/>
      <c r="B1854" s="38">
        <v>24306</v>
      </c>
      <c r="C1854" s="22" t="str">
        <f>IFERROR(VLOOKUP(B1854,Colaboradores!A:D,2,),"")</f>
        <v>ANNA MARIA ARAUJO PIORSKI</v>
      </c>
      <c r="D1854" s="22" t="str">
        <f>IFERROR(VLOOKUP(B1854,Colaboradores!A:D,3,),"")</f>
        <v>SAÚDE OCUPACIONAL</v>
      </c>
      <c r="E1854" s="22" t="str">
        <f>IFERROR(VLOOKUP(B1854,Colaboradores!A:D,4,),"")</f>
        <v>ASSESSOR(A) DE NUTRIÇÃO</v>
      </c>
      <c r="F1854" s="47" t="s">
        <v>98</v>
      </c>
      <c r="G1854" s="24" t="str">
        <f>IFERROR(VLOOKUP(F1854,Procedimentos!A:C,2,),"")</f>
        <v>PROTOCOLO INSTITUCIONAL DE CONDUTA ETICA NO ATENDIMENTO MULTIPROFISSIONAL NO ESPAÇO CUIDAR</v>
      </c>
      <c r="H1854" s="25"/>
      <c r="I1854" s="51"/>
      <c r="J1854" s="4"/>
      <c r="K1854" s="25" t="str">
        <f t="shared" si="69"/>
        <v/>
      </c>
      <c r="L1854" s="7"/>
      <c r="M1854" s="4"/>
      <c r="N1854" s="7"/>
      <c r="O1854" s="4"/>
      <c r="P1854" s="51"/>
      <c r="Q1854" s="51"/>
      <c r="R1854" s="51"/>
      <c r="S1854" s="7"/>
      <c r="T1854" s="7"/>
    </row>
    <row r="1855" spans="1:20" ht="14.25" customHeight="1">
      <c r="A1855" s="4"/>
      <c r="B1855" s="38">
        <v>24306</v>
      </c>
      <c r="C1855" s="22" t="str">
        <f>IFERROR(VLOOKUP(B1855,Colaboradores!A:D,2,),"")</f>
        <v>ANNA MARIA ARAUJO PIORSKI</v>
      </c>
      <c r="D1855" s="22" t="str">
        <f>IFERROR(VLOOKUP(B1855,Colaboradores!A:D,3,),"")</f>
        <v>SAÚDE OCUPACIONAL</v>
      </c>
      <c r="E1855" s="22" t="str">
        <f>IFERROR(VLOOKUP(B1855,Colaboradores!A:D,4,),"")</f>
        <v>ASSESSOR(A) DE NUTRIÇÃO</v>
      </c>
      <c r="F1855" s="47" t="s">
        <v>99</v>
      </c>
      <c r="G1855" s="24" t="str">
        <f>IFERROR(VLOOKUP(F1855,Procedimentos!A:C,2,),"")</f>
        <v>PROTOCOLO PARA LIMPEZA DE ÁREAS E SUPERFÍCIES NO ESPAÇO CUIDAR</v>
      </c>
      <c r="H1855" s="25"/>
      <c r="I1855" s="51"/>
      <c r="J1855" s="4"/>
      <c r="K1855" s="25" t="str">
        <f t="shared" si="69"/>
        <v/>
      </c>
      <c r="L1855" s="7"/>
      <c r="M1855" s="4"/>
      <c r="N1855" s="7"/>
      <c r="O1855" s="4"/>
      <c r="P1855" s="51"/>
      <c r="Q1855" s="51"/>
      <c r="R1855" s="51"/>
      <c r="S1855" s="7"/>
      <c r="T1855" s="7"/>
    </row>
    <row r="1856" spans="1:20" ht="14.25" customHeight="1">
      <c r="A1856" s="4"/>
      <c r="B1856" s="38">
        <v>24306</v>
      </c>
      <c r="C1856" s="22" t="str">
        <f>IFERROR(VLOOKUP(B1856,Colaboradores!A:D,2,),"")</f>
        <v>ANNA MARIA ARAUJO PIORSKI</v>
      </c>
      <c r="D1856" s="22" t="str">
        <f>IFERROR(VLOOKUP(B1856,Colaboradores!A:D,3,),"")</f>
        <v>SAÚDE OCUPACIONAL</v>
      </c>
      <c r="E1856" s="22" t="str">
        <f>IFERROR(VLOOKUP(B1856,Colaboradores!A:D,4,),"")</f>
        <v>ASSESSOR(A) DE NUTRIÇÃO</v>
      </c>
      <c r="F1856" s="47" t="s">
        <v>100</v>
      </c>
      <c r="G1856" s="24" t="str">
        <f>IFERROR(VLOOKUP(F1856,Procedimentos!A:C,2,),"")</f>
        <v>PROTOCOLO DE ATENDIMENTO PSIQUIATRICO NO ESPAÇO CUIDAR DA EMSERH</v>
      </c>
      <c r="H1856" s="25"/>
      <c r="I1856" s="51"/>
      <c r="J1856" s="4"/>
      <c r="K1856" s="25" t="str">
        <f t="shared" si="69"/>
        <v/>
      </c>
      <c r="L1856" s="7"/>
      <c r="M1856" s="4"/>
      <c r="N1856" s="7"/>
      <c r="O1856" s="4"/>
      <c r="P1856" s="51"/>
      <c r="Q1856" s="51"/>
      <c r="R1856" s="51"/>
      <c r="S1856" s="7"/>
      <c r="T1856" s="7"/>
    </row>
    <row r="1857" spans="1:20" ht="14.25" customHeight="1">
      <c r="A1857" s="4"/>
      <c r="B1857" s="38">
        <v>24306</v>
      </c>
      <c r="C1857" s="22" t="str">
        <f>IFERROR(VLOOKUP(B1857,Colaboradores!A:D,2,),"")</f>
        <v>ANNA MARIA ARAUJO PIORSKI</v>
      </c>
      <c r="D1857" s="22" t="str">
        <f>IFERROR(VLOOKUP(B1857,Colaboradores!A:D,3,),"")</f>
        <v>SAÚDE OCUPACIONAL</v>
      </c>
      <c r="E1857" s="22" t="str">
        <f>IFERROR(VLOOKUP(B1857,Colaboradores!A:D,4,),"")</f>
        <v>ASSESSOR(A) DE NUTRIÇÃO</v>
      </c>
      <c r="F1857" s="47" t="s">
        <v>101</v>
      </c>
      <c r="G1857" s="24" t="str">
        <f>IFERROR(VLOOKUP(F1857,Procedimentos!A:C,2,),"")</f>
        <v>PROTOCOLO DE MANEJO DE SURTO</v>
      </c>
      <c r="H1857" s="25"/>
      <c r="I1857" s="51"/>
      <c r="J1857" s="4"/>
      <c r="K1857" s="25" t="str">
        <f t="shared" si="69"/>
        <v/>
      </c>
      <c r="L1857" s="7"/>
      <c r="M1857" s="4"/>
      <c r="N1857" s="7"/>
      <c r="O1857" s="4"/>
      <c r="P1857" s="51"/>
      <c r="Q1857" s="51"/>
      <c r="R1857" s="51"/>
      <c r="S1857" s="7"/>
      <c r="T1857" s="7"/>
    </row>
    <row r="1858" spans="1:20" ht="14.25" customHeight="1">
      <c r="A1858" s="4"/>
      <c r="B1858" s="38">
        <v>24306</v>
      </c>
      <c r="C1858" s="22" t="str">
        <f>IFERROR(VLOOKUP(B1858,Colaboradores!A:D,2,),"")</f>
        <v>ANNA MARIA ARAUJO PIORSKI</v>
      </c>
      <c r="D1858" s="22" t="str">
        <f>IFERROR(VLOOKUP(B1858,Colaboradores!A:D,3,),"")</f>
        <v>SAÚDE OCUPACIONAL</v>
      </c>
      <c r="E1858" s="22" t="str">
        <f>IFERROR(VLOOKUP(B1858,Colaboradores!A:D,4,),"")</f>
        <v>ASSESSOR(A) DE NUTRIÇÃO</v>
      </c>
      <c r="F1858" s="47" t="s">
        <v>102</v>
      </c>
      <c r="G1858" s="24" t="str">
        <f>IFERROR(VLOOKUP(F1858,Procedimentos!A:C,2,),"")</f>
        <v>PROTOCOLO DE TRANSPORTE SEGURO NO ESPAÇO CUIDAR</v>
      </c>
      <c r="H1858" s="25"/>
      <c r="I1858" s="51"/>
      <c r="J1858" s="4"/>
      <c r="K1858" s="25" t="str">
        <f t="shared" si="69"/>
        <v/>
      </c>
      <c r="L1858" s="7"/>
      <c r="M1858" s="4"/>
      <c r="N1858" s="7"/>
      <c r="O1858" s="4"/>
      <c r="P1858" s="51"/>
      <c r="Q1858" s="51"/>
      <c r="R1858" s="51"/>
      <c r="S1858" s="7"/>
      <c r="T1858" s="7"/>
    </row>
    <row r="1859" spans="1:20" ht="14.25" customHeight="1">
      <c r="A1859" s="4"/>
      <c r="B1859" s="38">
        <v>24306</v>
      </c>
      <c r="C1859" s="22" t="str">
        <f>IFERROR(VLOOKUP(B1859,Colaboradores!A:D,2,),"")</f>
        <v>ANNA MARIA ARAUJO PIORSKI</v>
      </c>
      <c r="D1859" s="22" t="str">
        <f>IFERROR(VLOOKUP(B1859,Colaboradores!A:D,3,),"")</f>
        <v>SAÚDE OCUPACIONAL</v>
      </c>
      <c r="E1859" s="22" t="str">
        <f>IFERROR(VLOOKUP(B1859,Colaboradores!A:D,4,),"")</f>
        <v>ASSESSOR(A) DE NUTRIÇÃO</v>
      </c>
      <c r="F1859" s="47" t="s">
        <v>103</v>
      </c>
      <c r="G1859" s="24" t="str">
        <f>IFERROR(VLOOKUP(F1859,Procedimentos!A:C,2,),"")</f>
        <v>PROTOCOLO DE ATENDIMENTO À PESSOA COM COMPORTAMENTO SUÍCIDA</v>
      </c>
      <c r="H1859" s="25"/>
      <c r="I1859" s="51"/>
      <c r="J1859" s="4"/>
      <c r="K1859" s="25" t="str">
        <f t="shared" ref="K1859:K1922" si="70">IF(AND(I1859&lt;&gt;"",J1859&lt;&gt;""),DATE(YEAR(I1859),MONTH(I1859)+J1859,DAY(I1859)),"")</f>
        <v/>
      </c>
      <c r="L1859" s="7"/>
      <c r="M1859" s="4"/>
      <c r="N1859" s="7"/>
      <c r="O1859" s="4"/>
      <c r="P1859" s="51"/>
      <c r="Q1859" s="51"/>
      <c r="R1859" s="51"/>
      <c r="S1859" s="7"/>
      <c r="T1859" s="7"/>
    </row>
    <row r="1860" spans="1:20" ht="14.25" customHeight="1">
      <c r="A1860" s="4"/>
      <c r="B1860" s="38">
        <v>24306</v>
      </c>
      <c r="C1860" s="22" t="str">
        <f>IFERROR(VLOOKUP(B1860,Colaboradores!A:D,2,),"")</f>
        <v>ANNA MARIA ARAUJO PIORSKI</v>
      </c>
      <c r="D1860" s="22" t="str">
        <f>IFERROR(VLOOKUP(B1860,Colaboradores!A:D,3,),"")</f>
        <v>SAÚDE OCUPACIONAL</v>
      </c>
      <c r="E1860" s="22" t="str">
        <f>IFERROR(VLOOKUP(B1860,Colaboradores!A:D,4,),"")</f>
        <v>ASSESSOR(A) DE NUTRIÇÃO</v>
      </c>
      <c r="F1860" s="47" t="s">
        <v>104</v>
      </c>
      <c r="G1860" s="24" t="str">
        <f>IFERROR(VLOOKUP(F1860,Procedimentos!A:C,2,),"")</f>
        <v>PROTOCOLO DE BIOSSEGURANÇA</v>
      </c>
      <c r="H1860" s="25"/>
      <c r="I1860" s="51"/>
      <c r="J1860" s="4"/>
      <c r="K1860" s="25" t="str">
        <f t="shared" si="70"/>
        <v/>
      </c>
      <c r="L1860" s="7"/>
      <c r="M1860" s="4"/>
      <c r="N1860" s="7"/>
      <c r="O1860" s="4"/>
      <c r="P1860" s="51"/>
      <c r="Q1860" s="51"/>
      <c r="R1860" s="51"/>
      <c r="S1860" s="7"/>
      <c r="T1860" s="7"/>
    </row>
    <row r="1861" spans="1:20" ht="14.25" customHeight="1">
      <c r="A1861" s="4"/>
      <c r="B1861" s="38">
        <v>24306</v>
      </c>
      <c r="C1861" s="22" t="str">
        <f>IFERROR(VLOOKUP(B1861,Colaboradores!A:D,2,),"")</f>
        <v>ANNA MARIA ARAUJO PIORSKI</v>
      </c>
      <c r="D1861" s="22" t="str">
        <f>IFERROR(VLOOKUP(B1861,Colaboradores!A:D,3,),"")</f>
        <v>SAÚDE OCUPACIONAL</v>
      </c>
      <c r="E1861" s="22" t="str">
        <f>IFERROR(VLOOKUP(B1861,Colaboradores!A:D,4,),"")</f>
        <v>ASSESSOR(A) DE NUTRIÇÃO</v>
      </c>
      <c r="F1861" s="47" t="s">
        <v>105</v>
      </c>
      <c r="G1861" s="24" t="str">
        <f>IFERROR(VLOOKUP(F1861,Procedimentos!A:C,2,),"")</f>
        <v>PROTOCOLO IDENTIFICAÇÃO E MANEJO DA EVOLUÇÃO DESFAVORÁVEL DO PACIENTE NO ESPAÇO CUIDAR</v>
      </c>
      <c r="H1861" s="25"/>
      <c r="I1861" s="51"/>
      <c r="J1861" s="4"/>
      <c r="K1861" s="25" t="str">
        <f t="shared" si="70"/>
        <v/>
      </c>
      <c r="L1861" s="7"/>
      <c r="M1861" s="4"/>
      <c r="N1861" s="7"/>
      <c r="O1861" s="4"/>
      <c r="P1861" s="51"/>
      <c r="Q1861" s="51"/>
      <c r="R1861" s="51"/>
      <c r="S1861" s="7"/>
      <c r="T1861" s="7"/>
    </row>
    <row r="1862" spans="1:20" ht="14.25" customHeight="1">
      <c r="A1862" s="4"/>
      <c r="B1862" s="38">
        <v>24306</v>
      </c>
      <c r="C1862" s="22" t="str">
        <f>IFERROR(VLOOKUP(B1862,Colaboradores!A:D,2,),"")</f>
        <v>ANNA MARIA ARAUJO PIORSKI</v>
      </c>
      <c r="D1862" s="22" t="str">
        <f>IFERROR(VLOOKUP(B1862,Colaboradores!A:D,3,),"")</f>
        <v>SAÚDE OCUPACIONAL</v>
      </c>
      <c r="E1862" s="22" t="str">
        <f>IFERROR(VLOOKUP(B1862,Colaboradores!A:D,4,),"")</f>
        <v>ASSESSOR(A) DE NUTRIÇÃO</v>
      </c>
      <c r="F1862" s="47" t="s">
        <v>106</v>
      </c>
      <c r="G1862" s="24" t="str">
        <f>IFERROR(VLOOKUP(F1862,Procedimentos!A:C,2,),"")</f>
        <v>PROTOCOLO DE DETERIORAÇÃO CLÍNICA</v>
      </c>
      <c r="H1862" s="25"/>
      <c r="I1862" s="51"/>
      <c r="J1862" s="4"/>
      <c r="K1862" s="25" t="str">
        <f t="shared" si="70"/>
        <v/>
      </c>
      <c r="L1862" s="7"/>
      <c r="M1862" s="4"/>
      <c r="N1862" s="7"/>
      <c r="O1862" s="4"/>
      <c r="P1862" s="51"/>
      <c r="Q1862" s="51"/>
      <c r="R1862" s="51"/>
      <c r="S1862" s="7"/>
      <c r="T1862" s="7"/>
    </row>
    <row r="1863" spans="1:20" ht="14.25" customHeight="1">
      <c r="A1863" s="4"/>
      <c r="B1863" s="38">
        <v>24306</v>
      </c>
      <c r="C1863" s="22" t="str">
        <f>IFERROR(VLOOKUP(B1863,Colaboradores!A:D,2,),"")</f>
        <v>ANNA MARIA ARAUJO PIORSKI</v>
      </c>
      <c r="D1863" s="22" t="str">
        <f>IFERROR(VLOOKUP(B1863,Colaboradores!A:D,3,),"")</f>
        <v>SAÚDE OCUPACIONAL</v>
      </c>
      <c r="E1863" s="22" t="str">
        <f>IFERROR(VLOOKUP(B1863,Colaboradores!A:D,4,),"")</f>
        <v>ASSESSOR(A) DE NUTRIÇÃO</v>
      </c>
      <c r="F1863" s="47" t="s">
        <v>107</v>
      </c>
      <c r="G1863" s="24" t="str">
        <f>IFERROR(VLOOKUP(F1863,Procedimentos!A:C,2,),"")</f>
        <v>PROTOCOLO DE COMUNICAÇÃO DE NOTÍCIAS DIFÍCEIS</v>
      </c>
      <c r="H1863" s="25"/>
      <c r="I1863" s="51"/>
      <c r="J1863" s="4"/>
      <c r="K1863" s="25" t="str">
        <f t="shared" si="70"/>
        <v/>
      </c>
      <c r="L1863" s="7"/>
      <c r="M1863" s="4"/>
      <c r="N1863" s="7"/>
      <c r="O1863" s="4"/>
      <c r="P1863" s="51"/>
      <c r="Q1863" s="51"/>
      <c r="R1863" s="51"/>
      <c r="S1863" s="7"/>
      <c r="T1863" s="7"/>
    </row>
    <row r="1864" spans="1:20" ht="14.25" customHeight="1">
      <c r="A1864" s="4"/>
      <c r="B1864" s="38">
        <v>24306</v>
      </c>
      <c r="C1864" s="22" t="str">
        <f>IFERROR(VLOOKUP(B1864,Colaboradores!A:D,2,),"")</f>
        <v>ANNA MARIA ARAUJO PIORSKI</v>
      </c>
      <c r="D1864" s="22" t="str">
        <f>IFERROR(VLOOKUP(B1864,Colaboradores!A:D,3,),"")</f>
        <v>SAÚDE OCUPACIONAL</v>
      </c>
      <c r="E1864" s="22" t="str">
        <f>IFERROR(VLOOKUP(B1864,Colaboradores!A:D,4,),"")</f>
        <v>ASSESSOR(A) DE NUTRIÇÃO</v>
      </c>
      <c r="F1864" s="47" t="s">
        <v>108</v>
      </c>
      <c r="G1864" s="24" t="str">
        <f>IFERROR(VLOOKUP(F1864,Procedimentos!A:C,2,),"")</f>
        <v>PROTOCOLO PARA ATENDIMENTO DO (A) ASSISTENTE SOCIAL NO AMBULATÓRIO DO ESPAÇO CUIDAR</v>
      </c>
      <c r="H1864" s="25"/>
      <c r="I1864" s="51"/>
      <c r="J1864" s="4"/>
      <c r="K1864" s="25" t="str">
        <f t="shared" si="70"/>
        <v/>
      </c>
      <c r="L1864" s="7"/>
      <c r="M1864" s="4"/>
      <c r="N1864" s="7"/>
      <c r="O1864" s="4"/>
      <c r="P1864" s="51"/>
      <c r="Q1864" s="51"/>
      <c r="R1864" s="51"/>
      <c r="S1864" s="7"/>
      <c r="T1864" s="7"/>
    </row>
    <row r="1865" spans="1:20" ht="14.25" customHeight="1">
      <c r="A1865" s="4"/>
      <c r="B1865" s="38">
        <v>24306</v>
      </c>
      <c r="C1865" s="22" t="str">
        <f>IFERROR(VLOOKUP(B1865,Colaboradores!A:D,2,),"")</f>
        <v>ANNA MARIA ARAUJO PIORSKI</v>
      </c>
      <c r="D1865" s="22" t="str">
        <f>IFERROR(VLOOKUP(B1865,Colaboradores!A:D,3,),"")</f>
        <v>SAÚDE OCUPACIONAL</v>
      </c>
      <c r="E1865" s="22" t="str">
        <f>IFERROR(VLOOKUP(B1865,Colaboradores!A:D,4,),"")</f>
        <v>ASSESSOR(A) DE NUTRIÇÃO</v>
      </c>
      <c r="F1865" s="47" t="s">
        <v>109</v>
      </c>
      <c r="G1865" s="24" t="str">
        <f>IFERROR(VLOOKUP(F1865,Procedimentos!A:C,2,),"")</f>
        <v>ROTOCOLO DE ASSISTÊNCIA NUTRICIONAL AMBULATÓRIAL PARA ADULTOS E IDOSOS COM SOBREPESO E OBESIDADE</v>
      </c>
      <c r="H1865" s="25"/>
      <c r="I1865" s="51"/>
      <c r="J1865" s="4"/>
      <c r="K1865" s="25" t="str">
        <f t="shared" si="70"/>
        <v/>
      </c>
      <c r="L1865" s="7"/>
      <c r="M1865" s="4"/>
      <c r="N1865" s="7"/>
      <c r="O1865" s="4"/>
      <c r="P1865" s="51"/>
      <c r="Q1865" s="51"/>
      <c r="R1865" s="51"/>
      <c r="S1865" s="7"/>
      <c r="T1865" s="7"/>
    </row>
    <row r="1866" spans="1:20" ht="14.25" customHeight="1">
      <c r="A1866" s="4"/>
      <c r="B1866" s="38">
        <v>24306</v>
      </c>
      <c r="C1866" s="22" t="str">
        <f>IFERROR(VLOOKUP(B1866,Colaboradores!A:D,2,),"")</f>
        <v>ANNA MARIA ARAUJO PIORSKI</v>
      </c>
      <c r="D1866" s="22" t="str">
        <f>IFERROR(VLOOKUP(B1866,Colaboradores!A:D,3,),"")</f>
        <v>SAÚDE OCUPACIONAL</v>
      </c>
      <c r="E1866" s="22" t="str">
        <f>IFERROR(VLOOKUP(B1866,Colaboradores!A:D,4,),"")</f>
        <v>ASSESSOR(A) DE NUTRIÇÃO</v>
      </c>
      <c r="F1866" s="47" t="s">
        <v>110</v>
      </c>
      <c r="G1866" s="24" t="str">
        <f>IFERROR(VLOOKUP(F1866,Procedimentos!A:C,2,),"")</f>
        <v>PROTOCOLO DE AGENDAMENTO</v>
      </c>
      <c r="H1866" s="25"/>
      <c r="I1866" s="51"/>
      <c r="J1866" s="4"/>
      <c r="K1866" s="25" t="str">
        <f t="shared" si="70"/>
        <v/>
      </c>
      <c r="L1866" s="7"/>
      <c r="M1866" s="4"/>
      <c r="N1866" s="7"/>
      <c r="O1866" s="4"/>
      <c r="P1866" s="51"/>
      <c r="Q1866" s="51"/>
      <c r="R1866" s="51"/>
      <c r="S1866" s="7"/>
      <c r="T1866" s="7"/>
    </row>
    <row r="1867" spans="1:20" ht="14.25" customHeight="1">
      <c r="A1867" s="4"/>
      <c r="B1867" s="38">
        <v>24306</v>
      </c>
      <c r="C1867" s="22" t="str">
        <f>IFERROR(VLOOKUP(B1867,Colaboradores!A:D,2,),"")</f>
        <v>ANNA MARIA ARAUJO PIORSKI</v>
      </c>
      <c r="D1867" s="22" t="str">
        <f>IFERROR(VLOOKUP(B1867,Colaboradores!A:D,3,),"")</f>
        <v>SAÚDE OCUPACIONAL</v>
      </c>
      <c r="E1867" s="22" t="str">
        <f>IFERROR(VLOOKUP(B1867,Colaboradores!A:D,4,),"")</f>
        <v>ASSESSOR(A) DE NUTRIÇÃO</v>
      </c>
      <c r="F1867" s="47" t="s">
        <v>111</v>
      </c>
      <c r="G1867" s="24" t="str">
        <f>IFERROR(VLOOKUP(F1867,Procedimentos!A:C,2,),"")</f>
        <v>PROTOCOLO DE IDENTIFICAÇÃO DE SINAIS SUSGETIVOS DE VIOLÊNCIA - ESPAÇO CUIDAR/ EMSERH</v>
      </c>
      <c r="H1867" s="25"/>
      <c r="I1867" s="51"/>
      <c r="J1867" s="4"/>
      <c r="K1867" s="25" t="str">
        <f t="shared" si="70"/>
        <v/>
      </c>
      <c r="L1867" s="7"/>
      <c r="M1867" s="4"/>
      <c r="N1867" s="7"/>
      <c r="O1867" s="4"/>
      <c r="P1867" s="51"/>
      <c r="Q1867" s="51"/>
      <c r="R1867" s="51"/>
      <c r="S1867" s="7"/>
      <c r="T1867" s="7"/>
    </row>
    <row r="1868" spans="1:20" ht="14.25" customHeight="1">
      <c r="A1868" s="4"/>
      <c r="B1868" s="38">
        <v>24306</v>
      </c>
      <c r="C1868" s="22" t="str">
        <f>IFERROR(VLOOKUP(B1868,Colaboradores!A:D,2,),"")</f>
        <v>ANNA MARIA ARAUJO PIORSKI</v>
      </c>
      <c r="D1868" s="22" t="str">
        <f>IFERROR(VLOOKUP(B1868,Colaboradores!A:D,3,),"")</f>
        <v>SAÚDE OCUPACIONAL</v>
      </c>
      <c r="E1868" s="22" t="str">
        <f>IFERROR(VLOOKUP(B1868,Colaboradores!A:D,4,),"")</f>
        <v>ASSESSOR(A) DE NUTRIÇÃO</v>
      </c>
      <c r="F1868" s="47" t="s">
        <v>112</v>
      </c>
      <c r="G1868" s="24" t="str">
        <f>IFERROR(VLOOKUP(F1868,Procedimentos!A:C,2,),"")</f>
        <v>PROTOCOLO DE IDENTIFICAÇÃO SEGURA</v>
      </c>
      <c r="H1868" s="25"/>
      <c r="I1868" s="51"/>
      <c r="J1868" s="4"/>
      <c r="K1868" s="25" t="str">
        <f t="shared" si="70"/>
        <v/>
      </c>
      <c r="L1868" s="7"/>
      <c r="M1868" s="4"/>
      <c r="N1868" s="7"/>
      <c r="O1868" s="4"/>
      <c r="P1868" s="51"/>
      <c r="Q1868" s="51"/>
      <c r="R1868" s="51"/>
      <c r="S1868" s="7"/>
      <c r="T1868" s="7"/>
    </row>
    <row r="1869" spans="1:20" ht="14.25" customHeight="1">
      <c r="A1869" s="4"/>
      <c r="B1869" s="38">
        <v>24306</v>
      </c>
      <c r="C1869" s="22" t="str">
        <f>IFERROR(VLOOKUP(B1869,Colaboradores!A:D,2,),"")</f>
        <v>ANNA MARIA ARAUJO PIORSKI</v>
      </c>
      <c r="D1869" s="22" t="str">
        <f>IFERROR(VLOOKUP(B1869,Colaboradores!A:D,3,),"")</f>
        <v>SAÚDE OCUPACIONAL</v>
      </c>
      <c r="E1869" s="22" t="str">
        <f>IFERROR(VLOOKUP(B1869,Colaboradores!A:D,4,),"")</f>
        <v>ASSESSOR(A) DE NUTRIÇÃO</v>
      </c>
      <c r="F1869" s="47" t="s">
        <v>113</v>
      </c>
      <c r="G1869" s="24" t="str">
        <f>IFERROR(VLOOKUP(F1869,Procedimentos!A:C,2,),"")</f>
        <v>PROTOCOLO DE NORMAS E ROTINAS PARA COMUNICAÇÃO DO ESTADO DE SAÚDE DO PACIENTE</v>
      </c>
      <c r="H1869" s="25"/>
      <c r="I1869" s="51"/>
      <c r="J1869" s="4"/>
      <c r="K1869" s="25" t="str">
        <f t="shared" si="70"/>
        <v/>
      </c>
      <c r="L1869" s="7"/>
      <c r="M1869" s="4"/>
      <c r="N1869" s="7"/>
      <c r="O1869" s="4"/>
      <c r="P1869" s="51"/>
      <c r="Q1869" s="51"/>
      <c r="R1869" s="51"/>
      <c r="S1869" s="7"/>
      <c r="T1869" s="7"/>
    </row>
    <row r="1870" spans="1:20" ht="14.25" customHeight="1">
      <c r="A1870" s="4"/>
      <c r="B1870" s="38">
        <v>24306</v>
      </c>
      <c r="C1870" s="22" t="str">
        <f>IFERROR(VLOOKUP(B1870,Colaboradores!A:D,2,),"")</f>
        <v>ANNA MARIA ARAUJO PIORSKI</v>
      </c>
      <c r="D1870" s="22" t="str">
        <f>IFERROR(VLOOKUP(B1870,Colaboradores!A:D,3,),"")</f>
        <v>SAÚDE OCUPACIONAL</v>
      </c>
      <c r="E1870" s="22" t="str">
        <f>IFERROR(VLOOKUP(B1870,Colaboradores!A:D,4,),"")</f>
        <v>ASSESSOR(A) DE NUTRIÇÃO</v>
      </c>
      <c r="F1870" s="47" t="s">
        <v>114</v>
      </c>
      <c r="G1870" s="24" t="str">
        <f>IFERROR(VLOOKUP(F1870,Procedimentos!A:C,2,),"")</f>
        <v>PROTOCOLO DE COMUNICAÇÃO EFETIVA EM PRÁTICAS DE SAÚDE</v>
      </c>
      <c r="H1870" s="25"/>
      <c r="I1870" s="51"/>
      <c r="J1870" s="4"/>
      <c r="K1870" s="25" t="str">
        <f t="shared" si="70"/>
        <v/>
      </c>
      <c r="L1870" s="7"/>
      <c r="M1870" s="4"/>
      <c r="N1870" s="7"/>
      <c r="O1870" s="4"/>
      <c r="P1870" s="51"/>
      <c r="Q1870" s="51"/>
      <c r="R1870" s="51"/>
      <c r="S1870" s="7"/>
      <c r="T1870" s="7"/>
    </row>
    <row r="1871" spans="1:20" ht="14.25" customHeight="1">
      <c r="A1871" s="4"/>
      <c r="B1871" s="38">
        <v>24306</v>
      </c>
      <c r="C1871" s="22" t="str">
        <f>IFERROR(VLOOKUP(B1871,Colaboradores!A:D,2,),"")</f>
        <v>ANNA MARIA ARAUJO PIORSKI</v>
      </c>
      <c r="D1871" s="22" t="str">
        <f>IFERROR(VLOOKUP(B1871,Colaboradores!A:D,3,),"")</f>
        <v>SAÚDE OCUPACIONAL</v>
      </c>
      <c r="E1871" s="22" t="str">
        <f>IFERROR(VLOOKUP(B1871,Colaboradores!A:D,4,),"")</f>
        <v>ASSESSOR(A) DE NUTRIÇÃO</v>
      </c>
      <c r="F1871" s="47" t="s">
        <v>115</v>
      </c>
      <c r="G1871" s="24" t="str">
        <f>IFERROR(VLOOKUP(F1871,Procedimentos!A:C,2,),"")</f>
        <v>PROTOCOLO DE NORMAS E ROTINAS DE ADMISSÃO, TRIAGEM E ALTA</v>
      </c>
      <c r="H1871" s="25"/>
      <c r="I1871" s="51"/>
      <c r="J1871" s="4"/>
      <c r="K1871" s="25" t="str">
        <f t="shared" si="70"/>
        <v/>
      </c>
      <c r="L1871" s="7"/>
      <c r="M1871" s="4"/>
      <c r="N1871" s="7"/>
      <c r="O1871" s="4"/>
      <c r="P1871" s="51"/>
      <c r="Q1871" s="51"/>
      <c r="R1871" s="51"/>
      <c r="S1871" s="7"/>
      <c r="T1871" s="7"/>
    </row>
    <row r="1872" spans="1:20" ht="14.25" customHeight="1">
      <c r="A1872" s="4"/>
      <c r="B1872" s="38">
        <v>24306</v>
      </c>
      <c r="C1872" s="22" t="str">
        <f>IFERROR(VLOOKUP(B1872,Colaboradores!A:D,2,),"")</f>
        <v>ANNA MARIA ARAUJO PIORSKI</v>
      </c>
      <c r="D1872" s="22" t="str">
        <f>IFERROR(VLOOKUP(B1872,Colaboradores!A:D,3,),"")</f>
        <v>SAÚDE OCUPACIONAL</v>
      </c>
      <c r="E1872" s="22" t="str">
        <f>IFERROR(VLOOKUP(B1872,Colaboradores!A:D,4,),"")</f>
        <v>ASSESSOR(A) DE NUTRIÇÃO</v>
      </c>
      <c r="F1872" s="47" t="s">
        <v>116</v>
      </c>
      <c r="G1872" s="24" t="str">
        <f>IFERROR(VLOOKUP(F1872,Procedimentos!A:C,2,),"")</f>
        <v>PROTOCOLO DE SEGURANÇA NA PRESCRIÇÃO, USO E ADMINISTRAÇÃO DE MEDICAMENTOS ESPAÇO CUIDAR</v>
      </c>
      <c r="H1872" s="25"/>
      <c r="I1872" s="51"/>
      <c r="J1872" s="4"/>
      <c r="K1872" s="25" t="str">
        <f t="shared" si="70"/>
        <v/>
      </c>
      <c r="L1872" s="7"/>
      <c r="M1872" s="4"/>
      <c r="N1872" s="7"/>
      <c r="O1872" s="4"/>
      <c r="P1872" s="51"/>
      <c r="Q1872" s="51"/>
      <c r="R1872" s="51"/>
      <c r="S1872" s="7"/>
      <c r="T1872" s="7"/>
    </row>
    <row r="1873" spans="1:20" ht="14.25" customHeight="1">
      <c r="A1873" s="4"/>
      <c r="B1873" s="38">
        <v>24306</v>
      </c>
      <c r="C1873" s="22" t="str">
        <f>IFERROR(VLOOKUP(B1873,Colaboradores!A:D,2,),"")</f>
        <v>ANNA MARIA ARAUJO PIORSKI</v>
      </c>
      <c r="D1873" s="22" t="str">
        <f>IFERROR(VLOOKUP(B1873,Colaboradores!A:D,3,),"")</f>
        <v>SAÚDE OCUPACIONAL</v>
      </c>
      <c r="E1873" s="22" t="str">
        <f>IFERROR(VLOOKUP(B1873,Colaboradores!A:D,4,),"")</f>
        <v>ASSESSOR(A) DE NUTRIÇÃO</v>
      </c>
      <c r="F1873" s="47" t="s">
        <v>117</v>
      </c>
      <c r="G1873" s="24" t="str">
        <f>IFERROR(VLOOKUP(F1873,Procedimentos!A:C,2,),"")</f>
        <v>NORMA E ROTINA DA TRANSIÇÃO DE CUIDADOS</v>
      </c>
      <c r="H1873" s="25"/>
      <c r="I1873" s="51"/>
      <c r="J1873" s="4"/>
      <c r="K1873" s="25" t="str">
        <f t="shared" si="70"/>
        <v/>
      </c>
      <c r="L1873" s="7"/>
      <c r="M1873" s="4"/>
      <c r="N1873" s="7"/>
      <c r="O1873" s="4"/>
      <c r="P1873" s="51"/>
      <c r="Q1873" s="51"/>
      <c r="R1873" s="51"/>
      <c r="S1873" s="7"/>
      <c r="T1873" s="7"/>
    </row>
    <row r="1874" spans="1:20" ht="14.25" customHeight="1">
      <c r="A1874" s="4"/>
      <c r="B1874" s="38">
        <v>24306</v>
      </c>
      <c r="C1874" s="22" t="str">
        <f>IFERROR(VLOOKUP(B1874,Colaboradores!A:D,2,),"")</f>
        <v>ANNA MARIA ARAUJO PIORSKI</v>
      </c>
      <c r="D1874" s="22" t="str">
        <f>IFERROR(VLOOKUP(B1874,Colaboradores!A:D,3,),"")</f>
        <v>SAÚDE OCUPACIONAL</v>
      </c>
      <c r="E1874" s="22" t="str">
        <f>IFERROR(VLOOKUP(B1874,Colaboradores!A:D,4,),"")</f>
        <v>ASSESSOR(A) DE NUTRIÇÃO</v>
      </c>
      <c r="F1874" s="47" t="s">
        <v>118</v>
      </c>
      <c r="G1874" s="24" t="str">
        <f>IFERROR(VLOOKUP(F1874,Procedimentos!A:C,2,),"")</f>
        <v>PROTOCOLO DE ASSISTÊNCIA FISIOTERAPÊUTICA DO ESPAÇO CUIDAR</v>
      </c>
      <c r="H1874" s="25"/>
      <c r="I1874" s="51"/>
      <c r="J1874" s="4"/>
      <c r="K1874" s="25" t="str">
        <f t="shared" si="70"/>
        <v/>
      </c>
      <c r="L1874" s="7"/>
      <c r="M1874" s="4"/>
      <c r="N1874" s="7"/>
      <c r="O1874" s="4"/>
      <c r="P1874" s="51"/>
      <c r="Q1874" s="51"/>
      <c r="R1874" s="51"/>
      <c r="S1874" s="7"/>
      <c r="T1874" s="7"/>
    </row>
    <row r="1875" spans="1:20" ht="14.25" customHeight="1">
      <c r="A1875" s="4"/>
      <c r="B1875" s="38">
        <v>14974</v>
      </c>
      <c r="C1875" s="22" t="str">
        <f>IFERROR(VLOOKUP(B1875,Colaboradores!A:D,2,),"")</f>
        <v>ANA BEATRIZ DA SILVA MENDES AMARAL</v>
      </c>
      <c r="D1875" s="22" t="str">
        <f>IFERROR(VLOOKUP(B1875,Colaboradores!A:D,3,),"")</f>
        <v>SAÚDE OCUPACIONAL</v>
      </c>
      <c r="E1875" s="22" t="str">
        <f>IFERROR(VLOOKUP(B1875,Colaboradores!A:D,4,),"")</f>
        <v>JOVEM APRENDIZ</v>
      </c>
      <c r="F1875" s="47" t="s">
        <v>94</v>
      </c>
      <c r="G1875" s="24" t="str">
        <f>IFERROR(VLOOKUP(F1875,Procedimentos!A:C,2,),"")</f>
        <v>PROTOCOLO DE CONSENTIMENTO INFORMADO</v>
      </c>
      <c r="H1875" s="25"/>
      <c r="I1875" s="51"/>
      <c r="J1875" s="4"/>
      <c r="K1875" s="25" t="str">
        <f t="shared" si="70"/>
        <v/>
      </c>
      <c r="L1875" s="7"/>
      <c r="M1875" s="4"/>
      <c r="N1875" s="7"/>
      <c r="O1875" s="4"/>
      <c r="P1875" s="51"/>
      <c r="Q1875" s="51"/>
      <c r="R1875" s="51"/>
      <c r="S1875" s="7"/>
      <c r="T1875" s="7"/>
    </row>
    <row r="1876" spans="1:20" ht="14.25" customHeight="1">
      <c r="A1876" s="4"/>
      <c r="B1876" s="38">
        <v>14974</v>
      </c>
      <c r="C1876" s="22" t="str">
        <f>IFERROR(VLOOKUP(B1876,Colaboradores!A:D,2,),"")</f>
        <v>ANA BEATRIZ DA SILVA MENDES AMARAL</v>
      </c>
      <c r="D1876" s="22" t="str">
        <f>IFERROR(VLOOKUP(B1876,Colaboradores!A:D,3,),"")</f>
        <v>SAÚDE OCUPACIONAL</v>
      </c>
      <c r="E1876" s="22" t="str">
        <f>IFERROR(VLOOKUP(B1876,Colaboradores!A:D,4,),"")</f>
        <v>JOVEM APRENDIZ</v>
      </c>
      <c r="F1876" s="47" t="s">
        <v>95</v>
      </c>
      <c r="G1876" s="24" t="str">
        <f>IFERROR(VLOOKUP(F1876,Procedimentos!A:C,2,),"")</f>
        <v>PROTOCOLO DE NOTIFICAÇÃO COMPULSORIA - ESPAÇO CUIDAR/EMSERH</v>
      </c>
      <c r="H1876" s="25"/>
      <c r="I1876" s="51"/>
      <c r="J1876" s="4"/>
      <c r="K1876" s="25" t="str">
        <f t="shared" si="70"/>
        <v/>
      </c>
      <c r="L1876" s="7"/>
      <c r="M1876" s="4"/>
      <c r="N1876" s="7"/>
      <c r="O1876" s="4"/>
      <c r="P1876" s="51"/>
      <c r="Q1876" s="51"/>
      <c r="R1876" s="51"/>
      <c r="S1876" s="7"/>
      <c r="T1876" s="7"/>
    </row>
    <row r="1877" spans="1:20" ht="14.25" customHeight="1">
      <c r="A1877" s="4"/>
      <c r="B1877" s="38">
        <v>14974</v>
      </c>
      <c r="C1877" s="22" t="str">
        <f>IFERROR(VLOOKUP(B1877,Colaboradores!A:D,2,),"")</f>
        <v>ANA BEATRIZ DA SILVA MENDES AMARAL</v>
      </c>
      <c r="D1877" s="22" t="str">
        <f>IFERROR(VLOOKUP(B1877,Colaboradores!A:D,3,),"")</f>
        <v>SAÚDE OCUPACIONAL</v>
      </c>
      <c r="E1877" s="22" t="str">
        <f>IFERROR(VLOOKUP(B1877,Colaboradores!A:D,4,),"")</f>
        <v>JOVEM APRENDIZ</v>
      </c>
      <c r="F1877" s="47" t="s">
        <v>96</v>
      </c>
      <c r="G1877" s="24" t="str">
        <f>IFERROR(VLOOKUP(F1877,Procedimentos!A:C,2,),"")</f>
        <v>PROTOCOLO PARA HIGIENIZAÇÃO DAS MÃOS</v>
      </c>
      <c r="H1877" s="25"/>
      <c r="I1877" s="51"/>
      <c r="J1877" s="4"/>
      <c r="K1877" s="25" t="str">
        <f t="shared" si="70"/>
        <v/>
      </c>
      <c r="L1877" s="7"/>
      <c r="M1877" s="4"/>
      <c r="N1877" s="7"/>
      <c r="O1877" s="4"/>
      <c r="P1877" s="51"/>
      <c r="Q1877" s="51"/>
      <c r="R1877" s="51"/>
      <c r="S1877" s="7"/>
      <c r="T1877" s="7"/>
    </row>
    <row r="1878" spans="1:20" ht="14.25" customHeight="1">
      <c r="A1878" s="4"/>
      <c r="B1878" s="38">
        <v>14974</v>
      </c>
      <c r="C1878" s="22" t="str">
        <f>IFERROR(VLOOKUP(B1878,Colaboradores!A:D,2,),"")</f>
        <v>ANA BEATRIZ DA SILVA MENDES AMARAL</v>
      </c>
      <c r="D1878" s="22" t="str">
        <f>IFERROR(VLOOKUP(B1878,Colaboradores!A:D,3,),"")</f>
        <v>SAÚDE OCUPACIONAL</v>
      </c>
      <c r="E1878" s="22" t="str">
        <f>IFERROR(VLOOKUP(B1878,Colaboradores!A:D,4,),"")</f>
        <v>JOVEM APRENDIZ</v>
      </c>
      <c r="F1878" s="47" t="s">
        <v>97</v>
      </c>
      <c r="G1878" s="24" t="str">
        <f>IFERROR(VLOOKUP(F1878,Procedimentos!A:C,2,),"")</f>
        <v>PROTOCOLO DE PREVENÇÃO DE QUEDAS</v>
      </c>
      <c r="H1878" s="25"/>
      <c r="I1878" s="51"/>
      <c r="J1878" s="4"/>
      <c r="K1878" s="25" t="str">
        <f t="shared" si="70"/>
        <v/>
      </c>
      <c r="L1878" s="7"/>
      <c r="M1878" s="4"/>
      <c r="N1878" s="7"/>
      <c r="O1878" s="4"/>
      <c r="P1878" s="51"/>
      <c r="Q1878" s="51"/>
      <c r="R1878" s="51"/>
      <c r="S1878" s="7"/>
      <c r="T1878" s="7"/>
    </row>
    <row r="1879" spans="1:20" ht="14.25" customHeight="1">
      <c r="A1879" s="4"/>
      <c r="B1879" s="38">
        <v>14974</v>
      </c>
      <c r="C1879" s="22" t="str">
        <f>IFERROR(VLOOKUP(B1879,Colaboradores!A:D,2,),"")</f>
        <v>ANA BEATRIZ DA SILVA MENDES AMARAL</v>
      </c>
      <c r="D1879" s="22" t="str">
        <f>IFERROR(VLOOKUP(B1879,Colaboradores!A:D,3,),"")</f>
        <v>SAÚDE OCUPACIONAL</v>
      </c>
      <c r="E1879" s="22" t="str">
        <f>IFERROR(VLOOKUP(B1879,Colaboradores!A:D,4,),"")</f>
        <v>JOVEM APRENDIZ</v>
      </c>
      <c r="F1879" s="47" t="s">
        <v>98</v>
      </c>
      <c r="G1879" s="24" t="str">
        <f>IFERROR(VLOOKUP(F1879,Procedimentos!A:C,2,),"")</f>
        <v>PROTOCOLO INSTITUCIONAL DE CONDUTA ETICA NO ATENDIMENTO MULTIPROFISSIONAL NO ESPAÇO CUIDAR</v>
      </c>
      <c r="H1879" s="25"/>
      <c r="I1879" s="51"/>
      <c r="J1879" s="4"/>
      <c r="K1879" s="25" t="str">
        <f t="shared" si="70"/>
        <v/>
      </c>
      <c r="L1879" s="7"/>
      <c r="M1879" s="4"/>
      <c r="N1879" s="7"/>
      <c r="O1879" s="4"/>
      <c r="P1879" s="51"/>
      <c r="Q1879" s="51"/>
      <c r="R1879" s="51"/>
      <c r="S1879" s="7"/>
      <c r="T1879" s="7"/>
    </row>
    <row r="1880" spans="1:20" ht="14.25" customHeight="1">
      <c r="A1880" s="4"/>
      <c r="B1880" s="38">
        <v>14974</v>
      </c>
      <c r="C1880" s="22" t="str">
        <f>IFERROR(VLOOKUP(B1880,Colaboradores!A:D,2,),"")</f>
        <v>ANA BEATRIZ DA SILVA MENDES AMARAL</v>
      </c>
      <c r="D1880" s="22" t="str">
        <f>IFERROR(VLOOKUP(B1880,Colaboradores!A:D,3,),"")</f>
        <v>SAÚDE OCUPACIONAL</v>
      </c>
      <c r="E1880" s="22" t="str">
        <f>IFERROR(VLOOKUP(B1880,Colaboradores!A:D,4,),"")</f>
        <v>JOVEM APRENDIZ</v>
      </c>
      <c r="F1880" s="47" t="s">
        <v>99</v>
      </c>
      <c r="G1880" s="24" t="str">
        <f>IFERROR(VLOOKUP(F1880,Procedimentos!A:C,2,),"")</f>
        <v>PROTOCOLO PARA LIMPEZA DE ÁREAS E SUPERFÍCIES NO ESPAÇO CUIDAR</v>
      </c>
      <c r="H1880" s="25"/>
      <c r="I1880" s="51"/>
      <c r="J1880" s="4"/>
      <c r="K1880" s="25" t="str">
        <f t="shared" si="70"/>
        <v/>
      </c>
      <c r="L1880" s="7"/>
      <c r="M1880" s="4"/>
      <c r="N1880" s="7"/>
      <c r="O1880" s="4"/>
      <c r="P1880" s="51"/>
      <c r="Q1880" s="51"/>
      <c r="R1880" s="51"/>
      <c r="S1880" s="7"/>
      <c r="T1880" s="7"/>
    </row>
    <row r="1881" spans="1:20" ht="14.25" customHeight="1">
      <c r="A1881" s="4"/>
      <c r="B1881" s="38">
        <v>14974</v>
      </c>
      <c r="C1881" s="22" t="str">
        <f>IFERROR(VLOOKUP(B1881,Colaboradores!A:D,2,),"")</f>
        <v>ANA BEATRIZ DA SILVA MENDES AMARAL</v>
      </c>
      <c r="D1881" s="22" t="str">
        <f>IFERROR(VLOOKUP(B1881,Colaboradores!A:D,3,),"")</f>
        <v>SAÚDE OCUPACIONAL</v>
      </c>
      <c r="E1881" s="22" t="str">
        <f>IFERROR(VLOOKUP(B1881,Colaboradores!A:D,4,),"")</f>
        <v>JOVEM APRENDIZ</v>
      </c>
      <c r="F1881" s="47" t="s">
        <v>100</v>
      </c>
      <c r="G1881" s="24" t="str">
        <f>IFERROR(VLOOKUP(F1881,Procedimentos!A:C,2,),"")</f>
        <v>PROTOCOLO DE ATENDIMENTO PSIQUIATRICO NO ESPAÇO CUIDAR DA EMSERH</v>
      </c>
      <c r="H1881" s="25"/>
      <c r="I1881" s="51"/>
      <c r="J1881" s="4"/>
      <c r="K1881" s="25" t="str">
        <f t="shared" si="70"/>
        <v/>
      </c>
      <c r="L1881" s="7"/>
      <c r="M1881" s="4"/>
      <c r="N1881" s="7"/>
      <c r="O1881" s="4"/>
      <c r="P1881" s="51"/>
      <c r="Q1881" s="51"/>
      <c r="R1881" s="51"/>
      <c r="S1881" s="7"/>
      <c r="T1881" s="7"/>
    </row>
    <row r="1882" spans="1:20" ht="14.25" customHeight="1">
      <c r="A1882" s="4"/>
      <c r="B1882" s="38">
        <v>14974</v>
      </c>
      <c r="C1882" s="22" t="str">
        <f>IFERROR(VLOOKUP(B1882,Colaboradores!A:D,2,),"")</f>
        <v>ANA BEATRIZ DA SILVA MENDES AMARAL</v>
      </c>
      <c r="D1882" s="22" t="str">
        <f>IFERROR(VLOOKUP(B1882,Colaboradores!A:D,3,),"")</f>
        <v>SAÚDE OCUPACIONAL</v>
      </c>
      <c r="E1882" s="22" t="str">
        <f>IFERROR(VLOOKUP(B1882,Colaboradores!A:D,4,),"")</f>
        <v>JOVEM APRENDIZ</v>
      </c>
      <c r="F1882" s="47" t="s">
        <v>101</v>
      </c>
      <c r="G1882" s="24" t="str">
        <f>IFERROR(VLOOKUP(F1882,Procedimentos!A:C,2,),"")</f>
        <v>PROTOCOLO DE MANEJO DE SURTO</v>
      </c>
      <c r="H1882" s="25"/>
      <c r="I1882" s="51"/>
      <c r="J1882" s="4"/>
      <c r="K1882" s="25" t="str">
        <f t="shared" si="70"/>
        <v/>
      </c>
      <c r="L1882" s="7"/>
      <c r="M1882" s="4"/>
      <c r="N1882" s="7"/>
      <c r="O1882" s="4"/>
      <c r="P1882" s="51"/>
      <c r="Q1882" s="51"/>
      <c r="R1882" s="51"/>
      <c r="S1882" s="7"/>
      <c r="T1882" s="7"/>
    </row>
    <row r="1883" spans="1:20" ht="14.25" customHeight="1">
      <c r="A1883" s="4"/>
      <c r="B1883" s="38">
        <v>14974</v>
      </c>
      <c r="C1883" s="22" t="str">
        <f>IFERROR(VLOOKUP(B1883,Colaboradores!A:D,2,),"")</f>
        <v>ANA BEATRIZ DA SILVA MENDES AMARAL</v>
      </c>
      <c r="D1883" s="22" t="str">
        <f>IFERROR(VLOOKUP(B1883,Colaboradores!A:D,3,),"")</f>
        <v>SAÚDE OCUPACIONAL</v>
      </c>
      <c r="E1883" s="22" t="str">
        <f>IFERROR(VLOOKUP(B1883,Colaboradores!A:D,4,),"")</f>
        <v>JOVEM APRENDIZ</v>
      </c>
      <c r="F1883" s="47" t="s">
        <v>102</v>
      </c>
      <c r="G1883" s="24" t="str">
        <f>IFERROR(VLOOKUP(F1883,Procedimentos!A:C,2,),"")</f>
        <v>PROTOCOLO DE TRANSPORTE SEGURO NO ESPAÇO CUIDAR</v>
      </c>
      <c r="H1883" s="25"/>
      <c r="I1883" s="51"/>
      <c r="J1883" s="4"/>
      <c r="K1883" s="25" t="str">
        <f t="shared" si="70"/>
        <v/>
      </c>
      <c r="L1883" s="7"/>
      <c r="M1883" s="4"/>
      <c r="N1883" s="7"/>
      <c r="O1883" s="4"/>
      <c r="P1883" s="51"/>
      <c r="Q1883" s="51"/>
      <c r="R1883" s="51"/>
      <c r="S1883" s="7"/>
      <c r="T1883" s="7"/>
    </row>
    <row r="1884" spans="1:20" ht="14.25" customHeight="1">
      <c r="A1884" s="4"/>
      <c r="B1884" s="38">
        <v>14974</v>
      </c>
      <c r="C1884" s="22" t="str">
        <f>IFERROR(VLOOKUP(B1884,Colaboradores!A:D,2,),"")</f>
        <v>ANA BEATRIZ DA SILVA MENDES AMARAL</v>
      </c>
      <c r="D1884" s="22" t="str">
        <f>IFERROR(VLOOKUP(B1884,Colaboradores!A:D,3,),"")</f>
        <v>SAÚDE OCUPACIONAL</v>
      </c>
      <c r="E1884" s="22" t="str">
        <f>IFERROR(VLOOKUP(B1884,Colaboradores!A:D,4,),"")</f>
        <v>JOVEM APRENDIZ</v>
      </c>
      <c r="F1884" s="47" t="s">
        <v>103</v>
      </c>
      <c r="G1884" s="24" t="str">
        <f>IFERROR(VLOOKUP(F1884,Procedimentos!A:C,2,),"")</f>
        <v>PROTOCOLO DE ATENDIMENTO À PESSOA COM COMPORTAMENTO SUÍCIDA</v>
      </c>
      <c r="H1884" s="25"/>
      <c r="I1884" s="51"/>
      <c r="J1884" s="4"/>
      <c r="K1884" s="25" t="str">
        <f t="shared" si="70"/>
        <v/>
      </c>
      <c r="L1884" s="7"/>
      <c r="M1884" s="4"/>
      <c r="N1884" s="7"/>
      <c r="O1884" s="4"/>
      <c r="P1884" s="51"/>
      <c r="Q1884" s="51"/>
      <c r="R1884" s="51"/>
      <c r="S1884" s="7"/>
      <c r="T1884" s="7"/>
    </row>
    <row r="1885" spans="1:20" ht="14.25" customHeight="1">
      <c r="A1885" s="4"/>
      <c r="B1885" s="38">
        <v>14974</v>
      </c>
      <c r="C1885" s="22" t="str">
        <f>IFERROR(VLOOKUP(B1885,Colaboradores!A:D,2,),"")</f>
        <v>ANA BEATRIZ DA SILVA MENDES AMARAL</v>
      </c>
      <c r="D1885" s="22" t="str">
        <f>IFERROR(VLOOKUP(B1885,Colaboradores!A:D,3,),"")</f>
        <v>SAÚDE OCUPACIONAL</v>
      </c>
      <c r="E1885" s="22" t="str">
        <f>IFERROR(VLOOKUP(B1885,Colaboradores!A:D,4,),"")</f>
        <v>JOVEM APRENDIZ</v>
      </c>
      <c r="F1885" s="47" t="s">
        <v>104</v>
      </c>
      <c r="G1885" s="24" t="str">
        <f>IFERROR(VLOOKUP(F1885,Procedimentos!A:C,2,),"")</f>
        <v>PROTOCOLO DE BIOSSEGURANÇA</v>
      </c>
      <c r="H1885" s="25"/>
      <c r="I1885" s="51"/>
      <c r="J1885" s="4"/>
      <c r="K1885" s="25" t="str">
        <f t="shared" si="70"/>
        <v/>
      </c>
      <c r="L1885" s="7"/>
      <c r="M1885" s="4"/>
      <c r="N1885" s="7"/>
      <c r="O1885" s="4"/>
      <c r="P1885" s="51"/>
      <c r="Q1885" s="51"/>
      <c r="R1885" s="51"/>
      <c r="S1885" s="7"/>
      <c r="T1885" s="7"/>
    </row>
    <row r="1886" spans="1:20" ht="14.25" customHeight="1">
      <c r="A1886" s="4"/>
      <c r="B1886" s="38">
        <v>14974</v>
      </c>
      <c r="C1886" s="22" t="str">
        <f>IFERROR(VLOOKUP(B1886,Colaboradores!A:D,2,),"")</f>
        <v>ANA BEATRIZ DA SILVA MENDES AMARAL</v>
      </c>
      <c r="D1886" s="22" t="str">
        <f>IFERROR(VLOOKUP(B1886,Colaboradores!A:D,3,),"")</f>
        <v>SAÚDE OCUPACIONAL</v>
      </c>
      <c r="E1886" s="22" t="str">
        <f>IFERROR(VLOOKUP(B1886,Colaboradores!A:D,4,),"")</f>
        <v>JOVEM APRENDIZ</v>
      </c>
      <c r="F1886" s="47" t="s">
        <v>105</v>
      </c>
      <c r="G1886" s="24" t="str">
        <f>IFERROR(VLOOKUP(F1886,Procedimentos!A:C,2,),"")</f>
        <v>PROTOCOLO IDENTIFICAÇÃO E MANEJO DA EVOLUÇÃO DESFAVORÁVEL DO PACIENTE NO ESPAÇO CUIDAR</v>
      </c>
      <c r="H1886" s="25"/>
      <c r="I1886" s="51"/>
      <c r="J1886" s="4"/>
      <c r="K1886" s="25" t="str">
        <f t="shared" si="70"/>
        <v/>
      </c>
      <c r="L1886" s="7"/>
      <c r="M1886" s="4"/>
      <c r="N1886" s="7"/>
      <c r="O1886" s="4"/>
      <c r="P1886" s="51"/>
      <c r="Q1886" s="51"/>
      <c r="R1886" s="51"/>
      <c r="S1886" s="7"/>
      <c r="T1886" s="7"/>
    </row>
    <row r="1887" spans="1:20" ht="14.25" customHeight="1">
      <c r="A1887" s="4"/>
      <c r="B1887" s="38">
        <v>14974</v>
      </c>
      <c r="C1887" s="22" t="str">
        <f>IFERROR(VLOOKUP(B1887,Colaboradores!A:D,2,),"")</f>
        <v>ANA BEATRIZ DA SILVA MENDES AMARAL</v>
      </c>
      <c r="D1887" s="22" t="str">
        <f>IFERROR(VLOOKUP(B1887,Colaboradores!A:D,3,),"")</f>
        <v>SAÚDE OCUPACIONAL</v>
      </c>
      <c r="E1887" s="22" t="str">
        <f>IFERROR(VLOOKUP(B1887,Colaboradores!A:D,4,),"")</f>
        <v>JOVEM APRENDIZ</v>
      </c>
      <c r="F1887" s="47" t="s">
        <v>106</v>
      </c>
      <c r="G1887" s="24" t="str">
        <f>IFERROR(VLOOKUP(F1887,Procedimentos!A:C,2,),"")</f>
        <v>PROTOCOLO DE DETERIORAÇÃO CLÍNICA</v>
      </c>
      <c r="H1887" s="25"/>
      <c r="I1887" s="51"/>
      <c r="J1887" s="4"/>
      <c r="K1887" s="25" t="str">
        <f t="shared" si="70"/>
        <v/>
      </c>
      <c r="L1887" s="7"/>
      <c r="M1887" s="4"/>
      <c r="N1887" s="7"/>
      <c r="O1887" s="4"/>
      <c r="P1887" s="51"/>
      <c r="Q1887" s="51"/>
      <c r="R1887" s="51"/>
      <c r="S1887" s="7"/>
      <c r="T1887" s="7"/>
    </row>
    <row r="1888" spans="1:20" ht="14.25" customHeight="1">
      <c r="A1888" s="4"/>
      <c r="B1888" s="38">
        <v>14974</v>
      </c>
      <c r="C1888" s="22" t="str">
        <f>IFERROR(VLOOKUP(B1888,Colaboradores!A:D,2,),"")</f>
        <v>ANA BEATRIZ DA SILVA MENDES AMARAL</v>
      </c>
      <c r="D1888" s="22" t="str">
        <f>IFERROR(VLOOKUP(B1888,Colaboradores!A:D,3,),"")</f>
        <v>SAÚDE OCUPACIONAL</v>
      </c>
      <c r="E1888" s="22" t="str">
        <f>IFERROR(VLOOKUP(B1888,Colaboradores!A:D,4,),"")</f>
        <v>JOVEM APRENDIZ</v>
      </c>
      <c r="F1888" s="47" t="s">
        <v>107</v>
      </c>
      <c r="G1888" s="24" t="str">
        <f>IFERROR(VLOOKUP(F1888,Procedimentos!A:C,2,),"")</f>
        <v>PROTOCOLO DE COMUNICAÇÃO DE NOTÍCIAS DIFÍCEIS</v>
      </c>
      <c r="H1888" s="25"/>
      <c r="I1888" s="51"/>
      <c r="J1888" s="4"/>
      <c r="K1888" s="25" t="str">
        <f t="shared" si="70"/>
        <v/>
      </c>
      <c r="L1888" s="7"/>
      <c r="M1888" s="4"/>
      <c r="N1888" s="7"/>
      <c r="O1888" s="4"/>
      <c r="P1888" s="51"/>
      <c r="Q1888" s="51"/>
      <c r="R1888" s="51"/>
      <c r="S1888" s="7"/>
      <c r="T1888" s="7"/>
    </row>
    <row r="1889" spans="1:20" ht="14.25" customHeight="1">
      <c r="A1889" s="4"/>
      <c r="B1889" s="38">
        <v>14974</v>
      </c>
      <c r="C1889" s="22" t="str">
        <f>IFERROR(VLOOKUP(B1889,Colaboradores!A:D,2,),"")</f>
        <v>ANA BEATRIZ DA SILVA MENDES AMARAL</v>
      </c>
      <c r="D1889" s="22" t="str">
        <f>IFERROR(VLOOKUP(B1889,Colaboradores!A:D,3,),"")</f>
        <v>SAÚDE OCUPACIONAL</v>
      </c>
      <c r="E1889" s="22" t="str">
        <f>IFERROR(VLOOKUP(B1889,Colaboradores!A:D,4,),"")</f>
        <v>JOVEM APRENDIZ</v>
      </c>
      <c r="F1889" s="47" t="s">
        <v>108</v>
      </c>
      <c r="G1889" s="24" t="str">
        <f>IFERROR(VLOOKUP(F1889,Procedimentos!A:C,2,),"")</f>
        <v>PROTOCOLO PARA ATENDIMENTO DO (A) ASSISTENTE SOCIAL NO AMBULATÓRIO DO ESPAÇO CUIDAR</v>
      </c>
      <c r="H1889" s="25"/>
      <c r="I1889" s="51"/>
      <c r="J1889" s="4"/>
      <c r="K1889" s="25" t="str">
        <f t="shared" si="70"/>
        <v/>
      </c>
      <c r="L1889" s="7"/>
      <c r="M1889" s="4"/>
      <c r="N1889" s="7"/>
      <c r="O1889" s="4"/>
      <c r="P1889" s="51"/>
      <c r="Q1889" s="51"/>
      <c r="R1889" s="51"/>
      <c r="S1889" s="7"/>
      <c r="T1889" s="7"/>
    </row>
    <row r="1890" spans="1:20" ht="14.25" customHeight="1">
      <c r="A1890" s="4"/>
      <c r="B1890" s="38">
        <v>14974</v>
      </c>
      <c r="C1890" s="22" t="str">
        <f>IFERROR(VLOOKUP(B1890,Colaboradores!A:D,2,),"")</f>
        <v>ANA BEATRIZ DA SILVA MENDES AMARAL</v>
      </c>
      <c r="D1890" s="22" t="str">
        <f>IFERROR(VLOOKUP(B1890,Colaboradores!A:D,3,),"")</f>
        <v>SAÚDE OCUPACIONAL</v>
      </c>
      <c r="E1890" s="22" t="str">
        <f>IFERROR(VLOOKUP(B1890,Colaboradores!A:D,4,),"")</f>
        <v>JOVEM APRENDIZ</v>
      </c>
      <c r="F1890" s="47" t="s">
        <v>109</v>
      </c>
      <c r="G1890" s="24" t="str">
        <f>IFERROR(VLOOKUP(F1890,Procedimentos!A:C,2,),"")</f>
        <v>ROTOCOLO DE ASSISTÊNCIA NUTRICIONAL AMBULATÓRIAL PARA ADULTOS E IDOSOS COM SOBREPESO E OBESIDADE</v>
      </c>
      <c r="H1890" s="25"/>
      <c r="I1890" s="51"/>
      <c r="J1890" s="4"/>
      <c r="K1890" s="25" t="str">
        <f t="shared" si="70"/>
        <v/>
      </c>
      <c r="L1890" s="7"/>
      <c r="M1890" s="4"/>
      <c r="N1890" s="7"/>
      <c r="O1890" s="4"/>
      <c r="P1890" s="51"/>
      <c r="Q1890" s="51"/>
      <c r="R1890" s="51"/>
      <c r="S1890" s="7"/>
      <c r="T1890" s="7"/>
    </row>
    <row r="1891" spans="1:20" ht="14.25" customHeight="1">
      <c r="A1891" s="4"/>
      <c r="B1891" s="38">
        <v>14974</v>
      </c>
      <c r="C1891" s="22" t="str">
        <f>IFERROR(VLOOKUP(B1891,Colaboradores!A:D,2,),"")</f>
        <v>ANA BEATRIZ DA SILVA MENDES AMARAL</v>
      </c>
      <c r="D1891" s="22" t="str">
        <f>IFERROR(VLOOKUP(B1891,Colaboradores!A:D,3,),"")</f>
        <v>SAÚDE OCUPACIONAL</v>
      </c>
      <c r="E1891" s="22" t="str">
        <f>IFERROR(VLOOKUP(B1891,Colaboradores!A:D,4,),"")</f>
        <v>JOVEM APRENDIZ</v>
      </c>
      <c r="F1891" s="47" t="s">
        <v>110</v>
      </c>
      <c r="G1891" s="24" t="str">
        <f>IFERROR(VLOOKUP(F1891,Procedimentos!A:C,2,),"")</f>
        <v>PROTOCOLO DE AGENDAMENTO</v>
      </c>
      <c r="H1891" s="25"/>
      <c r="I1891" s="51"/>
      <c r="J1891" s="4"/>
      <c r="K1891" s="25" t="str">
        <f t="shared" si="70"/>
        <v/>
      </c>
      <c r="L1891" s="7"/>
      <c r="M1891" s="4"/>
      <c r="N1891" s="7"/>
      <c r="O1891" s="4"/>
      <c r="P1891" s="51"/>
      <c r="Q1891" s="51"/>
      <c r="R1891" s="51"/>
      <c r="S1891" s="7"/>
      <c r="T1891" s="7"/>
    </row>
    <row r="1892" spans="1:20" ht="14.25" customHeight="1">
      <c r="A1892" s="4"/>
      <c r="B1892" s="38">
        <v>14974</v>
      </c>
      <c r="C1892" s="22" t="str">
        <f>IFERROR(VLOOKUP(B1892,Colaboradores!A:D,2,),"")</f>
        <v>ANA BEATRIZ DA SILVA MENDES AMARAL</v>
      </c>
      <c r="D1892" s="22" t="str">
        <f>IFERROR(VLOOKUP(B1892,Colaboradores!A:D,3,),"")</f>
        <v>SAÚDE OCUPACIONAL</v>
      </c>
      <c r="E1892" s="22" t="str">
        <f>IFERROR(VLOOKUP(B1892,Colaboradores!A:D,4,),"")</f>
        <v>JOVEM APRENDIZ</v>
      </c>
      <c r="F1892" s="47" t="s">
        <v>111</v>
      </c>
      <c r="G1892" s="24" t="str">
        <f>IFERROR(VLOOKUP(F1892,Procedimentos!A:C,2,),"")</f>
        <v>PROTOCOLO DE IDENTIFICAÇÃO DE SINAIS SUSGETIVOS DE VIOLÊNCIA - ESPAÇO CUIDAR/ EMSERH</v>
      </c>
      <c r="H1892" s="25"/>
      <c r="I1892" s="51"/>
      <c r="J1892" s="4"/>
      <c r="K1892" s="25" t="str">
        <f t="shared" si="70"/>
        <v/>
      </c>
      <c r="L1892" s="7"/>
      <c r="M1892" s="4"/>
      <c r="N1892" s="7"/>
      <c r="O1892" s="4"/>
      <c r="P1892" s="51"/>
      <c r="Q1892" s="51"/>
      <c r="R1892" s="51"/>
      <c r="S1892" s="7"/>
      <c r="T1892" s="7"/>
    </row>
    <row r="1893" spans="1:20" ht="14.25" customHeight="1">
      <c r="A1893" s="4"/>
      <c r="B1893" s="38">
        <v>14974</v>
      </c>
      <c r="C1893" s="22" t="str">
        <f>IFERROR(VLOOKUP(B1893,Colaboradores!A:D,2,),"")</f>
        <v>ANA BEATRIZ DA SILVA MENDES AMARAL</v>
      </c>
      <c r="D1893" s="22" t="str">
        <f>IFERROR(VLOOKUP(B1893,Colaboradores!A:D,3,),"")</f>
        <v>SAÚDE OCUPACIONAL</v>
      </c>
      <c r="E1893" s="22" t="str">
        <f>IFERROR(VLOOKUP(B1893,Colaboradores!A:D,4,),"")</f>
        <v>JOVEM APRENDIZ</v>
      </c>
      <c r="F1893" s="47" t="s">
        <v>112</v>
      </c>
      <c r="G1893" s="24" t="str">
        <f>IFERROR(VLOOKUP(F1893,Procedimentos!A:C,2,),"")</f>
        <v>PROTOCOLO DE IDENTIFICAÇÃO SEGURA</v>
      </c>
      <c r="H1893" s="25"/>
      <c r="I1893" s="51"/>
      <c r="J1893" s="4"/>
      <c r="K1893" s="25" t="str">
        <f t="shared" si="70"/>
        <v/>
      </c>
      <c r="L1893" s="7"/>
      <c r="M1893" s="4"/>
      <c r="N1893" s="7"/>
      <c r="O1893" s="4"/>
      <c r="P1893" s="51"/>
      <c r="Q1893" s="51"/>
      <c r="R1893" s="51"/>
      <c r="S1893" s="7"/>
      <c r="T1893" s="7"/>
    </row>
    <row r="1894" spans="1:20" ht="14.25" customHeight="1">
      <c r="A1894" s="4"/>
      <c r="B1894" s="38">
        <v>14974</v>
      </c>
      <c r="C1894" s="22" t="str">
        <f>IFERROR(VLOOKUP(B1894,Colaboradores!A:D,2,),"")</f>
        <v>ANA BEATRIZ DA SILVA MENDES AMARAL</v>
      </c>
      <c r="D1894" s="22" t="str">
        <f>IFERROR(VLOOKUP(B1894,Colaboradores!A:D,3,),"")</f>
        <v>SAÚDE OCUPACIONAL</v>
      </c>
      <c r="E1894" s="22" t="str">
        <f>IFERROR(VLOOKUP(B1894,Colaboradores!A:D,4,),"")</f>
        <v>JOVEM APRENDIZ</v>
      </c>
      <c r="F1894" s="47" t="s">
        <v>113</v>
      </c>
      <c r="G1894" s="24" t="str">
        <f>IFERROR(VLOOKUP(F1894,Procedimentos!A:C,2,),"")</f>
        <v>PROTOCOLO DE NORMAS E ROTINAS PARA COMUNICAÇÃO DO ESTADO DE SAÚDE DO PACIENTE</v>
      </c>
      <c r="H1894" s="25"/>
      <c r="I1894" s="51"/>
      <c r="J1894" s="4"/>
      <c r="K1894" s="25" t="str">
        <f t="shared" si="70"/>
        <v/>
      </c>
      <c r="L1894" s="7"/>
      <c r="M1894" s="4"/>
      <c r="N1894" s="7"/>
      <c r="O1894" s="4"/>
      <c r="P1894" s="51"/>
      <c r="Q1894" s="51"/>
      <c r="R1894" s="51"/>
      <c r="S1894" s="7"/>
      <c r="T1894" s="7"/>
    </row>
    <row r="1895" spans="1:20" ht="14.25" customHeight="1">
      <c r="A1895" s="4"/>
      <c r="B1895" s="38">
        <v>14974</v>
      </c>
      <c r="C1895" s="22" t="str">
        <f>IFERROR(VLOOKUP(B1895,Colaboradores!A:D,2,),"")</f>
        <v>ANA BEATRIZ DA SILVA MENDES AMARAL</v>
      </c>
      <c r="D1895" s="22" t="str">
        <f>IFERROR(VLOOKUP(B1895,Colaboradores!A:D,3,),"")</f>
        <v>SAÚDE OCUPACIONAL</v>
      </c>
      <c r="E1895" s="22" t="str">
        <f>IFERROR(VLOOKUP(B1895,Colaboradores!A:D,4,),"")</f>
        <v>JOVEM APRENDIZ</v>
      </c>
      <c r="F1895" s="47" t="s">
        <v>114</v>
      </c>
      <c r="G1895" s="24" t="str">
        <f>IFERROR(VLOOKUP(F1895,Procedimentos!A:C,2,),"")</f>
        <v>PROTOCOLO DE COMUNICAÇÃO EFETIVA EM PRÁTICAS DE SAÚDE</v>
      </c>
      <c r="H1895" s="25"/>
      <c r="I1895" s="51"/>
      <c r="J1895" s="4"/>
      <c r="K1895" s="25" t="str">
        <f t="shared" si="70"/>
        <v/>
      </c>
      <c r="L1895" s="7"/>
      <c r="M1895" s="4"/>
      <c r="N1895" s="7"/>
      <c r="O1895" s="4"/>
      <c r="P1895" s="51"/>
      <c r="Q1895" s="51"/>
      <c r="R1895" s="51"/>
      <c r="S1895" s="7"/>
      <c r="T1895" s="7"/>
    </row>
    <row r="1896" spans="1:20" ht="14.25" customHeight="1">
      <c r="A1896" s="4"/>
      <c r="B1896" s="38">
        <v>14974</v>
      </c>
      <c r="C1896" s="22" t="str">
        <f>IFERROR(VLOOKUP(B1896,Colaboradores!A:D,2,),"")</f>
        <v>ANA BEATRIZ DA SILVA MENDES AMARAL</v>
      </c>
      <c r="D1896" s="22" t="str">
        <f>IFERROR(VLOOKUP(B1896,Colaboradores!A:D,3,),"")</f>
        <v>SAÚDE OCUPACIONAL</v>
      </c>
      <c r="E1896" s="22" t="str">
        <f>IFERROR(VLOOKUP(B1896,Colaboradores!A:D,4,),"")</f>
        <v>JOVEM APRENDIZ</v>
      </c>
      <c r="F1896" s="47" t="s">
        <v>115</v>
      </c>
      <c r="G1896" s="24" t="str">
        <f>IFERROR(VLOOKUP(F1896,Procedimentos!A:C,2,),"")</f>
        <v>PROTOCOLO DE NORMAS E ROTINAS DE ADMISSÃO, TRIAGEM E ALTA</v>
      </c>
      <c r="H1896" s="25"/>
      <c r="I1896" s="51"/>
      <c r="J1896" s="4"/>
      <c r="K1896" s="25" t="str">
        <f t="shared" si="70"/>
        <v/>
      </c>
      <c r="L1896" s="7"/>
      <c r="M1896" s="4"/>
      <c r="N1896" s="7"/>
      <c r="O1896" s="4"/>
      <c r="P1896" s="51"/>
      <c r="Q1896" s="51"/>
      <c r="R1896" s="51"/>
      <c r="S1896" s="7"/>
      <c r="T1896" s="7"/>
    </row>
    <row r="1897" spans="1:20" ht="14.25" customHeight="1">
      <c r="A1897" s="4"/>
      <c r="B1897" s="38">
        <v>14974</v>
      </c>
      <c r="C1897" s="22" t="str">
        <f>IFERROR(VLOOKUP(B1897,Colaboradores!A:D,2,),"")</f>
        <v>ANA BEATRIZ DA SILVA MENDES AMARAL</v>
      </c>
      <c r="D1897" s="22" t="str">
        <f>IFERROR(VLOOKUP(B1897,Colaboradores!A:D,3,),"")</f>
        <v>SAÚDE OCUPACIONAL</v>
      </c>
      <c r="E1897" s="22" t="str">
        <f>IFERROR(VLOOKUP(B1897,Colaboradores!A:D,4,),"")</f>
        <v>JOVEM APRENDIZ</v>
      </c>
      <c r="F1897" s="47" t="s">
        <v>116</v>
      </c>
      <c r="G1897" s="24" t="str">
        <f>IFERROR(VLOOKUP(F1897,Procedimentos!A:C,2,),"")</f>
        <v>PROTOCOLO DE SEGURANÇA NA PRESCRIÇÃO, USO E ADMINISTRAÇÃO DE MEDICAMENTOS ESPAÇO CUIDAR</v>
      </c>
      <c r="H1897" s="25"/>
      <c r="I1897" s="51"/>
      <c r="J1897" s="4"/>
      <c r="K1897" s="25" t="str">
        <f t="shared" si="70"/>
        <v/>
      </c>
      <c r="L1897" s="7"/>
      <c r="M1897" s="4"/>
      <c r="N1897" s="7"/>
      <c r="O1897" s="4"/>
      <c r="P1897" s="51"/>
      <c r="Q1897" s="51"/>
      <c r="R1897" s="51"/>
      <c r="S1897" s="7"/>
      <c r="T1897" s="7"/>
    </row>
    <row r="1898" spans="1:20" ht="14.25" customHeight="1">
      <c r="A1898" s="4"/>
      <c r="B1898" s="38">
        <v>14974</v>
      </c>
      <c r="C1898" s="22" t="str">
        <f>IFERROR(VLOOKUP(B1898,Colaboradores!A:D,2,),"")</f>
        <v>ANA BEATRIZ DA SILVA MENDES AMARAL</v>
      </c>
      <c r="D1898" s="22" t="str">
        <f>IFERROR(VLOOKUP(B1898,Colaboradores!A:D,3,),"")</f>
        <v>SAÚDE OCUPACIONAL</v>
      </c>
      <c r="E1898" s="22" t="str">
        <f>IFERROR(VLOOKUP(B1898,Colaboradores!A:D,4,),"")</f>
        <v>JOVEM APRENDIZ</v>
      </c>
      <c r="F1898" s="47" t="s">
        <v>117</v>
      </c>
      <c r="G1898" s="24" t="str">
        <f>IFERROR(VLOOKUP(F1898,Procedimentos!A:C,2,),"")</f>
        <v>NORMA E ROTINA DA TRANSIÇÃO DE CUIDADOS</v>
      </c>
      <c r="H1898" s="25"/>
      <c r="I1898" s="51"/>
      <c r="J1898" s="4"/>
      <c r="K1898" s="25" t="str">
        <f t="shared" si="70"/>
        <v/>
      </c>
      <c r="L1898" s="7"/>
      <c r="M1898" s="4"/>
      <c r="N1898" s="7"/>
      <c r="O1898" s="4"/>
      <c r="P1898" s="51"/>
      <c r="Q1898" s="51"/>
      <c r="R1898" s="51"/>
      <c r="S1898" s="7"/>
      <c r="T1898" s="7"/>
    </row>
    <row r="1899" spans="1:20" ht="14.25" customHeight="1">
      <c r="A1899" s="4"/>
      <c r="B1899" s="38">
        <v>14974</v>
      </c>
      <c r="C1899" s="22" t="str">
        <f>IFERROR(VLOOKUP(B1899,Colaboradores!A:D,2,),"")</f>
        <v>ANA BEATRIZ DA SILVA MENDES AMARAL</v>
      </c>
      <c r="D1899" s="22" t="str">
        <f>IFERROR(VLOOKUP(B1899,Colaboradores!A:D,3,),"")</f>
        <v>SAÚDE OCUPACIONAL</v>
      </c>
      <c r="E1899" s="22" t="str">
        <f>IFERROR(VLOOKUP(B1899,Colaboradores!A:D,4,),"")</f>
        <v>JOVEM APRENDIZ</v>
      </c>
      <c r="F1899" s="47" t="s">
        <v>118</v>
      </c>
      <c r="G1899" s="24" t="str">
        <f>IFERROR(VLOOKUP(F1899,Procedimentos!A:C,2,),"")</f>
        <v>PROTOCOLO DE ASSISTÊNCIA FISIOTERAPÊUTICA DO ESPAÇO CUIDAR</v>
      </c>
      <c r="H1899" s="25"/>
      <c r="I1899" s="51"/>
      <c r="J1899" s="4"/>
      <c r="K1899" s="25" t="str">
        <f t="shared" si="70"/>
        <v/>
      </c>
      <c r="L1899" s="7"/>
      <c r="M1899" s="4"/>
      <c r="N1899" s="7"/>
      <c r="O1899" s="4"/>
      <c r="P1899" s="51"/>
      <c r="Q1899" s="51"/>
      <c r="R1899" s="51"/>
      <c r="S1899" s="7"/>
      <c r="T1899" s="7"/>
    </row>
    <row r="1900" spans="1:20" ht="14.25" customHeight="1">
      <c r="A1900" s="4"/>
      <c r="B1900" s="38">
        <v>15295</v>
      </c>
      <c r="C1900" s="22" t="str">
        <f>IFERROR(VLOOKUP(B1900,Colaboradores!A:D,2,),"")</f>
        <v>ANA CRISTINA GONÇALVES NUNES</v>
      </c>
      <c r="D1900" s="22" t="str">
        <f>IFERROR(VLOOKUP(B1900,Colaboradores!A:D,3,),"")</f>
        <v>SAÚDE OCUPACIONAL</v>
      </c>
      <c r="E1900" s="22" t="str">
        <f>IFERROR(VLOOKUP(B1900,Colaboradores!A:D,4,),"")</f>
        <v>ENFERMEIRA</v>
      </c>
      <c r="F1900" s="47" t="s">
        <v>94</v>
      </c>
      <c r="G1900" s="24" t="str">
        <f>IFERROR(VLOOKUP(F1900,Procedimentos!A:C,2,),"")</f>
        <v>PROTOCOLO DE CONSENTIMENTO INFORMADO</v>
      </c>
      <c r="H1900" s="25"/>
      <c r="I1900" s="51"/>
      <c r="J1900" s="4"/>
      <c r="K1900" s="25" t="str">
        <f t="shared" si="70"/>
        <v/>
      </c>
      <c r="L1900" s="7"/>
      <c r="M1900" s="4"/>
      <c r="N1900" s="7"/>
      <c r="O1900" s="4"/>
      <c r="P1900" s="51"/>
      <c r="Q1900" s="51"/>
      <c r="R1900" s="51"/>
      <c r="S1900" s="7"/>
      <c r="T1900" s="7"/>
    </row>
    <row r="1901" spans="1:20" ht="14.25" customHeight="1">
      <c r="A1901" s="4"/>
      <c r="B1901" s="38">
        <v>15295</v>
      </c>
      <c r="C1901" s="22" t="str">
        <f>IFERROR(VLOOKUP(B1901,Colaboradores!A:D,2,),"")</f>
        <v>ANA CRISTINA GONÇALVES NUNES</v>
      </c>
      <c r="D1901" s="22" t="str">
        <f>IFERROR(VLOOKUP(B1901,Colaboradores!A:D,3,),"")</f>
        <v>SAÚDE OCUPACIONAL</v>
      </c>
      <c r="E1901" s="22" t="str">
        <f>IFERROR(VLOOKUP(B1901,Colaboradores!A:D,4,),"")</f>
        <v>ENFERMEIRA</v>
      </c>
      <c r="F1901" s="47" t="s">
        <v>95</v>
      </c>
      <c r="G1901" s="24" t="str">
        <f>IFERROR(VLOOKUP(F1901,Procedimentos!A:C,2,),"")</f>
        <v>PROTOCOLO DE NOTIFICAÇÃO COMPULSORIA - ESPAÇO CUIDAR/EMSERH</v>
      </c>
      <c r="H1901" s="25"/>
      <c r="I1901" s="51"/>
      <c r="J1901" s="4"/>
      <c r="K1901" s="25" t="str">
        <f t="shared" si="70"/>
        <v/>
      </c>
      <c r="L1901" s="7"/>
      <c r="M1901" s="4"/>
      <c r="N1901" s="7"/>
      <c r="O1901" s="4"/>
      <c r="P1901" s="51"/>
      <c r="Q1901" s="51"/>
      <c r="R1901" s="51"/>
      <c r="S1901" s="7"/>
      <c r="T1901" s="7"/>
    </row>
    <row r="1902" spans="1:20" ht="14.25" customHeight="1">
      <c r="A1902" s="4"/>
      <c r="B1902" s="38">
        <v>15295</v>
      </c>
      <c r="C1902" s="22" t="str">
        <f>IFERROR(VLOOKUP(B1902,Colaboradores!A:D,2,),"")</f>
        <v>ANA CRISTINA GONÇALVES NUNES</v>
      </c>
      <c r="D1902" s="22" t="str">
        <f>IFERROR(VLOOKUP(B1902,Colaboradores!A:D,3,),"")</f>
        <v>SAÚDE OCUPACIONAL</v>
      </c>
      <c r="E1902" s="22" t="str">
        <f>IFERROR(VLOOKUP(B1902,Colaboradores!A:D,4,),"")</f>
        <v>ENFERMEIRA</v>
      </c>
      <c r="F1902" s="47" t="s">
        <v>96</v>
      </c>
      <c r="G1902" s="24" t="str">
        <f>IFERROR(VLOOKUP(F1902,Procedimentos!A:C,2,),"")</f>
        <v>PROTOCOLO PARA HIGIENIZAÇÃO DAS MÃOS</v>
      </c>
      <c r="H1902" s="25"/>
      <c r="I1902" s="51"/>
      <c r="J1902" s="4"/>
      <c r="K1902" s="25" t="str">
        <f t="shared" si="70"/>
        <v/>
      </c>
      <c r="L1902" s="7"/>
      <c r="M1902" s="4"/>
      <c r="N1902" s="7"/>
      <c r="O1902" s="4"/>
      <c r="P1902" s="51"/>
      <c r="Q1902" s="51"/>
      <c r="R1902" s="51"/>
      <c r="S1902" s="7"/>
      <c r="T1902" s="7"/>
    </row>
    <row r="1903" spans="1:20" ht="14.25" customHeight="1">
      <c r="A1903" s="4"/>
      <c r="B1903" s="38">
        <v>15295</v>
      </c>
      <c r="C1903" s="22" t="str">
        <f>IFERROR(VLOOKUP(B1903,Colaboradores!A:D,2,),"")</f>
        <v>ANA CRISTINA GONÇALVES NUNES</v>
      </c>
      <c r="D1903" s="22" t="str">
        <f>IFERROR(VLOOKUP(B1903,Colaboradores!A:D,3,),"")</f>
        <v>SAÚDE OCUPACIONAL</v>
      </c>
      <c r="E1903" s="22" t="str">
        <f>IFERROR(VLOOKUP(B1903,Colaboradores!A:D,4,),"")</f>
        <v>ENFERMEIRA</v>
      </c>
      <c r="F1903" s="47" t="s">
        <v>97</v>
      </c>
      <c r="G1903" s="24" t="str">
        <f>IFERROR(VLOOKUP(F1903,Procedimentos!A:C,2,),"")</f>
        <v>PROTOCOLO DE PREVENÇÃO DE QUEDAS</v>
      </c>
      <c r="H1903" s="25"/>
      <c r="I1903" s="51"/>
      <c r="J1903" s="4"/>
      <c r="K1903" s="25" t="str">
        <f t="shared" si="70"/>
        <v/>
      </c>
      <c r="L1903" s="7"/>
      <c r="M1903" s="4"/>
      <c r="N1903" s="7"/>
      <c r="O1903" s="4"/>
      <c r="P1903" s="51"/>
      <c r="Q1903" s="51"/>
      <c r="R1903" s="51"/>
      <c r="S1903" s="7"/>
      <c r="T1903" s="7"/>
    </row>
    <row r="1904" spans="1:20" ht="14.25" customHeight="1">
      <c r="A1904" s="4"/>
      <c r="B1904" s="38">
        <v>15295</v>
      </c>
      <c r="C1904" s="22" t="str">
        <f>IFERROR(VLOOKUP(B1904,Colaboradores!A:D,2,),"")</f>
        <v>ANA CRISTINA GONÇALVES NUNES</v>
      </c>
      <c r="D1904" s="22" t="str">
        <f>IFERROR(VLOOKUP(B1904,Colaboradores!A:D,3,),"")</f>
        <v>SAÚDE OCUPACIONAL</v>
      </c>
      <c r="E1904" s="22" t="str">
        <f>IFERROR(VLOOKUP(B1904,Colaboradores!A:D,4,),"")</f>
        <v>ENFERMEIRA</v>
      </c>
      <c r="F1904" s="47" t="s">
        <v>98</v>
      </c>
      <c r="G1904" s="24" t="str">
        <f>IFERROR(VLOOKUP(F1904,Procedimentos!A:C,2,),"")</f>
        <v>PROTOCOLO INSTITUCIONAL DE CONDUTA ETICA NO ATENDIMENTO MULTIPROFISSIONAL NO ESPAÇO CUIDAR</v>
      </c>
      <c r="H1904" s="25"/>
      <c r="I1904" s="51"/>
      <c r="J1904" s="4"/>
      <c r="K1904" s="25" t="str">
        <f t="shared" si="70"/>
        <v/>
      </c>
      <c r="L1904" s="7"/>
      <c r="M1904" s="4"/>
      <c r="N1904" s="7"/>
      <c r="O1904" s="4"/>
      <c r="P1904" s="51"/>
      <c r="Q1904" s="51"/>
      <c r="R1904" s="51"/>
      <c r="S1904" s="7"/>
      <c r="T1904" s="7"/>
    </row>
    <row r="1905" spans="1:20" ht="14.25" customHeight="1">
      <c r="A1905" s="4"/>
      <c r="B1905" s="38">
        <v>15295</v>
      </c>
      <c r="C1905" s="22" t="str">
        <f>IFERROR(VLOOKUP(B1905,Colaboradores!A:D,2,),"")</f>
        <v>ANA CRISTINA GONÇALVES NUNES</v>
      </c>
      <c r="D1905" s="22" t="str">
        <f>IFERROR(VLOOKUP(B1905,Colaboradores!A:D,3,),"")</f>
        <v>SAÚDE OCUPACIONAL</v>
      </c>
      <c r="E1905" s="22" t="str">
        <f>IFERROR(VLOOKUP(B1905,Colaboradores!A:D,4,),"")</f>
        <v>ENFERMEIRA</v>
      </c>
      <c r="F1905" s="47" t="s">
        <v>99</v>
      </c>
      <c r="G1905" s="24" t="str">
        <f>IFERROR(VLOOKUP(F1905,Procedimentos!A:C,2,),"")</f>
        <v>PROTOCOLO PARA LIMPEZA DE ÁREAS E SUPERFÍCIES NO ESPAÇO CUIDAR</v>
      </c>
      <c r="H1905" s="25"/>
      <c r="I1905" s="51"/>
      <c r="J1905" s="4"/>
      <c r="K1905" s="25" t="str">
        <f t="shared" si="70"/>
        <v/>
      </c>
      <c r="L1905" s="7"/>
      <c r="M1905" s="4"/>
      <c r="N1905" s="7"/>
      <c r="O1905" s="4"/>
      <c r="P1905" s="51"/>
      <c r="Q1905" s="51"/>
      <c r="R1905" s="51"/>
      <c r="S1905" s="7"/>
      <c r="T1905" s="7"/>
    </row>
    <row r="1906" spans="1:20" ht="14.25" customHeight="1">
      <c r="A1906" s="4"/>
      <c r="B1906" s="38">
        <v>15295</v>
      </c>
      <c r="C1906" s="22" t="str">
        <f>IFERROR(VLOOKUP(B1906,Colaboradores!A:D,2,),"")</f>
        <v>ANA CRISTINA GONÇALVES NUNES</v>
      </c>
      <c r="D1906" s="22" t="str">
        <f>IFERROR(VLOOKUP(B1906,Colaboradores!A:D,3,),"")</f>
        <v>SAÚDE OCUPACIONAL</v>
      </c>
      <c r="E1906" s="22" t="str">
        <f>IFERROR(VLOOKUP(B1906,Colaboradores!A:D,4,),"")</f>
        <v>ENFERMEIRA</v>
      </c>
      <c r="F1906" s="47" t="s">
        <v>100</v>
      </c>
      <c r="G1906" s="24" t="str">
        <f>IFERROR(VLOOKUP(F1906,Procedimentos!A:C,2,),"")</f>
        <v>PROTOCOLO DE ATENDIMENTO PSIQUIATRICO NO ESPAÇO CUIDAR DA EMSERH</v>
      </c>
      <c r="H1906" s="25"/>
      <c r="I1906" s="51"/>
      <c r="J1906" s="4"/>
      <c r="K1906" s="25" t="str">
        <f t="shared" si="70"/>
        <v/>
      </c>
      <c r="L1906" s="7"/>
      <c r="M1906" s="4"/>
      <c r="N1906" s="7"/>
      <c r="O1906" s="4"/>
      <c r="P1906" s="51"/>
      <c r="Q1906" s="51"/>
      <c r="R1906" s="51"/>
      <c r="S1906" s="7"/>
      <c r="T1906" s="7"/>
    </row>
    <row r="1907" spans="1:20" ht="14.25" customHeight="1">
      <c r="A1907" s="4"/>
      <c r="B1907" s="38">
        <v>15295</v>
      </c>
      <c r="C1907" s="22" t="str">
        <f>IFERROR(VLOOKUP(B1907,Colaboradores!A:D,2,),"")</f>
        <v>ANA CRISTINA GONÇALVES NUNES</v>
      </c>
      <c r="D1907" s="22" t="str">
        <f>IFERROR(VLOOKUP(B1907,Colaboradores!A:D,3,),"")</f>
        <v>SAÚDE OCUPACIONAL</v>
      </c>
      <c r="E1907" s="22" t="str">
        <f>IFERROR(VLOOKUP(B1907,Colaboradores!A:D,4,),"")</f>
        <v>ENFERMEIRA</v>
      </c>
      <c r="F1907" s="47" t="s">
        <v>101</v>
      </c>
      <c r="G1907" s="24" t="str">
        <f>IFERROR(VLOOKUP(F1907,Procedimentos!A:C,2,),"")</f>
        <v>PROTOCOLO DE MANEJO DE SURTO</v>
      </c>
      <c r="H1907" s="25"/>
      <c r="I1907" s="51"/>
      <c r="J1907" s="4"/>
      <c r="K1907" s="25" t="str">
        <f t="shared" si="70"/>
        <v/>
      </c>
      <c r="L1907" s="7"/>
      <c r="M1907" s="4"/>
      <c r="N1907" s="7"/>
      <c r="O1907" s="4"/>
      <c r="P1907" s="51"/>
      <c r="Q1907" s="51"/>
      <c r="R1907" s="51"/>
      <c r="S1907" s="7"/>
      <c r="T1907" s="7"/>
    </row>
    <row r="1908" spans="1:20" ht="14.25" customHeight="1">
      <c r="A1908" s="4"/>
      <c r="B1908" s="38">
        <v>15295</v>
      </c>
      <c r="C1908" s="22" t="str">
        <f>IFERROR(VLOOKUP(B1908,Colaboradores!A:D,2,),"")</f>
        <v>ANA CRISTINA GONÇALVES NUNES</v>
      </c>
      <c r="D1908" s="22" t="str">
        <f>IFERROR(VLOOKUP(B1908,Colaboradores!A:D,3,),"")</f>
        <v>SAÚDE OCUPACIONAL</v>
      </c>
      <c r="E1908" s="22" t="str">
        <f>IFERROR(VLOOKUP(B1908,Colaboradores!A:D,4,),"")</f>
        <v>ENFERMEIRA</v>
      </c>
      <c r="F1908" s="47" t="s">
        <v>102</v>
      </c>
      <c r="G1908" s="24" t="str">
        <f>IFERROR(VLOOKUP(F1908,Procedimentos!A:C,2,),"")</f>
        <v>PROTOCOLO DE TRANSPORTE SEGURO NO ESPAÇO CUIDAR</v>
      </c>
      <c r="H1908" s="25"/>
      <c r="I1908" s="51"/>
      <c r="J1908" s="4"/>
      <c r="K1908" s="25" t="str">
        <f t="shared" si="70"/>
        <v/>
      </c>
      <c r="L1908" s="7"/>
      <c r="M1908" s="4"/>
      <c r="N1908" s="7"/>
      <c r="O1908" s="4"/>
      <c r="P1908" s="51"/>
      <c r="Q1908" s="51"/>
      <c r="R1908" s="51"/>
      <c r="S1908" s="7"/>
      <c r="T1908" s="7"/>
    </row>
    <row r="1909" spans="1:20" ht="14.25" customHeight="1">
      <c r="A1909" s="4"/>
      <c r="B1909" s="38">
        <v>15295</v>
      </c>
      <c r="C1909" s="22" t="str">
        <f>IFERROR(VLOOKUP(B1909,Colaboradores!A:D,2,),"")</f>
        <v>ANA CRISTINA GONÇALVES NUNES</v>
      </c>
      <c r="D1909" s="22" t="str">
        <f>IFERROR(VLOOKUP(B1909,Colaboradores!A:D,3,),"")</f>
        <v>SAÚDE OCUPACIONAL</v>
      </c>
      <c r="E1909" s="22" t="str">
        <f>IFERROR(VLOOKUP(B1909,Colaboradores!A:D,4,),"")</f>
        <v>ENFERMEIRA</v>
      </c>
      <c r="F1909" s="47" t="s">
        <v>103</v>
      </c>
      <c r="G1909" s="24" t="str">
        <f>IFERROR(VLOOKUP(F1909,Procedimentos!A:C,2,),"")</f>
        <v>PROTOCOLO DE ATENDIMENTO À PESSOA COM COMPORTAMENTO SUÍCIDA</v>
      </c>
      <c r="H1909" s="25"/>
      <c r="I1909" s="51"/>
      <c r="J1909" s="4"/>
      <c r="K1909" s="25" t="str">
        <f t="shared" si="70"/>
        <v/>
      </c>
      <c r="L1909" s="7"/>
      <c r="M1909" s="4"/>
      <c r="N1909" s="7"/>
      <c r="O1909" s="4"/>
      <c r="P1909" s="51"/>
      <c r="Q1909" s="51"/>
      <c r="R1909" s="51"/>
      <c r="S1909" s="7"/>
      <c r="T1909" s="7"/>
    </row>
    <row r="1910" spans="1:20" ht="14.25" customHeight="1">
      <c r="A1910" s="4"/>
      <c r="B1910" s="38">
        <v>15295</v>
      </c>
      <c r="C1910" s="22" t="str">
        <f>IFERROR(VLOOKUP(B1910,Colaboradores!A:D,2,),"")</f>
        <v>ANA CRISTINA GONÇALVES NUNES</v>
      </c>
      <c r="D1910" s="22" t="str">
        <f>IFERROR(VLOOKUP(B1910,Colaboradores!A:D,3,),"")</f>
        <v>SAÚDE OCUPACIONAL</v>
      </c>
      <c r="E1910" s="22" t="str">
        <f>IFERROR(VLOOKUP(B1910,Colaboradores!A:D,4,),"")</f>
        <v>ENFERMEIRA</v>
      </c>
      <c r="F1910" s="47" t="s">
        <v>104</v>
      </c>
      <c r="G1910" s="24" t="str">
        <f>IFERROR(VLOOKUP(F1910,Procedimentos!A:C,2,),"")</f>
        <v>PROTOCOLO DE BIOSSEGURANÇA</v>
      </c>
      <c r="H1910" s="25"/>
      <c r="I1910" s="51"/>
      <c r="J1910" s="4"/>
      <c r="K1910" s="25" t="str">
        <f t="shared" si="70"/>
        <v/>
      </c>
      <c r="L1910" s="7"/>
      <c r="M1910" s="4"/>
      <c r="N1910" s="7"/>
      <c r="O1910" s="4"/>
      <c r="P1910" s="51"/>
      <c r="Q1910" s="51"/>
      <c r="R1910" s="51"/>
      <c r="S1910" s="7"/>
      <c r="T1910" s="7"/>
    </row>
    <row r="1911" spans="1:20" ht="14.25" customHeight="1">
      <c r="A1911" s="4"/>
      <c r="B1911" s="38">
        <v>15295</v>
      </c>
      <c r="C1911" s="22" t="str">
        <f>IFERROR(VLOOKUP(B1911,Colaboradores!A:D,2,),"")</f>
        <v>ANA CRISTINA GONÇALVES NUNES</v>
      </c>
      <c r="D1911" s="22" t="str">
        <f>IFERROR(VLOOKUP(B1911,Colaboradores!A:D,3,),"")</f>
        <v>SAÚDE OCUPACIONAL</v>
      </c>
      <c r="E1911" s="22" t="str">
        <f>IFERROR(VLOOKUP(B1911,Colaboradores!A:D,4,),"")</f>
        <v>ENFERMEIRA</v>
      </c>
      <c r="F1911" s="47" t="s">
        <v>105</v>
      </c>
      <c r="G1911" s="24" t="str">
        <f>IFERROR(VLOOKUP(F1911,Procedimentos!A:C,2,),"")</f>
        <v>PROTOCOLO IDENTIFICAÇÃO E MANEJO DA EVOLUÇÃO DESFAVORÁVEL DO PACIENTE NO ESPAÇO CUIDAR</v>
      </c>
      <c r="H1911" s="25"/>
      <c r="I1911" s="51"/>
      <c r="J1911" s="4"/>
      <c r="K1911" s="25" t="str">
        <f t="shared" si="70"/>
        <v/>
      </c>
      <c r="L1911" s="7"/>
      <c r="M1911" s="4"/>
      <c r="N1911" s="7"/>
      <c r="O1911" s="4"/>
      <c r="P1911" s="51"/>
      <c r="Q1911" s="51"/>
      <c r="R1911" s="51"/>
      <c r="S1911" s="7"/>
      <c r="T1911" s="7"/>
    </row>
    <row r="1912" spans="1:20" ht="14.25" customHeight="1">
      <c r="A1912" s="4"/>
      <c r="B1912" s="38">
        <v>15295</v>
      </c>
      <c r="C1912" s="22" t="str">
        <f>IFERROR(VLOOKUP(B1912,Colaboradores!A:D,2,),"")</f>
        <v>ANA CRISTINA GONÇALVES NUNES</v>
      </c>
      <c r="D1912" s="22" t="str">
        <f>IFERROR(VLOOKUP(B1912,Colaboradores!A:D,3,),"")</f>
        <v>SAÚDE OCUPACIONAL</v>
      </c>
      <c r="E1912" s="22" t="str">
        <f>IFERROR(VLOOKUP(B1912,Colaboradores!A:D,4,),"")</f>
        <v>ENFERMEIRA</v>
      </c>
      <c r="F1912" s="47" t="s">
        <v>106</v>
      </c>
      <c r="G1912" s="24" t="str">
        <f>IFERROR(VLOOKUP(F1912,Procedimentos!A:C,2,),"")</f>
        <v>PROTOCOLO DE DETERIORAÇÃO CLÍNICA</v>
      </c>
      <c r="H1912" s="25"/>
      <c r="I1912" s="51"/>
      <c r="J1912" s="4"/>
      <c r="K1912" s="25" t="str">
        <f t="shared" si="70"/>
        <v/>
      </c>
      <c r="L1912" s="7"/>
      <c r="M1912" s="4"/>
      <c r="N1912" s="7"/>
      <c r="O1912" s="4"/>
      <c r="P1912" s="51"/>
      <c r="Q1912" s="51"/>
      <c r="R1912" s="51"/>
      <c r="S1912" s="7"/>
      <c r="T1912" s="7"/>
    </row>
    <row r="1913" spans="1:20" ht="14.25" customHeight="1">
      <c r="A1913" s="4"/>
      <c r="B1913" s="38">
        <v>15295</v>
      </c>
      <c r="C1913" s="22" t="str">
        <f>IFERROR(VLOOKUP(B1913,Colaboradores!A:D,2,),"")</f>
        <v>ANA CRISTINA GONÇALVES NUNES</v>
      </c>
      <c r="D1913" s="22" t="str">
        <f>IFERROR(VLOOKUP(B1913,Colaboradores!A:D,3,),"")</f>
        <v>SAÚDE OCUPACIONAL</v>
      </c>
      <c r="E1913" s="22" t="str">
        <f>IFERROR(VLOOKUP(B1913,Colaboradores!A:D,4,),"")</f>
        <v>ENFERMEIRA</v>
      </c>
      <c r="F1913" s="47" t="s">
        <v>107</v>
      </c>
      <c r="G1913" s="24" t="str">
        <f>IFERROR(VLOOKUP(F1913,Procedimentos!A:C,2,),"")</f>
        <v>PROTOCOLO DE COMUNICAÇÃO DE NOTÍCIAS DIFÍCEIS</v>
      </c>
      <c r="H1913" s="25"/>
      <c r="I1913" s="51"/>
      <c r="J1913" s="4"/>
      <c r="K1913" s="25" t="str">
        <f t="shared" si="70"/>
        <v/>
      </c>
      <c r="L1913" s="7"/>
      <c r="M1913" s="4"/>
      <c r="N1913" s="7"/>
      <c r="O1913" s="4"/>
      <c r="P1913" s="51"/>
      <c r="Q1913" s="51"/>
      <c r="R1913" s="51"/>
      <c r="S1913" s="7"/>
      <c r="T1913" s="7"/>
    </row>
    <row r="1914" spans="1:20" ht="14.25" customHeight="1">
      <c r="A1914" s="4"/>
      <c r="B1914" s="38">
        <v>15295</v>
      </c>
      <c r="C1914" s="22" t="str">
        <f>IFERROR(VLOOKUP(B1914,Colaboradores!A:D,2,),"")</f>
        <v>ANA CRISTINA GONÇALVES NUNES</v>
      </c>
      <c r="D1914" s="22" t="str">
        <f>IFERROR(VLOOKUP(B1914,Colaboradores!A:D,3,),"")</f>
        <v>SAÚDE OCUPACIONAL</v>
      </c>
      <c r="E1914" s="22" t="str">
        <f>IFERROR(VLOOKUP(B1914,Colaboradores!A:D,4,),"")</f>
        <v>ENFERMEIRA</v>
      </c>
      <c r="F1914" s="47" t="s">
        <v>108</v>
      </c>
      <c r="G1914" s="24" t="str">
        <f>IFERROR(VLOOKUP(F1914,Procedimentos!A:C,2,),"")</f>
        <v>PROTOCOLO PARA ATENDIMENTO DO (A) ASSISTENTE SOCIAL NO AMBULATÓRIO DO ESPAÇO CUIDAR</v>
      </c>
      <c r="H1914" s="25"/>
      <c r="I1914" s="51"/>
      <c r="J1914" s="4"/>
      <c r="K1914" s="25" t="str">
        <f t="shared" si="70"/>
        <v/>
      </c>
      <c r="L1914" s="7"/>
      <c r="M1914" s="4"/>
      <c r="N1914" s="7"/>
      <c r="O1914" s="4"/>
      <c r="P1914" s="51"/>
      <c r="Q1914" s="51"/>
      <c r="R1914" s="51"/>
      <c r="S1914" s="7"/>
      <c r="T1914" s="7"/>
    </row>
    <row r="1915" spans="1:20" ht="14.25" customHeight="1">
      <c r="A1915" s="4"/>
      <c r="B1915" s="38">
        <v>15295</v>
      </c>
      <c r="C1915" s="22" t="str">
        <f>IFERROR(VLOOKUP(B1915,Colaboradores!A:D,2,),"")</f>
        <v>ANA CRISTINA GONÇALVES NUNES</v>
      </c>
      <c r="D1915" s="22" t="str">
        <f>IFERROR(VLOOKUP(B1915,Colaboradores!A:D,3,),"")</f>
        <v>SAÚDE OCUPACIONAL</v>
      </c>
      <c r="E1915" s="22" t="str">
        <f>IFERROR(VLOOKUP(B1915,Colaboradores!A:D,4,),"")</f>
        <v>ENFERMEIRA</v>
      </c>
      <c r="F1915" s="47" t="s">
        <v>109</v>
      </c>
      <c r="G1915" s="24" t="str">
        <f>IFERROR(VLOOKUP(F1915,Procedimentos!A:C,2,),"")</f>
        <v>ROTOCOLO DE ASSISTÊNCIA NUTRICIONAL AMBULATÓRIAL PARA ADULTOS E IDOSOS COM SOBREPESO E OBESIDADE</v>
      </c>
      <c r="H1915" s="25"/>
      <c r="I1915" s="51"/>
      <c r="J1915" s="4"/>
      <c r="K1915" s="25" t="str">
        <f t="shared" si="70"/>
        <v/>
      </c>
      <c r="L1915" s="7"/>
      <c r="M1915" s="4"/>
      <c r="N1915" s="7"/>
      <c r="O1915" s="4"/>
      <c r="P1915" s="51"/>
      <c r="Q1915" s="51"/>
      <c r="R1915" s="51"/>
      <c r="S1915" s="7"/>
      <c r="T1915" s="7"/>
    </row>
    <row r="1916" spans="1:20" ht="14.25" customHeight="1">
      <c r="A1916" s="4"/>
      <c r="B1916" s="38">
        <v>15295</v>
      </c>
      <c r="C1916" s="22" t="str">
        <f>IFERROR(VLOOKUP(B1916,Colaboradores!A:D,2,),"")</f>
        <v>ANA CRISTINA GONÇALVES NUNES</v>
      </c>
      <c r="D1916" s="22" t="str">
        <f>IFERROR(VLOOKUP(B1916,Colaboradores!A:D,3,),"")</f>
        <v>SAÚDE OCUPACIONAL</v>
      </c>
      <c r="E1916" s="22" t="str">
        <f>IFERROR(VLOOKUP(B1916,Colaboradores!A:D,4,),"")</f>
        <v>ENFERMEIRA</v>
      </c>
      <c r="F1916" s="47" t="s">
        <v>110</v>
      </c>
      <c r="G1916" s="24" t="str">
        <f>IFERROR(VLOOKUP(F1916,Procedimentos!A:C,2,),"")</f>
        <v>PROTOCOLO DE AGENDAMENTO</v>
      </c>
      <c r="H1916" s="25"/>
      <c r="I1916" s="51"/>
      <c r="J1916" s="4"/>
      <c r="K1916" s="25" t="str">
        <f t="shared" si="70"/>
        <v/>
      </c>
      <c r="L1916" s="7"/>
      <c r="M1916" s="4"/>
      <c r="N1916" s="7"/>
      <c r="O1916" s="4"/>
      <c r="P1916" s="51"/>
      <c r="Q1916" s="51"/>
      <c r="R1916" s="51"/>
      <c r="S1916" s="7"/>
      <c r="T1916" s="7"/>
    </row>
    <row r="1917" spans="1:20" ht="14.25" customHeight="1">
      <c r="A1917" s="4"/>
      <c r="B1917" s="38">
        <v>15295</v>
      </c>
      <c r="C1917" s="22" t="str">
        <f>IFERROR(VLOOKUP(B1917,Colaboradores!A:D,2,),"")</f>
        <v>ANA CRISTINA GONÇALVES NUNES</v>
      </c>
      <c r="D1917" s="22" t="str">
        <f>IFERROR(VLOOKUP(B1917,Colaboradores!A:D,3,),"")</f>
        <v>SAÚDE OCUPACIONAL</v>
      </c>
      <c r="E1917" s="22" t="str">
        <f>IFERROR(VLOOKUP(B1917,Colaboradores!A:D,4,),"")</f>
        <v>ENFERMEIRA</v>
      </c>
      <c r="F1917" s="47" t="s">
        <v>111</v>
      </c>
      <c r="G1917" s="24" t="str">
        <f>IFERROR(VLOOKUP(F1917,Procedimentos!A:C,2,),"")</f>
        <v>PROTOCOLO DE IDENTIFICAÇÃO DE SINAIS SUSGETIVOS DE VIOLÊNCIA - ESPAÇO CUIDAR/ EMSERH</v>
      </c>
      <c r="H1917" s="25"/>
      <c r="I1917" s="51"/>
      <c r="J1917" s="4"/>
      <c r="K1917" s="25" t="str">
        <f t="shared" si="70"/>
        <v/>
      </c>
      <c r="L1917" s="7"/>
      <c r="M1917" s="4"/>
      <c r="N1917" s="7"/>
      <c r="O1917" s="4"/>
      <c r="P1917" s="51"/>
      <c r="Q1917" s="51"/>
      <c r="R1917" s="51"/>
      <c r="S1917" s="7"/>
      <c r="T1917" s="7"/>
    </row>
    <row r="1918" spans="1:20" ht="14.25" customHeight="1">
      <c r="A1918" s="4"/>
      <c r="B1918" s="38">
        <v>15295</v>
      </c>
      <c r="C1918" s="22" t="str">
        <f>IFERROR(VLOOKUP(B1918,Colaboradores!A:D,2,),"")</f>
        <v>ANA CRISTINA GONÇALVES NUNES</v>
      </c>
      <c r="D1918" s="22" t="str">
        <f>IFERROR(VLOOKUP(B1918,Colaboradores!A:D,3,),"")</f>
        <v>SAÚDE OCUPACIONAL</v>
      </c>
      <c r="E1918" s="22" t="str">
        <f>IFERROR(VLOOKUP(B1918,Colaboradores!A:D,4,),"")</f>
        <v>ENFERMEIRA</v>
      </c>
      <c r="F1918" s="47" t="s">
        <v>112</v>
      </c>
      <c r="G1918" s="24" t="str">
        <f>IFERROR(VLOOKUP(F1918,Procedimentos!A:C,2,),"")</f>
        <v>PROTOCOLO DE IDENTIFICAÇÃO SEGURA</v>
      </c>
      <c r="H1918" s="25"/>
      <c r="I1918" s="51"/>
      <c r="J1918" s="4"/>
      <c r="K1918" s="25" t="str">
        <f t="shared" si="70"/>
        <v/>
      </c>
      <c r="L1918" s="7"/>
      <c r="M1918" s="4"/>
      <c r="N1918" s="7"/>
      <c r="O1918" s="4"/>
      <c r="P1918" s="51"/>
      <c r="Q1918" s="51"/>
      <c r="R1918" s="51"/>
      <c r="S1918" s="7"/>
      <c r="T1918" s="7"/>
    </row>
    <row r="1919" spans="1:20" ht="14.25" customHeight="1">
      <c r="A1919" s="4"/>
      <c r="B1919" s="38">
        <v>15295</v>
      </c>
      <c r="C1919" s="22" t="str">
        <f>IFERROR(VLOOKUP(B1919,Colaboradores!A:D,2,),"")</f>
        <v>ANA CRISTINA GONÇALVES NUNES</v>
      </c>
      <c r="D1919" s="22" t="str">
        <f>IFERROR(VLOOKUP(B1919,Colaboradores!A:D,3,),"")</f>
        <v>SAÚDE OCUPACIONAL</v>
      </c>
      <c r="E1919" s="22" t="str">
        <f>IFERROR(VLOOKUP(B1919,Colaboradores!A:D,4,),"")</f>
        <v>ENFERMEIRA</v>
      </c>
      <c r="F1919" s="47" t="s">
        <v>113</v>
      </c>
      <c r="G1919" s="24" t="str">
        <f>IFERROR(VLOOKUP(F1919,Procedimentos!A:C,2,),"")</f>
        <v>PROTOCOLO DE NORMAS E ROTINAS PARA COMUNICAÇÃO DO ESTADO DE SAÚDE DO PACIENTE</v>
      </c>
      <c r="H1919" s="25"/>
      <c r="I1919" s="51"/>
      <c r="J1919" s="4"/>
      <c r="K1919" s="25" t="str">
        <f t="shared" si="70"/>
        <v/>
      </c>
      <c r="L1919" s="7"/>
      <c r="M1919" s="4"/>
      <c r="N1919" s="7"/>
      <c r="O1919" s="4"/>
      <c r="P1919" s="51"/>
      <c r="Q1919" s="51"/>
      <c r="R1919" s="51"/>
      <c r="S1919" s="7"/>
      <c r="T1919" s="7"/>
    </row>
    <row r="1920" spans="1:20" ht="14.25" customHeight="1">
      <c r="A1920" s="4"/>
      <c r="B1920" s="38">
        <v>15295</v>
      </c>
      <c r="C1920" s="22" t="str">
        <f>IFERROR(VLOOKUP(B1920,Colaboradores!A:D,2,),"")</f>
        <v>ANA CRISTINA GONÇALVES NUNES</v>
      </c>
      <c r="D1920" s="22" t="str">
        <f>IFERROR(VLOOKUP(B1920,Colaboradores!A:D,3,),"")</f>
        <v>SAÚDE OCUPACIONAL</v>
      </c>
      <c r="E1920" s="22" t="str">
        <f>IFERROR(VLOOKUP(B1920,Colaboradores!A:D,4,),"")</f>
        <v>ENFERMEIRA</v>
      </c>
      <c r="F1920" s="47" t="s">
        <v>114</v>
      </c>
      <c r="G1920" s="24" t="str">
        <f>IFERROR(VLOOKUP(F1920,Procedimentos!A:C,2,),"")</f>
        <v>PROTOCOLO DE COMUNICAÇÃO EFETIVA EM PRÁTICAS DE SAÚDE</v>
      </c>
      <c r="H1920" s="25"/>
      <c r="I1920" s="51"/>
      <c r="J1920" s="4"/>
      <c r="K1920" s="25" t="str">
        <f t="shared" si="70"/>
        <v/>
      </c>
      <c r="L1920" s="7"/>
      <c r="M1920" s="4"/>
      <c r="N1920" s="7"/>
      <c r="O1920" s="4"/>
      <c r="P1920" s="51"/>
      <c r="Q1920" s="51"/>
      <c r="R1920" s="51"/>
      <c r="S1920" s="7"/>
      <c r="T1920" s="7"/>
    </row>
    <row r="1921" spans="1:20" ht="14.25" customHeight="1">
      <c r="A1921" s="4"/>
      <c r="B1921" s="38">
        <v>15295</v>
      </c>
      <c r="C1921" s="22" t="str">
        <f>IFERROR(VLOOKUP(B1921,Colaboradores!A:D,2,),"")</f>
        <v>ANA CRISTINA GONÇALVES NUNES</v>
      </c>
      <c r="D1921" s="22" t="str">
        <f>IFERROR(VLOOKUP(B1921,Colaboradores!A:D,3,),"")</f>
        <v>SAÚDE OCUPACIONAL</v>
      </c>
      <c r="E1921" s="22" t="str">
        <f>IFERROR(VLOOKUP(B1921,Colaboradores!A:D,4,),"")</f>
        <v>ENFERMEIRA</v>
      </c>
      <c r="F1921" s="47" t="s">
        <v>115</v>
      </c>
      <c r="G1921" s="24" t="str">
        <f>IFERROR(VLOOKUP(F1921,Procedimentos!A:C,2,),"")</f>
        <v>PROTOCOLO DE NORMAS E ROTINAS DE ADMISSÃO, TRIAGEM E ALTA</v>
      </c>
      <c r="H1921" s="25"/>
      <c r="I1921" s="51"/>
      <c r="J1921" s="4"/>
      <c r="K1921" s="25" t="str">
        <f t="shared" si="70"/>
        <v/>
      </c>
      <c r="L1921" s="7"/>
      <c r="M1921" s="4"/>
      <c r="N1921" s="7"/>
      <c r="O1921" s="4"/>
      <c r="P1921" s="51"/>
      <c r="Q1921" s="51"/>
      <c r="R1921" s="51"/>
      <c r="S1921" s="7"/>
      <c r="T1921" s="7"/>
    </row>
    <row r="1922" spans="1:20" ht="14.25" customHeight="1">
      <c r="A1922" s="4"/>
      <c r="B1922" s="38">
        <v>15295</v>
      </c>
      <c r="C1922" s="22" t="str">
        <f>IFERROR(VLOOKUP(B1922,Colaboradores!A:D,2,),"")</f>
        <v>ANA CRISTINA GONÇALVES NUNES</v>
      </c>
      <c r="D1922" s="22" t="str">
        <f>IFERROR(VLOOKUP(B1922,Colaboradores!A:D,3,),"")</f>
        <v>SAÚDE OCUPACIONAL</v>
      </c>
      <c r="E1922" s="22" t="str">
        <f>IFERROR(VLOOKUP(B1922,Colaboradores!A:D,4,),"")</f>
        <v>ENFERMEIRA</v>
      </c>
      <c r="F1922" s="47" t="s">
        <v>116</v>
      </c>
      <c r="G1922" s="24" t="str">
        <f>IFERROR(VLOOKUP(F1922,Procedimentos!A:C,2,),"")</f>
        <v>PROTOCOLO DE SEGURANÇA NA PRESCRIÇÃO, USO E ADMINISTRAÇÃO DE MEDICAMENTOS ESPAÇO CUIDAR</v>
      </c>
      <c r="H1922" s="25"/>
      <c r="I1922" s="51"/>
      <c r="J1922" s="4"/>
      <c r="K1922" s="25" t="str">
        <f t="shared" si="70"/>
        <v/>
      </c>
      <c r="L1922" s="7"/>
      <c r="M1922" s="4"/>
      <c r="N1922" s="7"/>
      <c r="O1922" s="4"/>
      <c r="P1922" s="51"/>
      <c r="Q1922" s="51"/>
      <c r="R1922" s="51"/>
      <c r="S1922" s="7"/>
      <c r="T1922" s="7"/>
    </row>
    <row r="1923" spans="1:20" ht="14.25" customHeight="1">
      <c r="A1923" s="4"/>
      <c r="B1923" s="38">
        <v>15295</v>
      </c>
      <c r="C1923" s="22" t="str">
        <f>IFERROR(VLOOKUP(B1923,Colaboradores!A:D,2,),"")</f>
        <v>ANA CRISTINA GONÇALVES NUNES</v>
      </c>
      <c r="D1923" s="22" t="str">
        <f>IFERROR(VLOOKUP(B1923,Colaboradores!A:D,3,),"")</f>
        <v>SAÚDE OCUPACIONAL</v>
      </c>
      <c r="E1923" s="22" t="str">
        <f>IFERROR(VLOOKUP(B1923,Colaboradores!A:D,4,),"")</f>
        <v>ENFERMEIRA</v>
      </c>
      <c r="F1923" s="47" t="s">
        <v>117</v>
      </c>
      <c r="G1923" s="24" t="str">
        <f>IFERROR(VLOOKUP(F1923,Procedimentos!A:C,2,),"")</f>
        <v>NORMA E ROTINA DA TRANSIÇÃO DE CUIDADOS</v>
      </c>
      <c r="H1923" s="25"/>
      <c r="I1923" s="51"/>
      <c r="J1923" s="4"/>
      <c r="K1923" s="25" t="str">
        <f t="shared" ref="K1923:K1986" si="71">IF(AND(I1923&lt;&gt;"",J1923&lt;&gt;""),DATE(YEAR(I1923),MONTH(I1923)+J1923,DAY(I1923)),"")</f>
        <v/>
      </c>
      <c r="L1923" s="7"/>
      <c r="M1923" s="4"/>
      <c r="N1923" s="7"/>
      <c r="O1923" s="4"/>
      <c r="P1923" s="51"/>
      <c r="Q1923" s="51"/>
      <c r="R1923" s="51"/>
      <c r="S1923" s="7"/>
      <c r="T1923" s="7"/>
    </row>
    <row r="1924" spans="1:20" ht="14.25" customHeight="1">
      <c r="A1924" s="4"/>
      <c r="B1924" s="38">
        <v>15295</v>
      </c>
      <c r="C1924" s="22" t="str">
        <f>IFERROR(VLOOKUP(B1924,Colaboradores!A:D,2,),"")</f>
        <v>ANA CRISTINA GONÇALVES NUNES</v>
      </c>
      <c r="D1924" s="22" t="str">
        <f>IFERROR(VLOOKUP(B1924,Colaboradores!A:D,3,),"")</f>
        <v>SAÚDE OCUPACIONAL</v>
      </c>
      <c r="E1924" s="22" t="str">
        <f>IFERROR(VLOOKUP(B1924,Colaboradores!A:D,4,),"")</f>
        <v>ENFERMEIRA</v>
      </c>
      <c r="F1924" s="47" t="s">
        <v>118</v>
      </c>
      <c r="G1924" s="24" t="str">
        <f>IFERROR(VLOOKUP(F1924,Procedimentos!A:C,2,),"")</f>
        <v>PROTOCOLO DE ASSISTÊNCIA FISIOTERAPÊUTICA DO ESPAÇO CUIDAR</v>
      </c>
      <c r="H1924" s="25"/>
      <c r="I1924" s="51"/>
      <c r="J1924" s="4"/>
      <c r="K1924" s="25" t="str">
        <f t="shared" si="71"/>
        <v/>
      </c>
      <c r="L1924" s="7"/>
      <c r="M1924" s="4"/>
      <c r="N1924" s="7"/>
      <c r="O1924" s="4"/>
      <c r="P1924" s="51"/>
      <c r="Q1924" s="51"/>
      <c r="R1924" s="51"/>
      <c r="S1924" s="7"/>
      <c r="T1924" s="7"/>
    </row>
    <row r="1925" spans="1:20" ht="14.25" customHeight="1">
      <c r="A1925" s="4"/>
      <c r="B1925" s="38">
        <v>15462</v>
      </c>
      <c r="C1925" s="22" t="str">
        <f>IFERROR(VLOOKUP(B1925,Colaboradores!A:D,2,),"")</f>
        <v>BIANCA ALINE SANTOS DA SILVA DO NASCIMENTO</v>
      </c>
      <c r="D1925" s="22" t="str">
        <f>IFERROR(VLOOKUP(B1925,Colaboradores!A:D,3,),"")</f>
        <v>SAÚDE OCUPACIONAL</v>
      </c>
      <c r="E1925" s="22" t="str">
        <f>IFERROR(VLOOKUP(B1925,Colaboradores!A:D,4,),"")</f>
        <v>ENFERMEIRA DO TRABALHO</v>
      </c>
      <c r="F1925" s="47" t="s">
        <v>94</v>
      </c>
      <c r="G1925" s="24" t="str">
        <f>IFERROR(VLOOKUP(F1925,Procedimentos!A:C,2,),"")</f>
        <v>PROTOCOLO DE CONSENTIMENTO INFORMADO</v>
      </c>
      <c r="H1925" s="25"/>
      <c r="I1925" s="51"/>
      <c r="J1925" s="4"/>
      <c r="K1925" s="25" t="str">
        <f t="shared" si="71"/>
        <v/>
      </c>
      <c r="L1925" s="7"/>
      <c r="M1925" s="4"/>
      <c r="N1925" s="7"/>
      <c r="O1925" s="4"/>
      <c r="P1925" s="51"/>
      <c r="Q1925" s="51"/>
      <c r="R1925" s="51"/>
      <c r="S1925" s="7"/>
      <c r="T1925" s="7"/>
    </row>
    <row r="1926" spans="1:20" ht="14.25" customHeight="1">
      <c r="A1926" s="4"/>
      <c r="B1926" s="38">
        <v>15462</v>
      </c>
      <c r="C1926" s="22" t="str">
        <f>IFERROR(VLOOKUP(B1926,Colaboradores!A:D,2,),"")</f>
        <v>BIANCA ALINE SANTOS DA SILVA DO NASCIMENTO</v>
      </c>
      <c r="D1926" s="22" t="str">
        <f>IFERROR(VLOOKUP(B1926,Colaboradores!A:D,3,),"")</f>
        <v>SAÚDE OCUPACIONAL</v>
      </c>
      <c r="E1926" s="22" t="str">
        <f>IFERROR(VLOOKUP(B1926,Colaboradores!A:D,4,),"")</f>
        <v>ENFERMEIRA DO TRABALHO</v>
      </c>
      <c r="F1926" s="47" t="s">
        <v>95</v>
      </c>
      <c r="G1926" s="24" t="str">
        <f>IFERROR(VLOOKUP(F1926,Procedimentos!A:C,2,),"")</f>
        <v>PROTOCOLO DE NOTIFICAÇÃO COMPULSORIA - ESPAÇO CUIDAR/EMSERH</v>
      </c>
      <c r="H1926" s="25"/>
      <c r="I1926" s="51"/>
      <c r="J1926" s="4"/>
      <c r="K1926" s="25" t="str">
        <f t="shared" si="71"/>
        <v/>
      </c>
      <c r="L1926" s="7"/>
      <c r="M1926" s="4"/>
      <c r="N1926" s="7"/>
      <c r="O1926" s="4"/>
      <c r="P1926" s="51"/>
      <c r="Q1926" s="51"/>
      <c r="R1926" s="51"/>
      <c r="S1926" s="7"/>
      <c r="T1926" s="7"/>
    </row>
    <row r="1927" spans="1:20" ht="14.25" customHeight="1">
      <c r="A1927" s="4"/>
      <c r="B1927" s="38">
        <v>15462</v>
      </c>
      <c r="C1927" s="22" t="str">
        <f>IFERROR(VLOOKUP(B1927,Colaboradores!A:D,2,),"")</f>
        <v>BIANCA ALINE SANTOS DA SILVA DO NASCIMENTO</v>
      </c>
      <c r="D1927" s="22" t="str">
        <f>IFERROR(VLOOKUP(B1927,Colaboradores!A:D,3,),"")</f>
        <v>SAÚDE OCUPACIONAL</v>
      </c>
      <c r="E1927" s="22" t="str">
        <f>IFERROR(VLOOKUP(B1927,Colaboradores!A:D,4,),"")</f>
        <v>ENFERMEIRA DO TRABALHO</v>
      </c>
      <c r="F1927" s="47" t="s">
        <v>96</v>
      </c>
      <c r="G1927" s="24" t="str">
        <f>IFERROR(VLOOKUP(F1927,Procedimentos!A:C,2,),"")</f>
        <v>PROTOCOLO PARA HIGIENIZAÇÃO DAS MÃOS</v>
      </c>
      <c r="H1927" s="25"/>
      <c r="I1927" s="51"/>
      <c r="J1927" s="4"/>
      <c r="K1927" s="25" t="str">
        <f t="shared" si="71"/>
        <v/>
      </c>
      <c r="L1927" s="7"/>
      <c r="M1927" s="4"/>
      <c r="N1927" s="7"/>
      <c r="O1927" s="4"/>
      <c r="P1927" s="51"/>
      <c r="Q1927" s="51"/>
      <c r="R1927" s="51"/>
      <c r="S1927" s="7"/>
      <c r="T1927" s="7"/>
    </row>
    <row r="1928" spans="1:20" ht="14.25" customHeight="1">
      <c r="A1928" s="4"/>
      <c r="B1928" s="38">
        <v>15462</v>
      </c>
      <c r="C1928" s="22" t="str">
        <f>IFERROR(VLOOKUP(B1928,Colaboradores!A:D,2,),"")</f>
        <v>BIANCA ALINE SANTOS DA SILVA DO NASCIMENTO</v>
      </c>
      <c r="D1928" s="22" t="str">
        <f>IFERROR(VLOOKUP(B1928,Colaboradores!A:D,3,),"")</f>
        <v>SAÚDE OCUPACIONAL</v>
      </c>
      <c r="E1928" s="22" t="str">
        <f>IFERROR(VLOOKUP(B1928,Colaboradores!A:D,4,),"")</f>
        <v>ENFERMEIRA DO TRABALHO</v>
      </c>
      <c r="F1928" s="47" t="s">
        <v>97</v>
      </c>
      <c r="G1928" s="24" t="str">
        <f>IFERROR(VLOOKUP(F1928,Procedimentos!A:C,2,),"")</f>
        <v>PROTOCOLO DE PREVENÇÃO DE QUEDAS</v>
      </c>
      <c r="H1928" s="25"/>
      <c r="I1928" s="51"/>
      <c r="J1928" s="4"/>
      <c r="K1928" s="25" t="str">
        <f t="shared" si="71"/>
        <v/>
      </c>
      <c r="L1928" s="7"/>
      <c r="M1928" s="4"/>
      <c r="N1928" s="7"/>
      <c r="O1928" s="4"/>
      <c r="P1928" s="51"/>
      <c r="Q1928" s="51"/>
      <c r="R1928" s="51"/>
      <c r="S1928" s="7"/>
      <c r="T1928" s="7"/>
    </row>
    <row r="1929" spans="1:20" ht="14.25" customHeight="1">
      <c r="A1929" s="4"/>
      <c r="B1929" s="38">
        <v>15462</v>
      </c>
      <c r="C1929" s="22" t="str">
        <f>IFERROR(VLOOKUP(B1929,Colaboradores!A:D,2,),"")</f>
        <v>BIANCA ALINE SANTOS DA SILVA DO NASCIMENTO</v>
      </c>
      <c r="D1929" s="22" t="str">
        <f>IFERROR(VLOOKUP(B1929,Colaboradores!A:D,3,),"")</f>
        <v>SAÚDE OCUPACIONAL</v>
      </c>
      <c r="E1929" s="22" t="str">
        <f>IFERROR(VLOOKUP(B1929,Colaboradores!A:D,4,),"")</f>
        <v>ENFERMEIRA DO TRABALHO</v>
      </c>
      <c r="F1929" s="47" t="s">
        <v>98</v>
      </c>
      <c r="G1929" s="24" t="str">
        <f>IFERROR(VLOOKUP(F1929,Procedimentos!A:C,2,),"")</f>
        <v>PROTOCOLO INSTITUCIONAL DE CONDUTA ETICA NO ATENDIMENTO MULTIPROFISSIONAL NO ESPAÇO CUIDAR</v>
      </c>
      <c r="H1929" s="25"/>
      <c r="I1929" s="51"/>
      <c r="J1929" s="4"/>
      <c r="K1929" s="25" t="str">
        <f t="shared" si="71"/>
        <v/>
      </c>
      <c r="L1929" s="7"/>
      <c r="M1929" s="4"/>
      <c r="N1929" s="7"/>
      <c r="O1929" s="4"/>
      <c r="P1929" s="51"/>
      <c r="Q1929" s="51"/>
      <c r="R1929" s="51"/>
      <c r="S1929" s="7"/>
      <c r="T1929" s="7"/>
    </row>
    <row r="1930" spans="1:20" ht="14.25" customHeight="1">
      <c r="A1930" s="4"/>
      <c r="B1930" s="38">
        <v>15462</v>
      </c>
      <c r="C1930" s="22" t="str">
        <f>IFERROR(VLOOKUP(B1930,Colaboradores!A:D,2,),"")</f>
        <v>BIANCA ALINE SANTOS DA SILVA DO NASCIMENTO</v>
      </c>
      <c r="D1930" s="22" t="str">
        <f>IFERROR(VLOOKUP(B1930,Colaboradores!A:D,3,),"")</f>
        <v>SAÚDE OCUPACIONAL</v>
      </c>
      <c r="E1930" s="22" t="str">
        <f>IFERROR(VLOOKUP(B1930,Colaboradores!A:D,4,),"")</f>
        <v>ENFERMEIRA DO TRABALHO</v>
      </c>
      <c r="F1930" s="47" t="s">
        <v>99</v>
      </c>
      <c r="G1930" s="24" t="str">
        <f>IFERROR(VLOOKUP(F1930,Procedimentos!A:C,2,),"")</f>
        <v>PROTOCOLO PARA LIMPEZA DE ÁREAS E SUPERFÍCIES NO ESPAÇO CUIDAR</v>
      </c>
      <c r="H1930" s="25"/>
      <c r="I1930" s="51"/>
      <c r="J1930" s="4"/>
      <c r="K1930" s="25" t="str">
        <f t="shared" si="71"/>
        <v/>
      </c>
      <c r="L1930" s="7"/>
      <c r="M1930" s="4"/>
      <c r="N1930" s="7"/>
      <c r="O1930" s="4"/>
      <c r="P1930" s="51"/>
      <c r="Q1930" s="51"/>
      <c r="R1930" s="51"/>
      <c r="S1930" s="7"/>
      <c r="T1930" s="7"/>
    </row>
    <row r="1931" spans="1:20" ht="14.25" customHeight="1">
      <c r="A1931" s="4"/>
      <c r="B1931" s="38">
        <v>15462</v>
      </c>
      <c r="C1931" s="22" t="str">
        <f>IFERROR(VLOOKUP(B1931,Colaboradores!A:D,2,),"")</f>
        <v>BIANCA ALINE SANTOS DA SILVA DO NASCIMENTO</v>
      </c>
      <c r="D1931" s="22" t="str">
        <f>IFERROR(VLOOKUP(B1931,Colaboradores!A:D,3,),"")</f>
        <v>SAÚDE OCUPACIONAL</v>
      </c>
      <c r="E1931" s="22" t="str">
        <f>IFERROR(VLOOKUP(B1931,Colaboradores!A:D,4,),"")</f>
        <v>ENFERMEIRA DO TRABALHO</v>
      </c>
      <c r="F1931" s="47" t="s">
        <v>100</v>
      </c>
      <c r="G1931" s="24" t="str">
        <f>IFERROR(VLOOKUP(F1931,Procedimentos!A:C,2,),"")</f>
        <v>PROTOCOLO DE ATENDIMENTO PSIQUIATRICO NO ESPAÇO CUIDAR DA EMSERH</v>
      </c>
      <c r="H1931" s="25"/>
      <c r="I1931" s="51"/>
      <c r="J1931" s="4"/>
      <c r="K1931" s="25" t="str">
        <f t="shared" si="71"/>
        <v/>
      </c>
      <c r="L1931" s="7"/>
      <c r="M1931" s="4"/>
      <c r="N1931" s="7"/>
      <c r="O1931" s="4"/>
      <c r="P1931" s="51"/>
      <c r="Q1931" s="51"/>
      <c r="R1931" s="51"/>
      <c r="S1931" s="7"/>
      <c r="T1931" s="7"/>
    </row>
    <row r="1932" spans="1:20" ht="14.25" customHeight="1">
      <c r="A1932" s="4"/>
      <c r="B1932" s="38">
        <v>15462</v>
      </c>
      <c r="C1932" s="22" t="str">
        <f>IFERROR(VLOOKUP(B1932,Colaboradores!A:D,2,),"")</f>
        <v>BIANCA ALINE SANTOS DA SILVA DO NASCIMENTO</v>
      </c>
      <c r="D1932" s="22" t="str">
        <f>IFERROR(VLOOKUP(B1932,Colaboradores!A:D,3,),"")</f>
        <v>SAÚDE OCUPACIONAL</v>
      </c>
      <c r="E1932" s="22" t="str">
        <f>IFERROR(VLOOKUP(B1932,Colaboradores!A:D,4,),"")</f>
        <v>ENFERMEIRA DO TRABALHO</v>
      </c>
      <c r="F1932" s="47" t="s">
        <v>101</v>
      </c>
      <c r="G1932" s="24" t="str">
        <f>IFERROR(VLOOKUP(F1932,Procedimentos!A:C,2,),"")</f>
        <v>PROTOCOLO DE MANEJO DE SURTO</v>
      </c>
      <c r="H1932" s="25"/>
      <c r="I1932" s="51"/>
      <c r="J1932" s="4"/>
      <c r="K1932" s="25" t="str">
        <f t="shared" si="71"/>
        <v/>
      </c>
      <c r="L1932" s="7"/>
      <c r="M1932" s="4"/>
      <c r="N1932" s="7"/>
      <c r="O1932" s="4"/>
      <c r="P1932" s="51"/>
      <c r="Q1932" s="51"/>
      <c r="R1932" s="51"/>
      <c r="S1932" s="7"/>
      <c r="T1932" s="7"/>
    </row>
    <row r="1933" spans="1:20" ht="14.25" customHeight="1">
      <c r="A1933" s="4"/>
      <c r="B1933" s="38">
        <v>15462</v>
      </c>
      <c r="C1933" s="22" t="str">
        <f>IFERROR(VLOOKUP(B1933,Colaboradores!A:D,2,),"")</f>
        <v>BIANCA ALINE SANTOS DA SILVA DO NASCIMENTO</v>
      </c>
      <c r="D1933" s="22" t="str">
        <f>IFERROR(VLOOKUP(B1933,Colaboradores!A:D,3,),"")</f>
        <v>SAÚDE OCUPACIONAL</v>
      </c>
      <c r="E1933" s="22" t="str">
        <f>IFERROR(VLOOKUP(B1933,Colaboradores!A:D,4,),"")</f>
        <v>ENFERMEIRA DO TRABALHO</v>
      </c>
      <c r="F1933" s="47" t="s">
        <v>102</v>
      </c>
      <c r="G1933" s="24" t="str">
        <f>IFERROR(VLOOKUP(F1933,Procedimentos!A:C,2,),"")</f>
        <v>PROTOCOLO DE TRANSPORTE SEGURO NO ESPAÇO CUIDAR</v>
      </c>
      <c r="H1933" s="25"/>
      <c r="I1933" s="51"/>
      <c r="J1933" s="4"/>
      <c r="K1933" s="25" t="str">
        <f t="shared" si="71"/>
        <v/>
      </c>
      <c r="L1933" s="7"/>
      <c r="M1933" s="4"/>
      <c r="N1933" s="7"/>
      <c r="O1933" s="4"/>
      <c r="P1933" s="51"/>
      <c r="Q1933" s="51"/>
      <c r="R1933" s="51"/>
      <c r="S1933" s="7"/>
      <c r="T1933" s="7"/>
    </row>
    <row r="1934" spans="1:20" ht="14.25" customHeight="1">
      <c r="A1934" s="4"/>
      <c r="B1934" s="38">
        <v>15462</v>
      </c>
      <c r="C1934" s="22" t="str">
        <f>IFERROR(VLOOKUP(B1934,Colaboradores!A:D,2,),"")</f>
        <v>BIANCA ALINE SANTOS DA SILVA DO NASCIMENTO</v>
      </c>
      <c r="D1934" s="22" t="str">
        <f>IFERROR(VLOOKUP(B1934,Colaboradores!A:D,3,),"")</f>
        <v>SAÚDE OCUPACIONAL</v>
      </c>
      <c r="E1934" s="22" t="str">
        <f>IFERROR(VLOOKUP(B1934,Colaboradores!A:D,4,),"")</f>
        <v>ENFERMEIRA DO TRABALHO</v>
      </c>
      <c r="F1934" s="47" t="s">
        <v>103</v>
      </c>
      <c r="G1934" s="24" t="str">
        <f>IFERROR(VLOOKUP(F1934,Procedimentos!A:C,2,),"")</f>
        <v>PROTOCOLO DE ATENDIMENTO À PESSOA COM COMPORTAMENTO SUÍCIDA</v>
      </c>
      <c r="H1934" s="25"/>
      <c r="I1934" s="51"/>
      <c r="J1934" s="4"/>
      <c r="K1934" s="25" t="str">
        <f t="shared" si="71"/>
        <v/>
      </c>
      <c r="L1934" s="7"/>
      <c r="M1934" s="4"/>
      <c r="N1934" s="7"/>
      <c r="O1934" s="4"/>
      <c r="P1934" s="51"/>
      <c r="Q1934" s="51"/>
      <c r="R1934" s="51"/>
      <c r="S1934" s="7"/>
      <c r="T1934" s="7"/>
    </row>
    <row r="1935" spans="1:20" ht="14.25" customHeight="1">
      <c r="A1935" s="4"/>
      <c r="B1935" s="38">
        <v>15462</v>
      </c>
      <c r="C1935" s="22" t="str">
        <f>IFERROR(VLOOKUP(B1935,Colaboradores!A:D,2,),"")</f>
        <v>BIANCA ALINE SANTOS DA SILVA DO NASCIMENTO</v>
      </c>
      <c r="D1935" s="22" t="str">
        <f>IFERROR(VLOOKUP(B1935,Colaboradores!A:D,3,),"")</f>
        <v>SAÚDE OCUPACIONAL</v>
      </c>
      <c r="E1935" s="22" t="str">
        <f>IFERROR(VLOOKUP(B1935,Colaboradores!A:D,4,),"")</f>
        <v>ENFERMEIRA DO TRABALHO</v>
      </c>
      <c r="F1935" s="47" t="s">
        <v>104</v>
      </c>
      <c r="G1935" s="24" t="str">
        <f>IFERROR(VLOOKUP(F1935,Procedimentos!A:C,2,),"")</f>
        <v>PROTOCOLO DE BIOSSEGURANÇA</v>
      </c>
      <c r="H1935" s="25"/>
      <c r="I1935" s="51"/>
      <c r="J1935" s="4"/>
      <c r="K1935" s="25" t="str">
        <f t="shared" si="71"/>
        <v/>
      </c>
      <c r="L1935" s="7"/>
      <c r="M1935" s="4"/>
      <c r="N1935" s="7"/>
      <c r="O1935" s="4"/>
      <c r="P1935" s="51"/>
      <c r="Q1935" s="51"/>
      <c r="R1935" s="51"/>
      <c r="S1935" s="7"/>
      <c r="T1935" s="7"/>
    </row>
    <row r="1936" spans="1:20" ht="14.25" customHeight="1">
      <c r="A1936" s="4"/>
      <c r="B1936" s="38">
        <v>15462</v>
      </c>
      <c r="C1936" s="22" t="str">
        <f>IFERROR(VLOOKUP(B1936,Colaboradores!A:D,2,),"")</f>
        <v>BIANCA ALINE SANTOS DA SILVA DO NASCIMENTO</v>
      </c>
      <c r="D1936" s="22" t="str">
        <f>IFERROR(VLOOKUP(B1936,Colaboradores!A:D,3,),"")</f>
        <v>SAÚDE OCUPACIONAL</v>
      </c>
      <c r="E1936" s="22" t="str">
        <f>IFERROR(VLOOKUP(B1936,Colaboradores!A:D,4,),"")</f>
        <v>ENFERMEIRA DO TRABALHO</v>
      </c>
      <c r="F1936" s="47" t="s">
        <v>105</v>
      </c>
      <c r="G1936" s="24" t="str">
        <f>IFERROR(VLOOKUP(F1936,Procedimentos!A:C,2,),"")</f>
        <v>PROTOCOLO IDENTIFICAÇÃO E MANEJO DA EVOLUÇÃO DESFAVORÁVEL DO PACIENTE NO ESPAÇO CUIDAR</v>
      </c>
      <c r="H1936" s="25"/>
      <c r="I1936" s="51"/>
      <c r="J1936" s="4"/>
      <c r="K1936" s="25" t="str">
        <f t="shared" si="71"/>
        <v/>
      </c>
      <c r="L1936" s="7"/>
      <c r="M1936" s="4"/>
      <c r="N1936" s="7"/>
      <c r="O1936" s="4"/>
      <c r="P1936" s="51"/>
      <c r="Q1936" s="51"/>
      <c r="R1936" s="51"/>
      <c r="S1936" s="7"/>
      <c r="T1936" s="7"/>
    </row>
    <row r="1937" spans="1:20" ht="14.25" customHeight="1">
      <c r="A1937" s="4"/>
      <c r="B1937" s="38">
        <v>15462</v>
      </c>
      <c r="C1937" s="22" t="str">
        <f>IFERROR(VLOOKUP(B1937,Colaboradores!A:D,2,),"")</f>
        <v>BIANCA ALINE SANTOS DA SILVA DO NASCIMENTO</v>
      </c>
      <c r="D1937" s="22" t="str">
        <f>IFERROR(VLOOKUP(B1937,Colaboradores!A:D,3,),"")</f>
        <v>SAÚDE OCUPACIONAL</v>
      </c>
      <c r="E1937" s="22" t="str">
        <f>IFERROR(VLOOKUP(B1937,Colaboradores!A:D,4,),"")</f>
        <v>ENFERMEIRA DO TRABALHO</v>
      </c>
      <c r="F1937" s="47" t="s">
        <v>106</v>
      </c>
      <c r="G1937" s="24" t="str">
        <f>IFERROR(VLOOKUP(F1937,Procedimentos!A:C,2,),"")</f>
        <v>PROTOCOLO DE DETERIORAÇÃO CLÍNICA</v>
      </c>
      <c r="H1937" s="25"/>
      <c r="I1937" s="51"/>
      <c r="J1937" s="4"/>
      <c r="K1937" s="25" t="str">
        <f t="shared" si="71"/>
        <v/>
      </c>
      <c r="L1937" s="7"/>
      <c r="M1937" s="4"/>
      <c r="N1937" s="7"/>
      <c r="O1937" s="4"/>
      <c r="P1937" s="51"/>
      <c r="Q1937" s="51"/>
      <c r="R1937" s="51"/>
      <c r="S1937" s="7"/>
      <c r="T1937" s="7"/>
    </row>
    <row r="1938" spans="1:20" ht="14.25" customHeight="1">
      <c r="A1938" s="4"/>
      <c r="B1938" s="38">
        <v>15462</v>
      </c>
      <c r="C1938" s="22" t="str">
        <f>IFERROR(VLOOKUP(B1938,Colaboradores!A:D,2,),"")</f>
        <v>BIANCA ALINE SANTOS DA SILVA DO NASCIMENTO</v>
      </c>
      <c r="D1938" s="22" t="str">
        <f>IFERROR(VLOOKUP(B1938,Colaboradores!A:D,3,),"")</f>
        <v>SAÚDE OCUPACIONAL</v>
      </c>
      <c r="E1938" s="22" t="str">
        <f>IFERROR(VLOOKUP(B1938,Colaboradores!A:D,4,),"")</f>
        <v>ENFERMEIRA DO TRABALHO</v>
      </c>
      <c r="F1938" s="47" t="s">
        <v>107</v>
      </c>
      <c r="G1938" s="24" t="str">
        <f>IFERROR(VLOOKUP(F1938,Procedimentos!A:C,2,),"")</f>
        <v>PROTOCOLO DE COMUNICAÇÃO DE NOTÍCIAS DIFÍCEIS</v>
      </c>
      <c r="H1938" s="25"/>
      <c r="I1938" s="51"/>
      <c r="J1938" s="4"/>
      <c r="K1938" s="25" t="str">
        <f t="shared" si="71"/>
        <v/>
      </c>
      <c r="L1938" s="7"/>
      <c r="M1938" s="4"/>
      <c r="N1938" s="7"/>
      <c r="O1938" s="4"/>
      <c r="P1938" s="51"/>
      <c r="Q1938" s="51"/>
      <c r="R1938" s="51"/>
      <c r="S1938" s="7"/>
      <c r="T1938" s="7"/>
    </row>
    <row r="1939" spans="1:20" ht="15" customHeight="1">
      <c r="B1939" s="38">
        <v>15462</v>
      </c>
      <c r="C1939" s="22" t="str">
        <f>IFERROR(VLOOKUP(B1939,Colaboradores!A:D,2,),"")</f>
        <v>BIANCA ALINE SANTOS DA SILVA DO NASCIMENTO</v>
      </c>
      <c r="D1939" s="22" t="str">
        <f>IFERROR(VLOOKUP(B1939,Colaboradores!A:D,3,),"")</f>
        <v>SAÚDE OCUPACIONAL</v>
      </c>
      <c r="E1939" s="22" t="str">
        <f>IFERROR(VLOOKUP(B1939,Colaboradores!A:D,4,),"")</f>
        <v>ENFERMEIRA DO TRABALHO</v>
      </c>
      <c r="F1939" s="47" t="s">
        <v>108</v>
      </c>
      <c r="G1939" s="24" t="str">
        <f>IFERROR(VLOOKUP(F1939,Procedimentos!A:C,2,),"")</f>
        <v>PROTOCOLO PARA ATENDIMENTO DO (A) ASSISTENTE SOCIAL NO AMBULATÓRIO DO ESPAÇO CUIDAR</v>
      </c>
      <c r="K1939" s="25" t="str">
        <f t="shared" si="71"/>
        <v/>
      </c>
    </row>
    <row r="1940" spans="1:20" ht="15" customHeight="1">
      <c r="B1940" s="38">
        <v>15462</v>
      </c>
      <c r="C1940" s="22" t="str">
        <f>IFERROR(VLOOKUP(B1940,Colaboradores!A:D,2,),"")</f>
        <v>BIANCA ALINE SANTOS DA SILVA DO NASCIMENTO</v>
      </c>
      <c r="D1940" s="22" t="str">
        <f>IFERROR(VLOOKUP(B1940,Colaboradores!A:D,3,),"")</f>
        <v>SAÚDE OCUPACIONAL</v>
      </c>
      <c r="E1940" s="22" t="str">
        <f>IFERROR(VLOOKUP(B1940,Colaboradores!A:D,4,),"")</f>
        <v>ENFERMEIRA DO TRABALHO</v>
      </c>
      <c r="F1940" s="47" t="s">
        <v>109</v>
      </c>
      <c r="G1940" s="24" t="str">
        <f>IFERROR(VLOOKUP(F1940,Procedimentos!A:C,2,),"")</f>
        <v>ROTOCOLO DE ASSISTÊNCIA NUTRICIONAL AMBULATÓRIAL PARA ADULTOS E IDOSOS COM SOBREPESO E OBESIDADE</v>
      </c>
      <c r="K1940" s="25" t="str">
        <f t="shared" si="71"/>
        <v/>
      </c>
    </row>
    <row r="1941" spans="1:20" ht="15" customHeight="1">
      <c r="B1941" s="38">
        <v>15462</v>
      </c>
      <c r="C1941" s="22" t="str">
        <f>IFERROR(VLOOKUP(B1941,Colaboradores!A:D,2,),"")</f>
        <v>BIANCA ALINE SANTOS DA SILVA DO NASCIMENTO</v>
      </c>
      <c r="D1941" s="22" t="str">
        <f>IFERROR(VLOOKUP(B1941,Colaboradores!A:D,3,),"")</f>
        <v>SAÚDE OCUPACIONAL</v>
      </c>
      <c r="E1941" s="22" t="str">
        <f>IFERROR(VLOOKUP(B1941,Colaboradores!A:D,4,),"")</f>
        <v>ENFERMEIRA DO TRABALHO</v>
      </c>
      <c r="F1941" s="47" t="s">
        <v>110</v>
      </c>
      <c r="G1941" s="24" t="str">
        <f>IFERROR(VLOOKUP(F1941,Procedimentos!A:C,2,),"")</f>
        <v>PROTOCOLO DE AGENDAMENTO</v>
      </c>
      <c r="K1941" s="25" t="str">
        <f t="shared" si="71"/>
        <v/>
      </c>
    </row>
    <row r="1942" spans="1:20" ht="15" customHeight="1">
      <c r="B1942" s="38">
        <v>15462</v>
      </c>
      <c r="C1942" s="22" t="str">
        <f>IFERROR(VLOOKUP(B1942,Colaboradores!A:D,2,),"")</f>
        <v>BIANCA ALINE SANTOS DA SILVA DO NASCIMENTO</v>
      </c>
      <c r="D1942" s="22" t="str">
        <f>IFERROR(VLOOKUP(B1942,Colaboradores!A:D,3,),"")</f>
        <v>SAÚDE OCUPACIONAL</v>
      </c>
      <c r="E1942" s="22" t="str">
        <f>IFERROR(VLOOKUP(B1942,Colaboradores!A:D,4,),"")</f>
        <v>ENFERMEIRA DO TRABALHO</v>
      </c>
      <c r="F1942" s="47" t="s">
        <v>111</v>
      </c>
      <c r="G1942" s="24" t="str">
        <f>IFERROR(VLOOKUP(F1942,Procedimentos!A:C,2,),"")</f>
        <v>PROTOCOLO DE IDENTIFICAÇÃO DE SINAIS SUSGETIVOS DE VIOLÊNCIA - ESPAÇO CUIDAR/ EMSERH</v>
      </c>
      <c r="K1942" s="25" t="str">
        <f t="shared" si="71"/>
        <v/>
      </c>
    </row>
    <row r="1943" spans="1:20" ht="15" customHeight="1">
      <c r="B1943" s="38">
        <v>15462</v>
      </c>
      <c r="C1943" s="22" t="str">
        <f>IFERROR(VLOOKUP(B1943,Colaboradores!A:D,2,),"")</f>
        <v>BIANCA ALINE SANTOS DA SILVA DO NASCIMENTO</v>
      </c>
      <c r="D1943" s="22" t="str">
        <f>IFERROR(VLOOKUP(B1943,Colaboradores!A:D,3,),"")</f>
        <v>SAÚDE OCUPACIONAL</v>
      </c>
      <c r="E1943" s="22" t="str">
        <f>IFERROR(VLOOKUP(B1943,Colaboradores!A:D,4,),"")</f>
        <v>ENFERMEIRA DO TRABALHO</v>
      </c>
      <c r="F1943" s="47" t="s">
        <v>112</v>
      </c>
      <c r="G1943" s="24" t="str">
        <f>IFERROR(VLOOKUP(F1943,Procedimentos!A:C,2,),"")</f>
        <v>PROTOCOLO DE IDENTIFICAÇÃO SEGURA</v>
      </c>
      <c r="K1943" s="25" t="str">
        <f t="shared" si="71"/>
        <v/>
      </c>
    </row>
    <row r="1944" spans="1:20" ht="15" customHeight="1">
      <c r="B1944" s="38">
        <v>15462</v>
      </c>
      <c r="C1944" s="22" t="str">
        <f>IFERROR(VLOOKUP(B1944,Colaboradores!A:D,2,),"")</f>
        <v>BIANCA ALINE SANTOS DA SILVA DO NASCIMENTO</v>
      </c>
      <c r="D1944" s="22" t="str">
        <f>IFERROR(VLOOKUP(B1944,Colaboradores!A:D,3,),"")</f>
        <v>SAÚDE OCUPACIONAL</v>
      </c>
      <c r="E1944" s="22" t="str">
        <f>IFERROR(VLOOKUP(B1944,Colaboradores!A:D,4,),"")</f>
        <v>ENFERMEIRA DO TRABALHO</v>
      </c>
      <c r="F1944" s="47" t="s">
        <v>113</v>
      </c>
      <c r="G1944" s="24" t="str">
        <f>IFERROR(VLOOKUP(F1944,Procedimentos!A:C,2,),"")</f>
        <v>PROTOCOLO DE NORMAS E ROTINAS PARA COMUNICAÇÃO DO ESTADO DE SAÚDE DO PACIENTE</v>
      </c>
      <c r="K1944" s="25" t="str">
        <f t="shared" si="71"/>
        <v/>
      </c>
    </row>
    <row r="1945" spans="1:20" ht="15" customHeight="1">
      <c r="B1945" s="38">
        <v>15462</v>
      </c>
      <c r="C1945" s="22" t="str">
        <f>IFERROR(VLOOKUP(B1945,Colaboradores!A:D,2,),"")</f>
        <v>BIANCA ALINE SANTOS DA SILVA DO NASCIMENTO</v>
      </c>
      <c r="D1945" s="22" t="str">
        <f>IFERROR(VLOOKUP(B1945,Colaboradores!A:D,3,),"")</f>
        <v>SAÚDE OCUPACIONAL</v>
      </c>
      <c r="E1945" s="22" t="str">
        <f>IFERROR(VLOOKUP(B1945,Colaboradores!A:D,4,),"")</f>
        <v>ENFERMEIRA DO TRABALHO</v>
      </c>
      <c r="F1945" s="47" t="s">
        <v>114</v>
      </c>
      <c r="G1945" s="24" t="str">
        <f>IFERROR(VLOOKUP(F1945,Procedimentos!A:C,2,),"")</f>
        <v>PROTOCOLO DE COMUNICAÇÃO EFETIVA EM PRÁTICAS DE SAÚDE</v>
      </c>
      <c r="K1945" s="25" t="str">
        <f t="shared" si="71"/>
        <v/>
      </c>
    </row>
    <row r="1946" spans="1:20" ht="15" customHeight="1">
      <c r="B1946" s="38">
        <v>15462</v>
      </c>
      <c r="C1946" s="22" t="str">
        <f>IFERROR(VLOOKUP(B1946,Colaboradores!A:D,2,),"")</f>
        <v>BIANCA ALINE SANTOS DA SILVA DO NASCIMENTO</v>
      </c>
      <c r="D1946" s="22" t="str">
        <f>IFERROR(VLOOKUP(B1946,Colaboradores!A:D,3,),"")</f>
        <v>SAÚDE OCUPACIONAL</v>
      </c>
      <c r="E1946" s="22" t="str">
        <f>IFERROR(VLOOKUP(B1946,Colaboradores!A:D,4,),"")</f>
        <v>ENFERMEIRA DO TRABALHO</v>
      </c>
      <c r="F1946" s="47" t="s">
        <v>115</v>
      </c>
      <c r="G1946" s="24" t="str">
        <f>IFERROR(VLOOKUP(F1946,Procedimentos!A:C,2,),"")</f>
        <v>PROTOCOLO DE NORMAS E ROTINAS DE ADMISSÃO, TRIAGEM E ALTA</v>
      </c>
      <c r="K1946" s="25" t="str">
        <f t="shared" si="71"/>
        <v/>
      </c>
    </row>
    <row r="1947" spans="1:20" ht="15" customHeight="1">
      <c r="B1947" s="38">
        <v>15462</v>
      </c>
      <c r="C1947" s="22" t="str">
        <f>IFERROR(VLOOKUP(B1947,Colaboradores!A:D,2,),"")</f>
        <v>BIANCA ALINE SANTOS DA SILVA DO NASCIMENTO</v>
      </c>
      <c r="D1947" s="22" t="str">
        <f>IFERROR(VLOOKUP(B1947,Colaboradores!A:D,3,),"")</f>
        <v>SAÚDE OCUPACIONAL</v>
      </c>
      <c r="E1947" s="22" t="str">
        <f>IFERROR(VLOOKUP(B1947,Colaboradores!A:D,4,),"")</f>
        <v>ENFERMEIRA DO TRABALHO</v>
      </c>
      <c r="F1947" s="47" t="s">
        <v>116</v>
      </c>
      <c r="G1947" s="24" t="str">
        <f>IFERROR(VLOOKUP(F1947,Procedimentos!A:C,2,),"")</f>
        <v>PROTOCOLO DE SEGURANÇA NA PRESCRIÇÃO, USO E ADMINISTRAÇÃO DE MEDICAMENTOS ESPAÇO CUIDAR</v>
      </c>
      <c r="K1947" s="25" t="str">
        <f t="shared" si="71"/>
        <v/>
      </c>
    </row>
    <row r="1948" spans="1:20" ht="15" customHeight="1">
      <c r="B1948" s="38">
        <v>15462</v>
      </c>
      <c r="C1948" s="22" t="str">
        <f>IFERROR(VLOOKUP(B1948,Colaboradores!A:D,2,),"")</f>
        <v>BIANCA ALINE SANTOS DA SILVA DO NASCIMENTO</v>
      </c>
      <c r="D1948" s="22" t="str">
        <f>IFERROR(VLOOKUP(B1948,Colaboradores!A:D,3,),"")</f>
        <v>SAÚDE OCUPACIONAL</v>
      </c>
      <c r="E1948" s="22" t="str">
        <f>IFERROR(VLOOKUP(B1948,Colaboradores!A:D,4,),"")</f>
        <v>ENFERMEIRA DO TRABALHO</v>
      </c>
      <c r="F1948" s="47" t="s">
        <v>117</v>
      </c>
      <c r="G1948" s="24" t="str">
        <f>IFERROR(VLOOKUP(F1948,Procedimentos!A:C,2,),"")</f>
        <v>NORMA E ROTINA DA TRANSIÇÃO DE CUIDADOS</v>
      </c>
      <c r="K1948" s="25" t="str">
        <f t="shared" si="71"/>
        <v/>
      </c>
    </row>
    <row r="1949" spans="1:20" ht="15" customHeight="1">
      <c r="B1949" s="38">
        <v>15462</v>
      </c>
      <c r="C1949" s="22" t="str">
        <f>IFERROR(VLOOKUP(B1949,Colaboradores!A:D,2,),"")</f>
        <v>BIANCA ALINE SANTOS DA SILVA DO NASCIMENTO</v>
      </c>
      <c r="D1949" s="22" t="str">
        <f>IFERROR(VLOOKUP(B1949,Colaboradores!A:D,3,),"")</f>
        <v>SAÚDE OCUPACIONAL</v>
      </c>
      <c r="E1949" s="22" t="str">
        <f>IFERROR(VLOOKUP(B1949,Colaboradores!A:D,4,),"")</f>
        <v>ENFERMEIRA DO TRABALHO</v>
      </c>
      <c r="F1949" s="47" t="s">
        <v>118</v>
      </c>
      <c r="G1949" s="24" t="str">
        <f>IFERROR(VLOOKUP(F1949,Procedimentos!A:C,2,),"")</f>
        <v>PROTOCOLO DE ASSISTÊNCIA FISIOTERAPÊUTICA DO ESPAÇO CUIDAR</v>
      </c>
      <c r="K1949" s="25" t="str">
        <f t="shared" si="71"/>
        <v/>
      </c>
    </row>
    <row r="1950" spans="1:20" ht="15" customHeight="1">
      <c r="B1950" s="38">
        <v>12330</v>
      </c>
      <c r="C1950" s="22" t="str">
        <f>IFERROR(VLOOKUP(B1950,Colaboradores!A:D,2,),"")</f>
        <v>BIANCA GUEDES SILVA ALMEIDA</v>
      </c>
      <c r="D1950" s="22" t="str">
        <f>IFERROR(VLOOKUP(B1950,Colaboradores!A:D,3,),"")</f>
        <v>SAÚDE OCUPACIONAL</v>
      </c>
      <c r="E1950" s="22" t="str">
        <f>IFERROR(VLOOKUP(B1950,Colaboradores!A:D,4,),"")</f>
        <v>NUTRICIONISTA</v>
      </c>
      <c r="F1950" s="47" t="s">
        <v>94</v>
      </c>
      <c r="G1950" s="24" t="str">
        <f>IFERROR(VLOOKUP(F1950,Procedimentos!A:C,2,),"")</f>
        <v>PROTOCOLO DE CONSENTIMENTO INFORMADO</v>
      </c>
      <c r="K1950" s="25" t="str">
        <f t="shared" si="71"/>
        <v/>
      </c>
    </row>
    <row r="1951" spans="1:20" ht="15" customHeight="1">
      <c r="B1951" s="38">
        <v>12330</v>
      </c>
      <c r="C1951" s="22" t="str">
        <f>IFERROR(VLOOKUP(B1951,Colaboradores!A:D,2,),"")</f>
        <v>BIANCA GUEDES SILVA ALMEIDA</v>
      </c>
      <c r="D1951" s="22" t="str">
        <f>IFERROR(VLOOKUP(B1951,Colaboradores!A:D,3,),"")</f>
        <v>SAÚDE OCUPACIONAL</v>
      </c>
      <c r="E1951" s="22" t="str">
        <f>IFERROR(VLOOKUP(B1951,Colaboradores!A:D,4,),"")</f>
        <v>NUTRICIONISTA</v>
      </c>
      <c r="F1951" s="47" t="s">
        <v>95</v>
      </c>
      <c r="G1951" s="24" t="str">
        <f>IFERROR(VLOOKUP(F1951,Procedimentos!A:C,2,),"")</f>
        <v>PROTOCOLO DE NOTIFICAÇÃO COMPULSORIA - ESPAÇO CUIDAR/EMSERH</v>
      </c>
      <c r="K1951" s="25" t="str">
        <f t="shared" si="71"/>
        <v/>
      </c>
    </row>
    <row r="1952" spans="1:20" ht="15" customHeight="1">
      <c r="B1952" s="38">
        <v>12330</v>
      </c>
      <c r="C1952" s="22" t="str">
        <f>IFERROR(VLOOKUP(B1952,Colaboradores!A:D,2,),"")</f>
        <v>BIANCA GUEDES SILVA ALMEIDA</v>
      </c>
      <c r="D1952" s="22" t="str">
        <f>IFERROR(VLOOKUP(B1952,Colaboradores!A:D,3,),"")</f>
        <v>SAÚDE OCUPACIONAL</v>
      </c>
      <c r="E1952" s="22" t="str">
        <f>IFERROR(VLOOKUP(B1952,Colaboradores!A:D,4,),"")</f>
        <v>NUTRICIONISTA</v>
      </c>
      <c r="F1952" s="47" t="s">
        <v>96</v>
      </c>
      <c r="G1952" s="24" t="str">
        <f>IFERROR(VLOOKUP(F1952,Procedimentos!A:C,2,),"")</f>
        <v>PROTOCOLO PARA HIGIENIZAÇÃO DAS MÃOS</v>
      </c>
      <c r="H1952" s="25"/>
      <c r="K1952" s="25" t="str">
        <f t="shared" si="71"/>
        <v/>
      </c>
    </row>
    <row r="1953" spans="2:11" ht="15" customHeight="1">
      <c r="B1953" s="38">
        <v>12330</v>
      </c>
      <c r="C1953" s="22" t="str">
        <f>IFERROR(VLOOKUP(B1953,Colaboradores!A:D,2,),"")</f>
        <v>BIANCA GUEDES SILVA ALMEIDA</v>
      </c>
      <c r="D1953" s="22" t="str">
        <f>IFERROR(VLOOKUP(B1953,Colaboradores!A:D,3,),"")</f>
        <v>SAÚDE OCUPACIONAL</v>
      </c>
      <c r="E1953" s="22" t="str">
        <f>IFERROR(VLOOKUP(B1953,Colaboradores!A:D,4,),"")</f>
        <v>NUTRICIONISTA</v>
      </c>
      <c r="F1953" s="47" t="s">
        <v>97</v>
      </c>
      <c r="G1953" s="24" t="str">
        <f>IFERROR(VLOOKUP(F1953,Procedimentos!A:C,2,),"")</f>
        <v>PROTOCOLO DE PREVENÇÃO DE QUEDAS</v>
      </c>
      <c r="K1953" s="25" t="str">
        <f t="shared" si="71"/>
        <v/>
      </c>
    </row>
    <row r="1954" spans="2:11" ht="15" customHeight="1">
      <c r="B1954" s="38">
        <v>12330</v>
      </c>
      <c r="C1954" s="22" t="str">
        <f>IFERROR(VLOOKUP(B1954,Colaboradores!A:D,2,),"")</f>
        <v>BIANCA GUEDES SILVA ALMEIDA</v>
      </c>
      <c r="D1954" s="22" t="str">
        <f>IFERROR(VLOOKUP(B1954,Colaboradores!A:D,3,),"")</f>
        <v>SAÚDE OCUPACIONAL</v>
      </c>
      <c r="E1954" s="22" t="str">
        <f>IFERROR(VLOOKUP(B1954,Colaboradores!A:D,4,),"")</f>
        <v>NUTRICIONISTA</v>
      </c>
      <c r="F1954" s="47" t="s">
        <v>98</v>
      </c>
      <c r="G1954" s="24" t="str">
        <f>IFERROR(VLOOKUP(F1954,Procedimentos!A:C,2,),"")</f>
        <v>PROTOCOLO INSTITUCIONAL DE CONDUTA ETICA NO ATENDIMENTO MULTIPROFISSIONAL NO ESPAÇO CUIDAR</v>
      </c>
      <c r="K1954" s="25" t="str">
        <f t="shared" si="71"/>
        <v/>
      </c>
    </row>
    <row r="1955" spans="2:11" ht="15" customHeight="1">
      <c r="B1955" s="38">
        <v>12330</v>
      </c>
      <c r="C1955" s="22" t="str">
        <f>IFERROR(VLOOKUP(B1955,Colaboradores!A:D,2,),"")</f>
        <v>BIANCA GUEDES SILVA ALMEIDA</v>
      </c>
      <c r="D1955" s="22" t="str">
        <f>IFERROR(VLOOKUP(B1955,Colaboradores!A:D,3,),"")</f>
        <v>SAÚDE OCUPACIONAL</v>
      </c>
      <c r="E1955" s="22" t="str">
        <f>IFERROR(VLOOKUP(B1955,Colaboradores!A:D,4,),"")</f>
        <v>NUTRICIONISTA</v>
      </c>
      <c r="F1955" s="47" t="s">
        <v>99</v>
      </c>
      <c r="G1955" s="24" t="str">
        <f>IFERROR(VLOOKUP(F1955,Procedimentos!A:C,2,),"")</f>
        <v>PROTOCOLO PARA LIMPEZA DE ÁREAS E SUPERFÍCIES NO ESPAÇO CUIDAR</v>
      </c>
      <c r="K1955" s="25" t="str">
        <f t="shared" si="71"/>
        <v/>
      </c>
    </row>
    <row r="1956" spans="2:11" ht="15" customHeight="1">
      <c r="B1956" s="38">
        <v>12330</v>
      </c>
      <c r="C1956" s="22" t="str">
        <f>IFERROR(VLOOKUP(B1956,Colaboradores!A:D,2,),"")</f>
        <v>BIANCA GUEDES SILVA ALMEIDA</v>
      </c>
      <c r="D1956" s="22" t="str">
        <f>IFERROR(VLOOKUP(B1956,Colaboradores!A:D,3,),"")</f>
        <v>SAÚDE OCUPACIONAL</v>
      </c>
      <c r="E1956" s="22" t="str">
        <f>IFERROR(VLOOKUP(B1956,Colaboradores!A:D,4,),"")</f>
        <v>NUTRICIONISTA</v>
      </c>
      <c r="F1956" s="47" t="s">
        <v>100</v>
      </c>
      <c r="G1956" s="24" t="str">
        <f>IFERROR(VLOOKUP(F1956,Procedimentos!A:C,2,),"")</f>
        <v>PROTOCOLO DE ATENDIMENTO PSIQUIATRICO NO ESPAÇO CUIDAR DA EMSERH</v>
      </c>
      <c r="K1956" s="25" t="str">
        <f t="shared" si="71"/>
        <v/>
      </c>
    </row>
    <row r="1957" spans="2:11" ht="15" customHeight="1">
      <c r="B1957" s="38">
        <v>12330</v>
      </c>
      <c r="C1957" s="22" t="str">
        <f>IFERROR(VLOOKUP(B1957,Colaboradores!A:D,2,),"")</f>
        <v>BIANCA GUEDES SILVA ALMEIDA</v>
      </c>
      <c r="D1957" s="22" t="str">
        <f>IFERROR(VLOOKUP(B1957,Colaboradores!A:D,3,),"")</f>
        <v>SAÚDE OCUPACIONAL</v>
      </c>
      <c r="E1957" s="22" t="str">
        <f>IFERROR(VLOOKUP(B1957,Colaboradores!A:D,4,),"")</f>
        <v>NUTRICIONISTA</v>
      </c>
      <c r="F1957" s="47" t="s">
        <v>101</v>
      </c>
      <c r="G1957" s="24" t="str">
        <f>IFERROR(VLOOKUP(F1957,Procedimentos!A:C,2,),"")</f>
        <v>PROTOCOLO DE MANEJO DE SURTO</v>
      </c>
      <c r="K1957" s="25" t="str">
        <f t="shared" si="71"/>
        <v/>
      </c>
    </row>
    <row r="1958" spans="2:11" ht="15" customHeight="1">
      <c r="B1958" s="38">
        <v>12330</v>
      </c>
      <c r="C1958" s="22" t="str">
        <f>IFERROR(VLOOKUP(B1958,Colaboradores!A:D,2,),"")</f>
        <v>BIANCA GUEDES SILVA ALMEIDA</v>
      </c>
      <c r="D1958" s="22" t="str">
        <f>IFERROR(VLOOKUP(B1958,Colaboradores!A:D,3,),"")</f>
        <v>SAÚDE OCUPACIONAL</v>
      </c>
      <c r="E1958" s="22" t="str">
        <f>IFERROR(VLOOKUP(B1958,Colaboradores!A:D,4,),"")</f>
        <v>NUTRICIONISTA</v>
      </c>
      <c r="F1958" s="47" t="s">
        <v>102</v>
      </c>
      <c r="G1958" s="24" t="str">
        <f>IFERROR(VLOOKUP(F1958,Procedimentos!A:C,2,),"")</f>
        <v>PROTOCOLO DE TRANSPORTE SEGURO NO ESPAÇO CUIDAR</v>
      </c>
      <c r="K1958" s="25" t="str">
        <f t="shared" si="71"/>
        <v/>
      </c>
    </row>
    <row r="1959" spans="2:11" ht="15" customHeight="1">
      <c r="B1959" s="38">
        <v>12330</v>
      </c>
      <c r="C1959" s="22" t="str">
        <f>IFERROR(VLOOKUP(B1959,Colaboradores!A:D,2,),"")</f>
        <v>BIANCA GUEDES SILVA ALMEIDA</v>
      </c>
      <c r="D1959" s="22" t="str">
        <f>IFERROR(VLOOKUP(B1959,Colaboradores!A:D,3,),"")</f>
        <v>SAÚDE OCUPACIONAL</v>
      </c>
      <c r="E1959" s="22" t="str">
        <f>IFERROR(VLOOKUP(B1959,Colaboradores!A:D,4,),"")</f>
        <v>NUTRICIONISTA</v>
      </c>
      <c r="F1959" s="47" t="s">
        <v>103</v>
      </c>
      <c r="G1959" s="24" t="str">
        <f>IFERROR(VLOOKUP(F1959,Procedimentos!A:C,2,),"")</f>
        <v>PROTOCOLO DE ATENDIMENTO À PESSOA COM COMPORTAMENTO SUÍCIDA</v>
      </c>
      <c r="K1959" s="25" t="str">
        <f t="shared" si="71"/>
        <v/>
      </c>
    </row>
    <row r="1960" spans="2:11" ht="15" customHeight="1">
      <c r="B1960" s="38">
        <v>12330</v>
      </c>
      <c r="C1960" s="22" t="str">
        <f>IFERROR(VLOOKUP(B1960,Colaboradores!A:D,2,),"")</f>
        <v>BIANCA GUEDES SILVA ALMEIDA</v>
      </c>
      <c r="D1960" s="22" t="str">
        <f>IFERROR(VLOOKUP(B1960,Colaboradores!A:D,3,),"")</f>
        <v>SAÚDE OCUPACIONAL</v>
      </c>
      <c r="E1960" s="22" t="str">
        <f>IFERROR(VLOOKUP(B1960,Colaboradores!A:D,4,),"")</f>
        <v>NUTRICIONISTA</v>
      </c>
      <c r="F1960" s="47" t="s">
        <v>104</v>
      </c>
      <c r="G1960" s="24" t="str">
        <f>IFERROR(VLOOKUP(F1960,Procedimentos!A:C,2,),"")</f>
        <v>PROTOCOLO DE BIOSSEGURANÇA</v>
      </c>
      <c r="K1960" s="25" t="str">
        <f t="shared" si="71"/>
        <v/>
      </c>
    </row>
    <row r="1961" spans="2:11" ht="15" customHeight="1">
      <c r="B1961" s="38">
        <v>12330</v>
      </c>
      <c r="C1961" s="22" t="str">
        <f>IFERROR(VLOOKUP(B1961,Colaboradores!A:D,2,),"")</f>
        <v>BIANCA GUEDES SILVA ALMEIDA</v>
      </c>
      <c r="D1961" s="22" t="str">
        <f>IFERROR(VLOOKUP(B1961,Colaboradores!A:D,3,),"")</f>
        <v>SAÚDE OCUPACIONAL</v>
      </c>
      <c r="E1961" s="22" t="str">
        <f>IFERROR(VLOOKUP(B1961,Colaboradores!A:D,4,),"")</f>
        <v>NUTRICIONISTA</v>
      </c>
      <c r="F1961" s="47" t="s">
        <v>105</v>
      </c>
      <c r="G1961" s="24" t="str">
        <f>IFERROR(VLOOKUP(F1961,Procedimentos!A:C,2,),"")</f>
        <v>PROTOCOLO IDENTIFICAÇÃO E MANEJO DA EVOLUÇÃO DESFAVORÁVEL DO PACIENTE NO ESPAÇO CUIDAR</v>
      </c>
      <c r="K1961" s="25" t="str">
        <f t="shared" si="71"/>
        <v/>
      </c>
    </row>
    <row r="1962" spans="2:11" ht="15" customHeight="1">
      <c r="B1962" s="38">
        <v>12330</v>
      </c>
      <c r="C1962" s="22" t="str">
        <f>IFERROR(VLOOKUP(B1962,Colaboradores!A:D,2,),"")</f>
        <v>BIANCA GUEDES SILVA ALMEIDA</v>
      </c>
      <c r="D1962" s="22" t="str">
        <f>IFERROR(VLOOKUP(B1962,Colaboradores!A:D,3,),"")</f>
        <v>SAÚDE OCUPACIONAL</v>
      </c>
      <c r="E1962" s="22" t="str">
        <f>IFERROR(VLOOKUP(B1962,Colaboradores!A:D,4,),"")</f>
        <v>NUTRICIONISTA</v>
      </c>
      <c r="F1962" s="47" t="s">
        <v>106</v>
      </c>
      <c r="G1962" s="24" t="str">
        <f>IFERROR(VLOOKUP(F1962,Procedimentos!A:C,2,),"")</f>
        <v>PROTOCOLO DE DETERIORAÇÃO CLÍNICA</v>
      </c>
      <c r="K1962" s="25" t="str">
        <f t="shared" si="71"/>
        <v/>
      </c>
    </row>
    <row r="1963" spans="2:11" ht="15" customHeight="1">
      <c r="B1963" s="38">
        <v>12330</v>
      </c>
      <c r="C1963" s="22" t="str">
        <f>IFERROR(VLOOKUP(B1963,Colaboradores!A:D,2,),"")</f>
        <v>BIANCA GUEDES SILVA ALMEIDA</v>
      </c>
      <c r="D1963" s="22" t="str">
        <f>IFERROR(VLOOKUP(B1963,Colaboradores!A:D,3,),"")</f>
        <v>SAÚDE OCUPACIONAL</v>
      </c>
      <c r="E1963" s="22" t="str">
        <f>IFERROR(VLOOKUP(B1963,Colaboradores!A:D,4,),"")</f>
        <v>NUTRICIONISTA</v>
      </c>
      <c r="F1963" s="47" t="s">
        <v>107</v>
      </c>
      <c r="G1963" s="24" t="str">
        <f>IFERROR(VLOOKUP(F1963,Procedimentos!A:C,2,),"")</f>
        <v>PROTOCOLO DE COMUNICAÇÃO DE NOTÍCIAS DIFÍCEIS</v>
      </c>
      <c r="K1963" s="25" t="str">
        <f t="shared" si="71"/>
        <v/>
      </c>
    </row>
    <row r="1964" spans="2:11" ht="15" customHeight="1">
      <c r="B1964" s="38">
        <v>12330</v>
      </c>
      <c r="C1964" s="22" t="str">
        <f>IFERROR(VLOOKUP(B1964,Colaboradores!A:D,2,),"")</f>
        <v>BIANCA GUEDES SILVA ALMEIDA</v>
      </c>
      <c r="D1964" s="22" t="str">
        <f>IFERROR(VLOOKUP(B1964,Colaboradores!A:D,3,),"")</f>
        <v>SAÚDE OCUPACIONAL</v>
      </c>
      <c r="E1964" s="22" t="str">
        <f>IFERROR(VLOOKUP(B1964,Colaboradores!A:D,4,),"")</f>
        <v>NUTRICIONISTA</v>
      </c>
      <c r="F1964" s="47" t="s">
        <v>108</v>
      </c>
      <c r="G1964" s="24" t="str">
        <f>IFERROR(VLOOKUP(F1964,Procedimentos!A:C,2,),"")</f>
        <v>PROTOCOLO PARA ATENDIMENTO DO (A) ASSISTENTE SOCIAL NO AMBULATÓRIO DO ESPAÇO CUIDAR</v>
      </c>
      <c r="K1964" s="25" t="str">
        <f t="shared" si="71"/>
        <v/>
      </c>
    </row>
    <row r="1965" spans="2:11" ht="15" customHeight="1">
      <c r="B1965" s="38">
        <v>12330</v>
      </c>
      <c r="C1965" s="22" t="str">
        <f>IFERROR(VLOOKUP(B1965,Colaboradores!A:D,2,),"")</f>
        <v>BIANCA GUEDES SILVA ALMEIDA</v>
      </c>
      <c r="D1965" s="22" t="str">
        <f>IFERROR(VLOOKUP(B1965,Colaboradores!A:D,3,),"")</f>
        <v>SAÚDE OCUPACIONAL</v>
      </c>
      <c r="E1965" s="22" t="str">
        <f>IFERROR(VLOOKUP(B1965,Colaboradores!A:D,4,),"")</f>
        <v>NUTRICIONISTA</v>
      </c>
      <c r="F1965" s="47" t="s">
        <v>109</v>
      </c>
      <c r="G1965" s="24" t="str">
        <f>IFERROR(VLOOKUP(F1965,Procedimentos!A:C,2,),"")</f>
        <v>ROTOCOLO DE ASSISTÊNCIA NUTRICIONAL AMBULATÓRIAL PARA ADULTOS E IDOSOS COM SOBREPESO E OBESIDADE</v>
      </c>
      <c r="K1965" s="25" t="str">
        <f t="shared" si="71"/>
        <v/>
      </c>
    </row>
    <row r="1966" spans="2:11" ht="15" customHeight="1">
      <c r="B1966" s="38">
        <v>12330</v>
      </c>
      <c r="C1966" s="22" t="str">
        <f>IFERROR(VLOOKUP(B1966,Colaboradores!A:D,2,),"")</f>
        <v>BIANCA GUEDES SILVA ALMEIDA</v>
      </c>
      <c r="D1966" s="22" t="str">
        <f>IFERROR(VLOOKUP(B1966,Colaboradores!A:D,3,),"")</f>
        <v>SAÚDE OCUPACIONAL</v>
      </c>
      <c r="E1966" s="22" t="str">
        <f>IFERROR(VLOOKUP(B1966,Colaboradores!A:D,4,),"")</f>
        <v>NUTRICIONISTA</v>
      </c>
      <c r="F1966" s="47" t="s">
        <v>110</v>
      </c>
      <c r="G1966" s="24" t="str">
        <f>IFERROR(VLOOKUP(F1966,Procedimentos!A:C,2,),"")</f>
        <v>PROTOCOLO DE AGENDAMENTO</v>
      </c>
      <c r="K1966" s="25" t="str">
        <f t="shared" si="71"/>
        <v/>
      </c>
    </row>
    <row r="1967" spans="2:11" ht="15" customHeight="1">
      <c r="B1967" s="38">
        <v>12330</v>
      </c>
      <c r="C1967" s="22" t="str">
        <f>IFERROR(VLOOKUP(B1967,Colaboradores!A:D,2,),"")</f>
        <v>BIANCA GUEDES SILVA ALMEIDA</v>
      </c>
      <c r="D1967" s="22" t="str">
        <f>IFERROR(VLOOKUP(B1967,Colaboradores!A:D,3,),"")</f>
        <v>SAÚDE OCUPACIONAL</v>
      </c>
      <c r="E1967" s="22" t="str">
        <f>IFERROR(VLOOKUP(B1967,Colaboradores!A:D,4,),"")</f>
        <v>NUTRICIONISTA</v>
      </c>
      <c r="F1967" s="47" t="s">
        <v>111</v>
      </c>
      <c r="G1967" s="24" t="str">
        <f>IFERROR(VLOOKUP(F1967,Procedimentos!A:C,2,),"")</f>
        <v>PROTOCOLO DE IDENTIFICAÇÃO DE SINAIS SUSGETIVOS DE VIOLÊNCIA - ESPAÇO CUIDAR/ EMSERH</v>
      </c>
      <c r="K1967" s="25" t="str">
        <f t="shared" si="71"/>
        <v/>
      </c>
    </row>
    <row r="1968" spans="2:11" ht="15" customHeight="1">
      <c r="B1968" s="38">
        <v>12330</v>
      </c>
      <c r="C1968" s="22" t="str">
        <f>IFERROR(VLOOKUP(B1968,Colaboradores!A:D,2,),"")</f>
        <v>BIANCA GUEDES SILVA ALMEIDA</v>
      </c>
      <c r="D1968" s="22" t="str">
        <f>IFERROR(VLOOKUP(B1968,Colaboradores!A:D,3,),"")</f>
        <v>SAÚDE OCUPACIONAL</v>
      </c>
      <c r="E1968" s="22" t="str">
        <f>IFERROR(VLOOKUP(B1968,Colaboradores!A:D,4,),"")</f>
        <v>NUTRICIONISTA</v>
      </c>
      <c r="F1968" s="47" t="s">
        <v>112</v>
      </c>
      <c r="G1968" s="24" t="str">
        <f>IFERROR(VLOOKUP(F1968,Procedimentos!A:C,2,),"")</f>
        <v>PROTOCOLO DE IDENTIFICAÇÃO SEGURA</v>
      </c>
      <c r="K1968" s="25" t="str">
        <f t="shared" si="71"/>
        <v/>
      </c>
    </row>
    <row r="1969" spans="2:11" ht="15" customHeight="1">
      <c r="B1969" s="38">
        <v>12330</v>
      </c>
      <c r="C1969" s="22" t="str">
        <f>IFERROR(VLOOKUP(B1969,Colaboradores!A:D,2,),"")</f>
        <v>BIANCA GUEDES SILVA ALMEIDA</v>
      </c>
      <c r="D1969" s="22" t="str">
        <f>IFERROR(VLOOKUP(B1969,Colaboradores!A:D,3,),"")</f>
        <v>SAÚDE OCUPACIONAL</v>
      </c>
      <c r="E1969" s="22" t="str">
        <f>IFERROR(VLOOKUP(B1969,Colaboradores!A:D,4,),"")</f>
        <v>NUTRICIONISTA</v>
      </c>
      <c r="F1969" s="47" t="s">
        <v>113</v>
      </c>
      <c r="G1969" s="24" t="str">
        <f>IFERROR(VLOOKUP(F1969,Procedimentos!A:C,2,),"")</f>
        <v>PROTOCOLO DE NORMAS E ROTINAS PARA COMUNICAÇÃO DO ESTADO DE SAÚDE DO PACIENTE</v>
      </c>
      <c r="K1969" s="25" t="str">
        <f t="shared" si="71"/>
        <v/>
      </c>
    </row>
    <row r="1970" spans="2:11" ht="15" customHeight="1">
      <c r="B1970" s="38">
        <v>12330</v>
      </c>
      <c r="C1970" s="22" t="str">
        <f>IFERROR(VLOOKUP(B1970,Colaboradores!A:D,2,),"")</f>
        <v>BIANCA GUEDES SILVA ALMEIDA</v>
      </c>
      <c r="D1970" s="22" t="str">
        <f>IFERROR(VLOOKUP(B1970,Colaboradores!A:D,3,),"")</f>
        <v>SAÚDE OCUPACIONAL</v>
      </c>
      <c r="E1970" s="22" t="str">
        <f>IFERROR(VLOOKUP(B1970,Colaboradores!A:D,4,),"")</f>
        <v>NUTRICIONISTA</v>
      </c>
      <c r="F1970" s="47" t="s">
        <v>114</v>
      </c>
      <c r="G1970" s="24" t="str">
        <f>IFERROR(VLOOKUP(F1970,Procedimentos!A:C,2,),"")</f>
        <v>PROTOCOLO DE COMUNICAÇÃO EFETIVA EM PRÁTICAS DE SAÚDE</v>
      </c>
      <c r="K1970" s="25" t="str">
        <f t="shared" si="71"/>
        <v/>
      </c>
    </row>
    <row r="1971" spans="2:11" ht="15" customHeight="1">
      <c r="B1971" s="38">
        <v>12330</v>
      </c>
      <c r="C1971" s="22" t="str">
        <f>IFERROR(VLOOKUP(B1971,Colaboradores!A:D,2,),"")</f>
        <v>BIANCA GUEDES SILVA ALMEIDA</v>
      </c>
      <c r="D1971" s="22" t="str">
        <f>IFERROR(VLOOKUP(B1971,Colaboradores!A:D,3,),"")</f>
        <v>SAÚDE OCUPACIONAL</v>
      </c>
      <c r="E1971" s="22" t="str">
        <f>IFERROR(VLOOKUP(B1971,Colaboradores!A:D,4,),"")</f>
        <v>NUTRICIONISTA</v>
      </c>
      <c r="F1971" s="47" t="s">
        <v>115</v>
      </c>
      <c r="G1971" s="24" t="str">
        <f>IFERROR(VLOOKUP(F1971,Procedimentos!A:C,2,),"")</f>
        <v>PROTOCOLO DE NORMAS E ROTINAS DE ADMISSÃO, TRIAGEM E ALTA</v>
      </c>
      <c r="K1971" s="25" t="str">
        <f t="shared" si="71"/>
        <v/>
      </c>
    </row>
    <row r="1972" spans="2:11" ht="15" customHeight="1">
      <c r="B1972" s="38">
        <v>12330</v>
      </c>
      <c r="C1972" s="22" t="str">
        <f>IFERROR(VLOOKUP(B1972,Colaboradores!A:D,2,),"")</f>
        <v>BIANCA GUEDES SILVA ALMEIDA</v>
      </c>
      <c r="D1972" s="22" t="str">
        <f>IFERROR(VLOOKUP(B1972,Colaboradores!A:D,3,),"")</f>
        <v>SAÚDE OCUPACIONAL</v>
      </c>
      <c r="E1972" s="22" t="str">
        <f>IFERROR(VLOOKUP(B1972,Colaboradores!A:D,4,),"")</f>
        <v>NUTRICIONISTA</v>
      </c>
      <c r="F1972" s="47" t="s">
        <v>116</v>
      </c>
      <c r="G1972" s="24" t="str">
        <f>IFERROR(VLOOKUP(F1972,Procedimentos!A:C,2,),"")</f>
        <v>PROTOCOLO DE SEGURANÇA NA PRESCRIÇÃO, USO E ADMINISTRAÇÃO DE MEDICAMENTOS ESPAÇO CUIDAR</v>
      </c>
      <c r="K1972" s="25" t="str">
        <f t="shared" si="71"/>
        <v/>
      </c>
    </row>
    <row r="1973" spans="2:11" ht="15" customHeight="1">
      <c r="B1973" s="38">
        <v>12330</v>
      </c>
      <c r="C1973" s="22" t="str">
        <f>IFERROR(VLOOKUP(B1973,Colaboradores!A:D,2,),"")</f>
        <v>BIANCA GUEDES SILVA ALMEIDA</v>
      </c>
      <c r="D1973" s="22" t="str">
        <f>IFERROR(VLOOKUP(B1973,Colaboradores!A:D,3,),"")</f>
        <v>SAÚDE OCUPACIONAL</v>
      </c>
      <c r="E1973" s="22" t="str">
        <f>IFERROR(VLOOKUP(B1973,Colaboradores!A:D,4,),"")</f>
        <v>NUTRICIONISTA</v>
      </c>
      <c r="F1973" s="47" t="s">
        <v>117</v>
      </c>
      <c r="G1973" s="24" t="str">
        <f>IFERROR(VLOOKUP(F1973,Procedimentos!A:C,2,),"")</f>
        <v>NORMA E ROTINA DA TRANSIÇÃO DE CUIDADOS</v>
      </c>
      <c r="K1973" s="25" t="str">
        <f t="shared" si="71"/>
        <v/>
      </c>
    </row>
    <row r="1974" spans="2:11" ht="15" customHeight="1">
      <c r="B1974" s="38">
        <v>12330</v>
      </c>
      <c r="C1974" s="22" t="str">
        <f>IFERROR(VLOOKUP(B1974,Colaboradores!A:D,2,),"")</f>
        <v>BIANCA GUEDES SILVA ALMEIDA</v>
      </c>
      <c r="D1974" s="22" t="str">
        <f>IFERROR(VLOOKUP(B1974,Colaboradores!A:D,3,),"")</f>
        <v>SAÚDE OCUPACIONAL</v>
      </c>
      <c r="E1974" s="22" t="str">
        <f>IFERROR(VLOOKUP(B1974,Colaboradores!A:D,4,),"")</f>
        <v>NUTRICIONISTA</v>
      </c>
      <c r="F1974" s="47" t="s">
        <v>118</v>
      </c>
      <c r="G1974" s="24" t="str">
        <f>IFERROR(VLOOKUP(F1974,Procedimentos!A:C,2,),"")</f>
        <v>PROTOCOLO DE ASSISTÊNCIA FISIOTERAPÊUTICA DO ESPAÇO CUIDAR</v>
      </c>
      <c r="K1974" s="25" t="str">
        <f t="shared" si="71"/>
        <v/>
      </c>
    </row>
    <row r="1975" spans="2:11" ht="15" customHeight="1">
      <c r="B1975" s="38">
        <v>3109</v>
      </c>
      <c r="C1975" s="22" t="str">
        <f>IFERROR(VLOOKUP(B1975,Colaboradores!A:D,2,),"")</f>
        <v>BRUNO ARRUDA DE AMORIM OLIVEIRA</v>
      </c>
      <c r="D1975" s="22" t="str">
        <f>IFERROR(VLOOKUP(B1975,Colaboradores!A:D,3,),"")</f>
        <v>SAÚDE OCUPACIONAL</v>
      </c>
      <c r="E1975" s="22" t="str">
        <f>IFERROR(VLOOKUP(B1975,Colaboradores!A:D,4,),"")</f>
        <v>MÉDICO DO TRABALHO</v>
      </c>
      <c r="F1975" s="47" t="s">
        <v>94</v>
      </c>
      <c r="G1975" s="24" t="str">
        <f>IFERROR(VLOOKUP(F1975,Procedimentos!A:C,2,),"")</f>
        <v>PROTOCOLO DE CONSENTIMENTO INFORMADO</v>
      </c>
      <c r="K1975" s="25" t="str">
        <f t="shared" si="71"/>
        <v/>
      </c>
    </row>
    <row r="1976" spans="2:11" ht="15" customHeight="1">
      <c r="B1976" s="38">
        <v>3109</v>
      </c>
      <c r="C1976" s="22" t="str">
        <f>IFERROR(VLOOKUP(B1976,Colaboradores!A:D,2,),"")</f>
        <v>BRUNO ARRUDA DE AMORIM OLIVEIRA</v>
      </c>
      <c r="D1976" s="22" t="str">
        <f>IFERROR(VLOOKUP(B1976,Colaboradores!A:D,3,),"")</f>
        <v>SAÚDE OCUPACIONAL</v>
      </c>
      <c r="E1976" s="22" t="str">
        <f>IFERROR(VLOOKUP(B1976,Colaboradores!A:D,4,),"")</f>
        <v>MÉDICO DO TRABALHO</v>
      </c>
      <c r="F1976" s="47" t="s">
        <v>95</v>
      </c>
      <c r="G1976" s="24" t="str">
        <f>IFERROR(VLOOKUP(F1976,Procedimentos!A:C,2,),"")</f>
        <v>PROTOCOLO DE NOTIFICAÇÃO COMPULSORIA - ESPAÇO CUIDAR/EMSERH</v>
      </c>
      <c r="K1976" s="25" t="str">
        <f t="shared" si="71"/>
        <v/>
      </c>
    </row>
    <row r="1977" spans="2:11" ht="15" customHeight="1">
      <c r="B1977" s="38">
        <v>3109</v>
      </c>
      <c r="C1977" s="22" t="str">
        <f>IFERROR(VLOOKUP(B1977,Colaboradores!A:D,2,),"")</f>
        <v>BRUNO ARRUDA DE AMORIM OLIVEIRA</v>
      </c>
      <c r="D1977" s="22" t="str">
        <f>IFERROR(VLOOKUP(B1977,Colaboradores!A:D,3,),"")</f>
        <v>SAÚDE OCUPACIONAL</v>
      </c>
      <c r="E1977" s="22" t="str">
        <f>IFERROR(VLOOKUP(B1977,Colaboradores!A:D,4,),"")</f>
        <v>MÉDICO DO TRABALHO</v>
      </c>
      <c r="F1977" s="47" t="s">
        <v>96</v>
      </c>
      <c r="G1977" s="24" t="str">
        <f>IFERROR(VLOOKUP(F1977,Procedimentos!A:C,2,),"")</f>
        <v>PROTOCOLO PARA HIGIENIZAÇÃO DAS MÃOS</v>
      </c>
      <c r="H1977" s="25"/>
      <c r="K1977" s="25" t="str">
        <f t="shared" si="71"/>
        <v/>
      </c>
    </row>
    <row r="1978" spans="2:11" ht="15" customHeight="1">
      <c r="B1978" s="38">
        <v>3109</v>
      </c>
      <c r="C1978" s="22" t="str">
        <f>IFERROR(VLOOKUP(B1978,Colaboradores!A:D,2,),"")</f>
        <v>BRUNO ARRUDA DE AMORIM OLIVEIRA</v>
      </c>
      <c r="D1978" s="22" t="str">
        <f>IFERROR(VLOOKUP(B1978,Colaboradores!A:D,3,),"")</f>
        <v>SAÚDE OCUPACIONAL</v>
      </c>
      <c r="E1978" s="22" t="str">
        <f>IFERROR(VLOOKUP(B1978,Colaboradores!A:D,4,),"")</f>
        <v>MÉDICO DO TRABALHO</v>
      </c>
      <c r="F1978" s="47" t="s">
        <v>97</v>
      </c>
      <c r="G1978" s="24" t="str">
        <f>IFERROR(VLOOKUP(F1978,Procedimentos!A:C,2,),"")</f>
        <v>PROTOCOLO DE PREVENÇÃO DE QUEDAS</v>
      </c>
      <c r="K1978" s="25" t="str">
        <f t="shared" si="71"/>
        <v/>
      </c>
    </row>
    <row r="1979" spans="2:11" ht="15" customHeight="1">
      <c r="B1979" s="38">
        <v>3109</v>
      </c>
      <c r="C1979" s="22" t="str">
        <f>IFERROR(VLOOKUP(B1979,Colaboradores!A:D,2,),"")</f>
        <v>BRUNO ARRUDA DE AMORIM OLIVEIRA</v>
      </c>
      <c r="D1979" s="22" t="str">
        <f>IFERROR(VLOOKUP(B1979,Colaboradores!A:D,3,),"")</f>
        <v>SAÚDE OCUPACIONAL</v>
      </c>
      <c r="E1979" s="22" t="str">
        <f>IFERROR(VLOOKUP(B1979,Colaboradores!A:D,4,),"")</f>
        <v>MÉDICO DO TRABALHO</v>
      </c>
      <c r="F1979" s="47" t="s">
        <v>98</v>
      </c>
      <c r="G1979" s="24" t="str">
        <f>IFERROR(VLOOKUP(F1979,Procedimentos!A:C,2,),"")</f>
        <v>PROTOCOLO INSTITUCIONAL DE CONDUTA ETICA NO ATENDIMENTO MULTIPROFISSIONAL NO ESPAÇO CUIDAR</v>
      </c>
      <c r="K1979" s="25" t="str">
        <f t="shared" si="71"/>
        <v/>
      </c>
    </row>
    <row r="1980" spans="2:11" ht="15" customHeight="1">
      <c r="B1980" s="38">
        <v>3109</v>
      </c>
      <c r="C1980" s="22" t="str">
        <f>IFERROR(VLOOKUP(B1980,Colaboradores!A:D,2,),"")</f>
        <v>BRUNO ARRUDA DE AMORIM OLIVEIRA</v>
      </c>
      <c r="D1980" s="22" t="str">
        <f>IFERROR(VLOOKUP(B1980,Colaboradores!A:D,3,),"")</f>
        <v>SAÚDE OCUPACIONAL</v>
      </c>
      <c r="E1980" s="22" t="str">
        <f>IFERROR(VLOOKUP(B1980,Colaboradores!A:D,4,),"")</f>
        <v>MÉDICO DO TRABALHO</v>
      </c>
      <c r="F1980" s="47" t="s">
        <v>99</v>
      </c>
      <c r="G1980" s="24" t="str">
        <f>IFERROR(VLOOKUP(F1980,Procedimentos!A:C,2,),"")</f>
        <v>PROTOCOLO PARA LIMPEZA DE ÁREAS E SUPERFÍCIES NO ESPAÇO CUIDAR</v>
      </c>
      <c r="K1980" s="25" t="str">
        <f t="shared" si="71"/>
        <v/>
      </c>
    </row>
    <row r="1981" spans="2:11" ht="15" customHeight="1">
      <c r="B1981" s="38">
        <v>3109</v>
      </c>
      <c r="C1981" s="22" t="str">
        <f>IFERROR(VLOOKUP(B1981,Colaboradores!A:D,2,),"")</f>
        <v>BRUNO ARRUDA DE AMORIM OLIVEIRA</v>
      </c>
      <c r="D1981" s="22" t="str">
        <f>IFERROR(VLOOKUP(B1981,Colaboradores!A:D,3,),"")</f>
        <v>SAÚDE OCUPACIONAL</v>
      </c>
      <c r="E1981" s="22" t="str">
        <f>IFERROR(VLOOKUP(B1981,Colaboradores!A:D,4,),"")</f>
        <v>MÉDICO DO TRABALHO</v>
      </c>
      <c r="F1981" s="47" t="s">
        <v>100</v>
      </c>
      <c r="G1981" s="24" t="str">
        <f>IFERROR(VLOOKUP(F1981,Procedimentos!A:C,2,),"")</f>
        <v>PROTOCOLO DE ATENDIMENTO PSIQUIATRICO NO ESPAÇO CUIDAR DA EMSERH</v>
      </c>
      <c r="H1981" s="22" t="s">
        <v>7</v>
      </c>
      <c r="K1981" s="25" t="str">
        <f t="shared" si="71"/>
        <v/>
      </c>
    </row>
    <row r="1982" spans="2:11" ht="15" customHeight="1">
      <c r="B1982" s="38">
        <v>3109</v>
      </c>
      <c r="C1982" s="22" t="str">
        <f>IFERROR(VLOOKUP(B1982,Colaboradores!A:D,2,),"")</f>
        <v>BRUNO ARRUDA DE AMORIM OLIVEIRA</v>
      </c>
      <c r="D1982" s="22" t="str">
        <f>IFERROR(VLOOKUP(B1982,Colaboradores!A:D,3,),"")</f>
        <v>SAÚDE OCUPACIONAL</v>
      </c>
      <c r="E1982" s="22" t="str">
        <f>IFERROR(VLOOKUP(B1982,Colaboradores!A:D,4,),"")</f>
        <v>MÉDICO DO TRABALHO</v>
      </c>
      <c r="F1982" s="47" t="s">
        <v>101</v>
      </c>
      <c r="G1982" s="24" t="str">
        <f>IFERROR(VLOOKUP(F1982,Procedimentos!A:C,2,),"")</f>
        <v>PROTOCOLO DE MANEJO DE SURTO</v>
      </c>
      <c r="K1982" s="25" t="str">
        <f t="shared" si="71"/>
        <v/>
      </c>
    </row>
    <row r="1983" spans="2:11" ht="15" customHeight="1">
      <c r="B1983" s="38">
        <v>3109</v>
      </c>
      <c r="C1983" s="22" t="str">
        <f>IFERROR(VLOOKUP(B1983,Colaboradores!A:D,2,),"")</f>
        <v>BRUNO ARRUDA DE AMORIM OLIVEIRA</v>
      </c>
      <c r="D1983" s="22" t="str">
        <f>IFERROR(VLOOKUP(B1983,Colaboradores!A:D,3,),"")</f>
        <v>SAÚDE OCUPACIONAL</v>
      </c>
      <c r="E1983" s="22" t="str">
        <f>IFERROR(VLOOKUP(B1983,Colaboradores!A:D,4,),"")</f>
        <v>MÉDICO DO TRABALHO</v>
      </c>
      <c r="F1983" s="47" t="s">
        <v>102</v>
      </c>
      <c r="G1983" s="24" t="str">
        <f>IFERROR(VLOOKUP(F1983,Procedimentos!A:C,2,),"")</f>
        <v>PROTOCOLO DE TRANSPORTE SEGURO NO ESPAÇO CUIDAR</v>
      </c>
      <c r="K1983" s="25" t="str">
        <f t="shared" si="71"/>
        <v/>
      </c>
    </row>
    <row r="1984" spans="2:11" ht="15" customHeight="1">
      <c r="B1984" s="38">
        <v>3109</v>
      </c>
      <c r="C1984" s="22" t="str">
        <f>IFERROR(VLOOKUP(B1984,Colaboradores!A:D,2,),"")</f>
        <v>BRUNO ARRUDA DE AMORIM OLIVEIRA</v>
      </c>
      <c r="D1984" s="22" t="str">
        <f>IFERROR(VLOOKUP(B1984,Colaboradores!A:D,3,),"")</f>
        <v>SAÚDE OCUPACIONAL</v>
      </c>
      <c r="E1984" s="22" t="str">
        <f>IFERROR(VLOOKUP(B1984,Colaboradores!A:D,4,),"")</f>
        <v>MÉDICO DO TRABALHO</v>
      </c>
      <c r="F1984" s="47" t="s">
        <v>103</v>
      </c>
      <c r="G1984" s="24" t="str">
        <f>IFERROR(VLOOKUP(F1984,Procedimentos!A:C,2,),"")</f>
        <v>PROTOCOLO DE ATENDIMENTO À PESSOA COM COMPORTAMENTO SUÍCIDA</v>
      </c>
      <c r="K1984" s="25" t="str">
        <f t="shared" si="71"/>
        <v/>
      </c>
    </row>
    <row r="1985" spans="2:11" ht="15" customHeight="1">
      <c r="B1985" s="38">
        <v>3109</v>
      </c>
      <c r="C1985" s="22" t="str">
        <f>IFERROR(VLOOKUP(B1985,Colaboradores!A:D,2,),"")</f>
        <v>BRUNO ARRUDA DE AMORIM OLIVEIRA</v>
      </c>
      <c r="D1985" s="22" t="str">
        <f>IFERROR(VLOOKUP(B1985,Colaboradores!A:D,3,),"")</f>
        <v>SAÚDE OCUPACIONAL</v>
      </c>
      <c r="E1985" s="22" t="str">
        <f>IFERROR(VLOOKUP(B1985,Colaboradores!A:D,4,),"")</f>
        <v>MÉDICO DO TRABALHO</v>
      </c>
      <c r="F1985" s="47" t="s">
        <v>104</v>
      </c>
      <c r="G1985" s="24" t="str">
        <f>IFERROR(VLOOKUP(F1985,Procedimentos!A:C,2,),"")</f>
        <v>PROTOCOLO DE BIOSSEGURANÇA</v>
      </c>
      <c r="K1985" s="25" t="str">
        <f t="shared" si="71"/>
        <v/>
      </c>
    </row>
    <row r="1986" spans="2:11" ht="15" customHeight="1">
      <c r="B1986" s="38">
        <v>3109</v>
      </c>
      <c r="C1986" s="22" t="str">
        <f>IFERROR(VLOOKUP(B1986,Colaboradores!A:D,2,),"")</f>
        <v>BRUNO ARRUDA DE AMORIM OLIVEIRA</v>
      </c>
      <c r="D1986" s="22" t="str">
        <f>IFERROR(VLOOKUP(B1986,Colaboradores!A:D,3,),"")</f>
        <v>SAÚDE OCUPACIONAL</v>
      </c>
      <c r="E1986" s="22" t="str">
        <f>IFERROR(VLOOKUP(B1986,Colaboradores!A:D,4,),"")</f>
        <v>MÉDICO DO TRABALHO</v>
      </c>
      <c r="F1986" s="47" t="s">
        <v>105</v>
      </c>
      <c r="G1986" s="24" t="str">
        <f>IFERROR(VLOOKUP(F1986,Procedimentos!A:C,2,),"")</f>
        <v>PROTOCOLO IDENTIFICAÇÃO E MANEJO DA EVOLUÇÃO DESFAVORÁVEL DO PACIENTE NO ESPAÇO CUIDAR</v>
      </c>
      <c r="K1986" s="25" t="str">
        <f t="shared" si="71"/>
        <v/>
      </c>
    </row>
    <row r="1987" spans="2:11" ht="15" customHeight="1">
      <c r="B1987" s="38">
        <v>3109</v>
      </c>
      <c r="C1987" s="22" t="str">
        <f>IFERROR(VLOOKUP(B1987,Colaboradores!A:D,2,),"")</f>
        <v>BRUNO ARRUDA DE AMORIM OLIVEIRA</v>
      </c>
      <c r="D1987" s="22" t="str">
        <f>IFERROR(VLOOKUP(B1987,Colaboradores!A:D,3,),"")</f>
        <v>SAÚDE OCUPACIONAL</v>
      </c>
      <c r="E1987" s="22" t="str">
        <f>IFERROR(VLOOKUP(B1987,Colaboradores!A:D,4,),"")</f>
        <v>MÉDICO DO TRABALHO</v>
      </c>
      <c r="F1987" s="47" t="s">
        <v>106</v>
      </c>
      <c r="G1987" s="24" t="str">
        <f>IFERROR(VLOOKUP(F1987,Procedimentos!A:C,2,),"")</f>
        <v>PROTOCOLO DE DETERIORAÇÃO CLÍNICA</v>
      </c>
      <c r="K1987" s="25" t="str">
        <f t="shared" ref="K1987:K2050" si="72">IF(AND(I1987&lt;&gt;"",J1987&lt;&gt;""),DATE(YEAR(I1987),MONTH(I1987)+J1987,DAY(I1987)),"")</f>
        <v/>
      </c>
    </row>
    <row r="1988" spans="2:11" ht="15" customHeight="1">
      <c r="B1988" s="38">
        <v>3109</v>
      </c>
      <c r="C1988" s="22" t="str">
        <f>IFERROR(VLOOKUP(B1988,Colaboradores!A:D,2,),"")</f>
        <v>BRUNO ARRUDA DE AMORIM OLIVEIRA</v>
      </c>
      <c r="D1988" s="22" t="str">
        <f>IFERROR(VLOOKUP(B1988,Colaboradores!A:D,3,),"")</f>
        <v>SAÚDE OCUPACIONAL</v>
      </c>
      <c r="E1988" s="22" t="str">
        <f>IFERROR(VLOOKUP(B1988,Colaboradores!A:D,4,),"")</f>
        <v>MÉDICO DO TRABALHO</v>
      </c>
      <c r="F1988" s="47" t="s">
        <v>107</v>
      </c>
      <c r="G1988" s="24" t="str">
        <f>IFERROR(VLOOKUP(F1988,Procedimentos!A:C,2,),"")</f>
        <v>PROTOCOLO DE COMUNICAÇÃO DE NOTÍCIAS DIFÍCEIS</v>
      </c>
      <c r="K1988" s="25" t="str">
        <f t="shared" si="72"/>
        <v/>
      </c>
    </row>
    <row r="1989" spans="2:11" ht="15" customHeight="1">
      <c r="B1989" s="38">
        <v>3109</v>
      </c>
      <c r="C1989" s="22" t="str">
        <f>IFERROR(VLOOKUP(B1989,Colaboradores!A:D,2,),"")</f>
        <v>BRUNO ARRUDA DE AMORIM OLIVEIRA</v>
      </c>
      <c r="D1989" s="22" t="str">
        <f>IFERROR(VLOOKUP(B1989,Colaboradores!A:D,3,),"")</f>
        <v>SAÚDE OCUPACIONAL</v>
      </c>
      <c r="E1989" s="22" t="str">
        <f>IFERROR(VLOOKUP(B1989,Colaboradores!A:D,4,),"")</f>
        <v>MÉDICO DO TRABALHO</v>
      </c>
      <c r="F1989" s="47" t="s">
        <v>108</v>
      </c>
      <c r="G1989" s="24" t="str">
        <f>IFERROR(VLOOKUP(F1989,Procedimentos!A:C,2,),"")</f>
        <v>PROTOCOLO PARA ATENDIMENTO DO (A) ASSISTENTE SOCIAL NO AMBULATÓRIO DO ESPAÇO CUIDAR</v>
      </c>
      <c r="K1989" s="25" t="str">
        <f t="shared" si="72"/>
        <v/>
      </c>
    </row>
    <row r="1990" spans="2:11" ht="15" customHeight="1">
      <c r="B1990" s="38">
        <v>3109</v>
      </c>
      <c r="C1990" s="22" t="str">
        <f>IFERROR(VLOOKUP(B1990,Colaboradores!A:D,2,),"")</f>
        <v>BRUNO ARRUDA DE AMORIM OLIVEIRA</v>
      </c>
      <c r="D1990" s="22" t="str">
        <f>IFERROR(VLOOKUP(B1990,Colaboradores!A:D,3,),"")</f>
        <v>SAÚDE OCUPACIONAL</v>
      </c>
      <c r="E1990" s="22" t="str">
        <f>IFERROR(VLOOKUP(B1990,Colaboradores!A:D,4,),"")</f>
        <v>MÉDICO DO TRABALHO</v>
      </c>
      <c r="F1990" s="47" t="s">
        <v>109</v>
      </c>
      <c r="G1990" s="24" t="str">
        <f>IFERROR(VLOOKUP(F1990,Procedimentos!A:C,2,),"")</f>
        <v>ROTOCOLO DE ASSISTÊNCIA NUTRICIONAL AMBULATÓRIAL PARA ADULTOS E IDOSOS COM SOBREPESO E OBESIDADE</v>
      </c>
      <c r="K1990" s="25" t="str">
        <f t="shared" si="72"/>
        <v/>
      </c>
    </row>
    <row r="1991" spans="2:11" ht="15" customHeight="1">
      <c r="B1991" s="38">
        <v>3109</v>
      </c>
      <c r="C1991" s="22" t="str">
        <f>IFERROR(VLOOKUP(B1991,Colaboradores!A:D,2,),"")</f>
        <v>BRUNO ARRUDA DE AMORIM OLIVEIRA</v>
      </c>
      <c r="D1991" s="22" t="str">
        <f>IFERROR(VLOOKUP(B1991,Colaboradores!A:D,3,),"")</f>
        <v>SAÚDE OCUPACIONAL</v>
      </c>
      <c r="E1991" s="22" t="str">
        <f>IFERROR(VLOOKUP(B1991,Colaboradores!A:D,4,),"")</f>
        <v>MÉDICO DO TRABALHO</v>
      </c>
      <c r="F1991" s="47" t="s">
        <v>110</v>
      </c>
      <c r="G1991" s="24" t="str">
        <f>IFERROR(VLOOKUP(F1991,Procedimentos!A:C,2,),"")</f>
        <v>PROTOCOLO DE AGENDAMENTO</v>
      </c>
      <c r="K1991" s="25" t="str">
        <f t="shared" si="72"/>
        <v/>
      </c>
    </row>
    <row r="1992" spans="2:11" ht="15" customHeight="1">
      <c r="B1992" s="38">
        <v>3109</v>
      </c>
      <c r="C1992" s="22" t="str">
        <f>IFERROR(VLOOKUP(B1992,Colaboradores!A:D,2,),"")</f>
        <v>BRUNO ARRUDA DE AMORIM OLIVEIRA</v>
      </c>
      <c r="D1992" s="22" t="str">
        <f>IFERROR(VLOOKUP(B1992,Colaboradores!A:D,3,),"")</f>
        <v>SAÚDE OCUPACIONAL</v>
      </c>
      <c r="E1992" s="22" t="str">
        <f>IFERROR(VLOOKUP(B1992,Colaboradores!A:D,4,),"")</f>
        <v>MÉDICO DO TRABALHO</v>
      </c>
      <c r="F1992" s="47" t="s">
        <v>111</v>
      </c>
      <c r="G1992" s="24" t="str">
        <f>IFERROR(VLOOKUP(F1992,Procedimentos!A:C,2,),"")</f>
        <v>PROTOCOLO DE IDENTIFICAÇÃO DE SINAIS SUSGETIVOS DE VIOLÊNCIA - ESPAÇO CUIDAR/ EMSERH</v>
      </c>
      <c r="K1992" s="25" t="str">
        <f t="shared" si="72"/>
        <v/>
      </c>
    </row>
    <row r="1993" spans="2:11" ht="15" customHeight="1">
      <c r="B1993" s="38">
        <v>3109</v>
      </c>
      <c r="C1993" s="22" t="str">
        <f>IFERROR(VLOOKUP(B1993,Colaboradores!A:D,2,),"")</f>
        <v>BRUNO ARRUDA DE AMORIM OLIVEIRA</v>
      </c>
      <c r="D1993" s="22" t="str">
        <f>IFERROR(VLOOKUP(B1993,Colaboradores!A:D,3,),"")</f>
        <v>SAÚDE OCUPACIONAL</v>
      </c>
      <c r="E1993" s="22" t="str">
        <f>IFERROR(VLOOKUP(B1993,Colaboradores!A:D,4,),"")</f>
        <v>MÉDICO DO TRABALHO</v>
      </c>
      <c r="F1993" s="47" t="s">
        <v>112</v>
      </c>
      <c r="G1993" s="24" t="str">
        <f>IFERROR(VLOOKUP(F1993,Procedimentos!A:C,2,),"")</f>
        <v>PROTOCOLO DE IDENTIFICAÇÃO SEGURA</v>
      </c>
      <c r="K1993" s="25" t="str">
        <f t="shared" si="72"/>
        <v/>
      </c>
    </row>
    <row r="1994" spans="2:11" ht="15" customHeight="1">
      <c r="B1994" s="38">
        <v>3109</v>
      </c>
      <c r="C1994" s="22" t="str">
        <f>IFERROR(VLOOKUP(B1994,Colaboradores!A:D,2,),"")</f>
        <v>BRUNO ARRUDA DE AMORIM OLIVEIRA</v>
      </c>
      <c r="D1994" s="22" t="str">
        <f>IFERROR(VLOOKUP(B1994,Colaboradores!A:D,3,),"")</f>
        <v>SAÚDE OCUPACIONAL</v>
      </c>
      <c r="E1994" s="22" t="str">
        <f>IFERROR(VLOOKUP(B1994,Colaboradores!A:D,4,),"")</f>
        <v>MÉDICO DO TRABALHO</v>
      </c>
      <c r="F1994" s="47" t="s">
        <v>113</v>
      </c>
      <c r="G1994" s="24" t="str">
        <f>IFERROR(VLOOKUP(F1994,Procedimentos!A:C,2,),"")</f>
        <v>PROTOCOLO DE NORMAS E ROTINAS PARA COMUNICAÇÃO DO ESTADO DE SAÚDE DO PACIENTE</v>
      </c>
      <c r="K1994" s="25" t="str">
        <f t="shared" si="72"/>
        <v/>
      </c>
    </row>
    <row r="1995" spans="2:11" ht="15" customHeight="1">
      <c r="B1995" s="38">
        <v>3109</v>
      </c>
      <c r="C1995" s="22" t="str">
        <f>IFERROR(VLOOKUP(B1995,Colaboradores!A:D,2,),"")</f>
        <v>BRUNO ARRUDA DE AMORIM OLIVEIRA</v>
      </c>
      <c r="D1995" s="22" t="str">
        <f>IFERROR(VLOOKUP(B1995,Colaboradores!A:D,3,),"")</f>
        <v>SAÚDE OCUPACIONAL</v>
      </c>
      <c r="E1995" s="22" t="str">
        <f>IFERROR(VLOOKUP(B1995,Colaboradores!A:D,4,),"")</f>
        <v>MÉDICO DO TRABALHO</v>
      </c>
      <c r="F1995" s="47" t="s">
        <v>114</v>
      </c>
      <c r="G1995" s="24" t="str">
        <f>IFERROR(VLOOKUP(F1995,Procedimentos!A:C,2,),"")</f>
        <v>PROTOCOLO DE COMUNICAÇÃO EFETIVA EM PRÁTICAS DE SAÚDE</v>
      </c>
      <c r="K1995" s="25" t="str">
        <f t="shared" si="72"/>
        <v/>
      </c>
    </row>
    <row r="1996" spans="2:11" ht="15" customHeight="1">
      <c r="B1996" s="38">
        <v>3109</v>
      </c>
      <c r="C1996" s="22" t="str">
        <f>IFERROR(VLOOKUP(B1996,Colaboradores!A:D,2,),"")</f>
        <v>BRUNO ARRUDA DE AMORIM OLIVEIRA</v>
      </c>
      <c r="D1996" s="22" t="str">
        <f>IFERROR(VLOOKUP(B1996,Colaboradores!A:D,3,),"")</f>
        <v>SAÚDE OCUPACIONAL</v>
      </c>
      <c r="E1996" s="22" t="str">
        <f>IFERROR(VLOOKUP(B1996,Colaboradores!A:D,4,),"")</f>
        <v>MÉDICO DO TRABALHO</v>
      </c>
      <c r="F1996" s="47" t="s">
        <v>115</v>
      </c>
      <c r="G1996" s="24" t="str">
        <f>IFERROR(VLOOKUP(F1996,Procedimentos!A:C,2,),"")</f>
        <v>PROTOCOLO DE NORMAS E ROTINAS DE ADMISSÃO, TRIAGEM E ALTA</v>
      </c>
      <c r="K1996" s="25" t="str">
        <f t="shared" si="72"/>
        <v/>
      </c>
    </row>
    <row r="1997" spans="2:11" ht="15" customHeight="1">
      <c r="B1997" s="38">
        <v>3109</v>
      </c>
      <c r="C1997" s="22" t="str">
        <f>IFERROR(VLOOKUP(B1997,Colaboradores!A:D,2,),"")</f>
        <v>BRUNO ARRUDA DE AMORIM OLIVEIRA</v>
      </c>
      <c r="D1997" s="22" t="str">
        <f>IFERROR(VLOOKUP(B1997,Colaboradores!A:D,3,),"")</f>
        <v>SAÚDE OCUPACIONAL</v>
      </c>
      <c r="E1997" s="22" t="str">
        <f>IFERROR(VLOOKUP(B1997,Colaboradores!A:D,4,),"")</f>
        <v>MÉDICO DO TRABALHO</v>
      </c>
      <c r="F1997" s="47" t="s">
        <v>116</v>
      </c>
      <c r="G1997" s="24" t="str">
        <f>IFERROR(VLOOKUP(F1997,Procedimentos!A:C,2,),"")</f>
        <v>PROTOCOLO DE SEGURANÇA NA PRESCRIÇÃO, USO E ADMINISTRAÇÃO DE MEDICAMENTOS ESPAÇO CUIDAR</v>
      </c>
      <c r="K1997" s="25" t="str">
        <f t="shared" si="72"/>
        <v/>
      </c>
    </row>
    <row r="1998" spans="2:11" ht="15" customHeight="1">
      <c r="B1998" s="38">
        <v>3109</v>
      </c>
      <c r="C1998" s="22" t="str">
        <f>IFERROR(VLOOKUP(B1998,Colaboradores!A:D,2,),"")</f>
        <v>BRUNO ARRUDA DE AMORIM OLIVEIRA</v>
      </c>
      <c r="D1998" s="22" t="str">
        <f>IFERROR(VLOOKUP(B1998,Colaboradores!A:D,3,),"")</f>
        <v>SAÚDE OCUPACIONAL</v>
      </c>
      <c r="E1998" s="22" t="str">
        <f>IFERROR(VLOOKUP(B1998,Colaboradores!A:D,4,),"")</f>
        <v>MÉDICO DO TRABALHO</v>
      </c>
      <c r="F1998" s="47" t="s">
        <v>117</v>
      </c>
      <c r="G1998" s="24" t="str">
        <f>IFERROR(VLOOKUP(F1998,Procedimentos!A:C,2,),"")</f>
        <v>NORMA E ROTINA DA TRANSIÇÃO DE CUIDADOS</v>
      </c>
      <c r="K1998" s="25" t="str">
        <f t="shared" si="72"/>
        <v/>
      </c>
    </row>
    <row r="1999" spans="2:11" ht="15" customHeight="1">
      <c r="B1999" s="38">
        <v>3109</v>
      </c>
      <c r="C1999" s="22" t="str">
        <f>IFERROR(VLOOKUP(B1999,Colaboradores!A:D,2,),"")</f>
        <v>BRUNO ARRUDA DE AMORIM OLIVEIRA</v>
      </c>
      <c r="D1999" s="22" t="str">
        <f>IFERROR(VLOOKUP(B1999,Colaboradores!A:D,3,),"")</f>
        <v>SAÚDE OCUPACIONAL</v>
      </c>
      <c r="E1999" s="22" t="str">
        <f>IFERROR(VLOOKUP(B1999,Colaboradores!A:D,4,),"")</f>
        <v>MÉDICO DO TRABALHO</v>
      </c>
      <c r="F1999" s="47" t="s">
        <v>118</v>
      </c>
      <c r="G1999" s="24" t="str">
        <f>IFERROR(VLOOKUP(F1999,Procedimentos!A:C,2,),"")</f>
        <v>PROTOCOLO DE ASSISTÊNCIA FISIOTERAPÊUTICA DO ESPAÇO CUIDAR</v>
      </c>
      <c r="K1999" s="25" t="str">
        <f t="shared" si="72"/>
        <v/>
      </c>
    </row>
    <row r="2000" spans="2:11" ht="15" customHeight="1">
      <c r="B2000" s="38">
        <v>14990</v>
      </c>
      <c r="C2000" s="22" t="str">
        <f>IFERROR(VLOOKUP(B2000,Colaboradores!A:D,2,),"")</f>
        <v>DAVID DE JESUS PEREIRA FONSECA</v>
      </c>
      <c r="D2000" s="22" t="str">
        <f>IFERROR(VLOOKUP(B2000,Colaboradores!A:D,3,),"")</f>
        <v>SAÚDE OCUPACIONAL</v>
      </c>
      <c r="E2000" s="22" t="str">
        <f>IFERROR(VLOOKUP(B2000,Colaboradores!A:D,4,),"")</f>
        <v>JOVEM APRENDIZ</v>
      </c>
      <c r="F2000" s="47" t="s">
        <v>94</v>
      </c>
      <c r="G2000" s="24" t="str">
        <f>IFERROR(VLOOKUP(F2000,Procedimentos!A:C,2,),"")</f>
        <v>PROTOCOLO DE CONSENTIMENTO INFORMADO</v>
      </c>
      <c r="K2000" s="25" t="str">
        <f t="shared" si="72"/>
        <v/>
      </c>
    </row>
    <row r="2001" spans="2:11" ht="15" customHeight="1">
      <c r="B2001" s="38">
        <v>14990</v>
      </c>
      <c r="C2001" s="22" t="str">
        <f>IFERROR(VLOOKUP(B2001,Colaboradores!A:D,2,),"")</f>
        <v>DAVID DE JESUS PEREIRA FONSECA</v>
      </c>
      <c r="D2001" s="22" t="str">
        <f>IFERROR(VLOOKUP(B2001,Colaboradores!A:D,3,),"")</f>
        <v>SAÚDE OCUPACIONAL</v>
      </c>
      <c r="E2001" s="22" t="str">
        <f>IFERROR(VLOOKUP(B2001,Colaboradores!A:D,4,),"")</f>
        <v>JOVEM APRENDIZ</v>
      </c>
      <c r="F2001" s="47" t="s">
        <v>95</v>
      </c>
      <c r="G2001" s="24" t="str">
        <f>IFERROR(VLOOKUP(F2001,Procedimentos!A:C,2,),"")</f>
        <v>PROTOCOLO DE NOTIFICAÇÃO COMPULSORIA - ESPAÇO CUIDAR/EMSERH</v>
      </c>
      <c r="K2001" s="25" t="str">
        <f t="shared" si="72"/>
        <v/>
      </c>
    </row>
    <row r="2002" spans="2:11" ht="15" customHeight="1">
      <c r="B2002" s="38">
        <v>14990</v>
      </c>
      <c r="C2002" s="22" t="str">
        <f>IFERROR(VLOOKUP(B2002,Colaboradores!A:D,2,),"")</f>
        <v>DAVID DE JESUS PEREIRA FONSECA</v>
      </c>
      <c r="D2002" s="22" t="str">
        <f>IFERROR(VLOOKUP(B2002,Colaboradores!A:D,3,),"")</f>
        <v>SAÚDE OCUPACIONAL</v>
      </c>
      <c r="E2002" s="22" t="str">
        <f>IFERROR(VLOOKUP(B2002,Colaboradores!A:D,4,),"")</f>
        <v>JOVEM APRENDIZ</v>
      </c>
      <c r="F2002" s="47" t="s">
        <v>96</v>
      </c>
      <c r="G2002" s="24" t="str">
        <f>IFERROR(VLOOKUP(F2002,Procedimentos!A:C,2,),"")</f>
        <v>PROTOCOLO PARA HIGIENIZAÇÃO DAS MÃOS</v>
      </c>
      <c r="H2002" s="25"/>
      <c r="K2002" s="25" t="str">
        <f t="shared" si="72"/>
        <v/>
      </c>
    </row>
    <row r="2003" spans="2:11" ht="15" customHeight="1">
      <c r="B2003" s="38">
        <v>14990</v>
      </c>
      <c r="C2003" s="22" t="str">
        <f>IFERROR(VLOOKUP(B2003,Colaboradores!A:D,2,),"")</f>
        <v>DAVID DE JESUS PEREIRA FONSECA</v>
      </c>
      <c r="D2003" s="22" t="str">
        <f>IFERROR(VLOOKUP(B2003,Colaboradores!A:D,3,),"")</f>
        <v>SAÚDE OCUPACIONAL</v>
      </c>
      <c r="E2003" s="22" t="str">
        <f>IFERROR(VLOOKUP(B2003,Colaboradores!A:D,4,),"")</f>
        <v>JOVEM APRENDIZ</v>
      </c>
      <c r="F2003" s="47" t="s">
        <v>97</v>
      </c>
      <c r="G2003" s="24" t="str">
        <f>IFERROR(VLOOKUP(F2003,Procedimentos!A:C,2,),"")</f>
        <v>PROTOCOLO DE PREVENÇÃO DE QUEDAS</v>
      </c>
      <c r="K2003" s="25" t="str">
        <f t="shared" si="72"/>
        <v/>
      </c>
    </row>
    <row r="2004" spans="2:11" ht="15" customHeight="1">
      <c r="B2004" s="38">
        <v>14990</v>
      </c>
      <c r="C2004" s="22" t="str">
        <f>IFERROR(VLOOKUP(B2004,Colaboradores!A:D,2,),"")</f>
        <v>DAVID DE JESUS PEREIRA FONSECA</v>
      </c>
      <c r="D2004" s="22" t="str">
        <f>IFERROR(VLOOKUP(B2004,Colaboradores!A:D,3,),"")</f>
        <v>SAÚDE OCUPACIONAL</v>
      </c>
      <c r="E2004" s="22" t="str">
        <f>IFERROR(VLOOKUP(B2004,Colaboradores!A:D,4,),"")</f>
        <v>JOVEM APRENDIZ</v>
      </c>
      <c r="F2004" s="47" t="s">
        <v>98</v>
      </c>
      <c r="G2004" s="24" t="str">
        <f>IFERROR(VLOOKUP(F2004,Procedimentos!A:C,2,),"")</f>
        <v>PROTOCOLO INSTITUCIONAL DE CONDUTA ETICA NO ATENDIMENTO MULTIPROFISSIONAL NO ESPAÇO CUIDAR</v>
      </c>
      <c r="K2004" s="25" t="str">
        <f t="shared" si="72"/>
        <v/>
      </c>
    </row>
    <row r="2005" spans="2:11" ht="15" customHeight="1">
      <c r="B2005" s="38">
        <v>14990</v>
      </c>
      <c r="C2005" s="22" t="str">
        <f>IFERROR(VLOOKUP(B2005,Colaboradores!A:D,2,),"")</f>
        <v>DAVID DE JESUS PEREIRA FONSECA</v>
      </c>
      <c r="D2005" s="22" t="str">
        <f>IFERROR(VLOOKUP(B2005,Colaboradores!A:D,3,),"")</f>
        <v>SAÚDE OCUPACIONAL</v>
      </c>
      <c r="E2005" s="22" t="str">
        <f>IFERROR(VLOOKUP(B2005,Colaboradores!A:D,4,),"")</f>
        <v>JOVEM APRENDIZ</v>
      </c>
      <c r="F2005" s="47" t="s">
        <v>99</v>
      </c>
      <c r="G2005" s="24" t="str">
        <f>IFERROR(VLOOKUP(F2005,Procedimentos!A:C,2,),"")</f>
        <v>PROTOCOLO PARA LIMPEZA DE ÁREAS E SUPERFÍCIES NO ESPAÇO CUIDAR</v>
      </c>
      <c r="K2005" s="25" t="str">
        <f t="shared" si="72"/>
        <v/>
      </c>
    </row>
    <row r="2006" spans="2:11" ht="15" customHeight="1">
      <c r="B2006" s="38">
        <v>14990</v>
      </c>
      <c r="C2006" s="22" t="str">
        <f>IFERROR(VLOOKUP(B2006,Colaboradores!A:D,2,),"")</f>
        <v>DAVID DE JESUS PEREIRA FONSECA</v>
      </c>
      <c r="D2006" s="22" t="str">
        <f>IFERROR(VLOOKUP(B2006,Colaboradores!A:D,3,),"")</f>
        <v>SAÚDE OCUPACIONAL</v>
      </c>
      <c r="E2006" s="22" t="str">
        <f>IFERROR(VLOOKUP(B2006,Colaboradores!A:D,4,),"")</f>
        <v>JOVEM APRENDIZ</v>
      </c>
      <c r="F2006" s="47" t="s">
        <v>100</v>
      </c>
      <c r="G2006" s="24" t="str">
        <f>IFERROR(VLOOKUP(F2006,Procedimentos!A:C,2,),"")</f>
        <v>PROTOCOLO DE ATENDIMENTO PSIQUIATRICO NO ESPAÇO CUIDAR DA EMSERH</v>
      </c>
      <c r="K2006" s="25" t="str">
        <f t="shared" si="72"/>
        <v/>
      </c>
    </row>
    <row r="2007" spans="2:11" ht="15" customHeight="1">
      <c r="B2007" s="38">
        <v>14990</v>
      </c>
      <c r="C2007" s="22" t="str">
        <f>IFERROR(VLOOKUP(B2007,Colaboradores!A:D,2,),"")</f>
        <v>DAVID DE JESUS PEREIRA FONSECA</v>
      </c>
      <c r="D2007" s="22" t="str">
        <f>IFERROR(VLOOKUP(B2007,Colaboradores!A:D,3,),"")</f>
        <v>SAÚDE OCUPACIONAL</v>
      </c>
      <c r="E2007" s="22" t="str">
        <f>IFERROR(VLOOKUP(B2007,Colaboradores!A:D,4,),"")</f>
        <v>JOVEM APRENDIZ</v>
      </c>
      <c r="F2007" s="47" t="s">
        <v>101</v>
      </c>
      <c r="G2007" s="24" t="str">
        <f>IFERROR(VLOOKUP(F2007,Procedimentos!A:C,2,),"")</f>
        <v>PROTOCOLO DE MANEJO DE SURTO</v>
      </c>
      <c r="K2007" s="25" t="str">
        <f t="shared" si="72"/>
        <v/>
      </c>
    </row>
    <row r="2008" spans="2:11" ht="15" customHeight="1">
      <c r="B2008" s="38">
        <v>14990</v>
      </c>
      <c r="C2008" s="22" t="str">
        <f>IFERROR(VLOOKUP(B2008,Colaboradores!A:D,2,),"")</f>
        <v>DAVID DE JESUS PEREIRA FONSECA</v>
      </c>
      <c r="D2008" s="22" t="str">
        <f>IFERROR(VLOOKUP(B2008,Colaboradores!A:D,3,),"")</f>
        <v>SAÚDE OCUPACIONAL</v>
      </c>
      <c r="E2008" s="22" t="str">
        <f>IFERROR(VLOOKUP(B2008,Colaboradores!A:D,4,),"")</f>
        <v>JOVEM APRENDIZ</v>
      </c>
      <c r="F2008" s="47" t="s">
        <v>102</v>
      </c>
      <c r="G2008" s="24" t="str">
        <f>IFERROR(VLOOKUP(F2008,Procedimentos!A:C,2,),"")</f>
        <v>PROTOCOLO DE TRANSPORTE SEGURO NO ESPAÇO CUIDAR</v>
      </c>
      <c r="K2008" s="25" t="str">
        <f t="shared" si="72"/>
        <v/>
      </c>
    </row>
    <row r="2009" spans="2:11" ht="15" customHeight="1">
      <c r="B2009" s="38">
        <v>14990</v>
      </c>
      <c r="C2009" s="22" t="str">
        <f>IFERROR(VLOOKUP(B2009,Colaboradores!A:D,2,),"")</f>
        <v>DAVID DE JESUS PEREIRA FONSECA</v>
      </c>
      <c r="D2009" s="22" t="str">
        <f>IFERROR(VLOOKUP(B2009,Colaboradores!A:D,3,),"")</f>
        <v>SAÚDE OCUPACIONAL</v>
      </c>
      <c r="E2009" s="22" t="str">
        <f>IFERROR(VLOOKUP(B2009,Colaboradores!A:D,4,),"")</f>
        <v>JOVEM APRENDIZ</v>
      </c>
      <c r="F2009" s="47" t="s">
        <v>103</v>
      </c>
      <c r="G2009" s="24" t="str">
        <f>IFERROR(VLOOKUP(F2009,Procedimentos!A:C,2,),"")</f>
        <v>PROTOCOLO DE ATENDIMENTO À PESSOA COM COMPORTAMENTO SUÍCIDA</v>
      </c>
      <c r="K2009" s="25" t="str">
        <f t="shared" si="72"/>
        <v/>
      </c>
    </row>
    <row r="2010" spans="2:11" ht="15" customHeight="1">
      <c r="B2010" s="38">
        <v>14990</v>
      </c>
      <c r="C2010" s="22" t="str">
        <f>IFERROR(VLOOKUP(B2010,Colaboradores!A:D,2,),"")</f>
        <v>DAVID DE JESUS PEREIRA FONSECA</v>
      </c>
      <c r="D2010" s="22" t="str">
        <f>IFERROR(VLOOKUP(B2010,Colaboradores!A:D,3,),"")</f>
        <v>SAÚDE OCUPACIONAL</v>
      </c>
      <c r="E2010" s="22" t="str">
        <f>IFERROR(VLOOKUP(B2010,Colaboradores!A:D,4,),"")</f>
        <v>JOVEM APRENDIZ</v>
      </c>
      <c r="F2010" s="47" t="s">
        <v>104</v>
      </c>
      <c r="G2010" s="24" t="str">
        <f>IFERROR(VLOOKUP(F2010,Procedimentos!A:C,2,),"")</f>
        <v>PROTOCOLO DE BIOSSEGURANÇA</v>
      </c>
      <c r="K2010" s="25" t="str">
        <f t="shared" si="72"/>
        <v/>
      </c>
    </row>
    <row r="2011" spans="2:11" ht="15" customHeight="1">
      <c r="B2011" s="38">
        <v>14990</v>
      </c>
      <c r="C2011" s="22" t="str">
        <f>IFERROR(VLOOKUP(B2011,Colaboradores!A:D,2,),"")</f>
        <v>DAVID DE JESUS PEREIRA FONSECA</v>
      </c>
      <c r="D2011" s="22" t="str">
        <f>IFERROR(VLOOKUP(B2011,Colaboradores!A:D,3,),"")</f>
        <v>SAÚDE OCUPACIONAL</v>
      </c>
      <c r="E2011" s="22" t="str">
        <f>IFERROR(VLOOKUP(B2011,Colaboradores!A:D,4,),"")</f>
        <v>JOVEM APRENDIZ</v>
      </c>
      <c r="F2011" s="47" t="s">
        <v>105</v>
      </c>
      <c r="G2011" s="24" t="str">
        <f>IFERROR(VLOOKUP(F2011,Procedimentos!A:C,2,),"")</f>
        <v>PROTOCOLO IDENTIFICAÇÃO E MANEJO DA EVOLUÇÃO DESFAVORÁVEL DO PACIENTE NO ESPAÇO CUIDAR</v>
      </c>
      <c r="K2011" s="25" t="str">
        <f t="shared" si="72"/>
        <v/>
      </c>
    </row>
    <row r="2012" spans="2:11" ht="15" customHeight="1">
      <c r="B2012" s="38">
        <v>14990</v>
      </c>
      <c r="C2012" s="22" t="str">
        <f>IFERROR(VLOOKUP(B2012,Colaboradores!A:D,2,),"")</f>
        <v>DAVID DE JESUS PEREIRA FONSECA</v>
      </c>
      <c r="D2012" s="22" t="str">
        <f>IFERROR(VLOOKUP(B2012,Colaboradores!A:D,3,),"")</f>
        <v>SAÚDE OCUPACIONAL</v>
      </c>
      <c r="E2012" s="22" t="str">
        <f>IFERROR(VLOOKUP(B2012,Colaboradores!A:D,4,),"")</f>
        <v>JOVEM APRENDIZ</v>
      </c>
      <c r="F2012" s="47" t="s">
        <v>106</v>
      </c>
      <c r="G2012" s="24" t="str">
        <f>IFERROR(VLOOKUP(F2012,Procedimentos!A:C,2,),"")</f>
        <v>PROTOCOLO DE DETERIORAÇÃO CLÍNICA</v>
      </c>
      <c r="K2012" s="25" t="str">
        <f t="shared" si="72"/>
        <v/>
      </c>
    </row>
    <row r="2013" spans="2:11" ht="15" customHeight="1">
      <c r="B2013" s="38">
        <v>14990</v>
      </c>
      <c r="C2013" s="22" t="str">
        <f>IFERROR(VLOOKUP(B2013,Colaboradores!A:D,2,),"")</f>
        <v>DAVID DE JESUS PEREIRA FONSECA</v>
      </c>
      <c r="D2013" s="22" t="str">
        <f>IFERROR(VLOOKUP(B2013,Colaboradores!A:D,3,),"")</f>
        <v>SAÚDE OCUPACIONAL</v>
      </c>
      <c r="E2013" s="22" t="str">
        <f>IFERROR(VLOOKUP(B2013,Colaboradores!A:D,4,),"")</f>
        <v>JOVEM APRENDIZ</v>
      </c>
      <c r="F2013" s="47" t="s">
        <v>107</v>
      </c>
      <c r="G2013" s="24" t="str">
        <f>IFERROR(VLOOKUP(F2013,Procedimentos!A:C,2,),"")</f>
        <v>PROTOCOLO DE COMUNICAÇÃO DE NOTÍCIAS DIFÍCEIS</v>
      </c>
      <c r="K2013" s="25" t="str">
        <f t="shared" si="72"/>
        <v/>
      </c>
    </row>
    <row r="2014" spans="2:11" ht="15" customHeight="1">
      <c r="B2014" s="38">
        <v>14990</v>
      </c>
      <c r="C2014" s="22" t="str">
        <f>IFERROR(VLOOKUP(B2014,Colaboradores!A:D,2,),"")</f>
        <v>DAVID DE JESUS PEREIRA FONSECA</v>
      </c>
      <c r="D2014" s="22" t="str">
        <f>IFERROR(VLOOKUP(B2014,Colaboradores!A:D,3,),"")</f>
        <v>SAÚDE OCUPACIONAL</v>
      </c>
      <c r="E2014" s="22" t="str">
        <f>IFERROR(VLOOKUP(B2014,Colaboradores!A:D,4,),"")</f>
        <v>JOVEM APRENDIZ</v>
      </c>
      <c r="F2014" s="47" t="s">
        <v>108</v>
      </c>
      <c r="G2014" s="24" t="str">
        <f>IFERROR(VLOOKUP(F2014,Procedimentos!A:C,2,),"")</f>
        <v>PROTOCOLO PARA ATENDIMENTO DO (A) ASSISTENTE SOCIAL NO AMBULATÓRIO DO ESPAÇO CUIDAR</v>
      </c>
      <c r="K2014" s="25" t="str">
        <f t="shared" si="72"/>
        <v/>
      </c>
    </row>
    <row r="2015" spans="2:11" ht="15" customHeight="1">
      <c r="B2015" s="38">
        <v>14990</v>
      </c>
      <c r="C2015" s="22" t="str">
        <f>IFERROR(VLOOKUP(B2015,Colaboradores!A:D,2,),"")</f>
        <v>DAVID DE JESUS PEREIRA FONSECA</v>
      </c>
      <c r="D2015" s="22" t="str">
        <f>IFERROR(VLOOKUP(B2015,Colaboradores!A:D,3,),"")</f>
        <v>SAÚDE OCUPACIONAL</v>
      </c>
      <c r="E2015" s="22" t="str">
        <f>IFERROR(VLOOKUP(B2015,Colaboradores!A:D,4,),"")</f>
        <v>JOVEM APRENDIZ</v>
      </c>
      <c r="F2015" s="47" t="s">
        <v>109</v>
      </c>
      <c r="G2015" s="24" t="str">
        <f>IFERROR(VLOOKUP(F2015,Procedimentos!A:C,2,),"")</f>
        <v>ROTOCOLO DE ASSISTÊNCIA NUTRICIONAL AMBULATÓRIAL PARA ADULTOS E IDOSOS COM SOBREPESO E OBESIDADE</v>
      </c>
      <c r="K2015" s="25" t="str">
        <f t="shared" si="72"/>
        <v/>
      </c>
    </row>
    <row r="2016" spans="2:11" ht="15" customHeight="1">
      <c r="B2016" s="38">
        <v>14990</v>
      </c>
      <c r="C2016" s="22" t="str">
        <f>IFERROR(VLOOKUP(B2016,Colaboradores!A:D,2,),"")</f>
        <v>DAVID DE JESUS PEREIRA FONSECA</v>
      </c>
      <c r="D2016" s="22" t="str">
        <f>IFERROR(VLOOKUP(B2016,Colaboradores!A:D,3,),"")</f>
        <v>SAÚDE OCUPACIONAL</v>
      </c>
      <c r="E2016" s="22" t="str">
        <f>IFERROR(VLOOKUP(B2016,Colaboradores!A:D,4,),"")</f>
        <v>JOVEM APRENDIZ</v>
      </c>
      <c r="F2016" s="47" t="s">
        <v>110</v>
      </c>
      <c r="G2016" s="24" t="str">
        <f>IFERROR(VLOOKUP(F2016,Procedimentos!A:C,2,),"")</f>
        <v>PROTOCOLO DE AGENDAMENTO</v>
      </c>
      <c r="K2016" s="25" t="str">
        <f t="shared" si="72"/>
        <v/>
      </c>
    </row>
    <row r="2017" spans="2:11" ht="15" customHeight="1">
      <c r="B2017" s="38">
        <v>14990</v>
      </c>
      <c r="C2017" s="22" t="str">
        <f>IFERROR(VLOOKUP(B2017,Colaboradores!A:D,2,),"")</f>
        <v>DAVID DE JESUS PEREIRA FONSECA</v>
      </c>
      <c r="D2017" s="22" t="str">
        <f>IFERROR(VLOOKUP(B2017,Colaboradores!A:D,3,),"")</f>
        <v>SAÚDE OCUPACIONAL</v>
      </c>
      <c r="E2017" s="22" t="str">
        <f>IFERROR(VLOOKUP(B2017,Colaboradores!A:D,4,),"")</f>
        <v>JOVEM APRENDIZ</v>
      </c>
      <c r="F2017" s="47" t="s">
        <v>111</v>
      </c>
      <c r="G2017" s="24" t="str">
        <f>IFERROR(VLOOKUP(F2017,Procedimentos!A:C,2,),"")</f>
        <v>PROTOCOLO DE IDENTIFICAÇÃO DE SINAIS SUSGETIVOS DE VIOLÊNCIA - ESPAÇO CUIDAR/ EMSERH</v>
      </c>
      <c r="K2017" s="25" t="str">
        <f t="shared" si="72"/>
        <v/>
      </c>
    </row>
    <row r="2018" spans="2:11" ht="15" customHeight="1">
      <c r="B2018" s="38">
        <v>14990</v>
      </c>
      <c r="C2018" s="22" t="str">
        <f>IFERROR(VLOOKUP(B2018,Colaboradores!A:D,2,),"")</f>
        <v>DAVID DE JESUS PEREIRA FONSECA</v>
      </c>
      <c r="D2018" s="22" t="str">
        <f>IFERROR(VLOOKUP(B2018,Colaboradores!A:D,3,),"")</f>
        <v>SAÚDE OCUPACIONAL</v>
      </c>
      <c r="E2018" s="22" t="str">
        <f>IFERROR(VLOOKUP(B2018,Colaboradores!A:D,4,),"")</f>
        <v>JOVEM APRENDIZ</v>
      </c>
      <c r="F2018" s="47" t="s">
        <v>112</v>
      </c>
      <c r="G2018" s="24" t="str">
        <f>IFERROR(VLOOKUP(F2018,Procedimentos!A:C,2,),"")</f>
        <v>PROTOCOLO DE IDENTIFICAÇÃO SEGURA</v>
      </c>
      <c r="K2018" s="25" t="str">
        <f t="shared" si="72"/>
        <v/>
      </c>
    </row>
    <row r="2019" spans="2:11" ht="15" customHeight="1">
      <c r="B2019" s="38">
        <v>14990</v>
      </c>
      <c r="C2019" s="22" t="str">
        <f>IFERROR(VLOOKUP(B2019,Colaboradores!A:D,2,),"")</f>
        <v>DAVID DE JESUS PEREIRA FONSECA</v>
      </c>
      <c r="D2019" s="22" t="str">
        <f>IFERROR(VLOOKUP(B2019,Colaboradores!A:D,3,),"")</f>
        <v>SAÚDE OCUPACIONAL</v>
      </c>
      <c r="E2019" s="22" t="str">
        <f>IFERROR(VLOOKUP(B2019,Colaboradores!A:D,4,),"")</f>
        <v>JOVEM APRENDIZ</v>
      </c>
      <c r="F2019" s="47" t="s">
        <v>113</v>
      </c>
      <c r="G2019" s="24" t="str">
        <f>IFERROR(VLOOKUP(F2019,Procedimentos!A:C,2,),"")</f>
        <v>PROTOCOLO DE NORMAS E ROTINAS PARA COMUNICAÇÃO DO ESTADO DE SAÚDE DO PACIENTE</v>
      </c>
      <c r="K2019" s="25" t="str">
        <f t="shared" si="72"/>
        <v/>
      </c>
    </row>
    <row r="2020" spans="2:11" ht="15" customHeight="1">
      <c r="B2020" s="38">
        <v>14990</v>
      </c>
      <c r="C2020" s="22" t="str">
        <f>IFERROR(VLOOKUP(B2020,Colaboradores!A:D,2,),"")</f>
        <v>DAVID DE JESUS PEREIRA FONSECA</v>
      </c>
      <c r="D2020" s="22" t="str">
        <f>IFERROR(VLOOKUP(B2020,Colaboradores!A:D,3,),"")</f>
        <v>SAÚDE OCUPACIONAL</v>
      </c>
      <c r="E2020" s="22" t="str">
        <f>IFERROR(VLOOKUP(B2020,Colaboradores!A:D,4,),"")</f>
        <v>JOVEM APRENDIZ</v>
      </c>
      <c r="F2020" s="47" t="s">
        <v>114</v>
      </c>
      <c r="G2020" s="24" t="str">
        <f>IFERROR(VLOOKUP(F2020,Procedimentos!A:C,2,),"")</f>
        <v>PROTOCOLO DE COMUNICAÇÃO EFETIVA EM PRÁTICAS DE SAÚDE</v>
      </c>
      <c r="K2020" s="25" t="str">
        <f t="shared" si="72"/>
        <v/>
      </c>
    </row>
    <row r="2021" spans="2:11" ht="15" customHeight="1">
      <c r="B2021" s="38">
        <v>14990</v>
      </c>
      <c r="C2021" s="22" t="str">
        <f>IFERROR(VLOOKUP(B2021,Colaboradores!A:D,2,),"")</f>
        <v>DAVID DE JESUS PEREIRA FONSECA</v>
      </c>
      <c r="D2021" s="22" t="str">
        <f>IFERROR(VLOOKUP(B2021,Colaboradores!A:D,3,),"")</f>
        <v>SAÚDE OCUPACIONAL</v>
      </c>
      <c r="E2021" s="22" t="str">
        <f>IFERROR(VLOOKUP(B2021,Colaboradores!A:D,4,),"")</f>
        <v>JOVEM APRENDIZ</v>
      </c>
      <c r="F2021" s="47" t="s">
        <v>115</v>
      </c>
      <c r="G2021" s="24" t="str">
        <f>IFERROR(VLOOKUP(F2021,Procedimentos!A:C,2,),"")</f>
        <v>PROTOCOLO DE NORMAS E ROTINAS DE ADMISSÃO, TRIAGEM E ALTA</v>
      </c>
      <c r="K2021" s="25" t="str">
        <f t="shared" si="72"/>
        <v/>
      </c>
    </row>
    <row r="2022" spans="2:11" ht="15" customHeight="1">
      <c r="B2022" s="38">
        <v>14990</v>
      </c>
      <c r="C2022" s="22" t="str">
        <f>IFERROR(VLOOKUP(B2022,Colaboradores!A:D,2,),"")</f>
        <v>DAVID DE JESUS PEREIRA FONSECA</v>
      </c>
      <c r="D2022" s="22" t="str">
        <f>IFERROR(VLOOKUP(B2022,Colaboradores!A:D,3,),"")</f>
        <v>SAÚDE OCUPACIONAL</v>
      </c>
      <c r="E2022" s="22" t="str">
        <f>IFERROR(VLOOKUP(B2022,Colaboradores!A:D,4,),"")</f>
        <v>JOVEM APRENDIZ</v>
      </c>
      <c r="F2022" s="47" t="s">
        <v>116</v>
      </c>
      <c r="G2022" s="24" t="str">
        <f>IFERROR(VLOOKUP(F2022,Procedimentos!A:C,2,),"")</f>
        <v>PROTOCOLO DE SEGURANÇA NA PRESCRIÇÃO, USO E ADMINISTRAÇÃO DE MEDICAMENTOS ESPAÇO CUIDAR</v>
      </c>
      <c r="K2022" s="25" t="str">
        <f t="shared" si="72"/>
        <v/>
      </c>
    </row>
    <row r="2023" spans="2:11" ht="15" customHeight="1">
      <c r="B2023" s="38">
        <v>14990</v>
      </c>
      <c r="C2023" s="22" t="str">
        <f>IFERROR(VLOOKUP(B2023,Colaboradores!A:D,2,),"")</f>
        <v>DAVID DE JESUS PEREIRA FONSECA</v>
      </c>
      <c r="D2023" s="22" t="str">
        <f>IFERROR(VLOOKUP(B2023,Colaboradores!A:D,3,),"")</f>
        <v>SAÚDE OCUPACIONAL</v>
      </c>
      <c r="E2023" s="22" t="str">
        <f>IFERROR(VLOOKUP(B2023,Colaboradores!A:D,4,),"")</f>
        <v>JOVEM APRENDIZ</v>
      </c>
      <c r="F2023" s="47" t="s">
        <v>117</v>
      </c>
      <c r="G2023" s="24" t="str">
        <f>IFERROR(VLOOKUP(F2023,Procedimentos!A:C,2,),"")</f>
        <v>NORMA E ROTINA DA TRANSIÇÃO DE CUIDADOS</v>
      </c>
      <c r="K2023" s="25" t="str">
        <f t="shared" si="72"/>
        <v/>
      </c>
    </row>
    <row r="2024" spans="2:11" ht="15" customHeight="1">
      <c r="B2024" s="38">
        <v>14990</v>
      </c>
      <c r="C2024" s="22" t="str">
        <f>IFERROR(VLOOKUP(B2024,Colaboradores!A:D,2,),"")</f>
        <v>DAVID DE JESUS PEREIRA FONSECA</v>
      </c>
      <c r="D2024" s="22" t="str">
        <f>IFERROR(VLOOKUP(B2024,Colaboradores!A:D,3,),"")</f>
        <v>SAÚDE OCUPACIONAL</v>
      </c>
      <c r="E2024" s="22" t="str">
        <f>IFERROR(VLOOKUP(B2024,Colaboradores!A:D,4,),"")</f>
        <v>JOVEM APRENDIZ</v>
      </c>
      <c r="F2024" s="47" t="s">
        <v>118</v>
      </c>
      <c r="G2024" s="24" t="str">
        <f>IFERROR(VLOOKUP(F2024,Procedimentos!A:C,2,),"")</f>
        <v>PROTOCOLO DE ASSISTÊNCIA FISIOTERAPÊUTICA DO ESPAÇO CUIDAR</v>
      </c>
      <c r="K2024" s="25" t="str">
        <f t="shared" si="72"/>
        <v/>
      </c>
    </row>
    <row r="2025" spans="2:11" ht="15" customHeight="1">
      <c r="B2025" s="38">
        <v>9058</v>
      </c>
      <c r="C2025" s="22" t="str">
        <f>IFERROR(VLOOKUP(B2025,Colaboradores!A:D,2,),"")</f>
        <v>DENISE CRISTRINA CASTRO</v>
      </c>
      <c r="D2025" s="22" t="str">
        <f>IFERROR(VLOOKUP(B2025,Colaboradores!A:D,3,),"")</f>
        <v>SAÚDE OCUPACIONAL</v>
      </c>
      <c r="E2025" s="22" t="str">
        <f>IFERROR(VLOOKUP(B2025,Colaboradores!A:D,4,),"")</f>
        <v>ASSESSOR(A) DE SERVIÇO SOCIAL</v>
      </c>
      <c r="F2025" s="47" t="s">
        <v>94</v>
      </c>
      <c r="G2025" s="24" t="str">
        <f>IFERROR(VLOOKUP(F2025,Procedimentos!A:C,2,),"")</f>
        <v>PROTOCOLO DE CONSENTIMENTO INFORMADO</v>
      </c>
      <c r="K2025" s="25" t="str">
        <f t="shared" si="72"/>
        <v/>
      </c>
    </row>
    <row r="2026" spans="2:11" ht="15" customHeight="1">
      <c r="B2026" s="38">
        <v>9058</v>
      </c>
      <c r="C2026" s="22" t="str">
        <f>IFERROR(VLOOKUP(B2026,Colaboradores!A:D,2,),"")</f>
        <v>DENISE CRISTRINA CASTRO</v>
      </c>
      <c r="D2026" s="22" t="str">
        <f>IFERROR(VLOOKUP(B2026,Colaboradores!A:D,3,),"")</f>
        <v>SAÚDE OCUPACIONAL</v>
      </c>
      <c r="E2026" s="22" t="str">
        <f>IFERROR(VLOOKUP(B2026,Colaboradores!A:D,4,),"")</f>
        <v>ASSESSOR(A) DE SERVIÇO SOCIAL</v>
      </c>
      <c r="F2026" s="47" t="s">
        <v>95</v>
      </c>
      <c r="G2026" s="24" t="str">
        <f>IFERROR(VLOOKUP(F2026,Procedimentos!A:C,2,),"")</f>
        <v>PROTOCOLO DE NOTIFICAÇÃO COMPULSORIA - ESPAÇO CUIDAR/EMSERH</v>
      </c>
      <c r="K2026" s="25" t="str">
        <f t="shared" si="72"/>
        <v/>
      </c>
    </row>
    <row r="2027" spans="2:11" ht="15" customHeight="1">
      <c r="B2027" s="38">
        <v>9058</v>
      </c>
      <c r="C2027" s="22" t="str">
        <f>IFERROR(VLOOKUP(B2027,Colaboradores!A:D,2,),"")</f>
        <v>DENISE CRISTRINA CASTRO</v>
      </c>
      <c r="D2027" s="22" t="str">
        <f>IFERROR(VLOOKUP(B2027,Colaboradores!A:D,3,),"")</f>
        <v>SAÚDE OCUPACIONAL</v>
      </c>
      <c r="E2027" s="22" t="str">
        <f>IFERROR(VLOOKUP(B2027,Colaboradores!A:D,4,),"")</f>
        <v>ASSESSOR(A) DE SERVIÇO SOCIAL</v>
      </c>
      <c r="F2027" s="47" t="s">
        <v>96</v>
      </c>
      <c r="G2027" s="24" t="str">
        <f>IFERROR(VLOOKUP(F2027,Procedimentos!A:C,2,),"")</f>
        <v>PROTOCOLO PARA HIGIENIZAÇÃO DAS MÃOS</v>
      </c>
      <c r="H2027" s="25"/>
      <c r="K2027" s="25" t="str">
        <f t="shared" si="72"/>
        <v/>
      </c>
    </row>
    <row r="2028" spans="2:11" ht="15" customHeight="1">
      <c r="B2028" s="38">
        <v>9058</v>
      </c>
      <c r="C2028" s="22" t="str">
        <f>IFERROR(VLOOKUP(B2028,Colaboradores!A:D,2,),"")</f>
        <v>DENISE CRISTRINA CASTRO</v>
      </c>
      <c r="D2028" s="22" t="str">
        <f>IFERROR(VLOOKUP(B2028,Colaboradores!A:D,3,),"")</f>
        <v>SAÚDE OCUPACIONAL</v>
      </c>
      <c r="E2028" s="22" t="str">
        <f>IFERROR(VLOOKUP(B2028,Colaboradores!A:D,4,),"")</f>
        <v>ASSESSOR(A) DE SERVIÇO SOCIAL</v>
      </c>
      <c r="F2028" s="47" t="s">
        <v>97</v>
      </c>
      <c r="G2028" s="24" t="str">
        <f>IFERROR(VLOOKUP(F2028,Procedimentos!A:C,2,),"")</f>
        <v>PROTOCOLO DE PREVENÇÃO DE QUEDAS</v>
      </c>
      <c r="K2028" s="25" t="str">
        <f t="shared" si="72"/>
        <v/>
      </c>
    </row>
    <row r="2029" spans="2:11" ht="15" customHeight="1">
      <c r="B2029" s="38">
        <v>9058</v>
      </c>
      <c r="C2029" s="22" t="str">
        <f>IFERROR(VLOOKUP(B2029,Colaboradores!A:D,2,),"")</f>
        <v>DENISE CRISTRINA CASTRO</v>
      </c>
      <c r="D2029" s="22" t="str">
        <f>IFERROR(VLOOKUP(B2029,Colaboradores!A:D,3,),"")</f>
        <v>SAÚDE OCUPACIONAL</v>
      </c>
      <c r="E2029" s="22" t="str">
        <f>IFERROR(VLOOKUP(B2029,Colaboradores!A:D,4,),"")</f>
        <v>ASSESSOR(A) DE SERVIÇO SOCIAL</v>
      </c>
      <c r="F2029" s="47" t="s">
        <v>98</v>
      </c>
      <c r="G2029" s="24" t="str">
        <f>IFERROR(VLOOKUP(F2029,Procedimentos!A:C,2,),"")</f>
        <v>PROTOCOLO INSTITUCIONAL DE CONDUTA ETICA NO ATENDIMENTO MULTIPROFISSIONAL NO ESPAÇO CUIDAR</v>
      </c>
      <c r="K2029" s="25" t="str">
        <f t="shared" si="72"/>
        <v/>
      </c>
    </row>
    <row r="2030" spans="2:11" ht="15" customHeight="1">
      <c r="B2030" s="38">
        <v>9058</v>
      </c>
      <c r="C2030" s="22" t="str">
        <f>IFERROR(VLOOKUP(B2030,Colaboradores!A:D,2,),"")</f>
        <v>DENISE CRISTRINA CASTRO</v>
      </c>
      <c r="D2030" s="22" t="str">
        <f>IFERROR(VLOOKUP(B2030,Colaboradores!A:D,3,),"")</f>
        <v>SAÚDE OCUPACIONAL</v>
      </c>
      <c r="E2030" s="22" t="str">
        <f>IFERROR(VLOOKUP(B2030,Colaboradores!A:D,4,),"")</f>
        <v>ASSESSOR(A) DE SERVIÇO SOCIAL</v>
      </c>
      <c r="F2030" s="47" t="s">
        <v>99</v>
      </c>
      <c r="G2030" s="24" t="str">
        <f>IFERROR(VLOOKUP(F2030,Procedimentos!A:C,2,),"")</f>
        <v>PROTOCOLO PARA LIMPEZA DE ÁREAS E SUPERFÍCIES NO ESPAÇO CUIDAR</v>
      </c>
      <c r="K2030" s="25" t="str">
        <f t="shared" si="72"/>
        <v/>
      </c>
    </row>
    <row r="2031" spans="2:11" ht="15" customHeight="1">
      <c r="B2031" s="38">
        <v>9058</v>
      </c>
      <c r="C2031" s="22" t="str">
        <f>IFERROR(VLOOKUP(B2031,Colaboradores!A:D,2,),"")</f>
        <v>DENISE CRISTRINA CASTRO</v>
      </c>
      <c r="D2031" s="22" t="str">
        <f>IFERROR(VLOOKUP(B2031,Colaboradores!A:D,3,),"")</f>
        <v>SAÚDE OCUPACIONAL</v>
      </c>
      <c r="E2031" s="22" t="str">
        <f>IFERROR(VLOOKUP(B2031,Colaboradores!A:D,4,),"")</f>
        <v>ASSESSOR(A) DE SERVIÇO SOCIAL</v>
      </c>
      <c r="F2031" s="47" t="s">
        <v>100</v>
      </c>
      <c r="G2031" s="24" t="str">
        <f>IFERROR(VLOOKUP(F2031,Procedimentos!A:C,2,),"")</f>
        <v>PROTOCOLO DE ATENDIMENTO PSIQUIATRICO NO ESPAÇO CUIDAR DA EMSERH</v>
      </c>
      <c r="K2031" s="25" t="str">
        <f t="shared" si="72"/>
        <v/>
      </c>
    </row>
    <row r="2032" spans="2:11" ht="15" customHeight="1">
      <c r="B2032" s="38">
        <v>9058</v>
      </c>
      <c r="C2032" s="22" t="str">
        <f>IFERROR(VLOOKUP(B2032,Colaboradores!A:D,2,),"")</f>
        <v>DENISE CRISTRINA CASTRO</v>
      </c>
      <c r="D2032" s="22" t="str">
        <f>IFERROR(VLOOKUP(B2032,Colaboradores!A:D,3,),"")</f>
        <v>SAÚDE OCUPACIONAL</v>
      </c>
      <c r="E2032" s="22" t="str">
        <f>IFERROR(VLOOKUP(B2032,Colaboradores!A:D,4,),"")</f>
        <v>ASSESSOR(A) DE SERVIÇO SOCIAL</v>
      </c>
      <c r="F2032" s="47" t="s">
        <v>101</v>
      </c>
      <c r="G2032" s="24" t="str">
        <f>IFERROR(VLOOKUP(F2032,Procedimentos!A:C,2,),"")</f>
        <v>PROTOCOLO DE MANEJO DE SURTO</v>
      </c>
      <c r="K2032" s="25" t="str">
        <f t="shared" si="72"/>
        <v/>
      </c>
    </row>
    <row r="2033" spans="2:11" ht="15" customHeight="1">
      <c r="B2033" s="38">
        <v>9058</v>
      </c>
      <c r="C2033" s="22" t="str">
        <f>IFERROR(VLOOKUP(B2033,Colaboradores!A:D,2,),"")</f>
        <v>DENISE CRISTRINA CASTRO</v>
      </c>
      <c r="D2033" s="22" t="str">
        <f>IFERROR(VLOOKUP(B2033,Colaboradores!A:D,3,),"")</f>
        <v>SAÚDE OCUPACIONAL</v>
      </c>
      <c r="E2033" s="22" t="str">
        <f>IFERROR(VLOOKUP(B2033,Colaboradores!A:D,4,),"")</f>
        <v>ASSESSOR(A) DE SERVIÇO SOCIAL</v>
      </c>
      <c r="F2033" s="47" t="s">
        <v>102</v>
      </c>
      <c r="G2033" s="24" t="str">
        <f>IFERROR(VLOOKUP(F2033,Procedimentos!A:C,2,),"")</f>
        <v>PROTOCOLO DE TRANSPORTE SEGURO NO ESPAÇO CUIDAR</v>
      </c>
      <c r="K2033" s="25" t="str">
        <f t="shared" si="72"/>
        <v/>
      </c>
    </row>
    <row r="2034" spans="2:11" ht="15" customHeight="1">
      <c r="B2034" s="38">
        <v>9058</v>
      </c>
      <c r="C2034" s="22" t="str">
        <f>IFERROR(VLOOKUP(B2034,Colaboradores!A:D,2,),"")</f>
        <v>DENISE CRISTRINA CASTRO</v>
      </c>
      <c r="D2034" s="22" t="str">
        <f>IFERROR(VLOOKUP(B2034,Colaboradores!A:D,3,),"")</f>
        <v>SAÚDE OCUPACIONAL</v>
      </c>
      <c r="E2034" s="22" t="str">
        <f>IFERROR(VLOOKUP(B2034,Colaboradores!A:D,4,),"")</f>
        <v>ASSESSOR(A) DE SERVIÇO SOCIAL</v>
      </c>
      <c r="F2034" s="47" t="s">
        <v>103</v>
      </c>
      <c r="G2034" s="24" t="str">
        <f>IFERROR(VLOOKUP(F2034,Procedimentos!A:C,2,),"")</f>
        <v>PROTOCOLO DE ATENDIMENTO À PESSOA COM COMPORTAMENTO SUÍCIDA</v>
      </c>
      <c r="K2034" s="25" t="str">
        <f t="shared" si="72"/>
        <v/>
      </c>
    </row>
    <row r="2035" spans="2:11" ht="15" customHeight="1">
      <c r="B2035" s="38">
        <v>9058</v>
      </c>
      <c r="C2035" s="22" t="str">
        <f>IFERROR(VLOOKUP(B2035,Colaboradores!A:D,2,),"")</f>
        <v>DENISE CRISTRINA CASTRO</v>
      </c>
      <c r="D2035" s="22" t="str">
        <f>IFERROR(VLOOKUP(B2035,Colaboradores!A:D,3,),"")</f>
        <v>SAÚDE OCUPACIONAL</v>
      </c>
      <c r="E2035" s="22" t="str">
        <f>IFERROR(VLOOKUP(B2035,Colaboradores!A:D,4,),"")</f>
        <v>ASSESSOR(A) DE SERVIÇO SOCIAL</v>
      </c>
      <c r="F2035" s="47" t="s">
        <v>104</v>
      </c>
      <c r="G2035" s="24" t="str">
        <f>IFERROR(VLOOKUP(F2035,Procedimentos!A:C,2,),"")</f>
        <v>PROTOCOLO DE BIOSSEGURANÇA</v>
      </c>
      <c r="K2035" s="25" t="str">
        <f t="shared" si="72"/>
        <v/>
      </c>
    </row>
    <row r="2036" spans="2:11" ht="15" customHeight="1">
      <c r="B2036" s="38">
        <v>9058</v>
      </c>
      <c r="C2036" s="22" t="str">
        <f>IFERROR(VLOOKUP(B2036,Colaboradores!A:D,2,),"")</f>
        <v>DENISE CRISTRINA CASTRO</v>
      </c>
      <c r="D2036" s="22" t="str">
        <f>IFERROR(VLOOKUP(B2036,Colaboradores!A:D,3,),"")</f>
        <v>SAÚDE OCUPACIONAL</v>
      </c>
      <c r="E2036" s="22" t="str">
        <f>IFERROR(VLOOKUP(B2036,Colaboradores!A:D,4,),"")</f>
        <v>ASSESSOR(A) DE SERVIÇO SOCIAL</v>
      </c>
      <c r="F2036" s="47" t="s">
        <v>105</v>
      </c>
      <c r="G2036" s="24" t="str">
        <f>IFERROR(VLOOKUP(F2036,Procedimentos!A:C,2,),"")</f>
        <v>PROTOCOLO IDENTIFICAÇÃO E MANEJO DA EVOLUÇÃO DESFAVORÁVEL DO PACIENTE NO ESPAÇO CUIDAR</v>
      </c>
      <c r="K2036" s="25" t="str">
        <f t="shared" si="72"/>
        <v/>
      </c>
    </row>
    <row r="2037" spans="2:11" ht="15" customHeight="1">
      <c r="B2037" s="38">
        <v>9058</v>
      </c>
      <c r="C2037" s="22" t="str">
        <f>IFERROR(VLOOKUP(B2037,Colaboradores!A:D,2,),"")</f>
        <v>DENISE CRISTRINA CASTRO</v>
      </c>
      <c r="D2037" s="22" t="str">
        <f>IFERROR(VLOOKUP(B2037,Colaboradores!A:D,3,),"")</f>
        <v>SAÚDE OCUPACIONAL</v>
      </c>
      <c r="E2037" s="22" t="str">
        <f>IFERROR(VLOOKUP(B2037,Colaboradores!A:D,4,),"")</f>
        <v>ASSESSOR(A) DE SERVIÇO SOCIAL</v>
      </c>
      <c r="F2037" s="47" t="s">
        <v>106</v>
      </c>
      <c r="G2037" s="24" t="str">
        <f>IFERROR(VLOOKUP(F2037,Procedimentos!A:C,2,),"")</f>
        <v>PROTOCOLO DE DETERIORAÇÃO CLÍNICA</v>
      </c>
      <c r="K2037" s="25" t="str">
        <f t="shared" si="72"/>
        <v/>
      </c>
    </row>
    <row r="2038" spans="2:11" ht="15" customHeight="1">
      <c r="B2038" s="38">
        <v>9058</v>
      </c>
      <c r="C2038" s="22" t="str">
        <f>IFERROR(VLOOKUP(B2038,Colaboradores!A:D,2,),"")</f>
        <v>DENISE CRISTRINA CASTRO</v>
      </c>
      <c r="D2038" s="22" t="str">
        <f>IFERROR(VLOOKUP(B2038,Colaboradores!A:D,3,),"")</f>
        <v>SAÚDE OCUPACIONAL</v>
      </c>
      <c r="E2038" s="22" t="str">
        <f>IFERROR(VLOOKUP(B2038,Colaboradores!A:D,4,),"")</f>
        <v>ASSESSOR(A) DE SERVIÇO SOCIAL</v>
      </c>
      <c r="F2038" s="47" t="s">
        <v>107</v>
      </c>
      <c r="G2038" s="24" t="str">
        <f>IFERROR(VLOOKUP(F2038,Procedimentos!A:C,2,),"")</f>
        <v>PROTOCOLO DE COMUNICAÇÃO DE NOTÍCIAS DIFÍCEIS</v>
      </c>
      <c r="K2038" s="25" t="str">
        <f t="shared" si="72"/>
        <v/>
      </c>
    </row>
    <row r="2039" spans="2:11" ht="15" customHeight="1">
      <c r="B2039" s="38">
        <v>9058</v>
      </c>
      <c r="C2039" s="22" t="str">
        <f>IFERROR(VLOOKUP(B2039,Colaboradores!A:D,2,),"")</f>
        <v>DENISE CRISTRINA CASTRO</v>
      </c>
      <c r="D2039" s="22" t="str">
        <f>IFERROR(VLOOKUP(B2039,Colaboradores!A:D,3,),"")</f>
        <v>SAÚDE OCUPACIONAL</v>
      </c>
      <c r="E2039" s="22" t="str">
        <f>IFERROR(VLOOKUP(B2039,Colaboradores!A:D,4,),"")</f>
        <v>ASSESSOR(A) DE SERVIÇO SOCIAL</v>
      </c>
      <c r="F2039" s="47" t="s">
        <v>108</v>
      </c>
      <c r="G2039" s="24" t="str">
        <f>IFERROR(VLOOKUP(F2039,Procedimentos!A:C,2,),"")</f>
        <v>PROTOCOLO PARA ATENDIMENTO DO (A) ASSISTENTE SOCIAL NO AMBULATÓRIO DO ESPAÇO CUIDAR</v>
      </c>
      <c r="H2039" s="22" t="s">
        <v>7</v>
      </c>
      <c r="K2039" s="25" t="str">
        <f t="shared" si="72"/>
        <v/>
      </c>
    </row>
    <row r="2040" spans="2:11" ht="15" customHeight="1">
      <c r="B2040" s="38">
        <v>9058</v>
      </c>
      <c r="C2040" s="22" t="str">
        <f>IFERROR(VLOOKUP(B2040,Colaboradores!A:D,2,),"")</f>
        <v>DENISE CRISTRINA CASTRO</v>
      </c>
      <c r="D2040" s="22" t="str">
        <f>IFERROR(VLOOKUP(B2040,Colaboradores!A:D,3,),"")</f>
        <v>SAÚDE OCUPACIONAL</v>
      </c>
      <c r="E2040" s="22" t="str">
        <f>IFERROR(VLOOKUP(B2040,Colaboradores!A:D,4,),"")</f>
        <v>ASSESSOR(A) DE SERVIÇO SOCIAL</v>
      </c>
      <c r="F2040" s="47" t="s">
        <v>109</v>
      </c>
      <c r="G2040" s="24" t="str">
        <f>IFERROR(VLOOKUP(F2040,Procedimentos!A:C,2,),"")</f>
        <v>ROTOCOLO DE ASSISTÊNCIA NUTRICIONAL AMBULATÓRIAL PARA ADULTOS E IDOSOS COM SOBREPESO E OBESIDADE</v>
      </c>
      <c r="K2040" s="25" t="str">
        <f t="shared" si="72"/>
        <v/>
      </c>
    </row>
    <row r="2041" spans="2:11" ht="15" customHeight="1">
      <c r="B2041" s="38">
        <v>9058</v>
      </c>
      <c r="C2041" s="22" t="str">
        <f>IFERROR(VLOOKUP(B2041,Colaboradores!A:D,2,),"")</f>
        <v>DENISE CRISTRINA CASTRO</v>
      </c>
      <c r="D2041" s="22" t="str">
        <f>IFERROR(VLOOKUP(B2041,Colaboradores!A:D,3,),"")</f>
        <v>SAÚDE OCUPACIONAL</v>
      </c>
      <c r="E2041" s="22" t="str">
        <f>IFERROR(VLOOKUP(B2041,Colaboradores!A:D,4,),"")</f>
        <v>ASSESSOR(A) DE SERVIÇO SOCIAL</v>
      </c>
      <c r="F2041" s="47" t="s">
        <v>110</v>
      </c>
      <c r="G2041" s="24" t="str">
        <f>IFERROR(VLOOKUP(F2041,Procedimentos!A:C,2,),"")</f>
        <v>PROTOCOLO DE AGENDAMENTO</v>
      </c>
      <c r="K2041" s="25" t="str">
        <f t="shared" si="72"/>
        <v/>
      </c>
    </row>
    <row r="2042" spans="2:11" ht="15" customHeight="1">
      <c r="B2042" s="38">
        <v>9058</v>
      </c>
      <c r="C2042" s="22" t="str">
        <f>IFERROR(VLOOKUP(B2042,Colaboradores!A:D,2,),"")</f>
        <v>DENISE CRISTRINA CASTRO</v>
      </c>
      <c r="D2042" s="22" t="str">
        <f>IFERROR(VLOOKUP(B2042,Colaboradores!A:D,3,),"")</f>
        <v>SAÚDE OCUPACIONAL</v>
      </c>
      <c r="E2042" s="22" t="str">
        <f>IFERROR(VLOOKUP(B2042,Colaboradores!A:D,4,),"")</f>
        <v>ASSESSOR(A) DE SERVIÇO SOCIAL</v>
      </c>
      <c r="F2042" s="47" t="s">
        <v>111</v>
      </c>
      <c r="G2042" s="24" t="str">
        <f>IFERROR(VLOOKUP(F2042,Procedimentos!A:C,2,),"")</f>
        <v>PROTOCOLO DE IDENTIFICAÇÃO DE SINAIS SUSGETIVOS DE VIOLÊNCIA - ESPAÇO CUIDAR/ EMSERH</v>
      </c>
      <c r="H2042" s="22" t="s">
        <v>7</v>
      </c>
      <c r="K2042" s="25" t="str">
        <f t="shared" si="72"/>
        <v/>
      </c>
    </row>
    <row r="2043" spans="2:11" ht="15" customHeight="1">
      <c r="B2043" s="38">
        <v>9058</v>
      </c>
      <c r="C2043" s="22" t="str">
        <f>IFERROR(VLOOKUP(B2043,Colaboradores!A:D,2,),"")</f>
        <v>DENISE CRISTRINA CASTRO</v>
      </c>
      <c r="D2043" s="22" t="str">
        <f>IFERROR(VLOOKUP(B2043,Colaboradores!A:D,3,),"")</f>
        <v>SAÚDE OCUPACIONAL</v>
      </c>
      <c r="E2043" s="22" t="str">
        <f>IFERROR(VLOOKUP(B2043,Colaboradores!A:D,4,),"")</f>
        <v>ASSESSOR(A) DE SERVIÇO SOCIAL</v>
      </c>
      <c r="F2043" s="47" t="s">
        <v>112</v>
      </c>
      <c r="G2043" s="24" t="str">
        <f>IFERROR(VLOOKUP(F2043,Procedimentos!A:C,2,),"")</f>
        <v>PROTOCOLO DE IDENTIFICAÇÃO SEGURA</v>
      </c>
      <c r="K2043" s="25" t="str">
        <f t="shared" si="72"/>
        <v/>
      </c>
    </row>
    <row r="2044" spans="2:11" ht="15" customHeight="1">
      <c r="B2044" s="38">
        <v>9058</v>
      </c>
      <c r="C2044" s="22" t="str">
        <f>IFERROR(VLOOKUP(B2044,Colaboradores!A:D,2,),"")</f>
        <v>DENISE CRISTRINA CASTRO</v>
      </c>
      <c r="D2044" s="22" t="str">
        <f>IFERROR(VLOOKUP(B2044,Colaboradores!A:D,3,),"")</f>
        <v>SAÚDE OCUPACIONAL</v>
      </c>
      <c r="E2044" s="22" t="str">
        <f>IFERROR(VLOOKUP(B2044,Colaboradores!A:D,4,),"")</f>
        <v>ASSESSOR(A) DE SERVIÇO SOCIAL</v>
      </c>
      <c r="F2044" s="47" t="s">
        <v>113</v>
      </c>
      <c r="G2044" s="24" t="str">
        <f>IFERROR(VLOOKUP(F2044,Procedimentos!A:C,2,),"")</f>
        <v>PROTOCOLO DE NORMAS E ROTINAS PARA COMUNICAÇÃO DO ESTADO DE SAÚDE DO PACIENTE</v>
      </c>
      <c r="K2044" s="25" t="str">
        <f t="shared" si="72"/>
        <v/>
      </c>
    </row>
    <row r="2045" spans="2:11" ht="15" customHeight="1">
      <c r="B2045" s="38">
        <v>9058</v>
      </c>
      <c r="C2045" s="22" t="str">
        <f>IFERROR(VLOOKUP(B2045,Colaboradores!A:D,2,),"")</f>
        <v>DENISE CRISTRINA CASTRO</v>
      </c>
      <c r="D2045" s="22" t="str">
        <f>IFERROR(VLOOKUP(B2045,Colaboradores!A:D,3,),"")</f>
        <v>SAÚDE OCUPACIONAL</v>
      </c>
      <c r="E2045" s="22" t="str">
        <f>IFERROR(VLOOKUP(B2045,Colaboradores!A:D,4,),"")</f>
        <v>ASSESSOR(A) DE SERVIÇO SOCIAL</v>
      </c>
      <c r="F2045" s="47" t="s">
        <v>114</v>
      </c>
      <c r="G2045" s="24" t="str">
        <f>IFERROR(VLOOKUP(F2045,Procedimentos!A:C,2,),"")</f>
        <v>PROTOCOLO DE COMUNICAÇÃO EFETIVA EM PRÁTICAS DE SAÚDE</v>
      </c>
      <c r="K2045" s="25" t="str">
        <f t="shared" si="72"/>
        <v/>
      </c>
    </row>
    <row r="2046" spans="2:11" ht="15" customHeight="1">
      <c r="B2046" s="38">
        <v>9058</v>
      </c>
      <c r="C2046" s="22" t="str">
        <f>IFERROR(VLOOKUP(B2046,Colaboradores!A:D,2,),"")</f>
        <v>DENISE CRISTRINA CASTRO</v>
      </c>
      <c r="D2046" s="22" t="str">
        <f>IFERROR(VLOOKUP(B2046,Colaboradores!A:D,3,),"")</f>
        <v>SAÚDE OCUPACIONAL</v>
      </c>
      <c r="E2046" s="22" t="str">
        <f>IFERROR(VLOOKUP(B2046,Colaboradores!A:D,4,),"")</f>
        <v>ASSESSOR(A) DE SERVIÇO SOCIAL</v>
      </c>
      <c r="F2046" s="47" t="s">
        <v>115</v>
      </c>
      <c r="G2046" s="24" t="str">
        <f>IFERROR(VLOOKUP(F2046,Procedimentos!A:C,2,),"")</f>
        <v>PROTOCOLO DE NORMAS E ROTINAS DE ADMISSÃO, TRIAGEM E ALTA</v>
      </c>
      <c r="K2046" s="25" t="str">
        <f t="shared" si="72"/>
        <v/>
      </c>
    </row>
    <row r="2047" spans="2:11" ht="15" customHeight="1">
      <c r="B2047" s="38">
        <v>9058</v>
      </c>
      <c r="C2047" s="22" t="str">
        <f>IFERROR(VLOOKUP(B2047,Colaboradores!A:D,2,),"")</f>
        <v>DENISE CRISTRINA CASTRO</v>
      </c>
      <c r="D2047" s="22" t="str">
        <f>IFERROR(VLOOKUP(B2047,Colaboradores!A:D,3,),"")</f>
        <v>SAÚDE OCUPACIONAL</v>
      </c>
      <c r="E2047" s="22" t="str">
        <f>IFERROR(VLOOKUP(B2047,Colaboradores!A:D,4,),"")</f>
        <v>ASSESSOR(A) DE SERVIÇO SOCIAL</v>
      </c>
      <c r="F2047" s="47" t="s">
        <v>116</v>
      </c>
      <c r="G2047" s="24" t="str">
        <f>IFERROR(VLOOKUP(F2047,Procedimentos!A:C,2,),"")</f>
        <v>PROTOCOLO DE SEGURANÇA NA PRESCRIÇÃO, USO E ADMINISTRAÇÃO DE MEDICAMENTOS ESPAÇO CUIDAR</v>
      </c>
      <c r="K2047" s="25" t="str">
        <f t="shared" si="72"/>
        <v/>
      </c>
    </row>
    <row r="2048" spans="2:11" ht="15" customHeight="1">
      <c r="B2048" s="38">
        <v>9058</v>
      </c>
      <c r="C2048" s="22" t="str">
        <f>IFERROR(VLOOKUP(B2048,Colaboradores!A:D,2,),"")</f>
        <v>DENISE CRISTRINA CASTRO</v>
      </c>
      <c r="D2048" s="22" t="str">
        <f>IFERROR(VLOOKUP(B2048,Colaboradores!A:D,3,),"")</f>
        <v>SAÚDE OCUPACIONAL</v>
      </c>
      <c r="E2048" s="22" t="str">
        <f>IFERROR(VLOOKUP(B2048,Colaboradores!A:D,4,),"")</f>
        <v>ASSESSOR(A) DE SERVIÇO SOCIAL</v>
      </c>
      <c r="F2048" s="47" t="s">
        <v>117</v>
      </c>
      <c r="G2048" s="24" t="str">
        <f>IFERROR(VLOOKUP(F2048,Procedimentos!A:C,2,),"")</f>
        <v>NORMA E ROTINA DA TRANSIÇÃO DE CUIDADOS</v>
      </c>
      <c r="K2048" s="25" t="str">
        <f t="shared" si="72"/>
        <v/>
      </c>
    </row>
    <row r="2049" spans="2:11" ht="15" customHeight="1">
      <c r="B2049" s="38">
        <v>9058</v>
      </c>
      <c r="C2049" s="22" t="str">
        <f>IFERROR(VLOOKUP(B2049,Colaboradores!A:D,2,),"")</f>
        <v>DENISE CRISTRINA CASTRO</v>
      </c>
      <c r="D2049" s="22" t="str">
        <f>IFERROR(VLOOKUP(B2049,Colaboradores!A:D,3,),"")</f>
        <v>SAÚDE OCUPACIONAL</v>
      </c>
      <c r="E2049" s="22" t="str">
        <f>IFERROR(VLOOKUP(B2049,Colaboradores!A:D,4,),"")</f>
        <v>ASSESSOR(A) DE SERVIÇO SOCIAL</v>
      </c>
      <c r="F2049" s="47" t="s">
        <v>94</v>
      </c>
      <c r="G2049" s="24" t="str">
        <f>IFERROR(VLOOKUP(F2049,Procedimentos!A:C,2,),"")</f>
        <v>PROTOCOLO DE CONSENTIMENTO INFORMADO</v>
      </c>
      <c r="K2049" s="25" t="str">
        <f t="shared" si="72"/>
        <v/>
      </c>
    </row>
    <row r="2050" spans="2:11" ht="15" customHeight="1">
      <c r="B2050" s="38">
        <v>8111</v>
      </c>
      <c r="C2050" s="22" t="str">
        <f>IFERROR(VLOOKUP(B2050,Colaboradores!A:D,2,),"")</f>
        <v>FABIANA SILVA COSTA</v>
      </c>
      <c r="D2050" s="22" t="str">
        <f>IFERROR(VLOOKUP(B2050,Colaboradores!A:D,3,),"")</f>
        <v>SAÚDE OCUPACIONAL</v>
      </c>
      <c r="E2050" s="22" t="str">
        <f>IFERROR(VLOOKUP(B2050,Colaboradores!A:D,4,),"")</f>
        <v>ASSESSOR(A) DE FISIOTERAPIA</v>
      </c>
      <c r="F2050" s="47" t="s">
        <v>95</v>
      </c>
      <c r="G2050" s="24" t="str">
        <f>IFERROR(VLOOKUP(F2050,Procedimentos!A:C,2,),"")</f>
        <v>PROTOCOLO DE NOTIFICAÇÃO COMPULSORIA - ESPAÇO CUIDAR/EMSERH</v>
      </c>
      <c r="K2050" s="25" t="str">
        <f t="shared" si="72"/>
        <v/>
      </c>
    </row>
    <row r="2051" spans="2:11" ht="15" customHeight="1">
      <c r="B2051" s="38">
        <v>8111</v>
      </c>
      <c r="C2051" s="22" t="str">
        <f>IFERROR(VLOOKUP(B2051,Colaboradores!A:D,2,),"")</f>
        <v>FABIANA SILVA COSTA</v>
      </c>
      <c r="D2051" s="22" t="str">
        <f>IFERROR(VLOOKUP(B2051,Colaboradores!A:D,3,),"")</f>
        <v>SAÚDE OCUPACIONAL</v>
      </c>
      <c r="E2051" s="22" t="str">
        <f>IFERROR(VLOOKUP(B2051,Colaboradores!A:D,4,),"")</f>
        <v>ASSESSOR(A) DE FISIOTERAPIA</v>
      </c>
      <c r="F2051" s="47" t="s">
        <v>96</v>
      </c>
      <c r="G2051" s="24" t="str">
        <f>IFERROR(VLOOKUP(F2051,Procedimentos!A:C,2,),"")</f>
        <v>PROTOCOLO PARA HIGIENIZAÇÃO DAS MÃOS</v>
      </c>
      <c r="H2051" s="25"/>
      <c r="K2051" s="25" t="str">
        <f t="shared" ref="K2051:K2114" si="73">IF(AND(I2051&lt;&gt;"",J2051&lt;&gt;""),DATE(YEAR(I2051),MONTH(I2051)+J2051,DAY(I2051)),"")</f>
        <v/>
      </c>
    </row>
    <row r="2052" spans="2:11" ht="15" customHeight="1">
      <c r="B2052" s="38">
        <v>8111</v>
      </c>
      <c r="C2052" s="22" t="str">
        <f>IFERROR(VLOOKUP(B2052,Colaboradores!A:D,2,),"")</f>
        <v>FABIANA SILVA COSTA</v>
      </c>
      <c r="D2052" s="22" t="str">
        <f>IFERROR(VLOOKUP(B2052,Colaboradores!A:D,3,),"")</f>
        <v>SAÚDE OCUPACIONAL</v>
      </c>
      <c r="E2052" s="22" t="str">
        <f>IFERROR(VLOOKUP(B2052,Colaboradores!A:D,4,),"")</f>
        <v>ASSESSOR(A) DE FISIOTERAPIA</v>
      </c>
      <c r="F2052" s="47" t="s">
        <v>97</v>
      </c>
      <c r="G2052" s="24" t="str">
        <f>IFERROR(VLOOKUP(F2052,Procedimentos!A:C,2,),"")</f>
        <v>PROTOCOLO DE PREVENÇÃO DE QUEDAS</v>
      </c>
      <c r="K2052" s="25" t="str">
        <f t="shared" si="73"/>
        <v/>
      </c>
    </row>
    <row r="2053" spans="2:11" ht="15" customHeight="1">
      <c r="B2053" s="38">
        <v>8111</v>
      </c>
      <c r="C2053" s="22" t="str">
        <f>IFERROR(VLOOKUP(B2053,Colaboradores!A:D,2,),"")</f>
        <v>FABIANA SILVA COSTA</v>
      </c>
      <c r="D2053" s="22" t="str">
        <f>IFERROR(VLOOKUP(B2053,Colaboradores!A:D,3,),"")</f>
        <v>SAÚDE OCUPACIONAL</v>
      </c>
      <c r="E2053" s="22" t="str">
        <f>IFERROR(VLOOKUP(B2053,Colaboradores!A:D,4,),"")</f>
        <v>ASSESSOR(A) DE FISIOTERAPIA</v>
      </c>
      <c r="F2053" s="47" t="s">
        <v>98</v>
      </c>
      <c r="G2053" s="24" t="str">
        <f>IFERROR(VLOOKUP(F2053,Procedimentos!A:C,2,),"")</f>
        <v>PROTOCOLO INSTITUCIONAL DE CONDUTA ETICA NO ATENDIMENTO MULTIPROFISSIONAL NO ESPAÇO CUIDAR</v>
      </c>
      <c r="K2053" s="25" t="str">
        <f t="shared" si="73"/>
        <v/>
      </c>
    </row>
    <row r="2054" spans="2:11" ht="15" customHeight="1">
      <c r="B2054" s="38">
        <v>8111</v>
      </c>
      <c r="C2054" s="22" t="str">
        <f>IFERROR(VLOOKUP(B2054,Colaboradores!A:D,2,),"")</f>
        <v>FABIANA SILVA COSTA</v>
      </c>
      <c r="D2054" s="22" t="str">
        <f>IFERROR(VLOOKUP(B2054,Colaboradores!A:D,3,),"")</f>
        <v>SAÚDE OCUPACIONAL</v>
      </c>
      <c r="E2054" s="22" t="str">
        <f>IFERROR(VLOOKUP(B2054,Colaboradores!A:D,4,),"")</f>
        <v>ASSESSOR(A) DE FISIOTERAPIA</v>
      </c>
      <c r="F2054" s="47" t="s">
        <v>99</v>
      </c>
      <c r="G2054" s="24" t="str">
        <f>IFERROR(VLOOKUP(F2054,Procedimentos!A:C,2,),"")</f>
        <v>PROTOCOLO PARA LIMPEZA DE ÁREAS E SUPERFÍCIES NO ESPAÇO CUIDAR</v>
      </c>
      <c r="K2054" s="25" t="str">
        <f t="shared" si="73"/>
        <v/>
      </c>
    </row>
    <row r="2055" spans="2:11" ht="15" customHeight="1">
      <c r="B2055" s="38">
        <v>8111</v>
      </c>
      <c r="C2055" s="22" t="str">
        <f>IFERROR(VLOOKUP(B2055,Colaboradores!A:D,2,),"")</f>
        <v>FABIANA SILVA COSTA</v>
      </c>
      <c r="D2055" s="22" t="str">
        <f>IFERROR(VLOOKUP(B2055,Colaboradores!A:D,3,),"")</f>
        <v>SAÚDE OCUPACIONAL</v>
      </c>
      <c r="E2055" s="22" t="str">
        <f>IFERROR(VLOOKUP(B2055,Colaboradores!A:D,4,),"")</f>
        <v>ASSESSOR(A) DE FISIOTERAPIA</v>
      </c>
      <c r="F2055" s="47" t="s">
        <v>100</v>
      </c>
      <c r="G2055" s="24" t="str">
        <f>IFERROR(VLOOKUP(F2055,Procedimentos!A:C,2,),"")</f>
        <v>PROTOCOLO DE ATENDIMENTO PSIQUIATRICO NO ESPAÇO CUIDAR DA EMSERH</v>
      </c>
      <c r="K2055" s="25" t="str">
        <f t="shared" si="73"/>
        <v/>
      </c>
    </row>
    <row r="2056" spans="2:11" ht="15" customHeight="1">
      <c r="B2056" s="38">
        <v>8111</v>
      </c>
      <c r="C2056" s="22" t="str">
        <f>IFERROR(VLOOKUP(B2056,Colaboradores!A:D,2,),"")</f>
        <v>FABIANA SILVA COSTA</v>
      </c>
      <c r="D2056" s="22" t="str">
        <f>IFERROR(VLOOKUP(B2056,Colaboradores!A:D,3,),"")</f>
        <v>SAÚDE OCUPACIONAL</v>
      </c>
      <c r="E2056" s="22" t="str">
        <f>IFERROR(VLOOKUP(B2056,Colaboradores!A:D,4,),"")</f>
        <v>ASSESSOR(A) DE FISIOTERAPIA</v>
      </c>
      <c r="F2056" s="47" t="s">
        <v>101</v>
      </c>
      <c r="G2056" s="24" t="str">
        <f>IFERROR(VLOOKUP(F2056,Procedimentos!A:C,2,),"")</f>
        <v>PROTOCOLO DE MANEJO DE SURTO</v>
      </c>
      <c r="K2056" s="25" t="str">
        <f t="shared" si="73"/>
        <v/>
      </c>
    </row>
    <row r="2057" spans="2:11" ht="15" customHeight="1">
      <c r="B2057" s="38">
        <v>8111</v>
      </c>
      <c r="C2057" s="22" t="str">
        <f>IFERROR(VLOOKUP(B2057,Colaboradores!A:D,2,),"")</f>
        <v>FABIANA SILVA COSTA</v>
      </c>
      <c r="D2057" s="22" t="str">
        <f>IFERROR(VLOOKUP(B2057,Colaboradores!A:D,3,),"")</f>
        <v>SAÚDE OCUPACIONAL</v>
      </c>
      <c r="E2057" s="22" t="str">
        <f>IFERROR(VLOOKUP(B2057,Colaboradores!A:D,4,),"")</f>
        <v>ASSESSOR(A) DE FISIOTERAPIA</v>
      </c>
      <c r="F2057" s="47" t="s">
        <v>102</v>
      </c>
      <c r="G2057" s="24" t="str">
        <f>IFERROR(VLOOKUP(F2057,Procedimentos!A:C,2,),"")</f>
        <v>PROTOCOLO DE TRANSPORTE SEGURO NO ESPAÇO CUIDAR</v>
      </c>
      <c r="K2057" s="25" t="str">
        <f t="shared" si="73"/>
        <v/>
      </c>
    </row>
    <row r="2058" spans="2:11" ht="15" customHeight="1">
      <c r="B2058" s="38">
        <v>8111</v>
      </c>
      <c r="C2058" s="22" t="str">
        <f>IFERROR(VLOOKUP(B2058,Colaboradores!A:D,2,),"")</f>
        <v>FABIANA SILVA COSTA</v>
      </c>
      <c r="D2058" s="22" t="str">
        <f>IFERROR(VLOOKUP(B2058,Colaboradores!A:D,3,),"")</f>
        <v>SAÚDE OCUPACIONAL</v>
      </c>
      <c r="E2058" s="22" t="str">
        <f>IFERROR(VLOOKUP(B2058,Colaboradores!A:D,4,),"")</f>
        <v>ASSESSOR(A) DE FISIOTERAPIA</v>
      </c>
      <c r="F2058" s="47" t="s">
        <v>103</v>
      </c>
      <c r="G2058" s="24" t="str">
        <f>IFERROR(VLOOKUP(F2058,Procedimentos!A:C,2,),"")</f>
        <v>PROTOCOLO DE ATENDIMENTO À PESSOA COM COMPORTAMENTO SUÍCIDA</v>
      </c>
      <c r="K2058" s="25" t="str">
        <f t="shared" si="73"/>
        <v/>
      </c>
    </row>
    <row r="2059" spans="2:11" ht="15" customHeight="1">
      <c r="B2059" s="38">
        <v>8111</v>
      </c>
      <c r="C2059" s="22" t="str">
        <f>IFERROR(VLOOKUP(B2059,Colaboradores!A:D,2,),"")</f>
        <v>FABIANA SILVA COSTA</v>
      </c>
      <c r="D2059" s="22" t="str">
        <f>IFERROR(VLOOKUP(B2059,Colaboradores!A:D,3,),"")</f>
        <v>SAÚDE OCUPACIONAL</v>
      </c>
      <c r="E2059" s="22" t="str">
        <f>IFERROR(VLOOKUP(B2059,Colaboradores!A:D,4,),"")</f>
        <v>ASSESSOR(A) DE FISIOTERAPIA</v>
      </c>
      <c r="F2059" s="47" t="s">
        <v>104</v>
      </c>
      <c r="G2059" s="24" t="str">
        <f>IFERROR(VLOOKUP(F2059,Procedimentos!A:C,2,),"")</f>
        <v>PROTOCOLO DE BIOSSEGURANÇA</v>
      </c>
      <c r="K2059" s="25" t="str">
        <f t="shared" si="73"/>
        <v/>
      </c>
    </row>
    <row r="2060" spans="2:11" ht="15" customHeight="1">
      <c r="B2060" s="38">
        <v>8111</v>
      </c>
      <c r="C2060" s="22" t="str">
        <f>IFERROR(VLOOKUP(B2060,Colaboradores!A:D,2,),"")</f>
        <v>FABIANA SILVA COSTA</v>
      </c>
      <c r="D2060" s="22" t="str">
        <f>IFERROR(VLOOKUP(B2060,Colaboradores!A:D,3,),"")</f>
        <v>SAÚDE OCUPACIONAL</v>
      </c>
      <c r="E2060" s="22" t="str">
        <f>IFERROR(VLOOKUP(B2060,Colaboradores!A:D,4,),"")</f>
        <v>ASSESSOR(A) DE FISIOTERAPIA</v>
      </c>
      <c r="F2060" s="47" t="s">
        <v>105</v>
      </c>
      <c r="G2060" s="24" t="str">
        <f>IFERROR(VLOOKUP(F2060,Procedimentos!A:C,2,),"")</f>
        <v>PROTOCOLO IDENTIFICAÇÃO E MANEJO DA EVOLUÇÃO DESFAVORÁVEL DO PACIENTE NO ESPAÇO CUIDAR</v>
      </c>
      <c r="K2060" s="25" t="str">
        <f t="shared" si="73"/>
        <v/>
      </c>
    </row>
    <row r="2061" spans="2:11" ht="15" customHeight="1">
      <c r="B2061" s="38">
        <v>8111</v>
      </c>
      <c r="C2061" s="22" t="str">
        <f>IFERROR(VLOOKUP(B2061,Colaboradores!A:D,2,),"")</f>
        <v>FABIANA SILVA COSTA</v>
      </c>
      <c r="D2061" s="22" t="str">
        <f>IFERROR(VLOOKUP(B2061,Colaboradores!A:D,3,),"")</f>
        <v>SAÚDE OCUPACIONAL</v>
      </c>
      <c r="E2061" s="22" t="str">
        <f>IFERROR(VLOOKUP(B2061,Colaboradores!A:D,4,),"")</f>
        <v>ASSESSOR(A) DE FISIOTERAPIA</v>
      </c>
      <c r="F2061" s="47" t="s">
        <v>106</v>
      </c>
      <c r="G2061" s="24" t="str">
        <f>IFERROR(VLOOKUP(F2061,Procedimentos!A:C,2,),"")</f>
        <v>PROTOCOLO DE DETERIORAÇÃO CLÍNICA</v>
      </c>
      <c r="K2061" s="25" t="str">
        <f t="shared" si="73"/>
        <v/>
      </c>
    </row>
    <row r="2062" spans="2:11" ht="15" customHeight="1">
      <c r="B2062" s="38">
        <v>8111</v>
      </c>
      <c r="C2062" s="22" t="str">
        <f>IFERROR(VLOOKUP(B2062,Colaboradores!A:D,2,),"")</f>
        <v>FABIANA SILVA COSTA</v>
      </c>
      <c r="D2062" s="22" t="str">
        <f>IFERROR(VLOOKUP(B2062,Colaboradores!A:D,3,),"")</f>
        <v>SAÚDE OCUPACIONAL</v>
      </c>
      <c r="E2062" s="22" t="str">
        <f>IFERROR(VLOOKUP(B2062,Colaboradores!A:D,4,),"")</f>
        <v>ASSESSOR(A) DE FISIOTERAPIA</v>
      </c>
      <c r="F2062" s="47" t="s">
        <v>107</v>
      </c>
      <c r="G2062" s="24" t="str">
        <f>IFERROR(VLOOKUP(F2062,Procedimentos!A:C,2,),"")</f>
        <v>PROTOCOLO DE COMUNICAÇÃO DE NOTÍCIAS DIFÍCEIS</v>
      </c>
      <c r="K2062" s="25" t="str">
        <f t="shared" si="73"/>
        <v/>
      </c>
    </row>
    <row r="2063" spans="2:11" ht="15" customHeight="1">
      <c r="B2063" s="38">
        <v>8111</v>
      </c>
      <c r="C2063" s="22" t="str">
        <f>IFERROR(VLOOKUP(B2063,Colaboradores!A:D,2,),"")</f>
        <v>FABIANA SILVA COSTA</v>
      </c>
      <c r="D2063" s="22" t="str">
        <f>IFERROR(VLOOKUP(B2063,Colaboradores!A:D,3,),"")</f>
        <v>SAÚDE OCUPACIONAL</v>
      </c>
      <c r="E2063" s="22" t="str">
        <f>IFERROR(VLOOKUP(B2063,Colaboradores!A:D,4,),"")</f>
        <v>ASSESSOR(A) DE FISIOTERAPIA</v>
      </c>
      <c r="F2063" s="47" t="s">
        <v>108</v>
      </c>
      <c r="G2063" s="24" t="str">
        <f>IFERROR(VLOOKUP(F2063,Procedimentos!A:C,2,),"")</f>
        <v>PROTOCOLO PARA ATENDIMENTO DO (A) ASSISTENTE SOCIAL NO AMBULATÓRIO DO ESPAÇO CUIDAR</v>
      </c>
      <c r="K2063" s="25" t="str">
        <f t="shared" si="73"/>
        <v/>
      </c>
    </row>
    <row r="2064" spans="2:11" ht="15" customHeight="1">
      <c r="B2064" s="38">
        <v>8111</v>
      </c>
      <c r="C2064" s="22" t="str">
        <f>IFERROR(VLOOKUP(B2064,Colaboradores!A:D,2,),"")</f>
        <v>FABIANA SILVA COSTA</v>
      </c>
      <c r="D2064" s="22" t="str">
        <f>IFERROR(VLOOKUP(B2064,Colaboradores!A:D,3,),"")</f>
        <v>SAÚDE OCUPACIONAL</v>
      </c>
      <c r="E2064" s="22" t="str">
        <f>IFERROR(VLOOKUP(B2064,Colaboradores!A:D,4,),"")</f>
        <v>ASSESSOR(A) DE FISIOTERAPIA</v>
      </c>
      <c r="F2064" s="47" t="s">
        <v>109</v>
      </c>
      <c r="G2064" s="24" t="str">
        <f>IFERROR(VLOOKUP(F2064,Procedimentos!A:C,2,),"")</f>
        <v>ROTOCOLO DE ASSISTÊNCIA NUTRICIONAL AMBULATÓRIAL PARA ADULTOS E IDOSOS COM SOBREPESO E OBESIDADE</v>
      </c>
      <c r="K2064" s="25" t="str">
        <f t="shared" si="73"/>
        <v/>
      </c>
    </row>
    <row r="2065" spans="2:11" ht="15" customHeight="1">
      <c r="B2065" s="38">
        <v>8111</v>
      </c>
      <c r="C2065" s="22" t="str">
        <f>IFERROR(VLOOKUP(B2065,Colaboradores!A:D,2,),"")</f>
        <v>FABIANA SILVA COSTA</v>
      </c>
      <c r="D2065" s="22" t="str">
        <f>IFERROR(VLOOKUP(B2065,Colaboradores!A:D,3,),"")</f>
        <v>SAÚDE OCUPACIONAL</v>
      </c>
      <c r="E2065" s="22" t="str">
        <f>IFERROR(VLOOKUP(B2065,Colaboradores!A:D,4,),"")</f>
        <v>ASSESSOR(A) DE FISIOTERAPIA</v>
      </c>
      <c r="F2065" s="47" t="s">
        <v>110</v>
      </c>
      <c r="G2065" s="24" t="str">
        <f>IFERROR(VLOOKUP(F2065,Procedimentos!A:C,2,),"")</f>
        <v>PROTOCOLO DE AGENDAMENTO</v>
      </c>
      <c r="K2065" s="25" t="str">
        <f t="shared" si="73"/>
        <v/>
      </c>
    </row>
    <row r="2066" spans="2:11" ht="15" customHeight="1">
      <c r="B2066" s="38">
        <v>8111</v>
      </c>
      <c r="C2066" s="22" t="str">
        <f>IFERROR(VLOOKUP(B2066,Colaboradores!A:D,2,),"")</f>
        <v>FABIANA SILVA COSTA</v>
      </c>
      <c r="D2066" s="22" t="str">
        <f>IFERROR(VLOOKUP(B2066,Colaboradores!A:D,3,),"")</f>
        <v>SAÚDE OCUPACIONAL</v>
      </c>
      <c r="E2066" s="22" t="str">
        <f>IFERROR(VLOOKUP(B2066,Colaboradores!A:D,4,),"")</f>
        <v>ASSESSOR(A) DE FISIOTERAPIA</v>
      </c>
      <c r="F2066" s="47" t="s">
        <v>111</v>
      </c>
      <c r="G2066" s="24" t="str">
        <f>IFERROR(VLOOKUP(F2066,Procedimentos!A:C,2,),"")</f>
        <v>PROTOCOLO DE IDENTIFICAÇÃO DE SINAIS SUSGETIVOS DE VIOLÊNCIA - ESPAÇO CUIDAR/ EMSERH</v>
      </c>
      <c r="K2066" s="25" t="str">
        <f t="shared" si="73"/>
        <v/>
      </c>
    </row>
    <row r="2067" spans="2:11" ht="15" customHeight="1">
      <c r="B2067" s="38">
        <v>8111</v>
      </c>
      <c r="C2067" s="22" t="str">
        <f>IFERROR(VLOOKUP(B2067,Colaboradores!A:D,2,),"")</f>
        <v>FABIANA SILVA COSTA</v>
      </c>
      <c r="D2067" s="22" t="str">
        <f>IFERROR(VLOOKUP(B2067,Colaboradores!A:D,3,),"")</f>
        <v>SAÚDE OCUPACIONAL</v>
      </c>
      <c r="E2067" s="22" t="str">
        <f>IFERROR(VLOOKUP(B2067,Colaboradores!A:D,4,),"")</f>
        <v>ASSESSOR(A) DE FISIOTERAPIA</v>
      </c>
      <c r="F2067" s="47" t="s">
        <v>112</v>
      </c>
      <c r="G2067" s="24" t="str">
        <f>IFERROR(VLOOKUP(F2067,Procedimentos!A:C,2,),"")</f>
        <v>PROTOCOLO DE IDENTIFICAÇÃO SEGURA</v>
      </c>
      <c r="K2067" s="25" t="str">
        <f t="shared" si="73"/>
        <v/>
      </c>
    </row>
    <row r="2068" spans="2:11" ht="15" customHeight="1">
      <c r="B2068" s="38">
        <v>8111</v>
      </c>
      <c r="C2068" s="22" t="str">
        <f>IFERROR(VLOOKUP(B2068,Colaboradores!A:D,2,),"")</f>
        <v>FABIANA SILVA COSTA</v>
      </c>
      <c r="D2068" s="22" t="str">
        <f>IFERROR(VLOOKUP(B2068,Colaboradores!A:D,3,),"")</f>
        <v>SAÚDE OCUPACIONAL</v>
      </c>
      <c r="E2068" s="22" t="str">
        <f>IFERROR(VLOOKUP(B2068,Colaboradores!A:D,4,),"")</f>
        <v>ASSESSOR(A) DE FISIOTERAPIA</v>
      </c>
      <c r="F2068" s="47" t="s">
        <v>113</v>
      </c>
      <c r="G2068" s="24" t="str">
        <f>IFERROR(VLOOKUP(F2068,Procedimentos!A:C,2,),"")</f>
        <v>PROTOCOLO DE NORMAS E ROTINAS PARA COMUNICAÇÃO DO ESTADO DE SAÚDE DO PACIENTE</v>
      </c>
      <c r="K2068" s="25" t="str">
        <f t="shared" si="73"/>
        <v/>
      </c>
    </row>
    <row r="2069" spans="2:11" ht="15" customHeight="1">
      <c r="B2069" s="38">
        <v>8111</v>
      </c>
      <c r="C2069" s="22" t="str">
        <f>IFERROR(VLOOKUP(B2069,Colaboradores!A:D,2,),"")</f>
        <v>FABIANA SILVA COSTA</v>
      </c>
      <c r="D2069" s="22" t="str">
        <f>IFERROR(VLOOKUP(B2069,Colaboradores!A:D,3,),"")</f>
        <v>SAÚDE OCUPACIONAL</v>
      </c>
      <c r="E2069" s="22" t="str">
        <f>IFERROR(VLOOKUP(B2069,Colaboradores!A:D,4,),"")</f>
        <v>ASSESSOR(A) DE FISIOTERAPIA</v>
      </c>
      <c r="F2069" s="47" t="s">
        <v>114</v>
      </c>
      <c r="G2069" s="24" t="str">
        <f>IFERROR(VLOOKUP(F2069,Procedimentos!A:C,2,),"")</f>
        <v>PROTOCOLO DE COMUNICAÇÃO EFETIVA EM PRÁTICAS DE SAÚDE</v>
      </c>
      <c r="K2069" s="25" t="str">
        <f t="shared" si="73"/>
        <v/>
      </c>
    </row>
    <row r="2070" spans="2:11" ht="15" customHeight="1">
      <c r="B2070" s="38">
        <v>8111</v>
      </c>
      <c r="C2070" s="22" t="str">
        <f>IFERROR(VLOOKUP(B2070,Colaboradores!A:D,2,),"")</f>
        <v>FABIANA SILVA COSTA</v>
      </c>
      <c r="D2070" s="22" t="str">
        <f>IFERROR(VLOOKUP(B2070,Colaboradores!A:D,3,),"")</f>
        <v>SAÚDE OCUPACIONAL</v>
      </c>
      <c r="E2070" s="22" t="str">
        <f>IFERROR(VLOOKUP(B2070,Colaboradores!A:D,4,),"")</f>
        <v>ASSESSOR(A) DE FISIOTERAPIA</v>
      </c>
      <c r="F2070" s="47" t="s">
        <v>115</v>
      </c>
      <c r="G2070" s="24" t="str">
        <f>IFERROR(VLOOKUP(F2070,Procedimentos!A:C,2,),"")</f>
        <v>PROTOCOLO DE NORMAS E ROTINAS DE ADMISSÃO, TRIAGEM E ALTA</v>
      </c>
      <c r="K2070" s="25" t="str">
        <f t="shared" si="73"/>
        <v/>
      </c>
    </row>
    <row r="2071" spans="2:11" ht="15" customHeight="1">
      <c r="B2071" s="38">
        <v>8111</v>
      </c>
      <c r="C2071" s="22" t="str">
        <f>IFERROR(VLOOKUP(B2071,Colaboradores!A:D,2,),"")</f>
        <v>FABIANA SILVA COSTA</v>
      </c>
      <c r="D2071" s="22" t="str">
        <f>IFERROR(VLOOKUP(B2071,Colaboradores!A:D,3,),"")</f>
        <v>SAÚDE OCUPACIONAL</v>
      </c>
      <c r="E2071" s="22" t="str">
        <f>IFERROR(VLOOKUP(B2071,Colaboradores!A:D,4,),"")</f>
        <v>ASSESSOR(A) DE FISIOTERAPIA</v>
      </c>
      <c r="F2071" s="47" t="s">
        <v>116</v>
      </c>
      <c r="G2071" s="24" t="str">
        <f>IFERROR(VLOOKUP(F2071,Procedimentos!A:C,2,),"")</f>
        <v>PROTOCOLO DE SEGURANÇA NA PRESCRIÇÃO, USO E ADMINISTRAÇÃO DE MEDICAMENTOS ESPAÇO CUIDAR</v>
      </c>
      <c r="K2071" s="25" t="str">
        <f t="shared" si="73"/>
        <v/>
      </c>
    </row>
    <row r="2072" spans="2:11" ht="15" customHeight="1">
      <c r="B2072" s="38">
        <v>8111</v>
      </c>
      <c r="C2072" s="22" t="str">
        <f>IFERROR(VLOOKUP(B2072,Colaboradores!A:D,2,),"")</f>
        <v>FABIANA SILVA COSTA</v>
      </c>
      <c r="D2072" s="22" t="str">
        <f>IFERROR(VLOOKUP(B2072,Colaboradores!A:D,3,),"")</f>
        <v>SAÚDE OCUPACIONAL</v>
      </c>
      <c r="E2072" s="22" t="str">
        <f>IFERROR(VLOOKUP(B2072,Colaboradores!A:D,4,),"")</f>
        <v>ASSESSOR(A) DE FISIOTERAPIA</v>
      </c>
      <c r="F2072" s="47" t="s">
        <v>117</v>
      </c>
      <c r="G2072" s="24" t="str">
        <f>IFERROR(VLOOKUP(F2072,Procedimentos!A:C,2,),"")</f>
        <v>NORMA E ROTINA DA TRANSIÇÃO DE CUIDADOS</v>
      </c>
      <c r="K2072" s="25" t="str">
        <f t="shared" si="73"/>
        <v/>
      </c>
    </row>
    <row r="2073" spans="2:11" ht="15" customHeight="1">
      <c r="B2073" s="38">
        <v>8111</v>
      </c>
      <c r="C2073" s="22" t="str">
        <f>IFERROR(VLOOKUP(B2073,Colaboradores!A:D,2,),"")</f>
        <v>FABIANA SILVA COSTA</v>
      </c>
      <c r="D2073" s="22" t="str">
        <f>IFERROR(VLOOKUP(B2073,Colaboradores!A:D,3,),"")</f>
        <v>SAÚDE OCUPACIONAL</v>
      </c>
      <c r="E2073" s="22" t="str">
        <f>IFERROR(VLOOKUP(B2073,Colaboradores!A:D,4,),"")</f>
        <v>ASSESSOR(A) DE FISIOTERAPIA</v>
      </c>
      <c r="F2073" s="47" t="s">
        <v>118</v>
      </c>
      <c r="G2073" s="24" t="str">
        <f>IFERROR(VLOOKUP(F2073,Procedimentos!A:C,2,),"")</f>
        <v>PROTOCOLO DE ASSISTÊNCIA FISIOTERAPÊUTICA DO ESPAÇO CUIDAR</v>
      </c>
      <c r="K2073" s="25" t="str">
        <f t="shared" si="73"/>
        <v/>
      </c>
    </row>
    <row r="2074" spans="2:11" ht="15" customHeight="1">
      <c r="B2074" s="38">
        <v>7590</v>
      </c>
      <c r="C2074" s="22" t="str">
        <f>IFERROR(VLOOKUP(B2074,Colaboradores!A:D,2,),"")</f>
        <v>FABIOLA SOUSA MOURA BORGES</v>
      </c>
      <c r="D2074" s="22" t="str">
        <f>IFERROR(VLOOKUP(B2074,Colaboradores!A:D,3,),"")</f>
        <v>SAÚDE OCUPACIONAL</v>
      </c>
      <c r="E2074" s="22" t="str">
        <f>IFERROR(VLOOKUP(B2074,Colaboradores!A:D,4,),"")</f>
        <v>GERENTE DE SAÚDE OCUPACIONAL</v>
      </c>
      <c r="F2074" s="47" t="s">
        <v>94</v>
      </c>
      <c r="G2074" s="24" t="str">
        <f>IFERROR(VLOOKUP(F2074,Procedimentos!A:C,2,),"")</f>
        <v>PROTOCOLO DE CONSENTIMENTO INFORMADO</v>
      </c>
      <c r="H2074" s="22" t="s">
        <v>7</v>
      </c>
      <c r="K2074" s="25" t="str">
        <f t="shared" si="73"/>
        <v/>
      </c>
    </row>
    <row r="2075" spans="2:11" ht="15" customHeight="1">
      <c r="B2075" s="38">
        <v>7590</v>
      </c>
      <c r="C2075" s="22" t="str">
        <f>IFERROR(VLOOKUP(B2075,Colaboradores!A:D,2,),"")</f>
        <v>FABIOLA SOUSA MOURA BORGES</v>
      </c>
      <c r="D2075" s="22" t="str">
        <f>IFERROR(VLOOKUP(B2075,Colaboradores!A:D,3,),"")</f>
        <v>SAÚDE OCUPACIONAL</v>
      </c>
      <c r="E2075" s="22" t="str">
        <f>IFERROR(VLOOKUP(B2075,Colaboradores!A:D,4,),"")</f>
        <v>GERENTE DE SAÚDE OCUPACIONAL</v>
      </c>
      <c r="F2075" s="47" t="s">
        <v>95</v>
      </c>
      <c r="G2075" s="24" t="str">
        <f>IFERROR(VLOOKUP(F2075,Procedimentos!A:C,2,),"")</f>
        <v>PROTOCOLO DE NOTIFICAÇÃO COMPULSORIA - ESPAÇO CUIDAR/EMSERH</v>
      </c>
      <c r="H2075" s="22" t="s">
        <v>7</v>
      </c>
      <c r="K2075" s="25" t="str">
        <f t="shared" si="73"/>
        <v/>
      </c>
    </row>
    <row r="2076" spans="2:11" ht="15" customHeight="1">
      <c r="B2076" s="38">
        <v>7590</v>
      </c>
      <c r="C2076" s="22" t="str">
        <f>IFERROR(VLOOKUP(B2076,Colaboradores!A:D,2,),"")</f>
        <v>FABIOLA SOUSA MOURA BORGES</v>
      </c>
      <c r="D2076" s="22" t="str">
        <f>IFERROR(VLOOKUP(B2076,Colaboradores!A:D,3,),"")</f>
        <v>SAÚDE OCUPACIONAL</v>
      </c>
      <c r="E2076" s="22" t="str">
        <f>IFERROR(VLOOKUP(B2076,Colaboradores!A:D,4,),"")</f>
        <v>GERENTE DE SAÚDE OCUPACIONAL</v>
      </c>
      <c r="F2076" s="47" t="s">
        <v>96</v>
      </c>
      <c r="G2076" s="24" t="str">
        <f>IFERROR(VLOOKUP(F2076,Procedimentos!A:C,2,),"")</f>
        <v>PROTOCOLO PARA HIGIENIZAÇÃO DAS MÃOS</v>
      </c>
      <c r="H2076" s="22" t="s">
        <v>7</v>
      </c>
      <c r="K2076" s="25" t="str">
        <f t="shared" si="73"/>
        <v/>
      </c>
    </row>
    <row r="2077" spans="2:11" ht="15" customHeight="1">
      <c r="B2077" s="38">
        <v>7590</v>
      </c>
      <c r="C2077" s="22" t="str">
        <f>IFERROR(VLOOKUP(B2077,Colaboradores!A:D,2,),"")</f>
        <v>FABIOLA SOUSA MOURA BORGES</v>
      </c>
      <c r="D2077" s="22" t="str">
        <f>IFERROR(VLOOKUP(B2077,Colaboradores!A:D,3,),"")</f>
        <v>SAÚDE OCUPACIONAL</v>
      </c>
      <c r="E2077" s="22" t="str">
        <f>IFERROR(VLOOKUP(B2077,Colaboradores!A:D,4,),"")</f>
        <v>GERENTE DE SAÚDE OCUPACIONAL</v>
      </c>
      <c r="F2077" s="47" t="s">
        <v>97</v>
      </c>
      <c r="G2077" s="24" t="str">
        <f>IFERROR(VLOOKUP(F2077,Procedimentos!A:C,2,),"")</f>
        <v>PROTOCOLO DE PREVENÇÃO DE QUEDAS</v>
      </c>
      <c r="H2077" s="22" t="s">
        <v>7</v>
      </c>
      <c r="K2077" s="25" t="str">
        <f t="shared" si="73"/>
        <v/>
      </c>
    </row>
    <row r="2078" spans="2:11" ht="15" customHeight="1">
      <c r="B2078" s="38">
        <v>7590</v>
      </c>
      <c r="C2078" s="22" t="str">
        <f>IFERROR(VLOOKUP(B2078,Colaboradores!A:D,2,),"")</f>
        <v>FABIOLA SOUSA MOURA BORGES</v>
      </c>
      <c r="D2078" s="22" t="str">
        <f>IFERROR(VLOOKUP(B2078,Colaboradores!A:D,3,),"")</f>
        <v>SAÚDE OCUPACIONAL</v>
      </c>
      <c r="E2078" s="22" t="str">
        <f>IFERROR(VLOOKUP(B2078,Colaboradores!A:D,4,),"")</f>
        <v>GERENTE DE SAÚDE OCUPACIONAL</v>
      </c>
      <c r="F2078" s="47" t="s">
        <v>98</v>
      </c>
      <c r="G2078" s="24" t="str">
        <f>IFERROR(VLOOKUP(F2078,Procedimentos!A:C,2,),"")</f>
        <v>PROTOCOLO INSTITUCIONAL DE CONDUTA ETICA NO ATENDIMENTO MULTIPROFISSIONAL NO ESPAÇO CUIDAR</v>
      </c>
      <c r="H2078" s="22" t="s">
        <v>7</v>
      </c>
      <c r="K2078" s="25" t="str">
        <f t="shared" si="73"/>
        <v/>
      </c>
    </row>
    <row r="2079" spans="2:11" ht="15" customHeight="1">
      <c r="B2079" s="38">
        <v>7590</v>
      </c>
      <c r="C2079" s="22" t="str">
        <f>IFERROR(VLOOKUP(B2079,Colaboradores!A:D,2,),"")</f>
        <v>FABIOLA SOUSA MOURA BORGES</v>
      </c>
      <c r="D2079" s="22" t="str">
        <f>IFERROR(VLOOKUP(B2079,Colaboradores!A:D,3,),"")</f>
        <v>SAÚDE OCUPACIONAL</v>
      </c>
      <c r="E2079" s="22" t="str">
        <f>IFERROR(VLOOKUP(B2079,Colaboradores!A:D,4,),"")</f>
        <v>GERENTE DE SAÚDE OCUPACIONAL</v>
      </c>
      <c r="F2079" s="47" t="s">
        <v>99</v>
      </c>
      <c r="G2079" s="24" t="str">
        <f>IFERROR(VLOOKUP(F2079,Procedimentos!A:C,2,),"")</f>
        <v>PROTOCOLO PARA LIMPEZA DE ÁREAS E SUPERFÍCIES NO ESPAÇO CUIDAR</v>
      </c>
      <c r="H2079" s="22" t="s">
        <v>7</v>
      </c>
      <c r="K2079" s="25" t="str">
        <f t="shared" si="73"/>
        <v/>
      </c>
    </row>
    <row r="2080" spans="2:11" ht="15" customHeight="1">
      <c r="B2080" s="38">
        <v>7590</v>
      </c>
      <c r="C2080" s="22" t="str">
        <f>IFERROR(VLOOKUP(B2080,Colaboradores!A:D,2,),"")</f>
        <v>FABIOLA SOUSA MOURA BORGES</v>
      </c>
      <c r="D2080" s="22" t="str">
        <f>IFERROR(VLOOKUP(B2080,Colaboradores!A:D,3,),"")</f>
        <v>SAÚDE OCUPACIONAL</v>
      </c>
      <c r="E2080" s="22" t="str">
        <f>IFERROR(VLOOKUP(B2080,Colaboradores!A:D,4,),"")</f>
        <v>GERENTE DE SAÚDE OCUPACIONAL</v>
      </c>
      <c r="F2080" s="47" t="s">
        <v>100</v>
      </c>
      <c r="G2080" s="24" t="str">
        <f>IFERROR(VLOOKUP(F2080,Procedimentos!A:C,2,),"")</f>
        <v>PROTOCOLO DE ATENDIMENTO PSIQUIATRICO NO ESPAÇO CUIDAR DA EMSERH</v>
      </c>
      <c r="H2080" s="22" t="s">
        <v>7</v>
      </c>
      <c r="K2080" s="25" t="str">
        <f t="shared" si="73"/>
        <v/>
      </c>
    </row>
    <row r="2081" spans="2:11" ht="15" customHeight="1">
      <c r="B2081" s="38">
        <v>7590</v>
      </c>
      <c r="C2081" s="22" t="str">
        <f>IFERROR(VLOOKUP(B2081,Colaboradores!A:D,2,),"")</f>
        <v>FABIOLA SOUSA MOURA BORGES</v>
      </c>
      <c r="D2081" s="22" t="str">
        <f>IFERROR(VLOOKUP(B2081,Colaboradores!A:D,3,),"")</f>
        <v>SAÚDE OCUPACIONAL</v>
      </c>
      <c r="E2081" s="22" t="str">
        <f>IFERROR(VLOOKUP(B2081,Colaboradores!A:D,4,),"")</f>
        <v>GERENTE DE SAÚDE OCUPACIONAL</v>
      </c>
      <c r="F2081" s="47" t="s">
        <v>101</v>
      </c>
      <c r="G2081" s="24" t="str">
        <f>IFERROR(VLOOKUP(F2081,Procedimentos!A:C,2,),"")</f>
        <v>PROTOCOLO DE MANEJO DE SURTO</v>
      </c>
      <c r="H2081" s="22" t="s">
        <v>7</v>
      </c>
      <c r="K2081" s="25" t="str">
        <f t="shared" si="73"/>
        <v/>
      </c>
    </row>
    <row r="2082" spans="2:11" ht="15" customHeight="1">
      <c r="B2082" s="38">
        <v>7590</v>
      </c>
      <c r="C2082" s="22" t="str">
        <f>IFERROR(VLOOKUP(B2082,Colaboradores!A:D,2,),"")</f>
        <v>FABIOLA SOUSA MOURA BORGES</v>
      </c>
      <c r="D2082" s="22" t="str">
        <f>IFERROR(VLOOKUP(B2082,Colaboradores!A:D,3,),"")</f>
        <v>SAÚDE OCUPACIONAL</v>
      </c>
      <c r="E2082" s="22" t="str">
        <f>IFERROR(VLOOKUP(B2082,Colaboradores!A:D,4,),"")</f>
        <v>GERENTE DE SAÚDE OCUPACIONAL</v>
      </c>
      <c r="F2082" s="47" t="s">
        <v>102</v>
      </c>
      <c r="G2082" s="24" t="str">
        <f>IFERROR(VLOOKUP(F2082,Procedimentos!A:C,2,),"")</f>
        <v>PROTOCOLO DE TRANSPORTE SEGURO NO ESPAÇO CUIDAR</v>
      </c>
      <c r="H2082" s="22" t="s">
        <v>7</v>
      </c>
      <c r="K2082" s="25" t="str">
        <f t="shared" si="73"/>
        <v/>
      </c>
    </row>
    <row r="2083" spans="2:11" ht="15" customHeight="1">
      <c r="B2083" s="38">
        <v>7590</v>
      </c>
      <c r="C2083" s="22" t="str">
        <f>IFERROR(VLOOKUP(B2083,Colaboradores!A:D,2,),"")</f>
        <v>FABIOLA SOUSA MOURA BORGES</v>
      </c>
      <c r="D2083" s="22" t="str">
        <f>IFERROR(VLOOKUP(B2083,Colaboradores!A:D,3,),"")</f>
        <v>SAÚDE OCUPACIONAL</v>
      </c>
      <c r="E2083" s="22" t="str">
        <f>IFERROR(VLOOKUP(B2083,Colaboradores!A:D,4,),"")</f>
        <v>GERENTE DE SAÚDE OCUPACIONAL</v>
      </c>
      <c r="F2083" s="47" t="s">
        <v>103</v>
      </c>
      <c r="G2083" s="24" t="str">
        <f>IFERROR(VLOOKUP(F2083,Procedimentos!A:C,2,),"")</f>
        <v>PROTOCOLO DE ATENDIMENTO À PESSOA COM COMPORTAMENTO SUÍCIDA</v>
      </c>
      <c r="H2083" s="22" t="s">
        <v>7</v>
      </c>
      <c r="K2083" s="25" t="str">
        <f t="shared" si="73"/>
        <v/>
      </c>
    </row>
    <row r="2084" spans="2:11" ht="15" customHeight="1">
      <c r="B2084" s="38">
        <v>7590</v>
      </c>
      <c r="C2084" s="22" t="str">
        <f>IFERROR(VLOOKUP(B2084,Colaboradores!A:D,2,),"")</f>
        <v>FABIOLA SOUSA MOURA BORGES</v>
      </c>
      <c r="D2084" s="22" t="str">
        <f>IFERROR(VLOOKUP(B2084,Colaboradores!A:D,3,),"")</f>
        <v>SAÚDE OCUPACIONAL</v>
      </c>
      <c r="E2084" s="22" t="str">
        <f>IFERROR(VLOOKUP(B2084,Colaboradores!A:D,4,),"")</f>
        <v>GERENTE DE SAÚDE OCUPACIONAL</v>
      </c>
      <c r="F2084" s="47" t="s">
        <v>104</v>
      </c>
      <c r="G2084" s="24" t="str">
        <f>IFERROR(VLOOKUP(F2084,Procedimentos!A:C,2,),"")</f>
        <v>PROTOCOLO DE BIOSSEGURANÇA</v>
      </c>
      <c r="H2084" s="22" t="s">
        <v>7</v>
      </c>
      <c r="K2084" s="25" t="str">
        <f t="shared" si="73"/>
        <v/>
      </c>
    </row>
    <row r="2085" spans="2:11" ht="15" customHeight="1">
      <c r="B2085" s="38">
        <v>7590</v>
      </c>
      <c r="C2085" s="22" t="str">
        <f>IFERROR(VLOOKUP(B2085,Colaboradores!A:D,2,),"")</f>
        <v>FABIOLA SOUSA MOURA BORGES</v>
      </c>
      <c r="D2085" s="22" t="str">
        <f>IFERROR(VLOOKUP(B2085,Colaboradores!A:D,3,),"")</f>
        <v>SAÚDE OCUPACIONAL</v>
      </c>
      <c r="E2085" s="22" t="str">
        <f>IFERROR(VLOOKUP(B2085,Colaboradores!A:D,4,),"")</f>
        <v>GERENTE DE SAÚDE OCUPACIONAL</v>
      </c>
      <c r="F2085" s="47" t="s">
        <v>105</v>
      </c>
      <c r="G2085" s="24" t="str">
        <f>IFERROR(VLOOKUP(F2085,Procedimentos!A:C,2,),"")</f>
        <v>PROTOCOLO IDENTIFICAÇÃO E MANEJO DA EVOLUÇÃO DESFAVORÁVEL DO PACIENTE NO ESPAÇO CUIDAR</v>
      </c>
      <c r="H2085" s="22" t="s">
        <v>7</v>
      </c>
      <c r="K2085" s="25" t="str">
        <f t="shared" si="73"/>
        <v/>
      </c>
    </row>
    <row r="2086" spans="2:11" ht="15" customHeight="1">
      <c r="B2086" s="38">
        <v>7590</v>
      </c>
      <c r="C2086" s="22" t="str">
        <f>IFERROR(VLOOKUP(B2086,Colaboradores!A:D,2,),"")</f>
        <v>FABIOLA SOUSA MOURA BORGES</v>
      </c>
      <c r="D2086" s="22" t="str">
        <f>IFERROR(VLOOKUP(B2086,Colaboradores!A:D,3,),"")</f>
        <v>SAÚDE OCUPACIONAL</v>
      </c>
      <c r="E2086" s="22" t="str">
        <f>IFERROR(VLOOKUP(B2086,Colaboradores!A:D,4,),"")</f>
        <v>GERENTE DE SAÚDE OCUPACIONAL</v>
      </c>
      <c r="F2086" s="47" t="s">
        <v>106</v>
      </c>
      <c r="G2086" s="24" t="str">
        <f>IFERROR(VLOOKUP(F2086,Procedimentos!A:C,2,),"")</f>
        <v>PROTOCOLO DE DETERIORAÇÃO CLÍNICA</v>
      </c>
      <c r="H2086" s="22" t="s">
        <v>7</v>
      </c>
      <c r="K2086" s="25" t="str">
        <f t="shared" si="73"/>
        <v/>
      </c>
    </row>
    <row r="2087" spans="2:11" ht="15" customHeight="1">
      <c r="B2087" s="38">
        <v>7590</v>
      </c>
      <c r="C2087" s="22" t="str">
        <f>IFERROR(VLOOKUP(B2087,Colaboradores!A:D,2,),"")</f>
        <v>FABIOLA SOUSA MOURA BORGES</v>
      </c>
      <c r="D2087" s="22" t="str">
        <f>IFERROR(VLOOKUP(B2087,Colaboradores!A:D,3,),"")</f>
        <v>SAÚDE OCUPACIONAL</v>
      </c>
      <c r="E2087" s="22" t="str">
        <f>IFERROR(VLOOKUP(B2087,Colaboradores!A:D,4,),"")</f>
        <v>GERENTE DE SAÚDE OCUPACIONAL</v>
      </c>
      <c r="F2087" s="47" t="s">
        <v>107</v>
      </c>
      <c r="G2087" s="24" t="str">
        <f>IFERROR(VLOOKUP(F2087,Procedimentos!A:C,2,),"")</f>
        <v>PROTOCOLO DE COMUNICAÇÃO DE NOTÍCIAS DIFÍCEIS</v>
      </c>
      <c r="H2087" s="22" t="s">
        <v>7</v>
      </c>
      <c r="K2087" s="25" t="str">
        <f t="shared" si="73"/>
        <v/>
      </c>
    </row>
    <row r="2088" spans="2:11" ht="15" customHeight="1">
      <c r="B2088" s="38">
        <v>7590</v>
      </c>
      <c r="C2088" s="22" t="str">
        <f>IFERROR(VLOOKUP(B2088,Colaboradores!A:D,2,),"")</f>
        <v>FABIOLA SOUSA MOURA BORGES</v>
      </c>
      <c r="D2088" s="22" t="str">
        <f>IFERROR(VLOOKUP(B2088,Colaboradores!A:D,3,),"")</f>
        <v>SAÚDE OCUPACIONAL</v>
      </c>
      <c r="E2088" s="22" t="str">
        <f>IFERROR(VLOOKUP(B2088,Colaboradores!A:D,4,),"")</f>
        <v>GERENTE DE SAÚDE OCUPACIONAL</v>
      </c>
      <c r="F2088" s="47" t="s">
        <v>108</v>
      </c>
      <c r="G2088" s="24" t="str">
        <f>IFERROR(VLOOKUP(F2088,Procedimentos!A:C,2,),"")</f>
        <v>PROTOCOLO PARA ATENDIMENTO DO (A) ASSISTENTE SOCIAL NO AMBULATÓRIO DO ESPAÇO CUIDAR</v>
      </c>
      <c r="H2088" s="22" t="s">
        <v>7</v>
      </c>
      <c r="K2088" s="25" t="str">
        <f t="shared" si="73"/>
        <v/>
      </c>
    </row>
    <row r="2089" spans="2:11" ht="15" customHeight="1">
      <c r="B2089" s="38">
        <v>7590</v>
      </c>
      <c r="C2089" s="22" t="str">
        <f>IFERROR(VLOOKUP(B2089,Colaboradores!A:D,2,),"")</f>
        <v>FABIOLA SOUSA MOURA BORGES</v>
      </c>
      <c r="D2089" s="22" t="str">
        <f>IFERROR(VLOOKUP(B2089,Colaboradores!A:D,3,),"")</f>
        <v>SAÚDE OCUPACIONAL</v>
      </c>
      <c r="E2089" s="22" t="str">
        <f>IFERROR(VLOOKUP(B2089,Colaboradores!A:D,4,),"")</f>
        <v>GERENTE DE SAÚDE OCUPACIONAL</v>
      </c>
      <c r="F2089" s="47" t="s">
        <v>109</v>
      </c>
      <c r="G2089" s="24" t="str">
        <f>IFERROR(VLOOKUP(F2089,Procedimentos!A:C,2,),"")</f>
        <v>ROTOCOLO DE ASSISTÊNCIA NUTRICIONAL AMBULATÓRIAL PARA ADULTOS E IDOSOS COM SOBREPESO E OBESIDADE</v>
      </c>
      <c r="H2089" s="22" t="s">
        <v>7</v>
      </c>
      <c r="K2089" s="25" t="str">
        <f t="shared" si="73"/>
        <v/>
      </c>
    </row>
    <row r="2090" spans="2:11" ht="15" customHeight="1">
      <c r="B2090" s="38">
        <v>7590</v>
      </c>
      <c r="C2090" s="22" t="str">
        <f>IFERROR(VLOOKUP(B2090,Colaboradores!A:D,2,),"")</f>
        <v>FABIOLA SOUSA MOURA BORGES</v>
      </c>
      <c r="D2090" s="22" t="str">
        <f>IFERROR(VLOOKUP(B2090,Colaboradores!A:D,3,),"")</f>
        <v>SAÚDE OCUPACIONAL</v>
      </c>
      <c r="E2090" s="22" t="str">
        <f>IFERROR(VLOOKUP(B2090,Colaboradores!A:D,4,),"")</f>
        <v>GERENTE DE SAÚDE OCUPACIONAL</v>
      </c>
      <c r="F2090" s="47" t="s">
        <v>110</v>
      </c>
      <c r="G2090" s="24" t="str">
        <f>IFERROR(VLOOKUP(F2090,Procedimentos!A:C,2,),"")</f>
        <v>PROTOCOLO DE AGENDAMENTO</v>
      </c>
      <c r="H2090" s="22" t="s">
        <v>7</v>
      </c>
      <c r="K2090" s="25" t="str">
        <f t="shared" si="73"/>
        <v/>
      </c>
    </row>
    <row r="2091" spans="2:11" ht="15" customHeight="1">
      <c r="B2091" s="38">
        <v>7590</v>
      </c>
      <c r="C2091" s="22" t="str">
        <f>IFERROR(VLOOKUP(B2091,Colaboradores!A:D,2,),"")</f>
        <v>FABIOLA SOUSA MOURA BORGES</v>
      </c>
      <c r="D2091" s="22" t="str">
        <f>IFERROR(VLOOKUP(B2091,Colaboradores!A:D,3,),"")</f>
        <v>SAÚDE OCUPACIONAL</v>
      </c>
      <c r="E2091" s="22" t="str">
        <f>IFERROR(VLOOKUP(B2091,Colaboradores!A:D,4,),"")</f>
        <v>GERENTE DE SAÚDE OCUPACIONAL</v>
      </c>
      <c r="F2091" s="47" t="s">
        <v>111</v>
      </c>
      <c r="G2091" s="24" t="str">
        <f>IFERROR(VLOOKUP(F2091,Procedimentos!A:C,2,),"")</f>
        <v>PROTOCOLO DE IDENTIFICAÇÃO DE SINAIS SUSGETIVOS DE VIOLÊNCIA - ESPAÇO CUIDAR/ EMSERH</v>
      </c>
      <c r="H2091" s="22" t="s">
        <v>7</v>
      </c>
      <c r="K2091" s="25" t="str">
        <f t="shared" si="73"/>
        <v/>
      </c>
    </row>
    <row r="2092" spans="2:11" ht="15" customHeight="1">
      <c r="B2092" s="38">
        <v>7590</v>
      </c>
      <c r="C2092" s="22" t="str">
        <f>IFERROR(VLOOKUP(B2092,Colaboradores!A:D,2,),"")</f>
        <v>FABIOLA SOUSA MOURA BORGES</v>
      </c>
      <c r="D2092" s="22" t="str">
        <f>IFERROR(VLOOKUP(B2092,Colaboradores!A:D,3,),"")</f>
        <v>SAÚDE OCUPACIONAL</v>
      </c>
      <c r="E2092" s="22" t="str">
        <f>IFERROR(VLOOKUP(B2092,Colaboradores!A:D,4,),"")</f>
        <v>GERENTE DE SAÚDE OCUPACIONAL</v>
      </c>
      <c r="F2092" s="47" t="s">
        <v>112</v>
      </c>
      <c r="G2092" s="24" t="str">
        <f>IFERROR(VLOOKUP(F2092,Procedimentos!A:C,2,),"")</f>
        <v>PROTOCOLO DE IDENTIFICAÇÃO SEGURA</v>
      </c>
      <c r="H2092" s="22" t="s">
        <v>7</v>
      </c>
      <c r="K2092" s="25" t="str">
        <f t="shared" si="73"/>
        <v/>
      </c>
    </row>
    <row r="2093" spans="2:11" ht="15" customHeight="1">
      <c r="B2093" s="38">
        <v>7590</v>
      </c>
      <c r="C2093" s="22" t="str">
        <f>IFERROR(VLOOKUP(B2093,Colaboradores!A:D,2,),"")</f>
        <v>FABIOLA SOUSA MOURA BORGES</v>
      </c>
      <c r="D2093" s="22" t="str">
        <f>IFERROR(VLOOKUP(B2093,Colaboradores!A:D,3,),"")</f>
        <v>SAÚDE OCUPACIONAL</v>
      </c>
      <c r="E2093" s="22" t="str">
        <f>IFERROR(VLOOKUP(B2093,Colaboradores!A:D,4,),"")</f>
        <v>GERENTE DE SAÚDE OCUPACIONAL</v>
      </c>
      <c r="F2093" s="47" t="s">
        <v>113</v>
      </c>
      <c r="G2093" s="24" t="str">
        <f>IFERROR(VLOOKUP(F2093,Procedimentos!A:C,2,),"")</f>
        <v>PROTOCOLO DE NORMAS E ROTINAS PARA COMUNICAÇÃO DO ESTADO DE SAÚDE DO PACIENTE</v>
      </c>
      <c r="H2093" s="22" t="s">
        <v>7</v>
      </c>
      <c r="K2093" s="25" t="str">
        <f t="shared" si="73"/>
        <v/>
      </c>
    </row>
    <row r="2094" spans="2:11" ht="15" customHeight="1">
      <c r="B2094" s="38">
        <v>7590</v>
      </c>
      <c r="C2094" s="22" t="str">
        <f>IFERROR(VLOOKUP(B2094,Colaboradores!A:D,2,),"")</f>
        <v>FABIOLA SOUSA MOURA BORGES</v>
      </c>
      <c r="D2094" s="22" t="str">
        <f>IFERROR(VLOOKUP(B2094,Colaboradores!A:D,3,),"")</f>
        <v>SAÚDE OCUPACIONAL</v>
      </c>
      <c r="E2094" s="22" t="str">
        <f>IFERROR(VLOOKUP(B2094,Colaboradores!A:D,4,),"")</f>
        <v>GERENTE DE SAÚDE OCUPACIONAL</v>
      </c>
      <c r="F2094" s="47" t="s">
        <v>114</v>
      </c>
      <c r="G2094" s="24" t="str">
        <f>IFERROR(VLOOKUP(F2094,Procedimentos!A:C,2,),"")</f>
        <v>PROTOCOLO DE COMUNICAÇÃO EFETIVA EM PRÁTICAS DE SAÚDE</v>
      </c>
      <c r="H2094" s="22" t="s">
        <v>7</v>
      </c>
      <c r="K2094" s="25" t="str">
        <f t="shared" si="73"/>
        <v/>
      </c>
    </row>
    <row r="2095" spans="2:11" ht="15" customHeight="1">
      <c r="B2095" s="38">
        <v>7590</v>
      </c>
      <c r="C2095" s="22" t="str">
        <f>IFERROR(VLOOKUP(B2095,Colaboradores!A:D,2,),"")</f>
        <v>FABIOLA SOUSA MOURA BORGES</v>
      </c>
      <c r="D2095" s="22" t="str">
        <f>IFERROR(VLOOKUP(B2095,Colaboradores!A:D,3,),"")</f>
        <v>SAÚDE OCUPACIONAL</v>
      </c>
      <c r="E2095" s="22" t="str">
        <f>IFERROR(VLOOKUP(B2095,Colaboradores!A:D,4,),"")</f>
        <v>GERENTE DE SAÚDE OCUPACIONAL</v>
      </c>
      <c r="F2095" s="47" t="s">
        <v>115</v>
      </c>
      <c r="G2095" s="24" t="str">
        <f>IFERROR(VLOOKUP(F2095,Procedimentos!A:C,2,),"")</f>
        <v>PROTOCOLO DE NORMAS E ROTINAS DE ADMISSÃO, TRIAGEM E ALTA</v>
      </c>
      <c r="H2095" s="22" t="s">
        <v>7</v>
      </c>
      <c r="K2095" s="25" t="str">
        <f t="shared" si="73"/>
        <v/>
      </c>
    </row>
    <row r="2096" spans="2:11" ht="15" customHeight="1">
      <c r="B2096" s="38">
        <v>7590</v>
      </c>
      <c r="C2096" s="22" t="str">
        <f>IFERROR(VLOOKUP(B2096,Colaboradores!A:D,2,),"")</f>
        <v>FABIOLA SOUSA MOURA BORGES</v>
      </c>
      <c r="D2096" s="22" t="str">
        <f>IFERROR(VLOOKUP(B2096,Colaboradores!A:D,3,),"")</f>
        <v>SAÚDE OCUPACIONAL</v>
      </c>
      <c r="E2096" s="22" t="str">
        <f>IFERROR(VLOOKUP(B2096,Colaboradores!A:D,4,),"")</f>
        <v>GERENTE DE SAÚDE OCUPACIONAL</v>
      </c>
      <c r="F2096" s="47" t="s">
        <v>116</v>
      </c>
      <c r="G2096" s="24" t="str">
        <f>IFERROR(VLOOKUP(F2096,Procedimentos!A:C,2,),"")</f>
        <v>PROTOCOLO DE SEGURANÇA NA PRESCRIÇÃO, USO E ADMINISTRAÇÃO DE MEDICAMENTOS ESPAÇO CUIDAR</v>
      </c>
      <c r="H2096" s="22" t="s">
        <v>7</v>
      </c>
      <c r="K2096" s="25" t="str">
        <f t="shared" si="73"/>
        <v/>
      </c>
    </row>
    <row r="2097" spans="2:11" ht="15" customHeight="1">
      <c r="B2097" s="38">
        <v>7590</v>
      </c>
      <c r="C2097" s="22" t="str">
        <f>IFERROR(VLOOKUP(B2097,Colaboradores!A:D,2,),"")</f>
        <v>FABIOLA SOUSA MOURA BORGES</v>
      </c>
      <c r="D2097" s="22" t="str">
        <f>IFERROR(VLOOKUP(B2097,Colaboradores!A:D,3,),"")</f>
        <v>SAÚDE OCUPACIONAL</v>
      </c>
      <c r="E2097" s="22" t="str">
        <f>IFERROR(VLOOKUP(B2097,Colaboradores!A:D,4,),"")</f>
        <v>GERENTE DE SAÚDE OCUPACIONAL</v>
      </c>
      <c r="F2097" s="47" t="s">
        <v>117</v>
      </c>
      <c r="G2097" s="24" t="str">
        <f>IFERROR(VLOOKUP(F2097,Procedimentos!A:C,2,),"")</f>
        <v>NORMA E ROTINA DA TRANSIÇÃO DE CUIDADOS</v>
      </c>
      <c r="H2097" s="22" t="s">
        <v>7</v>
      </c>
      <c r="K2097" s="25" t="str">
        <f t="shared" si="73"/>
        <v/>
      </c>
    </row>
    <row r="2098" spans="2:11" ht="15" customHeight="1">
      <c r="B2098" s="38">
        <v>7590</v>
      </c>
      <c r="C2098" s="22" t="str">
        <f>IFERROR(VLOOKUP(B2098,Colaboradores!A:D,2,),"")</f>
        <v>FABIOLA SOUSA MOURA BORGES</v>
      </c>
      <c r="D2098" s="22" t="str">
        <f>IFERROR(VLOOKUP(B2098,Colaboradores!A:D,3,),"")</f>
        <v>SAÚDE OCUPACIONAL</v>
      </c>
      <c r="E2098" s="22" t="str">
        <f>IFERROR(VLOOKUP(B2098,Colaboradores!A:D,4,),"")</f>
        <v>GERENTE DE SAÚDE OCUPACIONAL</v>
      </c>
      <c r="F2098" s="47" t="s">
        <v>118</v>
      </c>
      <c r="G2098" s="24" t="str">
        <f>IFERROR(VLOOKUP(F2098,Procedimentos!A:C,2,),"")</f>
        <v>PROTOCOLO DE ASSISTÊNCIA FISIOTERAPÊUTICA DO ESPAÇO CUIDAR</v>
      </c>
      <c r="H2098" s="22" t="s">
        <v>7</v>
      </c>
      <c r="K2098" s="25" t="str">
        <f t="shared" si="73"/>
        <v/>
      </c>
    </row>
    <row r="2099" spans="2:11" ht="15" customHeight="1">
      <c r="B2099" s="38">
        <v>1866</v>
      </c>
      <c r="C2099" s="22" t="str">
        <f>IFERROR(VLOOKUP(B2099,Colaboradores!A:D,2,),"")</f>
        <v>FLAVIA AROUCHE GAMA</v>
      </c>
      <c r="D2099" s="22" t="str">
        <f>IFERROR(VLOOKUP(B2099,Colaboradores!A:D,3,),"")</f>
        <v>SAÚDE OCUPACIONAL</v>
      </c>
      <c r="E2099" s="22" t="str">
        <f>IFERROR(VLOOKUP(B2099,Colaboradores!A:D,4,),"")</f>
        <v>MÉDICO DO TRABALHO</v>
      </c>
      <c r="F2099" s="47" t="s">
        <v>94</v>
      </c>
      <c r="G2099" s="24" t="str">
        <f>IFERROR(VLOOKUP(F2099,Procedimentos!A:C,2,),"")</f>
        <v>PROTOCOLO DE CONSENTIMENTO INFORMADO</v>
      </c>
      <c r="K2099" s="25" t="str">
        <f t="shared" si="73"/>
        <v/>
      </c>
    </row>
    <row r="2100" spans="2:11" ht="15" customHeight="1">
      <c r="B2100" s="38">
        <v>1866</v>
      </c>
      <c r="C2100" s="22" t="str">
        <f>IFERROR(VLOOKUP(B2100,Colaboradores!A:D,2,),"")</f>
        <v>FLAVIA AROUCHE GAMA</v>
      </c>
      <c r="D2100" s="22" t="str">
        <f>IFERROR(VLOOKUP(B2100,Colaboradores!A:D,3,),"")</f>
        <v>SAÚDE OCUPACIONAL</v>
      </c>
      <c r="E2100" s="22" t="str">
        <f>IFERROR(VLOOKUP(B2100,Colaboradores!A:D,4,),"")</f>
        <v>MÉDICO DO TRABALHO</v>
      </c>
      <c r="F2100" s="47" t="s">
        <v>95</v>
      </c>
      <c r="G2100" s="24" t="str">
        <f>IFERROR(VLOOKUP(F2100,Procedimentos!A:C,2,),"")</f>
        <v>PROTOCOLO DE NOTIFICAÇÃO COMPULSORIA - ESPAÇO CUIDAR/EMSERH</v>
      </c>
      <c r="K2100" s="25" t="str">
        <f t="shared" si="73"/>
        <v/>
      </c>
    </row>
    <row r="2101" spans="2:11" ht="15" customHeight="1">
      <c r="B2101" s="38">
        <v>1866</v>
      </c>
      <c r="C2101" s="22" t="str">
        <f>IFERROR(VLOOKUP(B2101,Colaboradores!A:D,2,),"")</f>
        <v>FLAVIA AROUCHE GAMA</v>
      </c>
      <c r="D2101" s="22" t="str">
        <f>IFERROR(VLOOKUP(B2101,Colaboradores!A:D,3,),"")</f>
        <v>SAÚDE OCUPACIONAL</v>
      </c>
      <c r="E2101" s="22" t="str">
        <f>IFERROR(VLOOKUP(B2101,Colaboradores!A:D,4,),"")</f>
        <v>MÉDICO DO TRABALHO</v>
      </c>
      <c r="F2101" s="47" t="s">
        <v>96</v>
      </c>
      <c r="G2101" s="24" t="str">
        <f>IFERROR(VLOOKUP(F2101,Procedimentos!A:C,2,),"")</f>
        <v>PROTOCOLO PARA HIGIENIZAÇÃO DAS MÃOS</v>
      </c>
      <c r="H2101" s="25"/>
      <c r="K2101" s="25" t="str">
        <f t="shared" si="73"/>
        <v/>
      </c>
    </row>
    <row r="2102" spans="2:11" ht="15" customHeight="1">
      <c r="B2102" s="38">
        <v>1866</v>
      </c>
      <c r="C2102" s="22" t="str">
        <f>IFERROR(VLOOKUP(B2102,Colaboradores!A:D,2,),"")</f>
        <v>FLAVIA AROUCHE GAMA</v>
      </c>
      <c r="D2102" s="22" t="str">
        <f>IFERROR(VLOOKUP(B2102,Colaboradores!A:D,3,),"")</f>
        <v>SAÚDE OCUPACIONAL</v>
      </c>
      <c r="E2102" s="22" t="str">
        <f>IFERROR(VLOOKUP(B2102,Colaboradores!A:D,4,),"")</f>
        <v>MÉDICO DO TRABALHO</v>
      </c>
      <c r="F2102" s="47" t="s">
        <v>97</v>
      </c>
      <c r="G2102" s="24" t="str">
        <f>IFERROR(VLOOKUP(F2102,Procedimentos!A:C,2,),"")</f>
        <v>PROTOCOLO DE PREVENÇÃO DE QUEDAS</v>
      </c>
      <c r="K2102" s="25" t="str">
        <f t="shared" si="73"/>
        <v/>
      </c>
    </row>
    <row r="2103" spans="2:11" ht="15" customHeight="1">
      <c r="B2103" s="38">
        <v>1866</v>
      </c>
      <c r="C2103" s="22" t="str">
        <f>IFERROR(VLOOKUP(B2103,Colaboradores!A:D,2,),"")</f>
        <v>FLAVIA AROUCHE GAMA</v>
      </c>
      <c r="D2103" s="22" t="str">
        <f>IFERROR(VLOOKUP(B2103,Colaboradores!A:D,3,),"")</f>
        <v>SAÚDE OCUPACIONAL</v>
      </c>
      <c r="E2103" s="22" t="str">
        <f>IFERROR(VLOOKUP(B2103,Colaboradores!A:D,4,),"")</f>
        <v>MÉDICO DO TRABALHO</v>
      </c>
      <c r="F2103" s="47" t="s">
        <v>98</v>
      </c>
      <c r="G2103" s="24" t="str">
        <f>IFERROR(VLOOKUP(F2103,Procedimentos!A:C,2,),"")</f>
        <v>PROTOCOLO INSTITUCIONAL DE CONDUTA ETICA NO ATENDIMENTO MULTIPROFISSIONAL NO ESPAÇO CUIDAR</v>
      </c>
      <c r="K2103" s="25" t="str">
        <f t="shared" si="73"/>
        <v/>
      </c>
    </row>
    <row r="2104" spans="2:11" ht="15" customHeight="1">
      <c r="B2104" s="38">
        <v>1866</v>
      </c>
      <c r="C2104" s="22" t="str">
        <f>IFERROR(VLOOKUP(B2104,Colaboradores!A:D,2,),"")</f>
        <v>FLAVIA AROUCHE GAMA</v>
      </c>
      <c r="D2104" s="22" t="str">
        <f>IFERROR(VLOOKUP(B2104,Colaboradores!A:D,3,),"")</f>
        <v>SAÚDE OCUPACIONAL</v>
      </c>
      <c r="E2104" s="22" t="str">
        <f>IFERROR(VLOOKUP(B2104,Colaboradores!A:D,4,),"")</f>
        <v>MÉDICO DO TRABALHO</v>
      </c>
      <c r="F2104" s="47" t="s">
        <v>99</v>
      </c>
      <c r="G2104" s="24" t="str">
        <f>IFERROR(VLOOKUP(F2104,Procedimentos!A:C,2,),"")</f>
        <v>PROTOCOLO PARA LIMPEZA DE ÁREAS E SUPERFÍCIES NO ESPAÇO CUIDAR</v>
      </c>
      <c r="K2104" s="25" t="str">
        <f t="shared" si="73"/>
        <v/>
      </c>
    </row>
    <row r="2105" spans="2:11" ht="15" customHeight="1">
      <c r="B2105" s="38">
        <v>1866</v>
      </c>
      <c r="C2105" s="22" t="str">
        <f>IFERROR(VLOOKUP(B2105,Colaboradores!A:D,2,),"")</f>
        <v>FLAVIA AROUCHE GAMA</v>
      </c>
      <c r="D2105" s="22" t="str">
        <f>IFERROR(VLOOKUP(B2105,Colaboradores!A:D,3,),"")</f>
        <v>SAÚDE OCUPACIONAL</v>
      </c>
      <c r="E2105" s="22" t="str">
        <f>IFERROR(VLOOKUP(B2105,Colaboradores!A:D,4,),"")</f>
        <v>MÉDICO DO TRABALHO</v>
      </c>
      <c r="F2105" s="47" t="s">
        <v>100</v>
      </c>
      <c r="G2105" s="24" t="str">
        <f>IFERROR(VLOOKUP(F2105,Procedimentos!A:C,2,),"")</f>
        <v>PROTOCOLO DE ATENDIMENTO PSIQUIATRICO NO ESPAÇO CUIDAR DA EMSERH</v>
      </c>
      <c r="K2105" s="25" t="str">
        <f t="shared" si="73"/>
        <v/>
      </c>
    </row>
    <row r="2106" spans="2:11" ht="15" customHeight="1">
      <c r="B2106" s="38">
        <v>1866</v>
      </c>
      <c r="C2106" s="22" t="str">
        <f>IFERROR(VLOOKUP(B2106,Colaboradores!A:D,2,),"")</f>
        <v>FLAVIA AROUCHE GAMA</v>
      </c>
      <c r="D2106" s="22" t="str">
        <f>IFERROR(VLOOKUP(B2106,Colaboradores!A:D,3,),"")</f>
        <v>SAÚDE OCUPACIONAL</v>
      </c>
      <c r="E2106" s="22" t="str">
        <f>IFERROR(VLOOKUP(B2106,Colaboradores!A:D,4,),"")</f>
        <v>MÉDICO DO TRABALHO</v>
      </c>
      <c r="F2106" s="47" t="s">
        <v>101</v>
      </c>
      <c r="G2106" s="24" t="str">
        <f>IFERROR(VLOOKUP(F2106,Procedimentos!A:C,2,),"")</f>
        <v>PROTOCOLO DE MANEJO DE SURTO</v>
      </c>
      <c r="K2106" s="25" t="str">
        <f t="shared" si="73"/>
        <v/>
      </c>
    </row>
    <row r="2107" spans="2:11" ht="15" customHeight="1">
      <c r="B2107" s="38">
        <v>1866</v>
      </c>
      <c r="C2107" s="22" t="str">
        <f>IFERROR(VLOOKUP(B2107,Colaboradores!A:D,2,),"")</f>
        <v>FLAVIA AROUCHE GAMA</v>
      </c>
      <c r="D2107" s="22" t="str">
        <f>IFERROR(VLOOKUP(B2107,Colaboradores!A:D,3,),"")</f>
        <v>SAÚDE OCUPACIONAL</v>
      </c>
      <c r="E2107" s="22" t="str">
        <f>IFERROR(VLOOKUP(B2107,Colaboradores!A:D,4,),"")</f>
        <v>MÉDICO DO TRABALHO</v>
      </c>
      <c r="F2107" s="47" t="s">
        <v>102</v>
      </c>
      <c r="G2107" s="24" t="str">
        <f>IFERROR(VLOOKUP(F2107,Procedimentos!A:C,2,),"")</f>
        <v>PROTOCOLO DE TRANSPORTE SEGURO NO ESPAÇO CUIDAR</v>
      </c>
      <c r="K2107" s="25" t="str">
        <f t="shared" si="73"/>
        <v/>
      </c>
    </row>
    <row r="2108" spans="2:11" ht="15" customHeight="1">
      <c r="B2108" s="38">
        <v>1866</v>
      </c>
      <c r="C2108" s="22" t="str">
        <f>IFERROR(VLOOKUP(B2108,Colaboradores!A:D,2,),"")</f>
        <v>FLAVIA AROUCHE GAMA</v>
      </c>
      <c r="D2108" s="22" t="str">
        <f>IFERROR(VLOOKUP(B2108,Colaboradores!A:D,3,),"")</f>
        <v>SAÚDE OCUPACIONAL</v>
      </c>
      <c r="E2108" s="22" t="str">
        <f>IFERROR(VLOOKUP(B2108,Colaboradores!A:D,4,),"")</f>
        <v>MÉDICO DO TRABALHO</v>
      </c>
      <c r="F2108" s="47" t="s">
        <v>103</v>
      </c>
      <c r="G2108" s="24" t="str">
        <f>IFERROR(VLOOKUP(F2108,Procedimentos!A:C,2,),"")</f>
        <v>PROTOCOLO DE ATENDIMENTO À PESSOA COM COMPORTAMENTO SUÍCIDA</v>
      </c>
      <c r="K2108" s="25" t="str">
        <f t="shared" si="73"/>
        <v/>
      </c>
    </row>
    <row r="2109" spans="2:11" ht="15" customHeight="1">
      <c r="B2109" s="38">
        <v>1866</v>
      </c>
      <c r="C2109" s="22" t="str">
        <f>IFERROR(VLOOKUP(B2109,Colaboradores!A:D,2,),"")</f>
        <v>FLAVIA AROUCHE GAMA</v>
      </c>
      <c r="D2109" s="22" t="str">
        <f>IFERROR(VLOOKUP(B2109,Colaboradores!A:D,3,),"")</f>
        <v>SAÚDE OCUPACIONAL</v>
      </c>
      <c r="E2109" s="22" t="str">
        <f>IFERROR(VLOOKUP(B2109,Colaboradores!A:D,4,),"")</f>
        <v>MÉDICO DO TRABALHO</v>
      </c>
      <c r="F2109" s="47" t="s">
        <v>104</v>
      </c>
      <c r="G2109" s="24" t="str">
        <f>IFERROR(VLOOKUP(F2109,Procedimentos!A:C,2,),"")</f>
        <v>PROTOCOLO DE BIOSSEGURANÇA</v>
      </c>
      <c r="K2109" s="25" t="str">
        <f t="shared" si="73"/>
        <v/>
      </c>
    </row>
    <row r="2110" spans="2:11" ht="15" customHeight="1">
      <c r="B2110" s="38">
        <v>1866</v>
      </c>
      <c r="C2110" s="22" t="str">
        <f>IFERROR(VLOOKUP(B2110,Colaboradores!A:D,2,),"")</f>
        <v>FLAVIA AROUCHE GAMA</v>
      </c>
      <c r="D2110" s="22" t="str">
        <f>IFERROR(VLOOKUP(B2110,Colaboradores!A:D,3,),"")</f>
        <v>SAÚDE OCUPACIONAL</v>
      </c>
      <c r="E2110" s="22" t="str">
        <f>IFERROR(VLOOKUP(B2110,Colaboradores!A:D,4,),"")</f>
        <v>MÉDICO DO TRABALHO</v>
      </c>
      <c r="F2110" s="47" t="s">
        <v>105</v>
      </c>
      <c r="G2110" s="24" t="str">
        <f>IFERROR(VLOOKUP(F2110,Procedimentos!A:C,2,),"")</f>
        <v>PROTOCOLO IDENTIFICAÇÃO E MANEJO DA EVOLUÇÃO DESFAVORÁVEL DO PACIENTE NO ESPAÇO CUIDAR</v>
      </c>
      <c r="K2110" s="25" t="str">
        <f t="shared" si="73"/>
        <v/>
      </c>
    </row>
    <row r="2111" spans="2:11" ht="15" customHeight="1">
      <c r="B2111" s="38">
        <v>1866</v>
      </c>
      <c r="C2111" s="22" t="str">
        <f>IFERROR(VLOOKUP(B2111,Colaboradores!A:D,2,),"")</f>
        <v>FLAVIA AROUCHE GAMA</v>
      </c>
      <c r="D2111" s="22" t="str">
        <f>IFERROR(VLOOKUP(B2111,Colaboradores!A:D,3,),"")</f>
        <v>SAÚDE OCUPACIONAL</v>
      </c>
      <c r="E2111" s="22" t="str">
        <f>IFERROR(VLOOKUP(B2111,Colaboradores!A:D,4,),"")</f>
        <v>MÉDICO DO TRABALHO</v>
      </c>
      <c r="F2111" s="47" t="s">
        <v>106</v>
      </c>
      <c r="G2111" s="24" t="str">
        <f>IFERROR(VLOOKUP(F2111,Procedimentos!A:C,2,),"")</f>
        <v>PROTOCOLO DE DETERIORAÇÃO CLÍNICA</v>
      </c>
      <c r="K2111" s="25" t="str">
        <f t="shared" si="73"/>
        <v/>
      </c>
    </row>
    <row r="2112" spans="2:11" ht="15" customHeight="1">
      <c r="B2112" s="38">
        <v>1866</v>
      </c>
      <c r="C2112" s="22" t="str">
        <f>IFERROR(VLOOKUP(B2112,Colaboradores!A:D,2,),"")</f>
        <v>FLAVIA AROUCHE GAMA</v>
      </c>
      <c r="D2112" s="22" t="str">
        <f>IFERROR(VLOOKUP(B2112,Colaboradores!A:D,3,),"")</f>
        <v>SAÚDE OCUPACIONAL</v>
      </c>
      <c r="E2112" s="22" t="str">
        <f>IFERROR(VLOOKUP(B2112,Colaboradores!A:D,4,),"")</f>
        <v>MÉDICO DO TRABALHO</v>
      </c>
      <c r="F2112" s="47" t="s">
        <v>107</v>
      </c>
      <c r="G2112" s="24" t="str">
        <f>IFERROR(VLOOKUP(F2112,Procedimentos!A:C,2,),"")</f>
        <v>PROTOCOLO DE COMUNICAÇÃO DE NOTÍCIAS DIFÍCEIS</v>
      </c>
      <c r="K2112" s="25" t="str">
        <f t="shared" si="73"/>
        <v/>
      </c>
    </row>
    <row r="2113" spans="2:11" ht="15" customHeight="1">
      <c r="B2113" s="38">
        <v>1866</v>
      </c>
      <c r="C2113" s="22" t="str">
        <f>IFERROR(VLOOKUP(B2113,Colaboradores!A:D,2,),"")</f>
        <v>FLAVIA AROUCHE GAMA</v>
      </c>
      <c r="D2113" s="22" t="str">
        <f>IFERROR(VLOOKUP(B2113,Colaboradores!A:D,3,),"")</f>
        <v>SAÚDE OCUPACIONAL</v>
      </c>
      <c r="E2113" s="22" t="str">
        <f>IFERROR(VLOOKUP(B2113,Colaboradores!A:D,4,),"")</f>
        <v>MÉDICO DO TRABALHO</v>
      </c>
      <c r="F2113" s="47" t="s">
        <v>108</v>
      </c>
      <c r="G2113" s="24" t="str">
        <f>IFERROR(VLOOKUP(F2113,Procedimentos!A:C,2,),"")</f>
        <v>PROTOCOLO PARA ATENDIMENTO DO (A) ASSISTENTE SOCIAL NO AMBULATÓRIO DO ESPAÇO CUIDAR</v>
      </c>
      <c r="K2113" s="25" t="str">
        <f t="shared" si="73"/>
        <v/>
      </c>
    </row>
    <row r="2114" spans="2:11" ht="15" customHeight="1">
      <c r="B2114" s="38">
        <v>1866</v>
      </c>
      <c r="C2114" s="22" t="str">
        <f>IFERROR(VLOOKUP(B2114,Colaboradores!A:D,2,),"")</f>
        <v>FLAVIA AROUCHE GAMA</v>
      </c>
      <c r="D2114" s="22" t="str">
        <f>IFERROR(VLOOKUP(B2114,Colaboradores!A:D,3,),"")</f>
        <v>SAÚDE OCUPACIONAL</v>
      </c>
      <c r="E2114" s="22" t="str">
        <f>IFERROR(VLOOKUP(B2114,Colaboradores!A:D,4,),"")</f>
        <v>MÉDICO DO TRABALHO</v>
      </c>
      <c r="F2114" s="47" t="s">
        <v>109</v>
      </c>
      <c r="G2114" s="24" t="str">
        <f>IFERROR(VLOOKUP(F2114,Procedimentos!A:C,2,),"")</f>
        <v>ROTOCOLO DE ASSISTÊNCIA NUTRICIONAL AMBULATÓRIAL PARA ADULTOS E IDOSOS COM SOBREPESO E OBESIDADE</v>
      </c>
      <c r="K2114" s="25" t="str">
        <f t="shared" si="73"/>
        <v/>
      </c>
    </row>
    <row r="2115" spans="2:11" ht="15" customHeight="1">
      <c r="B2115" s="38">
        <v>1866</v>
      </c>
      <c r="C2115" s="22" t="str">
        <f>IFERROR(VLOOKUP(B2115,Colaboradores!A:D,2,),"")</f>
        <v>FLAVIA AROUCHE GAMA</v>
      </c>
      <c r="D2115" s="22" t="str">
        <f>IFERROR(VLOOKUP(B2115,Colaboradores!A:D,3,),"")</f>
        <v>SAÚDE OCUPACIONAL</v>
      </c>
      <c r="E2115" s="22" t="str">
        <f>IFERROR(VLOOKUP(B2115,Colaboradores!A:D,4,),"")</f>
        <v>MÉDICO DO TRABALHO</v>
      </c>
      <c r="F2115" s="47" t="s">
        <v>110</v>
      </c>
      <c r="G2115" s="24" t="str">
        <f>IFERROR(VLOOKUP(F2115,Procedimentos!A:C,2,),"")</f>
        <v>PROTOCOLO DE AGENDAMENTO</v>
      </c>
      <c r="K2115" s="25" t="str">
        <f t="shared" ref="K2115:K2178" si="74">IF(AND(I2115&lt;&gt;"",J2115&lt;&gt;""),DATE(YEAR(I2115),MONTH(I2115)+J2115,DAY(I2115)),"")</f>
        <v/>
      </c>
    </row>
    <row r="2116" spans="2:11" ht="15" customHeight="1">
      <c r="B2116" s="38">
        <v>1866</v>
      </c>
      <c r="C2116" s="22" t="str">
        <f>IFERROR(VLOOKUP(B2116,Colaboradores!A:D,2,),"")</f>
        <v>FLAVIA AROUCHE GAMA</v>
      </c>
      <c r="D2116" s="22" t="str">
        <f>IFERROR(VLOOKUP(B2116,Colaboradores!A:D,3,),"")</f>
        <v>SAÚDE OCUPACIONAL</v>
      </c>
      <c r="E2116" s="22" t="str">
        <f>IFERROR(VLOOKUP(B2116,Colaboradores!A:D,4,),"")</f>
        <v>MÉDICO DO TRABALHO</v>
      </c>
      <c r="F2116" s="47" t="s">
        <v>111</v>
      </c>
      <c r="G2116" s="24" t="str">
        <f>IFERROR(VLOOKUP(F2116,Procedimentos!A:C,2,),"")</f>
        <v>PROTOCOLO DE IDENTIFICAÇÃO DE SINAIS SUSGETIVOS DE VIOLÊNCIA - ESPAÇO CUIDAR/ EMSERH</v>
      </c>
      <c r="K2116" s="25" t="str">
        <f t="shared" si="74"/>
        <v/>
      </c>
    </row>
    <row r="2117" spans="2:11" ht="15" customHeight="1">
      <c r="B2117" s="38">
        <v>1866</v>
      </c>
      <c r="C2117" s="22" t="str">
        <f>IFERROR(VLOOKUP(B2117,Colaboradores!A:D,2,),"")</f>
        <v>FLAVIA AROUCHE GAMA</v>
      </c>
      <c r="D2117" s="22" t="str">
        <f>IFERROR(VLOOKUP(B2117,Colaboradores!A:D,3,),"")</f>
        <v>SAÚDE OCUPACIONAL</v>
      </c>
      <c r="E2117" s="22" t="str">
        <f>IFERROR(VLOOKUP(B2117,Colaboradores!A:D,4,),"")</f>
        <v>MÉDICO DO TRABALHO</v>
      </c>
      <c r="F2117" s="47" t="s">
        <v>112</v>
      </c>
      <c r="G2117" s="24" t="str">
        <f>IFERROR(VLOOKUP(F2117,Procedimentos!A:C,2,),"")</f>
        <v>PROTOCOLO DE IDENTIFICAÇÃO SEGURA</v>
      </c>
      <c r="K2117" s="25" t="str">
        <f t="shared" si="74"/>
        <v/>
      </c>
    </row>
    <row r="2118" spans="2:11" ht="15" customHeight="1">
      <c r="B2118" s="38">
        <v>1866</v>
      </c>
      <c r="C2118" s="22" t="str">
        <f>IFERROR(VLOOKUP(B2118,Colaboradores!A:D,2,),"")</f>
        <v>FLAVIA AROUCHE GAMA</v>
      </c>
      <c r="D2118" s="22" t="str">
        <f>IFERROR(VLOOKUP(B2118,Colaboradores!A:D,3,),"")</f>
        <v>SAÚDE OCUPACIONAL</v>
      </c>
      <c r="E2118" s="22" t="str">
        <f>IFERROR(VLOOKUP(B2118,Colaboradores!A:D,4,),"")</f>
        <v>MÉDICO DO TRABALHO</v>
      </c>
      <c r="F2118" s="47" t="s">
        <v>113</v>
      </c>
      <c r="G2118" s="24" t="str">
        <f>IFERROR(VLOOKUP(F2118,Procedimentos!A:C,2,),"")</f>
        <v>PROTOCOLO DE NORMAS E ROTINAS PARA COMUNICAÇÃO DO ESTADO DE SAÚDE DO PACIENTE</v>
      </c>
      <c r="K2118" s="25" t="str">
        <f t="shared" si="74"/>
        <v/>
      </c>
    </row>
    <row r="2119" spans="2:11" ht="15" customHeight="1">
      <c r="B2119" s="38">
        <v>1866</v>
      </c>
      <c r="C2119" s="22" t="str">
        <f>IFERROR(VLOOKUP(B2119,Colaboradores!A:D,2,),"")</f>
        <v>FLAVIA AROUCHE GAMA</v>
      </c>
      <c r="D2119" s="22" t="str">
        <f>IFERROR(VLOOKUP(B2119,Colaboradores!A:D,3,),"")</f>
        <v>SAÚDE OCUPACIONAL</v>
      </c>
      <c r="E2119" s="22" t="str">
        <f>IFERROR(VLOOKUP(B2119,Colaboradores!A:D,4,),"")</f>
        <v>MÉDICO DO TRABALHO</v>
      </c>
      <c r="F2119" s="47" t="s">
        <v>114</v>
      </c>
      <c r="G2119" s="24" t="str">
        <f>IFERROR(VLOOKUP(F2119,Procedimentos!A:C,2,),"")</f>
        <v>PROTOCOLO DE COMUNICAÇÃO EFETIVA EM PRÁTICAS DE SAÚDE</v>
      </c>
      <c r="K2119" s="25" t="str">
        <f t="shared" si="74"/>
        <v/>
      </c>
    </row>
    <row r="2120" spans="2:11" ht="15" customHeight="1">
      <c r="B2120" s="38">
        <v>1866</v>
      </c>
      <c r="C2120" s="22" t="str">
        <f>IFERROR(VLOOKUP(B2120,Colaboradores!A:D,2,),"")</f>
        <v>FLAVIA AROUCHE GAMA</v>
      </c>
      <c r="D2120" s="22" t="str">
        <f>IFERROR(VLOOKUP(B2120,Colaboradores!A:D,3,),"")</f>
        <v>SAÚDE OCUPACIONAL</v>
      </c>
      <c r="E2120" s="22" t="str">
        <f>IFERROR(VLOOKUP(B2120,Colaboradores!A:D,4,),"")</f>
        <v>MÉDICO DO TRABALHO</v>
      </c>
      <c r="F2120" s="47" t="s">
        <v>115</v>
      </c>
      <c r="G2120" s="24" t="str">
        <f>IFERROR(VLOOKUP(F2120,Procedimentos!A:C,2,),"")</f>
        <v>PROTOCOLO DE NORMAS E ROTINAS DE ADMISSÃO, TRIAGEM E ALTA</v>
      </c>
      <c r="K2120" s="25" t="str">
        <f t="shared" si="74"/>
        <v/>
      </c>
    </row>
    <row r="2121" spans="2:11" ht="15" customHeight="1">
      <c r="B2121" s="38">
        <v>1866</v>
      </c>
      <c r="C2121" s="22" t="str">
        <f>IFERROR(VLOOKUP(B2121,Colaboradores!A:D,2,),"")</f>
        <v>FLAVIA AROUCHE GAMA</v>
      </c>
      <c r="D2121" s="22" t="str">
        <f>IFERROR(VLOOKUP(B2121,Colaboradores!A:D,3,),"")</f>
        <v>SAÚDE OCUPACIONAL</v>
      </c>
      <c r="E2121" s="22" t="str">
        <f>IFERROR(VLOOKUP(B2121,Colaboradores!A:D,4,),"")</f>
        <v>MÉDICO DO TRABALHO</v>
      </c>
      <c r="F2121" s="47" t="s">
        <v>116</v>
      </c>
      <c r="G2121" s="24" t="str">
        <f>IFERROR(VLOOKUP(F2121,Procedimentos!A:C,2,),"")</f>
        <v>PROTOCOLO DE SEGURANÇA NA PRESCRIÇÃO, USO E ADMINISTRAÇÃO DE MEDICAMENTOS ESPAÇO CUIDAR</v>
      </c>
      <c r="K2121" s="25" t="str">
        <f t="shared" si="74"/>
        <v/>
      </c>
    </row>
    <row r="2122" spans="2:11" ht="15" customHeight="1">
      <c r="B2122" s="38">
        <v>1866</v>
      </c>
      <c r="C2122" s="22" t="str">
        <f>IFERROR(VLOOKUP(B2122,Colaboradores!A:D,2,),"")</f>
        <v>FLAVIA AROUCHE GAMA</v>
      </c>
      <c r="D2122" s="22" t="str">
        <f>IFERROR(VLOOKUP(B2122,Colaboradores!A:D,3,),"")</f>
        <v>SAÚDE OCUPACIONAL</v>
      </c>
      <c r="E2122" s="22" t="str">
        <f>IFERROR(VLOOKUP(B2122,Colaboradores!A:D,4,),"")</f>
        <v>MÉDICO DO TRABALHO</v>
      </c>
      <c r="F2122" s="47" t="s">
        <v>117</v>
      </c>
      <c r="G2122" s="24" t="str">
        <f>IFERROR(VLOOKUP(F2122,Procedimentos!A:C,2,),"")</f>
        <v>NORMA E ROTINA DA TRANSIÇÃO DE CUIDADOS</v>
      </c>
      <c r="K2122" s="25" t="str">
        <f t="shared" si="74"/>
        <v/>
      </c>
    </row>
    <row r="2123" spans="2:11" ht="15" customHeight="1">
      <c r="B2123" s="38">
        <v>1866</v>
      </c>
      <c r="C2123" s="22" t="str">
        <f>IFERROR(VLOOKUP(B2123,Colaboradores!A:D,2,),"")</f>
        <v>FLAVIA AROUCHE GAMA</v>
      </c>
      <c r="D2123" s="22" t="str">
        <f>IFERROR(VLOOKUP(B2123,Colaboradores!A:D,3,),"")</f>
        <v>SAÚDE OCUPACIONAL</v>
      </c>
      <c r="E2123" s="22" t="str">
        <f>IFERROR(VLOOKUP(B2123,Colaboradores!A:D,4,),"")</f>
        <v>MÉDICO DO TRABALHO</v>
      </c>
      <c r="F2123" s="47" t="s">
        <v>118</v>
      </c>
      <c r="G2123" s="24" t="str">
        <f>IFERROR(VLOOKUP(F2123,Procedimentos!A:C,2,),"")</f>
        <v>PROTOCOLO DE ASSISTÊNCIA FISIOTERAPÊUTICA DO ESPAÇO CUIDAR</v>
      </c>
      <c r="K2123" s="25" t="str">
        <f t="shared" si="74"/>
        <v/>
      </c>
    </row>
    <row r="2124" spans="2:11" ht="15" customHeight="1">
      <c r="B2124" s="38">
        <v>14508</v>
      </c>
      <c r="C2124" s="22" t="str">
        <f>IFERROR(VLOOKUP(B2124,Colaboradores!A:D,2,),"")</f>
        <v>FYAMA SANTOS SILVA</v>
      </c>
      <c r="D2124" s="22" t="str">
        <f>IFERROR(VLOOKUP(B2124,Colaboradores!A:D,3,),"")</f>
        <v>SAÚDE OCUPACIONAL</v>
      </c>
      <c r="E2124" s="22" t="str">
        <f>IFERROR(VLOOKUP(B2124,Colaboradores!A:D,4,),"")</f>
        <v>ASSISTENTE ADMINISTRATIVO</v>
      </c>
      <c r="F2124" s="47" t="s">
        <v>94</v>
      </c>
      <c r="G2124" s="24" t="str">
        <f>IFERROR(VLOOKUP(F2124,Procedimentos!A:C,2,),"")</f>
        <v>PROTOCOLO DE CONSENTIMENTO INFORMADO</v>
      </c>
      <c r="K2124" s="25" t="str">
        <f t="shared" si="74"/>
        <v/>
      </c>
    </row>
    <row r="2125" spans="2:11" ht="15" customHeight="1">
      <c r="B2125" s="38">
        <v>14508</v>
      </c>
      <c r="C2125" s="22" t="str">
        <f>IFERROR(VLOOKUP(B2125,Colaboradores!A:D,2,),"")</f>
        <v>FYAMA SANTOS SILVA</v>
      </c>
      <c r="D2125" s="22" t="str">
        <f>IFERROR(VLOOKUP(B2125,Colaboradores!A:D,3,),"")</f>
        <v>SAÚDE OCUPACIONAL</v>
      </c>
      <c r="E2125" s="22" t="str">
        <f>IFERROR(VLOOKUP(B2125,Colaboradores!A:D,4,),"")</f>
        <v>ASSISTENTE ADMINISTRATIVO</v>
      </c>
      <c r="F2125" s="47" t="s">
        <v>95</v>
      </c>
      <c r="G2125" s="24" t="str">
        <f>IFERROR(VLOOKUP(F2125,Procedimentos!A:C,2,),"")</f>
        <v>PROTOCOLO DE NOTIFICAÇÃO COMPULSORIA - ESPAÇO CUIDAR/EMSERH</v>
      </c>
      <c r="K2125" s="25" t="str">
        <f t="shared" si="74"/>
        <v/>
      </c>
    </row>
    <row r="2126" spans="2:11" ht="15" customHeight="1">
      <c r="B2126" s="38">
        <v>14508</v>
      </c>
      <c r="C2126" s="22" t="str">
        <f>IFERROR(VLOOKUP(B2126,Colaboradores!A:D,2,),"")</f>
        <v>FYAMA SANTOS SILVA</v>
      </c>
      <c r="D2126" s="22" t="str">
        <f>IFERROR(VLOOKUP(B2126,Colaboradores!A:D,3,),"")</f>
        <v>SAÚDE OCUPACIONAL</v>
      </c>
      <c r="E2126" s="22" t="str">
        <f>IFERROR(VLOOKUP(B2126,Colaboradores!A:D,4,),"")</f>
        <v>ASSISTENTE ADMINISTRATIVO</v>
      </c>
      <c r="F2126" s="47" t="s">
        <v>96</v>
      </c>
      <c r="G2126" s="24" t="str">
        <f>IFERROR(VLOOKUP(F2126,Procedimentos!A:C,2,),"")</f>
        <v>PROTOCOLO PARA HIGIENIZAÇÃO DAS MÃOS</v>
      </c>
      <c r="H2126" s="25"/>
      <c r="K2126" s="25" t="str">
        <f t="shared" si="74"/>
        <v/>
      </c>
    </row>
    <row r="2127" spans="2:11" ht="15" customHeight="1">
      <c r="B2127" s="38">
        <v>14508</v>
      </c>
      <c r="C2127" s="22" t="str">
        <f>IFERROR(VLOOKUP(B2127,Colaboradores!A:D,2,),"")</f>
        <v>FYAMA SANTOS SILVA</v>
      </c>
      <c r="D2127" s="22" t="str">
        <f>IFERROR(VLOOKUP(B2127,Colaboradores!A:D,3,),"")</f>
        <v>SAÚDE OCUPACIONAL</v>
      </c>
      <c r="E2127" s="22" t="str">
        <f>IFERROR(VLOOKUP(B2127,Colaboradores!A:D,4,),"")</f>
        <v>ASSISTENTE ADMINISTRATIVO</v>
      </c>
      <c r="F2127" s="47" t="s">
        <v>97</v>
      </c>
      <c r="G2127" s="24" t="str">
        <f>IFERROR(VLOOKUP(F2127,Procedimentos!A:C,2,),"")</f>
        <v>PROTOCOLO DE PREVENÇÃO DE QUEDAS</v>
      </c>
      <c r="K2127" s="25" t="str">
        <f t="shared" si="74"/>
        <v/>
      </c>
    </row>
    <row r="2128" spans="2:11" ht="15" customHeight="1">
      <c r="B2128" s="38">
        <v>14508</v>
      </c>
      <c r="C2128" s="22" t="str">
        <f>IFERROR(VLOOKUP(B2128,Colaboradores!A:D,2,),"")</f>
        <v>FYAMA SANTOS SILVA</v>
      </c>
      <c r="D2128" s="22" t="str">
        <f>IFERROR(VLOOKUP(B2128,Colaboradores!A:D,3,),"")</f>
        <v>SAÚDE OCUPACIONAL</v>
      </c>
      <c r="E2128" s="22" t="str">
        <f>IFERROR(VLOOKUP(B2128,Colaboradores!A:D,4,),"")</f>
        <v>ASSISTENTE ADMINISTRATIVO</v>
      </c>
      <c r="F2128" s="47" t="s">
        <v>98</v>
      </c>
      <c r="G2128" s="24" t="str">
        <f>IFERROR(VLOOKUP(F2128,Procedimentos!A:C,2,),"")</f>
        <v>PROTOCOLO INSTITUCIONAL DE CONDUTA ETICA NO ATENDIMENTO MULTIPROFISSIONAL NO ESPAÇO CUIDAR</v>
      </c>
      <c r="K2128" s="25" t="str">
        <f t="shared" si="74"/>
        <v/>
      </c>
    </row>
    <row r="2129" spans="2:11" ht="15" customHeight="1">
      <c r="B2129" s="38">
        <v>14508</v>
      </c>
      <c r="C2129" s="22" t="str">
        <f>IFERROR(VLOOKUP(B2129,Colaboradores!A:D,2,),"")</f>
        <v>FYAMA SANTOS SILVA</v>
      </c>
      <c r="D2129" s="22" t="str">
        <f>IFERROR(VLOOKUP(B2129,Colaboradores!A:D,3,),"")</f>
        <v>SAÚDE OCUPACIONAL</v>
      </c>
      <c r="E2129" s="22" t="str">
        <f>IFERROR(VLOOKUP(B2129,Colaboradores!A:D,4,),"")</f>
        <v>ASSISTENTE ADMINISTRATIVO</v>
      </c>
      <c r="F2129" s="47" t="s">
        <v>99</v>
      </c>
      <c r="G2129" s="24" t="str">
        <f>IFERROR(VLOOKUP(F2129,Procedimentos!A:C,2,),"")</f>
        <v>PROTOCOLO PARA LIMPEZA DE ÁREAS E SUPERFÍCIES NO ESPAÇO CUIDAR</v>
      </c>
      <c r="K2129" s="25" t="str">
        <f t="shared" si="74"/>
        <v/>
      </c>
    </row>
    <row r="2130" spans="2:11" ht="15" customHeight="1">
      <c r="B2130" s="38">
        <v>14508</v>
      </c>
      <c r="C2130" s="22" t="str">
        <f>IFERROR(VLOOKUP(B2130,Colaboradores!A:D,2,),"")</f>
        <v>FYAMA SANTOS SILVA</v>
      </c>
      <c r="D2130" s="22" t="str">
        <f>IFERROR(VLOOKUP(B2130,Colaboradores!A:D,3,),"")</f>
        <v>SAÚDE OCUPACIONAL</v>
      </c>
      <c r="E2130" s="22" t="str">
        <f>IFERROR(VLOOKUP(B2130,Colaboradores!A:D,4,),"")</f>
        <v>ASSISTENTE ADMINISTRATIVO</v>
      </c>
      <c r="F2130" s="47" t="s">
        <v>100</v>
      </c>
      <c r="G2130" s="24" t="str">
        <f>IFERROR(VLOOKUP(F2130,Procedimentos!A:C,2,),"")</f>
        <v>PROTOCOLO DE ATENDIMENTO PSIQUIATRICO NO ESPAÇO CUIDAR DA EMSERH</v>
      </c>
      <c r="K2130" s="25" t="str">
        <f t="shared" si="74"/>
        <v/>
      </c>
    </row>
    <row r="2131" spans="2:11" ht="15" customHeight="1">
      <c r="B2131" s="38">
        <v>14508</v>
      </c>
      <c r="C2131" s="22" t="str">
        <f>IFERROR(VLOOKUP(B2131,Colaboradores!A:D,2,),"")</f>
        <v>FYAMA SANTOS SILVA</v>
      </c>
      <c r="D2131" s="22" t="str">
        <f>IFERROR(VLOOKUP(B2131,Colaboradores!A:D,3,),"")</f>
        <v>SAÚDE OCUPACIONAL</v>
      </c>
      <c r="E2131" s="22" t="str">
        <f>IFERROR(VLOOKUP(B2131,Colaboradores!A:D,4,),"")</f>
        <v>ASSISTENTE ADMINISTRATIVO</v>
      </c>
      <c r="F2131" s="47" t="s">
        <v>101</v>
      </c>
      <c r="G2131" s="24" t="str">
        <f>IFERROR(VLOOKUP(F2131,Procedimentos!A:C,2,),"")</f>
        <v>PROTOCOLO DE MANEJO DE SURTO</v>
      </c>
      <c r="K2131" s="25" t="str">
        <f t="shared" si="74"/>
        <v/>
      </c>
    </row>
    <row r="2132" spans="2:11" ht="15" customHeight="1">
      <c r="B2132" s="38">
        <v>14508</v>
      </c>
      <c r="C2132" s="22" t="str">
        <f>IFERROR(VLOOKUP(B2132,Colaboradores!A:D,2,),"")</f>
        <v>FYAMA SANTOS SILVA</v>
      </c>
      <c r="D2132" s="22" t="str">
        <f>IFERROR(VLOOKUP(B2132,Colaboradores!A:D,3,),"")</f>
        <v>SAÚDE OCUPACIONAL</v>
      </c>
      <c r="E2132" s="22" t="str">
        <f>IFERROR(VLOOKUP(B2132,Colaboradores!A:D,4,),"")</f>
        <v>ASSISTENTE ADMINISTRATIVO</v>
      </c>
      <c r="F2132" s="47" t="s">
        <v>102</v>
      </c>
      <c r="G2132" s="24" t="str">
        <f>IFERROR(VLOOKUP(F2132,Procedimentos!A:C,2,),"")</f>
        <v>PROTOCOLO DE TRANSPORTE SEGURO NO ESPAÇO CUIDAR</v>
      </c>
      <c r="K2132" s="25" t="str">
        <f t="shared" si="74"/>
        <v/>
      </c>
    </row>
    <row r="2133" spans="2:11" ht="15" customHeight="1">
      <c r="B2133" s="38">
        <v>14508</v>
      </c>
      <c r="C2133" s="22" t="str">
        <f>IFERROR(VLOOKUP(B2133,Colaboradores!A:D,2,),"")</f>
        <v>FYAMA SANTOS SILVA</v>
      </c>
      <c r="D2133" s="22" t="str">
        <f>IFERROR(VLOOKUP(B2133,Colaboradores!A:D,3,),"")</f>
        <v>SAÚDE OCUPACIONAL</v>
      </c>
      <c r="E2133" s="22" t="str">
        <f>IFERROR(VLOOKUP(B2133,Colaboradores!A:D,4,),"")</f>
        <v>ASSISTENTE ADMINISTRATIVO</v>
      </c>
      <c r="F2133" s="47" t="s">
        <v>103</v>
      </c>
      <c r="G2133" s="24" t="str">
        <f>IFERROR(VLOOKUP(F2133,Procedimentos!A:C,2,),"")</f>
        <v>PROTOCOLO DE ATENDIMENTO À PESSOA COM COMPORTAMENTO SUÍCIDA</v>
      </c>
      <c r="K2133" s="25" t="str">
        <f t="shared" si="74"/>
        <v/>
      </c>
    </row>
    <row r="2134" spans="2:11" ht="15" customHeight="1">
      <c r="B2134" s="38">
        <v>14508</v>
      </c>
      <c r="C2134" s="22" t="str">
        <f>IFERROR(VLOOKUP(B2134,Colaboradores!A:D,2,),"")</f>
        <v>FYAMA SANTOS SILVA</v>
      </c>
      <c r="D2134" s="22" t="str">
        <f>IFERROR(VLOOKUP(B2134,Colaboradores!A:D,3,),"")</f>
        <v>SAÚDE OCUPACIONAL</v>
      </c>
      <c r="E2134" s="22" t="str">
        <f>IFERROR(VLOOKUP(B2134,Colaboradores!A:D,4,),"")</f>
        <v>ASSISTENTE ADMINISTRATIVO</v>
      </c>
      <c r="F2134" s="47" t="s">
        <v>104</v>
      </c>
      <c r="G2134" s="24" t="str">
        <f>IFERROR(VLOOKUP(F2134,Procedimentos!A:C,2,),"")</f>
        <v>PROTOCOLO DE BIOSSEGURANÇA</v>
      </c>
      <c r="K2134" s="25" t="str">
        <f t="shared" si="74"/>
        <v/>
      </c>
    </row>
    <row r="2135" spans="2:11" ht="15" customHeight="1">
      <c r="B2135" s="38">
        <v>14508</v>
      </c>
      <c r="C2135" s="22" t="str">
        <f>IFERROR(VLOOKUP(B2135,Colaboradores!A:D,2,),"")</f>
        <v>FYAMA SANTOS SILVA</v>
      </c>
      <c r="D2135" s="22" t="str">
        <f>IFERROR(VLOOKUP(B2135,Colaboradores!A:D,3,),"")</f>
        <v>SAÚDE OCUPACIONAL</v>
      </c>
      <c r="E2135" s="22" t="str">
        <f>IFERROR(VLOOKUP(B2135,Colaboradores!A:D,4,),"")</f>
        <v>ASSISTENTE ADMINISTRATIVO</v>
      </c>
      <c r="F2135" s="47" t="s">
        <v>105</v>
      </c>
      <c r="G2135" s="24" t="str">
        <f>IFERROR(VLOOKUP(F2135,Procedimentos!A:C,2,),"")</f>
        <v>PROTOCOLO IDENTIFICAÇÃO E MANEJO DA EVOLUÇÃO DESFAVORÁVEL DO PACIENTE NO ESPAÇO CUIDAR</v>
      </c>
      <c r="K2135" s="25" t="str">
        <f t="shared" si="74"/>
        <v/>
      </c>
    </row>
    <row r="2136" spans="2:11" ht="15" customHeight="1">
      <c r="B2136" s="38">
        <v>14508</v>
      </c>
      <c r="C2136" s="22" t="str">
        <f>IFERROR(VLOOKUP(B2136,Colaboradores!A:D,2,),"")</f>
        <v>FYAMA SANTOS SILVA</v>
      </c>
      <c r="D2136" s="22" t="str">
        <f>IFERROR(VLOOKUP(B2136,Colaboradores!A:D,3,),"")</f>
        <v>SAÚDE OCUPACIONAL</v>
      </c>
      <c r="E2136" s="22" t="str">
        <f>IFERROR(VLOOKUP(B2136,Colaboradores!A:D,4,),"")</f>
        <v>ASSISTENTE ADMINISTRATIVO</v>
      </c>
      <c r="F2136" s="47" t="s">
        <v>106</v>
      </c>
      <c r="G2136" s="24" t="str">
        <f>IFERROR(VLOOKUP(F2136,Procedimentos!A:C,2,),"")</f>
        <v>PROTOCOLO DE DETERIORAÇÃO CLÍNICA</v>
      </c>
      <c r="K2136" s="25" t="str">
        <f t="shared" si="74"/>
        <v/>
      </c>
    </row>
    <row r="2137" spans="2:11" ht="15" customHeight="1">
      <c r="B2137" s="38">
        <v>14508</v>
      </c>
      <c r="C2137" s="22" t="str">
        <f>IFERROR(VLOOKUP(B2137,Colaboradores!A:D,2,),"")</f>
        <v>FYAMA SANTOS SILVA</v>
      </c>
      <c r="D2137" s="22" t="str">
        <f>IFERROR(VLOOKUP(B2137,Colaboradores!A:D,3,),"")</f>
        <v>SAÚDE OCUPACIONAL</v>
      </c>
      <c r="E2137" s="22" t="str">
        <f>IFERROR(VLOOKUP(B2137,Colaboradores!A:D,4,),"")</f>
        <v>ASSISTENTE ADMINISTRATIVO</v>
      </c>
      <c r="F2137" s="47" t="s">
        <v>107</v>
      </c>
      <c r="G2137" s="24" t="str">
        <f>IFERROR(VLOOKUP(F2137,Procedimentos!A:C,2,),"")</f>
        <v>PROTOCOLO DE COMUNICAÇÃO DE NOTÍCIAS DIFÍCEIS</v>
      </c>
      <c r="K2137" s="25" t="str">
        <f t="shared" si="74"/>
        <v/>
      </c>
    </row>
    <row r="2138" spans="2:11" ht="15" customHeight="1">
      <c r="B2138" s="38">
        <v>14508</v>
      </c>
      <c r="C2138" s="22" t="str">
        <f>IFERROR(VLOOKUP(B2138,Colaboradores!A:D,2,),"")</f>
        <v>FYAMA SANTOS SILVA</v>
      </c>
      <c r="D2138" s="22" t="str">
        <f>IFERROR(VLOOKUP(B2138,Colaboradores!A:D,3,),"")</f>
        <v>SAÚDE OCUPACIONAL</v>
      </c>
      <c r="E2138" s="22" t="str">
        <f>IFERROR(VLOOKUP(B2138,Colaboradores!A:D,4,),"")</f>
        <v>ASSISTENTE ADMINISTRATIVO</v>
      </c>
      <c r="F2138" s="47" t="s">
        <v>108</v>
      </c>
      <c r="G2138" s="24" t="str">
        <f>IFERROR(VLOOKUP(F2138,Procedimentos!A:C,2,),"")</f>
        <v>PROTOCOLO PARA ATENDIMENTO DO (A) ASSISTENTE SOCIAL NO AMBULATÓRIO DO ESPAÇO CUIDAR</v>
      </c>
      <c r="K2138" s="25" t="str">
        <f t="shared" si="74"/>
        <v/>
      </c>
    </row>
    <row r="2139" spans="2:11" ht="15" customHeight="1">
      <c r="B2139" s="38">
        <v>14508</v>
      </c>
      <c r="C2139" s="22" t="str">
        <f>IFERROR(VLOOKUP(B2139,Colaboradores!A:D,2,),"")</f>
        <v>FYAMA SANTOS SILVA</v>
      </c>
      <c r="D2139" s="22" t="str">
        <f>IFERROR(VLOOKUP(B2139,Colaboradores!A:D,3,),"")</f>
        <v>SAÚDE OCUPACIONAL</v>
      </c>
      <c r="E2139" s="22" t="str">
        <f>IFERROR(VLOOKUP(B2139,Colaboradores!A:D,4,),"")</f>
        <v>ASSISTENTE ADMINISTRATIVO</v>
      </c>
      <c r="F2139" s="47" t="s">
        <v>109</v>
      </c>
      <c r="G2139" s="24" t="str">
        <f>IFERROR(VLOOKUP(F2139,Procedimentos!A:C,2,),"")</f>
        <v>ROTOCOLO DE ASSISTÊNCIA NUTRICIONAL AMBULATÓRIAL PARA ADULTOS E IDOSOS COM SOBREPESO E OBESIDADE</v>
      </c>
      <c r="K2139" s="25" t="str">
        <f t="shared" si="74"/>
        <v/>
      </c>
    </row>
    <row r="2140" spans="2:11" ht="15" customHeight="1">
      <c r="B2140" s="38">
        <v>14508</v>
      </c>
      <c r="C2140" s="22" t="str">
        <f>IFERROR(VLOOKUP(B2140,Colaboradores!A:D,2,),"")</f>
        <v>FYAMA SANTOS SILVA</v>
      </c>
      <c r="D2140" s="22" t="str">
        <f>IFERROR(VLOOKUP(B2140,Colaboradores!A:D,3,),"")</f>
        <v>SAÚDE OCUPACIONAL</v>
      </c>
      <c r="E2140" s="22" t="str">
        <f>IFERROR(VLOOKUP(B2140,Colaboradores!A:D,4,),"")</f>
        <v>ASSISTENTE ADMINISTRATIVO</v>
      </c>
      <c r="F2140" s="47" t="s">
        <v>110</v>
      </c>
      <c r="G2140" s="24" t="str">
        <f>IFERROR(VLOOKUP(F2140,Procedimentos!A:C,2,),"")</f>
        <v>PROTOCOLO DE AGENDAMENTO</v>
      </c>
      <c r="K2140" s="25" t="str">
        <f t="shared" si="74"/>
        <v/>
      </c>
    </row>
    <row r="2141" spans="2:11" ht="15" customHeight="1">
      <c r="B2141" s="38">
        <v>14508</v>
      </c>
      <c r="C2141" s="22" t="str">
        <f>IFERROR(VLOOKUP(B2141,Colaboradores!A:D,2,),"")</f>
        <v>FYAMA SANTOS SILVA</v>
      </c>
      <c r="D2141" s="22" t="str">
        <f>IFERROR(VLOOKUP(B2141,Colaboradores!A:D,3,),"")</f>
        <v>SAÚDE OCUPACIONAL</v>
      </c>
      <c r="E2141" s="22" t="str">
        <f>IFERROR(VLOOKUP(B2141,Colaboradores!A:D,4,),"")</f>
        <v>ASSISTENTE ADMINISTRATIVO</v>
      </c>
      <c r="F2141" s="47" t="s">
        <v>111</v>
      </c>
      <c r="G2141" s="24" t="str">
        <f>IFERROR(VLOOKUP(F2141,Procedimentos!A:C,2,),"")</f>
        <v>PROTOCOLO DE IDENTIFICAÇÃO DE SINAIS SUSGETIVOS DE VIOLÊNCIA - ESPAÇO CUIDAR/ EMSERH</v>
      </c>
      <c r="K2141" s="25" t="str">
        <f t="shared" si="74"/>
        <v/>
      </c>
    </row>
    <row r="2142" spans="2:11" ht="15" customHeight="1">
      <c r="B2142" s="38">
        <v>14508</v>
      </c>
      <c r="C2142" s="22" t="str">
        <f>IFERROR(VLOOKUP(B2142,Colaboradores!A:D,2,),"")</f>
        <v>FYAMA SANTOS SILVA</v>
      </c>
      <c r="D2142" s="22" t="str">
        <f>IFERROR(VLOOKUP(B2142,Colaboradores!A:D,3,),"")</f>
        <v>SAÚDE OCUPACIONAL</v>
      </c>
      <c r="E2142" s="22" t="str">
        <f>IFERROR(VLOOKUP(B2142,Colaboradores!A:D,4,),"")</f>
        <v>ASSISTENTE ADMINISTRATIVO</v>
      </c>
      <c r="F2142" s="47" t="s">
        <v>112</v>
      </c>
      <c r="G2142" s="24" t="str">
        <f>IFERROR(VLOOKUP(F2142,Procedimentos!A:C,2,),"")</f>
        <v>PROTOCOLO DE IDENTIFICAÇÃO SEGURA</v>
      </c>
      <c r="K2142" s="25" t="str">
        <f t="shared" si="74"/>
        <v/>
      </c>
    </row>
    <row r="2143" spans="2:11" ht="15" customHeight="1">
      <c r="B2143" s="38">
        <v>14508</v>
      </c>
      <c r="C2143" s="22" t="str">
        <f>IFERROR(VLOOKUP(B2143,Colaboradores!A:D,2,),"")</f>
        <v>FYAMA SANTOS SILVA</v>
      </c>
      <c r="D2143" s="22" t="str">
        <f>IFERROR(VLOOKUP(B2143,Colaboradores!A:D,3,),"")</f>
        <v>SAÚDE OCUPACIONAL</v>
      </c>
      <c r="E2143" s="22" t="str">
        <f>IFERROR(VLOOKUP(B2143,Colaboradores!A:D,4,),"")</f>
        <v>ASSISTENTE ADMINISTRATIVO</v>
      </c>
      <c r="F2143" s="47" t="s">
        <v>113</v>
      </c>
      <c r="G2143" s="24" t="str">
        <f>IFERROR(VLOOKUP(F2143,Procedimentos!A:C,2,),"")</f>
        <v>PROTOCOLO DE NORMAS E ROTINAS PARA COMUNICAÇÃO DO ESTADO DE SAÚDE DO PACIENTE</v>
      </c>
      <c r="K2143" s="25" t="str">
        <f t="shared" si="74"/>
        <v/>
      </c>
    </row>
    <row r="2144" spans="2:11" ht="15" customHeight="1">
      <c r="B2144" s="38">
        <v>14508</v>
      </c>
      <c r="C2144" s="22" t="str">
        <f>IFERROR(VLOOKUP(B2144,Colaboradores!A:D,2,),"")</f>
        <v>FYAMA SANTOS SILVA</v>
      </c>
      <c r="D2144" s="22" t="str">
        <f>IFERROR(VLOOKUP(B2144,Colaboradores!A:D,3,),"")</f>
        <v>SAÚDE OCUPACIONAL</v>
      </c>
      <c r="E2144" s="22" t="str">
        <f>IFERROR(VLOOKUP(B2144,Colaboradores!A:D,4,),"")</f>
        <v>ASSISTENTE ADMINISTRATIVO</v>
      </c>
      <c r="F2144" s="47" t="s">
        <v>114</v>
      </c>
      <c r="G2144" s="24" t="str">
        <f>IFERROR(VLOOKUP(F2144,Procedimentos!A:C,2,),"")</f>
        <v>PROTOCOLO DE COMUNICAÇÃO EFETIVA EM PRÁTICAS DE SAÚDE</v>
      </c>
      <c r="K2144" s="25" t="str">
        <f t="shared" si="74"/>
        <v/>
      </c>
    </row>
    <row r="2145" spans="2:11" ht="15" customHeight="1">
      <c r="B2145" s="38">
        <v>14508</v>
      </c>
      <c r="C2145" s="22" t="str">
        <f>IFERROR(VLOOKUP(B2145,Colaboradores!A:D,2,),"")</f>
        <v>FYAMA SANTOS SILVA</v>
      </c>
      <c r="D2145" s="22" t="str">
        <f>IFERROR(VLOOKUP(B2145,Colaboradores!A:D,3,),"")</f>
        <v>SAÚDE OCUPACIONAL</v>
      </c>
      <c r="E2145" s="22" t="str">
        <f>IFERROR(VLOOKUP(B2145,Colaboradores!A:D,4,),"")</f>
        <v>ASSISTENTE ADMINISTRATIVO</v>
      </c>
      <c r="F2145" s="47" t="s">
        <v>115</v>
      </c>
      <c r="G2145" s="24" t="str">
        <f>IFERROR(VLOOKUP(F2145,Procedimentos!A:C,2,),"")</f>
        <v>PROTOCOLO DE NORMAS E ROTINAS DE ADMISSÃO, TRIAGEM E ALTA</v>
      </c>
      <c r="K2145" s="25" t="str">
        <f t="shared" si="74"/>
        <v/>
      </c>
    </row>
    <row r="2146" spans="2:11" ht="15" customHeight="1">
      <c r="B2146" s="38">
        <v>14508</v>
      </c>
      <c r="C2146" s="22" t="str">
        <f>IFERROR(VLOOKUP(B2146,Colaboradores!A:D,2,),"")</f>
        <v>FYAMA SANTOS SILVA</v>
      </c>
      <c r="D2146" s="22" t="str">
        <f>IFERROR(VLOOKUP(B2146,Colaboradores!A:D,3,),"")</f>
        <v>SAÚDE OCUPACIONAL</v>
      </c>
      <c r="E2146" s="22" t="str">
        <f>IFERROR(VLOOKUP(B2146,Colaboradores!A:D,4,),"")</f>
        <v>ASSISTENTE ADMINISTRATIVO</v>
      </c>
      <c r="F2146" s="47" t="s">
        <v>116</v>
      </c>
      <c r="G2146" s="24" t="str">
        <f>IFERROR(VLOOKUP(F2146,Procedimentos!A:C,2,),"")</f>
        <v>PROTOCOLO DE SEGURANÇA NA PRESCRIÇÃO, USO E ADMINISTRAÇÃO DE MEDICAMENTOS ESPAÇO CUIDAR</v>
      </c>
      <c r="K2146" s="25" t="str">
        <f t="shared" si="74"/>
        <v/>
      </c>
    </row>
    <row r="2147" spans="2:11" ht="15" customHeight="1">
      <c r="B2147" s="38">
        <v>14508</v>
      </c>
      <c r="C2147" s="22" t="str">
        <f>IFERROR(VLOOKUP(B2147,Colaboradores!A:D,2,),"")</f>
        <v>FYAMA SANTOS SILVA</v>
      </c>
      <c r="D2147" s="22" t="str">
        <f>IFERROR(VLOOKUP(B2147,Colaboradores!A:D,3,),"")</f>
        <v>SAÚDE OCUPACIONAL</v>
      </c>
      <c r="E2147" s="22" t="str">
        <f>IFERROR(VLOOKUP(B2147,Colaboradores!A:D,4,),"")</f>
        <v>ASSISTENTE ADMINISTRATIVO</v>
      </c>
      <c r="F2147" s="47" t="s">
        <v>117</v>
      </c>
      <c r="G2147" s="24" t="str">
        <f>IFERROR(VLOOKUP(F2147,Procedimentos!A:C,2,),"")</f>
        <v>NORMA E ROTINA DA TRANSIÇÃO DE CUIDADOS</v>
      </c>
      <c r="K2147" s="25" t="str">
        <f t="shared" si="74"/>
        <v/>
      </c>
    </row>
    <row r="2148" spans="2:11" ht="15" customHeight="1">
      <c r="B2148" s="38">
        <v>14508</v>
      </c>
      <c r="C2148" s="22" t="str">
        <f>IFERROR(VLOOKUP(B2148,Colaboradores!A:D,2,),"")</f>
        <v>FYAMA SANTOS SILVA</v>
      </c>
      <c r="D2148" s="22" t="str">
        <f>IFERROR(VLOOKUP(B2148,Colaboradores!A:D,3,),"")</f>
        <v>SAÚDE OCUPACIONAL</v>
      </c>
      <c r="E2148" s="22" t="str">
        <f>IFERROR(VLOOKUP(B2148,Colaboradores!A:D,4,),"")</f>
        <v>ASSISTENTE ADMINISTRATIVO</v>
      </c>
      <c r="F2148" s="47" t="s">
        <v>118</v>
      </c>
      <c r="G2148" s="24" t="str">
        <f>IFERROR(VLOOKUP(F2148,Procedimentos!A:C,2,),"")</f>
        <v>PROTOCOLO DE ASSISTÊNCIA FISIOTERAPÊUTICA DO ESPAÇO CUIDAR</v>
      </c>
      <c r="K2148" s="25" t="str">
        <f t="shared" si="74"/>
        <v/>
      </c>
    </row>
    <row r="2149" spans="2:11" ht="15" customHeight="1">
      <c r="B2149" s="38">
        <v>14866</v>
      </c>
      <c r="C2149" s="22" t="str">
        <f>IFERROR(VLOOKUP(B2149,Colaboradores!A:D,2,),"")</f>
        <v>GERUSA LOURDES CHAVES ALVES DA SILVA</v>
      </c>
      <c r="D2149" s="22" t="str">
        <f>IFERROR(VLOOKUP(B2149,Colaboradores!A:D,3,),"")</f>
        <v>SAÚDE OCUPACIONAL</v>
      </c>
      <c r="E2149" s="22" t="str">
        <f>IFERROR(VLOOKUP(B2149,Colaboradores!A:D,4,),"")</f>
        <v>ASSESSOR CLINICO(A)</v>
      </c>
      <c r="F2149" s="47" t="s">
        <v>94</v>
      </c>
      <c r="G2149" s="24" t="str">
        <f>IFERROR(VLOOKUP(F2149,Procedimentos!A:C,2,),"")</f>
        <v>PROTOCOLO DE CONSENTIMENTO INFORMADO</v>
      </c>
      <c r="K2149" s="25" t="str">
        <f t="shared" si="74"/>
        <v/>
      </c>
    </row>
    <row r="2150" spans="2:11" ht="15" customHeight="1">
      <c r="B2150" s="38">
        <v>14866</v>
      </c>
      <c r="C2150" s="22" t="str">
        <f>IFERROR(VLOOKUP(B2150,Colaboradores!A:D,2,),"")</f>
        <v>GERUSA LOURDES CHAVES ALVES DA SILVA</v>
      </c>
      <c r="D2150" s="22" t="str">
        <f>IFERROR(VLOOKUP(B2150,Colaboradores!A:D,3,),"")</f>
        <v>SAÚDE OCUPACIONAL</v>
      </c>
      <c r="E2150" s="22" t="str">
        <f>IFERROR(VLOOKUP(B2150,Colaboradores!A:D,4,),"")</f>
        <v>ASSESSOR CLINICO(A)</v>
      </c>
      <c r="F2150" s="47" t="s">
        <v>95</v>
      </c>
      <c r="G2150" s="24" t="str">
        <f>IFERROR(VLOOKUP(F2150,Procedimentos!A:C,2,),"")</f>
        <v>PROTOCOLO DE NOTIFICAÇÃO COMPULSORIA - ESPAÇO CUIDAR/EMSERH</v>
      </c>
      <c r="K2150" s="25" t="str">
        <f t="shared" si="74"/>
        <v/>
      </c>
    </row>
    <row r="2151" spans="2:11" ht="15" customHeight="1">
      <c r="B2151" s="38">
        <v>14866</v>
      </c>
      <c r="C2151" s="22" t="str">
        <f>IFERROR(VLOOKUP(B2151,Colaboradores!A:D,2,),"")</f>
        <v>GERUSA LOURDES CHAVES ALVES DA SILVA</v>
      </c>
      <c r="D2151" s="22" t="str">
        <f>IFERROR(VLOOKUP(B2151,Colaboradores!A:D,3,),"")</f>
        <v>SAÚDE OCUPACIONAL</v>
      </c>
      <c r="E2151" s="22" t="str">
        <f>IFERROR(VLOOKUP(B2151,Colaboradores!A:D,4,),"")</f>
        <v>ASSESSOR CLINICO(A)</v>
      </c>
      <c r="F2151" s="47" t="s">
        <v>96</v>
      </c>
      <c r="G2151" s="24" t="str">
        <f>IFERROR(VLOOKUP(F2151,Procedimentos!A:C,2,),"")</f>
        <v>PROTOCOLO PARA HIGIENIZAÇÃO DAS MÃOS</v>
      </c>
      <c r="H2151" s="25"/>
      <c r="K2151" s="25" t="str">
        <f t="shared" si="74"/>
        <v/>
      </c>
    </row>
    <row r="2152" spans="2:11" ht="15" customHeight="1">
      <c r="B2152" s="38">
        <v>14866</v>
      </c>
      <c r="C2152" s="22" t="str">
        <f>IFERROR(VLOOKUP(B2152,Colaboradores!A:D,2,),"")</f>
        <v>GERUSA LOURDES CHAVES ALVES DA SILVA</v>
      </c>
      <c r="D2152" s="22" t="str">
        <f>IFERROR(VLOOKUP(B2152,Colaboradores!A:D,3,),"")</f>
        <v>SAÚDE OCUPACIONAL</v>
      </c>
      <c r="E2152" s="22" t="str">
        <f>IFERROR(VLOOKUP(B2152,Colaboradores!A:D,4,),"")</f>
        <v>ASSESSOR CLINICO(A)</v>
      </c>
      <c r="F2152" s="47" t="s">
        <v>97</v>
      </c>
      <c r="G2152" s="24" t="str">
        <f>IFERROR(VLOOKUP(F2152,Procedimentos!A:C,2,),"")</f>
        <v>PROTOCOLO DE PREVENÇÃO DE QUEDAS</v>
      </c>
      <c r="K2152" s="25" t="str">
        <f t="shared" si="74"/>
        <v/>
      </c>
    </row>
    <row r="2153" spans="2:11" ht="15" customHeight="1">
      <c r="B2153" s="38">
        <v>14866</v>
      </c>
      <c r="C2153" s="22" t="str">
        <f>IFERROR(VLOOKUP(B2153,Colaboradores!A:D,2,),"")</f>
        <v>GERUSA LOURDES CHAVES ALVES DA SILVA</v>
      </c>
      <c r="D2153" s="22" t="str">
        <f>IFERROR(VLOOKUP(B2153,Colaboradores!A:D,3,),"")</f>
        <v>SAÚDE OCUPACIONAL</v>
      </c>
      <c r="E2153" s="22" t="str">
        <f>IFERROR(VLOOKUP(B2153,Colaboradores!A:D,4,),"")</f>
        <v>ASSESSOR CLINICO(A)</v>
      </c>
      <c r="F2153" s="47" t="s">
        <v>98</v>
      </c>
      <c r="G2153" s="24" t="str">
        <f>IFERROR(VLOOKUP(F2153,Procedimentos!A:C,2,),"")</f>
        <v>PROTOCOLO INSTITUCIONAL DE CONDUTA ETICA NO ATENDIMENTO MULTIPROFISSIONAL NO ESPAÇO CUIDAR</v>
      </c>
      <c r="K2153" s="25" t="str">
        <f t="shared" si="74"/>
        <v/>
      </c>
    </row>
    <row r="2154" spans="2:11" ht="15" customHeight="1">
      <c r="B2154" s="38">
        <v>14866</v>
      </c>
      <c r="C2154" s="22" t="str">
        <f>IFERROR(VLOOKUP(B2154,Colaboradores!A:D,2,),"")</f>
        <v>GERUSA LOURDES CHAVES ALVES DA SILVA</v>
      </c>
      <c r="D2154" s="22" t="str">
        <f>IFERROR(VLOOKUP(B2154,Colaboradores!A:D,3,),"")</f>
        <v>SAÚDE OCUPACIONAL</v>
      </c>
      <c r="E2154" s="22" t="str">
        <f>IFERROR(VLOOKUP(B2154,Colaboradores!A:D,4,),"")</f>
        <v>ASSESSOR CLINICO(A)</v>
      </c>
      <c r="F2154" s="47" t="s">
        <v>99</v>
      </c>
      <c r="G2154" s="24" t="str">
        <f>IFERROR(VLOOKUP(F2154,Procedimentos!A:C,2,),"")</f>
        <v>PROTOCOLO PARA LIMPEZA DE ÁREAS E SUPERFÍCIES NO ESPAÇO CUIDAR</v>
      </c>
      <c r="K2154" s="25" t="str">
        <f t="shared" si="74"/>
        <v/>
      </c>
    </row>
    <row r="2155" spans="2:11" ht="15" customHeight="1">
      <c r="B2155" s="38">
        <v>14866</v>
      </c>
      <c r="C2155" s="22" t="str">
        <f>IFERROR(VLOOKUP(B2155,Colaboradores!A:D,2,),"")</f>
        <v>GERUSA LOURDES CHAVES ALVES DA SILVA</v>
      </c>
      <c r="D2155" s="22" t="str">
        <f>IFERROR(VLOOKUP(B2155,Colaboradores!A:D,3,),"")</f>
        <v>SAÚDE OCUPACIONAL</v>
      </c>
      <c r="E2155" s="22" t="str">
        <f>IFERROR(VLOOKUP(B2155,Colaboradores!A:D,4,),"")</f>
        <v>ASSESSOR CLINICO(A)</v>
      </c>
      <c r="F2155" s="47" t="s">
        <v>100</v>
      </c>
      <c r="G2155" s="24" t="str">
        <f>IFERROR(VLOOKUP(F2155,Procedimentos!A:C,2,),"")</f>
        <v>PROTOCOLO DE ATENDIMENTO PSIQUIATRICO NO ESPAÇO CUIDAR DA EMSERH</v>
      </c>
      <c r="K2155" s="25" t="str">
        <f t="shared" si="74"/>
        <v/>
      </c>
    </row>
    <row r="2156" spans="2:11" ht="15" customHeight="1">
      <c r="B2156" s="38">
        <v>14866</v>
      </c>
      <c r="C2156" s="22" t="str">
        <f>IFERROR(VLOOKUP(B2156,Colaboradores!A:D,2,),"")</f>
        <v>GERUSA LOURDES CHAVES ALVES DA SILVA</v>
      </c>
      <c r="D2156" s="22" t="str">
        <f>IFERROR(VLOOKUP(B2156,Colaboradores!A:D,3,),"")</f>
        <v>SAÚDE OCUPACIONAL</v>
      </c>
      <c r="E2156" s="22" t="str">
        <f>IFERROR(VLOOKUP(B2156,Colaboradores!A:D,4,),"")</f>
        <v>ASSESSOR CLINICO(A)</v>
      </c>
      <c r="F2156" s="47" t="s">
        <v>101</v>
      </c>
      <c r="G2156" s="24" t="str">
        <f>IFERROR(VLOOKUP(F2156,Procedimentos!A:C,2,),"")</f>
        <v>PROTOCOLO DE MANEJO DE SURTO</v>
      </c>
      <c r="K2156" s="25" t="str">
        <f t="shared" si="74"/>
        <v/>
      </c>
    </row>
    <row r="2157" spans="2:11" ht="15" customHeight="1">
      <c r="B2157" s="38">
        <v>14866</v>
      </c>
      <c r="C2157" s="22" t="str">
        <f>IFERROR(VLOOKUP(B2157,Colaboradores!A:D,2,),"")</f>
        <v>GERUSA LOURDES CHAVES ALVES DA SILVA</v>
      </c>
      <c r="D2157" s="22" t="str">
        <f>IFERROR(VLOOKUP(B2157,Colaboradores!A:D,3,),"")</f>
        <v>SAÚDE OCUPACIONAL</v>
      </c>
      <c r="E2157" s="22" t="str">
        <f>IFERROR(VLOOKUP(B2157,Colaboradores!A:D,4,),"")</f>
        <v>ASSESSOR CLINICO(A)</v>
      </c>
      <c r="F2157" s="47" t="s">
        <v>102</v>
      </c>
      <c r="G2157" s="24" t="str">
        <f>IFERROR(VLOOKUP(F2157,Procedimentos!A:C,2,),"")</f>
        <v>PROTOCOLO DE TRANSPORTE SEGURO NO ESPAÇO CUIDAR</v>
      </c>
      <c r="K2157" s="25" t="str">
        <f t="shared" si="74"/>
        <v/>
      </c>
    </row>
    <row r="2158" spans="2:11" ht="15" customHeight="1">
      <c r="B2158" s="38">
        <v>14866</v>
      </c>
      <c r="C2158" s="22" t="str">
        <f>IFERROR(VLOOKUP(B2158,Colaboradores!A:D,2,),"")</f>
        <v>GERUSA LOURDES CHAVES ALVES DA SILVA</v>
      </c>
      <c r="D2158" s="22" t="str">
        <f>IFERROR(VLOOKUP(B2158,Colaboradores!A:D,3,),"")</f>
        <v>SAÚDE OCUPACIONAL</v>
      </c>
      <c r="E2158" s="22" t="str">
        <f>IFERROR(VLOOKUP(B2158,Colaboradores!A:D,4,),"")</f>
        <v>ASSESSOR CLINICO(A)</v>
      </c>
      <c r="F2158" s="47" t="s">
        <v>103</v>
      </c>
      <c r="G2158" s="24" t="str">
        <f>IFERROR(VLOOKUP(F2158,Procedimentos!A:C,2,),"")</f>
        <v>PROTOCOLO DE ATENDIMENTO À PESSOA COM COMPORTAMENTO SUÍCIDA</v>
      </c>
      <c r="K2158" s="25" t="str">
        <f t="shared" si="74"/>
        <v/>
      </c>
    </row>
    <row r="2159" spans="2:11" ht="15" customHeight="1">
      <c r="B2159" s="38">
        <v>14866</v>
      </c>
      <c r="C2159" s="22" t="str">
        <f>IFERROR(VLOOKUP(B2159,Colaboradores!A:D,2,),"")</f>
        <v>GERUSA LOURDES CHAVES ALVES DA SILVA</v>
      </c>
      <c r="D2159" s="22" t="str">
        <f>IFERROR(VLOOKUP(B2159,Colaboradores!A:D,3,),"")</f>
        <v>SAÚDE OCUPACIONAL</v>
      </c>
      <c r="E2159" s="22" t="str">
        <f>IFERROR(VLOOKUP(B2159,Colaboradores!A:D,4,),"")</f>
        <v>ASSESSOR CLINICO(A)</v>
      </c>
      <c r="F2159" s="47" t="s">
        <v>104</v>
      </c>
      <c r="G2159" s="24" t="str">
        <f>IFERROR(VLOOKUP(F2159,Procedimentos!A:C,2,),"")</f>
        <v>PROTOCOLO DE BIOSSEGURANÇA</v>
      </c>
      <c r="K2159" s="25" t="str">
        <f t="shared" si="74"/>
        <v/>
      </c>
    </row>
    <row r="2160" spans="2:11" ht="15" customHeight="1">
      <c r="B2160" s="38">
        <v>14866</v>
      </c>
      <c r="C2160" s="22" t="str">
        <f>IFERROR(VLOOKUP(B2160,Colaboradores!A:D,2,),"")</f>
        <v>GERUSA LOURDES CHAVES ALVES DA SILVA</v>
      </c>
      <c r="D2160" s="22" t="str">
        <f>IFERROR(VLOOKUP(B2160,Colaboradores!A:D,3,),"")</f>
        <v>SAÚDE OCUPACIONAL</v>
      </c>
      <c r="E2160" s="22" t="str">
        <f>IFERROR(VLOOKUP(B2160,Colaboradores!A:D,4,),"")</f>
        <v>ASSESSOR CLINICO(A)</v>
      </c>
      <c r="F2160" s="47" t="s">
        <v>105</v>
      </c>
      <c r="G2160" s="24" t="str">
        <f>IFERROR(VLOOKUP(F2160,Procedimentos!A:C,2,),"")</f>
        <v>PROTOCOLO IDENTIFICAÇÃO E MANEJO DA EVOLUÇÃO DESFAVORÁVEL DO PACIENTE NO ESPAÇO CUIDAR</v>
      </c>
      <c r="K2160" s="25" t="str">
        <f t="shared" si="74"/>
        <v/>
      </c>
    </row>
    <row r="2161" spans="2:11" ht="15" customHeight="1">
      <c r="B2161" s="38">
        <v>14866</v>
      </c>
      <c r="C2161" s="22" t="str">
        <f>IFERROR(VLOOKUP(B2161,Colaboradores!A:D,2,),"")</f>
        <v>GERUSA LOURDES CHAVES ALVES DA SILVA</v>
      </c>
      <c r="D2161" s="22" t="str">
        <f>IFERROR(VLOOKUP(B2161,Colaboradores!A:D,3,),"")</f>
        <v>SAÚDE OCUPACIONAL</v>
      </c>
      <c r="E2161" s="22" t="str">
        <f>IFERROR(VLOOKUP(B2161,Colaboradores!A:D,4,),"")</f>
        <v>ASSESSOR CLINICO(A)</v>
      </c>
      <c r="F2161" s="47" t="s">
        <v>106</v>
      </c>
      <c r="G2161" s="24" t="str">
        <f>IFERROR(VLOOKUP(F2161,Procedimentos!A:C,2,),"")</f>
        <v>PROTOCOLO DE DETERIORAÇÃO CLÍNICA</v>
      </c>
      <c r="K2161" s="25" t="str">
        <f t="shared" si="74"/>
        <v/>
      </c>
    </row>
    <row r="2162" spans="2:11" ht="15" customHeight="1">
      <c r="B2162" s="38">
        <v>14866</v>
      </c>
      <c r="C2162" s="22" t="str">
        <f>IFERROR(VLOOKUP(B2162,Colaboradores!A:D,2,),"")</f>
        <v>GERUSA LOURDES CHAVES ALVES DA SILVA</v>
      </c>
      <c r="D2162" s="22" t="str">
        <f>IFERROR(VLOOKUP(B2162,Colaboradores!A:D,3,),"")</f>
        <v>SAÚDE OCUPACIONAL</v>
      </c>
      <c r="E2162" s="22" t="str">
        <f>IFERROR(VLOOKUP(B2162,Colaboradores!A:D,4,),"")</f>
        <v>ASSESSOR CLINICO(A)</v>
      </c>
      <c r="F2162" s="47" t="s">
        <v>107</v>
      </c>
      <c r="G2162" s="24" t="str">
        <f>IFERROR(VLOOKUP(F2162,Procedimentos!A:C,2,),"")</f>
        <v>PROTOCOLO DE COMUNICAÇÃO DE NOTÍCIAS DIFÍCEIS</v>
      </c>
      <c r="K2162" s="25" t="str">
        <f t="shared" si="74"/>
        <v/>
      </c>
    </row>
    <row r="2163" spans="2:11" ht="15" customHeight="1">
      <c r="B2163" s="38">
        <v>14866</v>
      </c>
      <c r="C2163" s="22" t="str">
        <f>IFERROR(VLOOKUP(B2163,Colaboradores!A:D,2,),"")</f>
        <v>GERUSA LOURDES CHAVES ALVES DA SILVA</v>
      </c>
      <c r="D2163" s="22" t="str">
        <f>IFERROR(VLOOKUP(B2163,Colaboradores!A:D,3,),"")</f>
        <v>SAÚDE OCUPACIONAL</v>
      </c>
      <c r="E2163" s="22" t="str">
        <f>IFERROR(VLOOKUP(B2163,Colaboradores!A:D,4,),"")</f>
        <v>ASSESSOR CLINICO(A)</v>
      </c>
      <c r="F2163" s="47" t="s">
        <v>108</v>
      </c>
      <c r="G2163" s="24" t="str">
        <f>IFERROR(VLOOKUP(F2163,Procedimentos!A:C,2,),"")</f>
        <v>PROTOCOLO PARA ATENDIMENTO DO (A) ASSISTENTE SOCIAL NO AMBULATÓRIO DO ESPAÇO CUIDAR</v>
      </c>
      <c r="K2163" s="25" t="str">
        <f t="shared" si="74"/>
        <v/>
      </c>
    </row>
    <row r="2164" spans="2:11" ht="15" customHeight="1">
      <c r="B2164" s="38">
        <v>14866</v>
      </c>
      <c r="C2164" s="22" t="str">
        <f>IFERROR(VLOOKUP(B2164,Colaboradores!A:D,2,),"")</f>
        <v>GERUSA LOURDES CHAVES ALVES DA SILVA</v>
      </c>
      <c r="D2164" s="22" t="str">
        <f>IFERROR(VLOOKUP(B2164,Colaboradores!A:D,3,),"")</f>
        <v>SAÚDE OCUPACIONAL</v>
      </c>
      <c r="E2164" s="22" t="str">
        <f>IFERROR(VLOOKUP(B2164,Colaboradores!A:D,4,),"")</f>
        <v>ASSESSOR CLINICO(A)</v>
      </c>
      <c r="F2164" s="47" t="s">
        <v>109</v>
      </c>
      <c r="G2164" s="24" t="str">
        <f>IFERROR(VLOOKUP(F2164,Procedimentos!A:C,2,),"")</f>
        <v>ROTOCOLO DE ASSISTÊNCIA NUTRICIONAL AMBULATÓRIAL PARA ADULTOS E IDOSOS COM SOBREPESO E OBESIDADE</v>
      </c>
      <c r="K2164" s="25" t="str">
        <f t="shared" si="74"/>
        <v/>
      </c>
    </row>
    <row r="2165" spans="2:11" ht="15" customHeight="1">
      <c r="B2165" s="38">
        <v>14866</v>
      </c>
      <c r="C2165" s="22" t="str">
        <f>IFERROR(VLOOKUP(B2165,Colaboradores!A:D,2,),"")</f>
        <v>GERUSA LOURDES CHAVES ALVES DA SILVA</v>
      </c>
      <c r="D2165" s="22" t="str">
        <f>IFERROR(VLOOKUP(B2165,Colaboradores!A:D,3,),"")</f>
        <v>SAÚDE OCUPACIONAL</v>
      </c>
      <c r="E2165" s="22" t="str">
        <f>IFERROR(VLOOKUP(B2165,Colaboradores!A:D,4,),"")</f>
        <v>ASSESSOR CLINICO(A)</v>
      </c>
      <c r="F2165" s="47" t="s">
        <v>110</v>
      </c>
      <c r="G2165" s="24" t="str">
        <f>IFERROR(VLOOKUP(F2165,Procedimentos!A:C,2,),"")</f>
        <v>PROTOCOLO DE AGENDAMENTO</v>
      </c>
      <c r="K2165" s="25" t="str">
        <f t="shared" si="74"/>
        <v/>
      </c>
    </row>
    <row r="2166" spans="2:11" ht="15" customHeight="1">
      <c r="B2166" s="38">
        <v>14866</v>
      </c>
      <c r="C2166" s="22" t="str">
        <f>IFERROR(VLOOKUP(B2166,Colaboradores!A:D,2,),"")</f>
        <v>GERUSA LOURDES CHAVES ALVES DA SILVA</v>
      </c>
      <c r="D2166" s="22" t="str">
        <f>IFERROR(VLOOKUP(B2166,Colaboradores!A:D,3,),"")</f>
        <v>SAÚDE OCUPACIONAL</v>
      </c>
      <c r="E2166" s="22" t="str">
        <f>IFERROR(VLOOKUP(B2166,Colaboradores!A:D,4,),"")</f>
        <v>ASSESSOR CLINICO(A)</v>
      </c>
      <c r="F2166" s="47" t="s">
        <v>111</v>
      </c>
      <c r="G2166" s="24" t="str">
        <f>IFERROR(VLOOKUP(F2166,Procedimentos!A:C,2,),"")</f>
        <v>PROTOCOLO DE IDENTIFICAÇÃO DE SINAIS SUSGETIVOS DE VIOLÊNCIA - ESPAÇO CUIDAR/ EMSERH</v>
      </c>
      <c r="K2166" s="25" t="str">
        <f t="shared" si="74"/>
        <v/>
      </c>
    </row>
    <row r="2167" spans="2:11" ht="15" customHeight="1">
      <c r="B2167" s="38">
        <v>14866</v>
      </c>
      <c r="C2167" s="22" t="str">
        <f>IFERROR(VLOOKUP(B2167,Colaboradores!A:D,2,),"")</f>
        <v>GERUSA LOURDES CHAVES ALVES DA SILVA</v>
      </c>
      <c r="D2167" s="22" t="str">
        <f>IFERROR(VLOOKUP(B2167,Colaboradores!A:D,3,),"")</f>
        <v>SAÚDE OCUPACIONAL</v>
      </c>
      <c r="E2167" s="22" t="str">
        <f>IFERROR(VLOOKUP(B2167,Colaboradores!A:D,4,),"")</f>
        <v>ASSESSOR CLINICO(A)</v>
      </c>
      <c r="F2167" s="47" t="s">
        <v>112</v>
      </c>
      <c r="G2167" s="24" t="str">
        <f>IFERROR(VLOOKUP(F2167,Procedimentos!A:C,2,),"")</f>
        <v>PROTOCOLO DE IDENTIFICAÇÃO SEGURA</v>
      </c>
      <c r="K2167" s="25" t="str">
        <f t="shared" si="74"/>
        <v/>
      </c>
    </row>
    <row r="2168" spans="2:11" ht="15" customHeight="1">
      <c r="B2168" s="38">
        <v>14866</v>
      </c>
      <c r="C2168" s="22" t="str">
        <f>IFERROR(VLOOKUP(B2168,Colaboradores!A:D,2,),"")</f>
        <v>GERUSA LOURDES CHAVES ALVES DA SILVA</v>
      </c>
      <c r="D2168" s="22" t="str">
        <f>IFERROR(VLOOKUP(B2168,Colaboradores!A:D,3,),"")</f>
        <v>SAÚDE OCUPACIONAL</v>
      </c>
      <c r="E2168" s="22" t="str">
        <f>IFERROR(VLOOKUP(B2168,Colaboradores!A:D,4,),"")</f>
        <v>ASSESSOR CLINICO(A)</v>
      </c>
      <c r="F2168" s="47" t="s">
        <v>113</v>
      </c>
      <c r="G2168" s="24" t="str">
        <f>IFERROR(VLOOKUP(F2168,Procedimentos!A:C,2,),"")</f>
        <v>PROTOCOLO DE NORMAS E ROTINAS PARA COMUNICAÇÃO DO ESTADO DE SAÚDE DO PACIENTE</v>
      </c>
      <c r="K2168" s="25" t="str">
        <f t="shared" si="74"/>
        <v/>
      </c>
    </row>
    <row r="2169" spans="2:11" ht="15" customHeight="1">
      <c r="B2169" s="38">
        <v>14866</v>
      </c>
      <c r="C2169" s="22" t="str">
        <f>IFERROR(VLOOKUP(B2169,Colaboradores!A:D,2,),"")</f>
        <v>GERUSA LOURDES CHAVES ALVES DA SILVA</v>
      </c>
      <c r="D2169" s="22" t="str">
        <f>IFERROR(VLOOKUP(B2169,Colaboradores!A:D,3,),"")</f>
        <v>SAÚDE OCUPACIONAL</v>
      </c>
      <c r="E2169" s="22" t="str">
        <f>IFERROR(VLOOKUP(B2169,Colaboradores!A:D,4,),"")</f>
        <v>ASSESSOR CLINICO(A)</v>
      </c>
      <c r="F2169" s="47" t="s">
        <v>114</v>
      </c>
      <c r="G2169" s="24" t="str">
        <f>IFERROR(VLOOKUP(F2169,Procedimentos!A:C,2,),"")</f>
        <v>PROTOCOLO DE COMUNICAÇÃO EFETIVA EM PRÁTICAS DE SAÚDE</v>
      </c>
      <c r="K2169" s="25" t="str">
        <f t="shared" si="74"/>
        <v/>
      </c>
    </row>
    <row r="2170" spans="2:11" ht="15" customHeight="1">
      <c r="B2170" s="38">
        <v>14866</v>
      </c>
      <c r="C2170" s="22" t="str">
        <f>IFERROR(VLOOKUP(B2170,Colaboradores!A:D,2,),"")</f>
        <v>GERUSA LOURDES CHAVES ALVES DA SILVA</v>
      </c>
      <c r="D2170" s="22" t="str">
        <f>IFERROR(VLOOKUP(B2170,Colaboradores!A:D,3,),"")</f>
        <v>SAÚDE OCUPACIONAL</v>
      </c>
      <c r="E2170" s="22" t="str">
        <f>IFERROR(VLOOKUP(B2170,Colaboradores!A:D,4,),"")</f>
        <v>ASSESSOR CLINICO(A)</v>
      </c>
      <c r="F2170" s="47" t="s">
        <v>115</v>
      </c>
      <c r="G2170" s="24" t="str">
        <f>IFERROR(VLOOKUP(F2170,Procedimentos!A:C,2,),"")</f>
        <v>PROTOCOLO DE NORMAS E ROTINAS DE ADMISSÃO, TRIAGEM E ALTA</v>
      </c>
      <c r="K2170" s="25" t="str">
        <f t="shared" si="74"/>
        <v/>
      </c>
    </row>
    <row r="2171" spans="2:11" ht="15" customHeight="1">
      <c r="B2171" s="38">
        <v>14866</v>
      </c>
      <c r="C2171" s="22" t="str">
        <f>IFERROR(VLOOKUP(B2171,Colaboradores!A:D,2,),"")</f>
        <v>GERUSA LOURDES CHAVES ALVES DA SILVA</v>
      </c>
      <c r="D2171" s="22" t="str">
        <f>IFERROR(VLOOKUP(B2171,Colaboradores!A:D,3,),"")</f>
        <v>SAÚDE OCUPACIONAL</v>
      </c>
      <c r="E2171" s="22" t="str">
        <f>IFERROR(VLOOKUP(B2171,Colaboradores!A:D,4,),"")</f>
        <v>ASSESSOR CLINICO(A)</v>
      </c>
      <c r="F2171" s="47" t="s">
        <v>116</v>
      </c>
      <c r="G2171" s="24" t="str">
        <f>IFERROR(VLOOKUP(F2171,Procedimentos!A:C,2,),"")</f>
        <v>PROTOCOLO DE SEGURANÇA NA PRESCRIÇÃO, USO E ADMINISTRAÇÃO DE MEDICAMENTOS ESPAÇO CUIDAR</v>
      </c>
      <c r="K2171" s="25" t="str">
        <f t="shared" si="74"/>
        <v/>
      </c>
    </row>
    <row r="2172" spans="2:11" ht="15" customHeight="1">
      <c r="B2172" s="38">
        <v>14866</v>
      </c>
      <c r="C2172" s="22" t="str">
        <f>IFERROR(VLOOKUP(B2172,Colaboradores!A:D,2,),"")</f>
        <v>GERUSA LOURDES CHAVES ALVES DA SILVA</v>
      </c>
      <c r="D2172" s="22" t="str">
        <f>IFERROR(VLOOKUP(B2172,Colaboradores!A:D,3,),"")</f>
        <v>SAÚDE OCUPACIONAL</v>
      </c>
      <c r="E2172" s="22" t="str">
        <f>IFERROR(VLOOKUP(B2172,Colaboradores!A:D,4,),"")</f>
        <v>ASSESSOR CLINICO(A)</v>
      </c>
      <c r="F2172" s="47" t="s">
        <v>117</v>
      </c>
      <c r="G2172" s="24" t="str">
        <f>IFERROR(VLOOKUP(F2172,Procedimentos!A:C,2,),"")</f>
        <v>NORMA E ROTINA DA TRANSIÇÃO DE CUIDADOS</v>
      </c>
      <c r="K2172" s="25" t="str">
        <f t="shared" si="74"/>
        <v/>
      </c>
    </row>
    <row r="2173" spans="2:11" ht="15" customHeight="1">
      <c r="B2173" s="38">
        <v>14866</v>
      </c>
      <c r="C2173" s="22" t="str">
        <f>IFERROR(VLOOKUP(B2173,Colaboradores!A:D,2,),"")</f>
        <v>GERUSA LOURDES CHAVES ALVES DA SILVA</v>
      </c>
      <c r="D2173" s="22" t="str">
        <f>IFERROR(VLOOKUP(B2173,Colaboradores!A:D,3,),"")</f>
        <v>SAÚDE OCUPACIONAL</v>
      </c>
      <c r="E2173" s="22" t="str">
        <f>IFERROR(VLOOKUP(B2173,Colaboradores!A:D,4,),"")</f>
        <v>ASSESSOR CLINICO(A)</v>
      </c>
      <c r="F2173" s="47" t="s">
        <v>118</v>
      </c>
      <c r="G2173" s="24" t="str">
        <f>IFERROR(VLOOKUP(F2173,Procedimentos!A:C,2,),"")</f>
        <v>PROTOCOLO DE ASSISTÊNCIA FISIOTERAPÊUTICA DO ESPAÇO CUIDAR</v>
      </c>
      <c r="K2173" s="25" t="str">
        <f t="shared" si="74"/>
        <v/>
      </c>
    </row>
    <row r="2174" spans="2:11" ht="15" customHeight="1">
      <c r="B2174" s="38">
        <v>15059</v>
      </c>
      <c r="C2174" s="22" t="str">
        <f>IFERROR(VLOOKUP(B2174,Colaboradores!A:D,2,),"")</f>
        <v>GUILHERME LEÃO DOS SANTOS</v>
      </c>
      <c r="D2174" s="22" t="str">
        <f>IFERROR(VLOOKUP(B2174,Colaboradores!A:D,3,),"")</f>
        <v>SAÚDE OCUPACIONAL</v>
      </c>
      <c r="E2174" s="22" t="str">
        <f>IFERROR(VLOOKUP(B2174,Colaboradores!A:D,4,),"")</f>
        <v>ASSISTENTE ADMINISTRATIVO</v>
      </c>
      <c r="F2174" s="47" t="s">
        <v>94</v>
      </c>
      <c r="G2174" s="24" t="str">
        <f>IFERROR(VLOOKUP(F2174,Procedimentos!A:C,2,),"")</f>
        <v>PROTOCOLO DE CONSENTIMENTO INFORMADO</v>
      </c>
      <c r="K2174" s="25" t="str">
        <f t="shared" si="74"/>
        <v/>
      </c>
    </row>
    <row r="2175" spans="2:11" ht="15" customHeight="1">
      <c r="B2175" s="38">
        <v>15059</v>
      </c>
      <c r="C2175" s="22" t="str">
        <f>IFERROR(VLOOKUP(B2175,Colaboradores!A:D,2,),"")</f>
        <v>GUILHERME LEÃO DOS SANTOS</v>
      </c>
      <c r="D2175" s="22" t="str">
        <f>IFERROR(VLOOKUP(B2175,Colaboradores!A:D,3,),"")</f>
        <v>SAÚDE OCUPACIONAL</v>
      </c>
      <c r="E2175" s="22" t="str">
        <f>IFERROR(VLOOKUP(B2175,Colaboradores!A:D,4,),"")</f>
        <v>ASSISTENTE ADMINISTRATIVO</v>
      </c>
      <c r="F2175" s="47" t="s">
        <v>95</v>
      </c>
      <c r="G2175" s="24" t="str">
        <f>IFERROR(VLOOKUP(F2175,Procedimentos!A:C,2,),"")</f>
        <v>PROTOCOLO DE NOTIFICAÇÃO COMPULSORIA - ESPAÇO CUIDAR/EMSERH</v>
      </c>
      <c r="K2175" s="25" t="str">
        <f t="shared" si="74"/>
        <v/>
      </c>
    </row>
    <row r="2176" spans="2:11" ht="15" customHeight="1">
      <c r="B2176" s="38">
        <v>15059</v>
      </c>
      <c r="C2176" s="22" t="str">
        <f>IFERROR(VLOOKUP(B2176,Colaboradores!A:D,2,),"")</f>
        <v>GUILHERME LEÃO DOS SANTOS</v>
      </c>
      <c r="D2176" s="22" t="str">
        <f>IFERROR(VLOOKUP(B2176,Colaboradores!A:D,3,),"")</f>
        <v>SAÚDE OCUPACIONAL</v>
      </c>
      <c r="E2176" s="22" t="str">
        <f>IFERROR(VLOOKUP(B2176,Colaboradores!A:D,4,),"")</f>
        <v>ASSISTENTE ADMINISTRATIVO</v>
      </c>
      <c r="F2176" s="47" t="s">
        <v>96</v>
      </c>
      <c r="G2176" s="24" t="str">
        <f>IFERROR(VLOOKUP(F2176,Procedimentos!A:C,2,),"")</f>
        <v>PROTOCOLO PARA HIGIENIZAÇÃO DAS MÃOS</v>
      </c>
      <c r="H2176" s="25"/>
      <c r="K2176" s="25" t="str">
        <f t="shared" si="74"/>
        <v/>
      </c>
    </row>
    <row r="2177" spans="2:11" ht="15" customHeight="1">
      <c r="B2177" s="38">
        <v>15059</v>
      </c>
      <c r="C2177" s="22" t="str">
        <f>IFERROR(VLOOKUP(B2177,Colaboradores!A:D,2,),"")</f>
        <v>GUILHERME LEÃO DOS SANTOS</v>
      </c>
      <c r="D2177" s="22" t="str">
        <f>IFERROR(VLOOKUP(B2177,Colaboradores!A:D,3,),"")</f>
        <v>SAÚDE OCUPACIONAL</v>
      </c>
      <c r="E2177" s="22" t="str">
        <f>IFERROR(VLOOKUP(B2177,Colaboradores!A:D,4,),"")</f>
        <v>ASSISTENTE ADMINISTRATIVO</v>
      </c>
      <c r="F2177" s="47" t="s">
        <v>97</v>
      </c>
      <c r="G2177" s="24" t="str">
        <f>IFERROR(VLOOKUP(F2177,Procedimentos!A:C,2,),"")</f>
        <v>PROTOCOLO DE PREVENÇÃO DE QUEDAS</v>
      </c>
      <c r="K2177" s="25" t="str">
        <f t="shared" si="74"/>
        <v/>
      </c>
    </row>
    <row r="2178" spans="2:11" ht="15" customHeight="1">
      <c r="B2178" s="38">
        <v>15059</v>
      </c>
      <c r="C2178" s="22" t="str">
        <f>IFERROR(VLOOKUP(B2178,Colaboradores!A:D,2,),"")</f>
        <v>GUILHERME LEÃO DOS SANTOS</v>
      </c>
      <c r="D2178" s="22" t="str">
        <f>IFERROR(VLOOKUP(B2178,Colaboradores!A:D,3,),"")</f>
        <v>SAÚDE OCUPACIONAL</v>
      </c>
      <c r="E2178" s="22" t="str">
        <f>IFERROR(VLOOKUP(B2178,Colaboradores!A:D,4,),"")</f>
        <v>ASSISTENTE ADMINISTRATIVO</v>
      </c>
      <c r="F2178" s="47" t="s">
        <v>98</v>
      </c>
      <c r="G2178" s="24" t="str">
        <f>IFERROR(VLOOKUP(F2178,Procedimentos!A:C,2,),"")</f>
        <v>PROTOCOLO INSTITUCIONAL DE CONDUTA ETICA NO ATENDIMENTO MULTIPROFISSIONAL NO ESPAÇO CUIDAR</v>
      </c>
      <c r="K2178" s="25" t="str">
        <f t="shared" si="74"/>
        <v/>
      </c>
    </row>
    <row r="2179" spans="2:11" ht="15" customHeight="1">
      <c r="B2179" s="38">
        <v>15059</v>
      </c>
      <c r="C2179" s="22" t="str">
        <f>IFERROR(VLOOKUP(B2179,Colaboradores!A:D,2,),"")</f>
        <v>GUILHERME LEÃO DOS SANTOS</v>
      </c>
      <c r="D2179" s="22" t="str">
        <f>IFERROR(VLOOKUP(B2179,Colaboradores!A:D,3,),"")</f>
        <v>SAÚDE OCUPACIONAL</v>
      </c>
      <c r="E2179" s="22" t="str">
        <f>IFERROR(VLOOKUP(B2179,Colaboradores!A:D,4,),"")</f>
        <v>ASSISTENTE ADMINISTRATIVO</v>
      </c>
      <c r="F2179" s="47" t="s">
        <v>99</v>
      </c>
      <c r="G2179" s="24" t="str">
        <f>IFERROR(VLOOKUP(F2179,Procedimentos!A:C,2,),"")</f>
        <v>PROTOCOLO PARA LIMPEZA DE ÁREAS E SUPERFÍCIES NO ESPAÇO CUIDAR</v>
      </c>
      <c r="K2179" s="25" t="str">
        <f t="shared" ref="K2179:K2242" si="75">IF(AND(I2179&lt;&gt;"",J2179&lt;&gt;""),DATE(YEAR(I2179),MONTH(I2179)+J2179,DAY(I2179)),"")</f>
        <v/>
      </c>
    </row>
    <row r="2180" spans="2:11" ht="15" customHeight="1">
      <c r="B2180" s="38">
        <v>15059</v>
      </c>
      <c r="C2180" s="22" t="str">
        <f>IFERROR(VLOOKUP(B2180,Colaboradores!A:D,2,),"")</f>
        <v>GUILHERME LEÃO DOS SANTOS</v>
      </c>
      <c r="D2180" s="22" t="str">
        <f>IFERROR(VLOOKUP(B2180,Colaboradores!A:D,3,),"")</f>
        <v>SAÚDE OCUPACIONAL</v>
      </c>
      <c r="E2180" s="22" t="str">
        <f>IFERROR(VLOOKUP(B2180,Colaboradores!A:D,4,),"")</f>
        <v>ASSISTENTE ADMINISTRATIVO</v>
      </c>
      <c r="F2180" s="47" t="s">
        <v>100</v>
      </c>
      <c r="G2180" s="24" t="str">
        <f>IFERROR(VLOOKUP(F2180,Procedimentos!A:C,2,),"")</f>
        <v>PROTOCOLO DE ATENDIMENTO PSIQUIATRICO NO ESPAÇO CUIDAR DA EMSERH</v>
      </c>
      <c r="K2180" s="25" t="str">
        <f t="shared" si="75"/>
        <v/>
      </c>
    </row>
    <row r="2181" spans="2:11" ht="15" customHeight="1">
      <c r="B2181" s="38">
        <v>15059</v>
      </c>
      <c r="C2181" s="22" t="str">
        <f>IFERROR(VLOOKUP(B2181,Colaboradores!A:D,2,),"")</f>
        <v>GUILHERME LEÃO DOS SANTOS</v>
      </c>
      <c r="D2181" s="22" t="str">
        <f>IFERROR(VLOOKUP(B2181,Colaboradores!A:D,3,),"")</f>
        <v>SAÚDE OCUPACIONAL</v>
      </c>
      <c r="E2181" s="22" t="str">
        <f>IFERROR(VLOOKUP(B2181,Colaboradores!A:D,4,),"")</f>
        <v>ASSISTENTE ADMINISTRATIVO</v>
      </c>
      <c r="F2181" s="47" t="s">
        <v>101</v>
      </c>
      <c r="G2181" s="24" t="str">
        <f>IFERROR(VLOOKUP(F2181,Procedimentos!A:C,2,),"")</f>
        <v>PROTOCOLO DE MANEJO DE SURTO</v>
      </c>
      <c r="K2181" s="25" t="str">
        <f t="shared" si="75"/>
        <v/>
      </c>
    </row>
    <row r="2182" spans="2:11" ht="15" customHeight="1">
      <c r="B2182" s="38">
        <v>15059</v>
      </c>
      <c r="C2182" s="22" t="str">
        <f>IFERROR(VLOOKUP(B2182,Colaboradores!A:D,2,),"")</f>
        <v>GUILHERME LEÃO DOS SANTOS</v>
      </c>
      <c r="D2182" s="22" t="str">
        <f>IFERROR(VLOOKUP(B2182,Colaboradores!A:D,3,),"")</f>
        <v>SAÚDE OCUPACIONAL</v>
      </c>
      <c r="E2182" s="22" t="str">
        <f>IFERROR(VLOOKUP(B2182,Colaboradores!A:D,4,),"")</f>
        <v>ASSISTENTE ADMINISTRATIVO</v>
      </c>
      <c r="F2182" s="47" t="s">
        <v>102</v>
      </c>
      <c r="G2182" s="24" t="str">
        <f>IFERROR(VLOOKUP(F2182,Procedimentos!A:C,2,),"")</f>
        <v>PROTOCOLO DE TRANSPORTE SEGURO NO ESPAÇO CUIDAR</v>
      </c>
      <c r="K2182" s="25" t="str">
        <f t="shared" si="75"/>
        <v/>
      </c>
    </row>
    <row r="2183" spans="2:11" ht="15" customHeight="1">
      <c r="B2183" s="38">
        <v>15059</v>
      </c>
      <c r="C2183" s="22" t="str">
        <f>IFERROR(VLOOKUP(B2183,Colaboradores!A:D,2,),"")</f>
        <v>GUILHERME LEÃO DOS SANTOS</v>
      </c>
      <c r="D2183" s="22" t="str">
        <f>IFERROR(VLOOKUP(B2183,Colaboradores!A:D,3,),"")</f>
        <v>SAÚDE OCUPACIONAL</v>
      </c>
      <c r="E2183" s="22" t="str">
        <f>IFERROR(VLOOKUP(B2183,Colaboradores!A:D,4,),"")</f>
        <v>ASSISTENTE ADMINISTRATIVO</v>
      </c>
      <c r="F2183" s="47" t="s">
        <v>103</v>
      </c>
      <c r="G2183" s="24" t="str">
        <f>IFERROR(VLOOKUP(F2183,Procedimentos!A:C,2,),"")</f>
        <v>PROTOCOLO DE ATENDIMENTO À PESSOA COM COMPORTAMENTO SUÍCIDA</v>
      </c>
      <c r="K2183" s="25" t="str">
        <f t="shared" si="75"/>
        <v/>
      </c>
    </row>
    <row r="2184" spans="2:11" ht="15" customHeight="1">
      <c r="B2184" s="38">
        <v>15059</v>
      </c>
      <c r="C2184" s="22" t="str">
        <f>IFERROR(VLOOKUP(B2184,Colaboradores!A:D,2,),"")</f>
        <v>GUILHERME LEÃO DOS SANTOS</v>
      </c>
      <c r="D2184" s="22" t="str">
        <f>IFERROR(VLOOKUP(B2184,Colaboradores!A:D,3,),"")</f>
        <v>SAÚDE OCUPACIONAL</v>
      </c>
      <c r="E2184" s="22" t="str">
        <f>IFERROR(VLOOKUP(B2184,Colaboradores!A:D,4,),"")</f>
        <v>ASSISTENTE ADMINISTRATIVO</v>
      </c>
      <c r="F2184" s="47" t="s">
        <v>104</v>
      </c>
      <c r="G2184" s="24" t="str">
        <f>IFERROR(VLOOKUP(F2184,Procedimentos!A:C,2,),"")</f>
        <v>PROTOCOLO DE BIOSSEGURANÇA</v>
      </c>
      <c r="K2184" s="25" t="str">
        <f t="shared" si="75"/>
        <v/>
      </c>
    </row>
    <row r="2185" spans="2:11" ht="15" customHeight="1">
      <c r="B2185" s="38">
        <v>15059</v>
      </c>
      <c r="C2185" s="22" t="str">
        <f>IFERROR(VLOOKUP(B2185,Colaboradores!A:D,2,),"")</f>
        <v>GUILHERME LEÃO DOS SANTOS</v>
      </c>
      <c r="D2185" s="22" t="str">
        <f>IFERROR(VLOOKUP(B2185,Colaboradores!A:D,3,),"")</f>
        <v>SAÚDE OCUPACIONAL</v>
      </c>
      <c r="E2185" s="22" t="str">
        <f>IFERROR(VLOOKUP(B2185,Colaboradores!A:D,4,),"")</f>
        <v>ASSISTENTE ADMINISTRATIVO</v>
      </c>
      <c r="F2185" s="47" t="s">
        <v>105</v>
      </c>
      <c r="G2185" s="24" t="str">
        <f>IFERROR(VLOOKUP(F2185,Procedimentos!A:C,2,),"")</f>
        <v>PROTOCOLO IDENTIFICAÇÃO E MANEJO DA EVOLUÇÃO DESFAVORÁVEL DO PACIENTE NO ESPAÇO CUIDAR</v>
      </c>
      <c r="K2185" s="25" t="str">
        <f t="shared" si="75"/>
        <v/>
      </c>
    </row>
    <row r="2186" spans="2:11" ht="15" customHeight="1">
      <c r="B2186" s="38">
        <v>15059</v>
      </c>
      <c r="C2186" s="22" t="str">
        <f>IFERROR(VLOOKUP(B2186,Colaboradores!A:D,2,),"")</f>
        <v>GUILHERME LEÃO DOS SANTOS</v>
      </c>
      <c r="D2186" s="22" t="str">
        <f>IFERROR(VLOOKUP(B2186,Colaboradores!A:D,3,),"")</f>
        <v>SAÚDE OCUPACIONAL</v>
      </c>
      <c r="E2186" s="22" t="str">
        <f>IFERROR(VLOOKUP(B2186,Colaboradores!A:D,4,),"")</f>
        <v>ASSISTENTE ADMINISTRATIVO</v>
      </c>
      <c r="F2186" s="47" t="s">
        <v>106</v>
      </c>
      <c r="G2186" s="24" t="str">
        <f>IFERROR(VLOOKUP(F2186,Procedimentos!A:C,2,),"")</f>
        <v>PROTOCOLO DE DETERIORAÇÃO CLÍNICA</v>
      </c>
      <c r="K2186" s="25" t="str">
        <f t="shared" si="75"/>
        <v/>
      </c>
    </row>
    <row r="2187" spans="2:11" ht="15" customHeight="1">
      <c r="B2187" s="38">
        <v>15059</v>
      </c>
      <c r="C2187" s="22" t="str">
        <f>IFERROR(VLOOKUP(B2187,Colaboradores!A:D,2,),"")</f>
        <v>GUILHERME LEÃO DOS SANTOS</v>
      </c>
      <c r="D2187" s="22" t="str">
        <f>IFERROR(VLOOKUP(B2187,Colaboradores!A:D,3,),"")</f>
        <v>SAÚDE OCUPACIONAL</v>
      </c>
      <c r="E2187" s="22" t="str">
        <f>IFERROR(VLOOKUP(B2187,Colaboradores!A:D,4,),"")</f>
        <v>ASSISTENTE ADMINISTRATIVO</v>
      </c>
      <c r="F2187" s="47" t="s">
        <v>107</v>
      </c>
      <c r="G2187" s="24" t="str">
        <f>IFERROR(VLOOKUP(F2187,Procedimentos!A:C,2,),"")</f>
        <v>PROTOCOLO DE COMUNICAÇÃO DE NOTÍCIAS DIFÍCEIS</v>
      </c>
      <c r="K2187" s="25" t="str">
        <f t="shared" si="75"/>
        <v/>
      </c>
    </row>
    <row r="2188" spans="2:11" ht="15" customHeight="1">
      <c r="B2188" s="38">
        <v>15059</v>
      </c>
      <c r="C2188" s="22" t="str">
        <f>IFERROR(VLOOKUP(B2188,Colaboradores!A:D,2,),"")</f>
        <v>GUILHERME LEÃO DOS SANTOS</v>
      </c>
      <c r="D2188" s="22" t="str">
        <f>IFERROR(VLOOKUP(B2188,Colaboradores!A:D,3,),"")</f>
        <v>SAÚDE OCUPACIONAL</v>
      </c>
      <c r="E2188" s="22" t="str">
        <f>IFERROR(VLOOKUP(B2188,Colaboradores!A:D,4,),"")</f>
        <v>ASSISTENTE ADMINISTRATIVO</v>
      </c>
      <c r="F2188" s="47" t="s">
        <v>108</v>
      </c>
      <c r="G2188" s="24" t="str">
        <f>IFERROR(VLOOKUP(F2188,Procedimentos!A:C,2,),"")</f>
        <v>PROTOCOLO PARA ATENDIMENTO DO (A) ASSISTENTE SOCIAL NO AMBULATÓRIO DO ESPAÇO CUIDAR</v>
      </c>
      <c r="K2188" s="25" t="str">
        <f t="shared" si="75"/>
        <v/>
      </c>
    </row>
    <row r="2189" spans="2:11" ht="15" customHeight="1">
      <c r="B2189" s="38">
        <v>15059</v>
      </c>
      <c r="C2189" s="22" t="str">
        <f>IFERROR(VLOOKUP(B2189,Colaboradores!A:D,2,),"")</f>
        <v>GUILHERME LEÃO DOS SANTOS</v>
      </c>
      <c r="D2189" s="22" t="str">
        <f>IFERROR(VLOOKUP(B2189,Colaboradores!A:D,3,),"")</f>
        <v>SAÚDE OCUPACIONAL</v>
      </c>
      <c r="E2189" s="22" t="str">
        <f>IFERROR(VLOOKUP(B2189,Colaboradores!A:D,4,),"")</f>
        <v>ASSISTENTE ADMINISTRATIVO</v>
      </c>
      <c r="F2189" s="47" t="s">
        <v>109</v>
      </c>
      <c r="G2189" s="24" t="str">
        <f>IFERROR(VLOOKUP(F2189,Procedimentos!A:C,2,),"")</f>
        <v>ROTOCOLO DE ASSISTÊNCIA NUTRICIONAL AMBULATÓRIAL PARA ADULTOS E IDOSOS COM SOBREPESO E OBESIDADE</v>
      </c>
      <c r="K2189" s="25" t="str">
        <f t="shared" si="75"/>
        <v/>
      </c>
    </row>
    <row r="2190" spans="2:11" ht="15" customHeight="1">
      <c r="B2190" s="38">
        <v>15059</v>
      </c>
      <c r="C2190" s="22" t="str">
        <f>IFERROR(VLOOKUP(B2190,Colaboradores!A:D,2,),"")</f>
        <v>GUILHERME LEÃO DOS SANTOS</v>
      </c>
      <c r="D2190" s="22" t="str">
        <f>IFERROR(VLOOKUP(B2190,Colaboradores!A:D,3,),"")</f>
        <v>SAÚDE OCUPACIONAL</v>
      </c>
      <c r="E2190" s="22" t="str">
        <f>IFERROR(VLOOKUP(B2190,Colaboradores!A:D,4,),"")</f>
        <v>ASSISTENTE ADMINISTRATIVO</v>
      </c>
      <c r="F2190" s="47" t="s">
        <v>110</v>
      </c>
      <c r="G2190" s="24" t="str">
        <f>IFERROR(VLOOKUP(F2190,Procedimentos!A:C,2,),"")</f>
        <v>PROTOCOLO DE AGENDAMENTO</v>
      </c>
      <c r="K2190" s="25" t="str">
        <f t="shared" si="75"/>
        <v/>
      </c>
    </row>
    <row r="2191" spans="2:11" ht="15" customHeight="1">
      <c r="B2191" s="38">
        <v>15059</v>
      </c>
      <c r="C2191" s="22" t="str">
        <f>IFERROR(VLOOKUP(B2191,Colaboradores!A:D,2,),"")</f>
        <v>GUILHERME LEÃO DOS SANTOS</v>
      </c>
      <c r="D2191" s="22" t="str">
        <f>IFERROR(VLOOKUP(B2191,Colaboradores!A:D,3,),"")</f>
        <v>SAÚDE OCUPACIONAL</v>
      </c>
      <c r="E2191" s="22" t="str">
        <f>IFERROR(VLOOKUP(B2191,Colaboradores!A:D,4,),"")</f>
        <v>ASSISTENTE ADMINISTRATIVO</v>
      </c>
      <c r="F2191" s="47" t="s">
        <v>111</v>
      </c>
      <c r="G2191" s="24" t="str">
        <f>IFERROR(VLOOKUP(F2191,Procedimentos!A:C,2,),"")</f>
        <v>PROTOCOLO DE IDENTIFICAÇÃO DE SINAIS SUSGETIVOS DE VIOLÊNCIA - ESPAÇO CUIDAR/ EMSERH</v>
      </c>
      <c r="K2191" s="25" t="str">
        <f t="shared" si="75"/>
        <v/>
      </c>
    </row>
    <row r="2192" spans="2:11" ht="15" customHeight="1">
      <c r="B2192" s="38">
        <v>15059</v>
      </c>
      <c r="C2192" s="22" t="str">
        <f>IFERROR(VLOOKUP(B2192,Colaboradores!A:D,2,),"")</f>
        <v>GUILHERME LEÃO DOS SANTOS</v>
      </c>
      <c r="D2192" s="22" t="str">
        <f>IFERROR(VLOOKUP(B2192,Colaboradores!A:D,3,),"")</f>
        <v>SAÚDE OCUPACIONAL</v>
      </c>
      <c r="E2192" s="22" t="str">
        <f>IFERROR(VLOOKUP(B2192,Colaboradores!A:D,4,),"")</f>
        <v>ASSISTENTE ADMINISTRATIVO</v>
      </c>
      <c r="F2192" s="47" t="s">
        <v>112</v>
      </c>
      <c r="G2192" s="24" t="str">
        <f>IFERROR(VLOOKUP(F2192,Procedimentos!A:C,2,),"")</f>
        <v>PROTOCOLO DE IDENTIFICAÇÃO SEGURA</v>
      </c>
      <c r="K2192" s="25" t="str">
        <f t="shared" si="75"/>
        <v/>
      </c>
    </row>
    <row r="2193" spans="2:11" ht="15" customHeight="1">
      <c r="B2193" s="38">
        <v>15059</v>
      </c>
      <c r="C2193" s="22" t="str">
        <f>IFERROR(VLOOKUP(B2193,Colaboradores!A:D,2,),"")</f>
        <v>GUILHERME LEÃO DOS SANTOS</v>
      </c>
      <c r="D2193" s="22" t="str">
        <f>IFERROR(VLOOKUP(B2193,Colaboradores!A:D,3,),"")</f>
        <v>SAÚDE OCUPACIONAL</v>
      </c>
      <c r="E2193" s="22" t="str">
        <f>IFERROR(VLOOKUP(B2193,Colaboradores!A:D,4,),"")</f>
        <v>ASSISTENTE ADMINISTRATIVO</v>
      </c>
      <c r="F2193" s="47" t="s">
        <v>113</v>
      </c>
      <c r="G2193" s="24" t="str">
        <f>IFERROR(VLOOKUP(F2193,Procedimentos!A:C,2,),"")</f>
        <v>PROTOCOLO DE NORMAS E ROTINAS PARA COMUNICAÇÃO DO ESTADO DE SAÚDE DO PACIENTE</v>
      </c>
      <c r="K2193" s="25" t="str">
        <f t="shared" si="75"/>
        <v/>
      </c>
    </row>
    <row r="2194" spans="2:11" ht="15" customHeight="1">
      <c r="B2194" s="38">
        <v>15059</v>
      </c>
      <c r="C2194" s="22" t="str">
        <f>IFERROR(VLOOKUP(B2194,Colaboradores!A:D,2,),"")</f>
        <v>GUILHERME LEÃO DOS SANTOS</v>
      </c>
      <c r="D2194" s="22" t="str">
        <f>IFERROR(VLOOKUP(B2194,Colaboradores!A:D,3,),"")</f>
        <v>SAÚDE OCUPACIONAL</v>
      </c>
      <c r="E2194" s="22" t="str">
        <f>IFERROR(VLOOKUP(B2194,Colaboradores!A:D,4,),"")</f>
        <v>ASSISTENTE ADMINISTRATIVO</v>
      </c>
      <c r="F2194" s="47" t="s">
        <v>114</v>
      </c>
      <c r="G2194" s="24" t="str">
        <f>IFERROR(VLOOKUP(F2194,Procedimentos!A:C,2,),"")</f>
        <v>PROTOCOLO DE COMUNICAÇÃO EFETIVA EM PRÁTICAS DE SAÚDE</v>
      </c>
      <c r="K2194" s="25" t="str">
        <f t="shared" si="75"/>
        <v/>
      </c>
    </row>
    <row r="2195" spans="2:11" ht="15" customHeight="1">
      <c r="B2195" s="38">
        <v>15059</v>
      </c>
      <c r="C2195" s="22" t="str">
        <f>IFERROR(VLOOKUP(B2195,Colaboradores!A:D,2,),"")</f>
        <v>GUILHERME LEÃO DOS SANTOS</v>
      </c>
      <c r="D2195" s="22" t="str">
        <f>IFERROR(VLOOKUP(B2195,Colaboradores!A:D,3,),"")</f>
        <v>SAÚDE OCUPACIONAL</v>
      </c>
      <c r="E2195" s="22" t="str">
        <f>IFERROR(VLOOKUP(B2195,Colaboradores!A:D,4,),"")</f>
        <v>ASSISTENTE ADMINISTRATIVO</v>
      </c>
      <c r="F2195" s="47" t="s">
        <v>115</v>
      </c>
      <c r="G2195" s="24" t="str">
        <f>IFERROR(VLOOKUP(F2195,Procedimentos!A:C,2,),"")</f>
        <v>PROTOCOLO DE NORMAS E ROTINAS DE ADMISSÃO, TRIAGEM E ALTA</v>
      </c>
      <c r="K2195" s="25" t="str">
        <f t="shared" si="75"/>
        <v/>
      </c>
    </row>
    <row r="2196" spans="2:11" ht="15" customHeight="1">
      <c r="B2196" s="38">
        <v>15059</v>
      </c>
      <c r="C2196" s="22" t="str">
        <f>IFERROR(VLOOKUP(B2196,Colaboradores!A:D,2,),"")</f>
        <v>GUILHERME LEÃO DOS SANTOS</v>
      </c>
      <c r="D2196" s="22" t="str">
        <f>IFERROR(VLOOKUP(B2196,Colaboradores!A:D,3,),"")</f>
        <v>SAÚDE OCUPACIONAL</v>
      </c>
      <c r="E2196" s="22" t="str">
        <f>IFERROR(VLOOKUP(B2196,Colaboradores!A:D,4,),"")</f>
        <v>ASSISTENTE ADMINISTRATIVO</v>
      </c>
      <c r="F2196" s="47" t="s">
        <v>116</v>
      </c>
      <c r="G2196" s="24" t="str">
        <f>IFERROR(VLOOKUP(F2196,Procedimentos!A:C,2,),"")</f>
        <v>PROTOCOLO DE SEGURANÇA NA PRESCRIÇÃO, USO E ADMINISTRAÇÃO DE MEDICAMENTOS ESPAÇO CUIDAR</v>
      </c>
      <c r="K2196" s="25" t="str">
        <f t="shared" si="75"/>
        <v/>
      </c>
    </row>
    <row r="2197" spans="2:11" ht="15" customHeight="1">
      <c r="B2197" s="38">
        <v>15059</v>
      </c>
      <c r="C2197" s="22" t="str">
        <f>IFERROR(VLOOKUP(B2197,Colaboradores!A:D,2,),"")</f>
        <v>GUILHERME LEÃO DOS SANTOS</v>
      </c>
      <c r="D2197" s="22" t="str">
        <f>IFERROR(VLOOKUP(B2197,Colaboradores!A:D,3,),"")</f>
        <v>SAÚDE OCUPACIONAL</v>
      </c>
      <c r="E2197" s="22" t="str">
        <f>IFERROR(VLOOKUP(B2197,Colaboradores!A:D,4,),"")</f>
        <v>ASSISTENTE ADMINISTRATIVO</v>
      </c>
      <c r="F2197" s="47" t="s">
        <v>117</v>
      </c>
      <c r="G2197" s="24" t="str">
        <f>IFERROR(VLOOKUP(F2197,Procedimentos!A:C,2,),"")</f>
        <v>NORMA E ROTINA DA TRANSIÇÃO DE CUIDADOS</v>
      </c>
      <c r="K2197" s="25" t="str">
        <f t="shared" si="75"/>
        <v/>
      </c>
    </row>
    <row r="2198" spans="2:11" ht="15" customHeight="1">
      <c r="B2198" s="38">
        <v>15059</v>
      </c>
      <c r="C2198" s="22" t="str">
        <f>IFERROR(VLOOKUP(B2198,Colaboradores!A:D,2,),"")</f>
        <v>GUILHERME LEÃO DOS SANTOS</v>
      </c>
      <c r="D2198" s="22" t="str">
        <f>IFERROR(VLOOKUP(B2198,Colaboradores!A:D,3,),"")</f>
        <v>SAÚDE OCUPACIONAL</v>
      </c>
      <c r="E2198" s="22" t="str">
        <f>IFERROR(VLOOKUP(B2198,Colaboradores!A:D,4,),"")</f>
        <v>ASSISTENTE ADMINISTRATIVO</v>
      </c>
      <c r="F2198" s="47" t="s">
        <v>118</v>
      </c>
      <c r="G2198" s="24" t="str">
        <f>IFERROR(VLOOKUP(F2198,Procedimentos!A:C,2,),"")</f>
        <v>PROTOCOLO DE ASSISTÊNCIA FISIOTERAPÊUTICA DO ESPAÇO CUIDAR</v>
      </c>
      <c r="K2198" s="25" t="str">
        <f t="shared" si="75"/>
        <v/>
      </c>
    </row>
    <row r="2199" spans="2:11" ht="15" customHeight="1">
      <c r="B2199" s="38">
        <v>14972</v>
      </c>
      <c r="C2199" s="22" t="str">
        <f>IFERROR(VLOOKUP(B2199,Colaboradores!A:D,2,),"")</f>
        <v>JUAN PABLO SOUSA FARIAS</v>
      </c>
      <c r="D2199" s="22" t="str">
        <f>IFERROR(VLOOKUP(B2199,Colaboradores!A:D,3,),"")</f>
        <v>SAÚDE OCUPACIONAL</v>
      </c>
      <c r="E2199" s="22" t="str">
        <f>IFERROR(VLOOKUP(B2199,Colaboradores!A:D,4,),"")</f>
        <v>JOVEM APRENDIZ</v>
      </c>
      <c r="F2199" s="47" t="s">
        <v>94</v>
      </c>
      <c r="G2199" s="24" t="str">
        <f>IFERROR(VLOOKUP(F2199,Procedimentos!A:C,2,),"")</f>
        <v>PROTOCOLO DE CONSENTIMENTO INFORMADO</v>
      </c>
      <c r="K2199" s="25" t="str">
        <f t="shared" si="75"/>
        <v/>
      </c>
    </row>
    <row r="2200" spans="2:11" ht="15" customHeight="1">
      <c r="B2200" s="38">
        <v>14972</v>
      </c>
      <c r="C2200" s="22" t="str">
        <f>IFERROR(VLOOKUP(B2200,Colaboradores!A:D,2,),"")</f>
        <v>JUAN PABLO SOUSA FARIAS</v>
      </c>
      <c r="D2200" s="22" t="str">
        <f>IFERROR(VLOOKUP(B2200,Colaboradores!A:D,3,),"")</f>
        <v>SAÚDE OCUPACIONAL</v>
      </c>
      <c r="E2200" s="22" t="str">
        <f>IFERROR(VLOOKUP(B2200,Colaboradores!A:D,4,),"")</f>
        <v>JOVEM APRENDIZ</v>
      </c>
      <c r="F2200" s="47" t="s">
        <v>95</v>
      </c>
      <c r="G2200" s="24" t="str">
        <f>IFERROR(VLOOKUP(F2200,Procedimentos!A:C,2,),"")</f>
        <v>PROTOCOLO DE NOTIFICAÇÃO COMPULSORIA - ESPAÇO CUIDAR/EMSERH</v>
      </c>
      <c r="K2200" s="25" t="str">
        <f t="shared" si="75"/>
        <v/>
      </c>
    </row>
    <row r="2201" spans="2:11" ht="15" customHeight="1">
      <c r="B2201" s="38">
        <v>14972</v>
      </c>
      <c r="C2201" s="22" t="str">
        <f>IFERROR(VLOOKUP(B2201,Colaboradores!A:D,2,),"")</f>
        <v>JUAN PABLO SOUSA FARIAS</v>
      </c>
      <c r="D2201" s="22" t="str">
        <f>IFERROR(VLOOKUP(B2201,Colaboradores!A:D,3,),"")</f>
        <v>SAÚDE OCUPACIONAL</v>
      </c>
      <c r="E2201" s="22" t="str">
        <f>IFERROR(VLOOKUP(B2201,Colaboradores!A:D,4,),"")</f>
        <v>JOVEM APRENDIZ</v>
      </c>
      <c r="F2201" s="47" t="s">
        <v>96</v>
      </c>
      <c r="G2201" s="24" t="str">
        <f>IFERROR(VLOOKUP(F2201,Procedimentos!A:C,2,),"")</f>
        <v>PROTOCOLO PARA HIGIENIZAÇÃO DAS MÃOS</v>
      </c>
      <c r="H2201" s="25"/>
      <c r="K2201" s="25" t="str">
        <f t="shared" si="75"/>
        <v/>
      </c>
    </row>
    <row r="2202" spans="2:11" ht="15" customHeight="1">
      <c r="B2202" s="38">
        <v>14972</v>
      </c>
      <c r="C2202" s="22" t="str">
        <f>IFERROR(VLOOKUP(B2202,Colaboradores!A:D,2,),"")</f>
        <v>JUAN PABLO SOUSA FARIAS</v>
      </c>
      <c r="D2202" s="22" t="str">
        <f>IFERROR(VLOOKUP(B2202,Colaboradores!A:D,3,),"")</f>
        <v>SAÚDE OCUPACIONAL</v>
      </c>
      <c r="E2202" s="22" t="str">
        <f>IFERROR(VLOOKUP(B2202,Colaboradores!A:D,4,),"")</f>
        <v>JOVEM APRENDIZ</v>
      </c>
      <c r="F2202" s="47" t="s">
        <v>97</v>
      </c>
      <c r="G2202" s="24" t="str">
        <f>IFERROR(VLOOKUP(F2202,Procedimentos!A:C,2,),"")</f>
        <v>PROTOCOLO DE PREVENÇÃO DE QUEDAS</v>
      </c>
      <c r="K2202" s="25" t="str">
        <f t="shared" si="75"/>
        <v/>
      </c>
    </row>
    <row r="2203" spans="2:11" ht="15" customHeight="1">
      <c r="B2203" s="38">
        <v>14972</v>
      </c>
      <c r="C2203" s="22" t="str">
        <f>IFERROR(VLOOKUP(B2203,Colaboradores!A:D,2,),"")</f>
        <v>JUAN PABLO SOUSA FARIAS</v>
      </c>
      <c r="D2203" s="22" t="str">
        <f>IFERROR(VLOOKUP(B2203,Colaboradores!A:D,3,),"")</f>
        <v>SAÚDE OCUPACIONAL</v>
      </c>
      <c r="E2203" s="22" t="str">
        <f>IFERROR(VLOOKUP(B2203,Colaboradores!A:D,4,),"")</f>
        <v>JOVEM APRENDIZ</v>
      </c>
      <c r="F2203" s="47" t="s">
        <v>98</v>
      </c>
      <c r="G2203" s="24" t="str">
        <f>IFERROR(VLOOKUP(F2203,Procedimentos!A:C,2,),"")</f>
        <v>PROTOCOLO INSTITUCIONAL DE CONDUTA ETICA NO ATENDIMENTO MULTIPROFISSIONAL NO ESPAÇO CUIDAR</v>
      </c>
      <c r="K2203" s="25" t="str">
        <f t="shared" si="75"/>
        <v/>
      </c>
    </row>
    <row r="2204" spans="2:11" ht="15" customHeight="1">
      <c r="B2204" s="38">
        <v>14972</v>
      </c>
      <c r="C2204" s="22" t="str">
        <f>IFERROR(VLOOKUP(B2204,Colaboradores!A:D,2,),"")</f>
        <v>JUAN PABLO SOUSA FARIAS</v>
      </c>
      <c r="D2204" s="22" t="str">
        <f>IFERROR(VLOOKUP(B2204,Colaboradores!A:D,3,),"")</f>
        <v>SAÚDE OCUPACIONAL</v>
      </c>
      <c r="E2204" s="22" t="str">
        <f>IFERROR(VLOOKUP(B2204,Colaboradores!A:D,4,),"")</f>
        <v>JOVEM APRENDIZ</v>
      </c>
      <c r="F2204" s="47" t="s">
        <v>99</v>
      </c>
      <c r="G2204" s="24" t="str">
        <f>IFERROR(VLOOKUP(F2204,Procedimentos!A:C,2,),"")</f>
        <v>PROTOCOLO PARA LIMPEZA DE ÁREAS E SUPERFÍCIES NO ESPAÇO CUIDAR</v>
      </c>
      <c r="K2204" s="25" t="str">
        <f t="shared" si="75"/>
        <v/>
      </c>
    </row>
    <row r="2205" spans="2:11" ht="15" customHeight="1">
      <c r="B2205" s="38">
        <v>14972</v>
      </c>
      <c r="C2205" s="22" t="str">
        <f>IFERROR(VLOOKUP(B2205,Colaboradores!A:D,2,),"")</f>
        <v>JUAN PABLO SOUSA FARIAS</v>
      </c>
      <c r="D2205" s="22" t="str">
        <f>IFERROR(VLOOKUP(B2205,Colaboradores!A:D,3,),"")</f>
        <v>SAÚDE OCUPACIONAL</v>
      </c>
      <c r="E2205" s="22" t="str">
        <f>IFERROR(VLOOKUP(B2205,Colaboradores!A:D,4,),"")</f>
        <v>JOVEM APRENDIZ</v>
      </c>
      <c r="F2205" s="47" t="s">
        <v>100</v>
      </c>
      <c r="G2205" s="24" t="str">
        <f>IFERROR(VLOOKUP(F2205,Procedimentos!A:C,2,),"")</f>
        <v>PROTOCOLO DE ATENDIMENTO PSIQUIATRICO NO ESPAÇO CUIDAR DA EMSERH</v>
      </c>
      <c r="K2205" s="25" t="str">
        <f t="shared" si="75"/>
        <v/>
      </c>
    </row>
    <row r="2206" spans="2:11" ht="15" customHeight="1">
      <c r="B2206" s="38">
        <v>14972</v>
      </c>
      <c r="C2206" s="22" t="str">
        <f>IFERROR(VLOOKUP(B2206,Colaboradores!A:D,2,),"")</f>
        <v>JUAN PABLO SOUSA FARIAS</v>
      </c>
      <c r="D2206" s="22" t="str">
        <f>IFERROR(VLOOKUP(B2206,Colaboradores!A:D,3,),"")</f>
        <v>SAÚDE OCUPACIONAL</v>
      </c>
      <c r="E2206" s="22" t="str">
        <f>IFERROR(VLOOKUP(B2206,Colaboradores!A:D,4,),"")</f>
        <v>JOVEM APRENDIZ</v>
      </c>
      <c r="F2206" s="47" t="s">
        <v>101</v>
      </c>
      <c r="G2206" s="24" t="str">
        <f>IFERROR(VLOOKUP(F2206,Procedimentos!A:C,2,),"")</f>
        <v>PROTOCOLO DE MANEJO DE SURTO</v>
      </c>
      <c r="K2206" s="25" t="str">
        <f t="shared" si="75"/>
        <v/>
      </c>
    </row>
    <row r="2207" spans="2:11" ht="15" customHeight="1">
      <c r="B2207" s="38">
        <v>14972</v>
      </c>
      <c r="C2207" s="22" t="str">
        <f>IFERROR(VLOOKUP(B2207,Colaboradores!A:D,2,),"")</f>
        <v>JUAN PABLO SOUSA FARIAS</v>
      </c>
      <c r="D2207" s="22" t="str">
        <f>IFERROR(VLOOKUP(B2207,Colaboradores!A:D,3,),"")</f>
        <v>SAÚDE OCUPACIONAL</v>
      </c>
      <c r="E2207" s="22" t="str">
        <f>IFERROR(VLOOKUP(B2207,Colaboradores!A:D,4,),"")</f>
        <v>JOVEM APRENDIZ</v>
      </c>
      <c r="F2207" s="47" t="s">
        <v>102</v>
      </c>
      <c r="G2207" s="24" t="str">
        <f>IFERROR(VLOOKUP(F2207,Procedimentos!A:C,2,),"")</f>
        <v>PROTOCOLO DE TRANSPORTE SEGURO NO ESPAÇO CUIDAR</v>
      </c>
      <c r="K2207" s="25" t="str">
        <f t="shared" si="75"/>
        <v/>
      </c>
    </row>
    <row r="2208" spans="2:11" ht="15" customHeight="1">
      <c r="B2208" s="38">
        <v>14972</v>
      </c>
      <c r="C2208" s="22" t="str">
        <f>IFERROR(VLOOKUP(B2208,Colaboradores!A:D,2,),"")</f>
        <v>JUAN PABLO SOUSA FARIAS</v>
      </c>
      <c r="D2208" s="22" t="str">
        <f>IFERROR(VLOOKUP(B2208,Colaboradores!A:D,3,),"")</f>
        <v>SAÚDE OCUPACIONAL</v>
      </c>
      <c r="E2208" s="22" t="str">
        <f>IFERROR(VLOOKUP(B2208,Colaboradores!A:D,4,),"")</f>
        <v>JOVEM APRENDIZ</v>
      </c>
      <c r="F2208" s="47" t="s">
        <v>103</v>
      </c>
      <c r="G2208" s="24" t="str">
        <f>IFERROR(VLOOKUP(F2208,Procedimentos!A:C,2,),"")</f>
        <v>PROTOCOLO DE ATENDIMENTO À PESSOA COM COMPORTAMENTO SUÍCIDA</v>
      </c>
      <c r="K2208" s="25" t="str">
        <f t="shared" si="75"/>
        <v/>
      </c>
    </row>
    <row r="2209" spans="2:11" ht="15" customHeight="1">
      <c r="B2209" s="38">
        <v>14972</v>
      </c>
      <c r="C2209" s="22" t="str">
        <f>IFERROR(VLOOKUP(B2209,Colaboradores!A:D,2,),"")</f>
        <v>JUAN PABLO SOUSA FARIAS</v>
      </c>
      <c r="D2209" s="22" t="str">
        <f>IFERROR(VLOOKUP(B2209,Colaboradores!A:D,3,),"")</f>
        <v>SAÚDE OCUPACIONAL</v>
      </c>
      <c r="E2209" s="22" t="str">
        <f>IFERROR(VLOOKUP(B2209,Colaboradores!A:D,4,),"")</f>
        <v>JOVEM APRENDIZ</v>
      </c>
      <c r="F2209" s="47" t="s">
        <v>104</v>
      </c>
      <c r="G2209" s="24" t="str">
        <f>IFERROR(VLOOKUP(F2209,Procedimentos!A:C,2,),"")</f>
        <v>PROTOCOLO DE BIOSSEGURANÇA</v>
      </c>
      <c r="K2209" s="25" t="str">
        <f t="shared" si="75"/>
        <v/>
      </c>
    </row>
    <row r="2210" spans="2:11" ht="15" customHeight="1">
      <c r="B2210" s="38">
        <v>14972</v>
      </c>
      <c r="C2210" s="22" t="str">
        <f>IFERROR(VLOOKUP(B2210,Colaboradores!A:D,2,),"")</f>
        <v>JUAN PABLO SOUSA FARIAS</v>
      </c>
      <c r="D2210" s="22" t="str">
        <f>IFERROR(VLOOKUP(B2210,Colaboradores!A:D,3,),"")</f>
        <v>SAÚDE OCUPACIONAL</v>
      </c>
      <c r="E2210" s="22" t="str">
        <f>IFERROR(VLOOKUP(B2210,Colaboradores!A:D,4,),"")</f>
        <v>JOVEM APRENDIZ</v>
      </c>
      <c r="F2210" s="47" t="s">
        <v>105</v>
      </c>
      <c r="G2210" s="24" t="str">
        <f>IFERROR(VLOOKUP(F2210,Procedimentos!A:C,2,),"")</f>
        <v>PROTOCOLO IDENTIFICAÇÃO E MANEJO DA EVOLUÇÃO DESFAVORÁVEL DO PACIENTE NO ESPAÇO CUIDAR</v>
      </c>
      <c r="K2210" s="25" t="str">
        <f t="shared" si="75"/>
        <v/>
      </c>
    </row>
    <row r="2211" spans="2:11" ht="15" customHeight="1">
      <c r="B2211" s="38">
        <v>14972</v>
      </c>
      <c r="C2211" s="22" t="str">
        <f>IFERROR(VLOOKUP(B2211,Colaboradores!A:D,2,),"")</f>
        <v>JUAN PABLO SOUSA FARIAS</v>
      </c>
      <c r="D2211" s="22" t="str">
        <f>IFERROR(VLOOKUP(B2211,Colaboradores!A:D,3,),"")</f>
        <v>SAÚDE OCUPACIONAL</v>
      </c>
      <c r="E2211" s="22" t="str">
        <f>IFERROR(VLOOKUP(B2211,Colaboradores!A:D,4,),"")</f>
        <v>JOVEM APRENDIZ</v>
      </c>
      <c r="F2211" s="47" t="s">
        <v>106</v>
      </c>
      <c r="G2211" s="24" t="str">
        <f>IFERROR(VLOOKUP(F2211,Procedimentos!A:C,2,),"")</f>
        <v>PROTOCOLO DE DETERIORAÇÃO CLÍNICA</v>
      </c>
      <c r="K2211" s="25" t="str">
        <f t="shared" si="75"/>
        <v/>
      </c>
    </row>
    <row r="2212" spans="2:11" ht="15" customHeight="1">
      <c r="B2212" s="38">
        <v>14972</v>
      </c>
      <c r="C2212" s="22" t="str">
        <f>IFERROR(VLOOKUP(B2212,Colaboradores!A:D,2,),"")</f>
        <v>JUAN PABLO SOUSA FARIAS</v>
      </c>
      <c r="D2212" s="22" t="str">
        <f>IFERROR(VLOOKUP(B2212,Colaboradores!A:D,3,),"")</f>
        <v>SAÚDE OCUPACIONAL</v>
      </c>
      <c r="E2212" s="22" t="str">
        <f>IFERROR(VLOOKUP(B2212,Colaboradores!A:D,4,),"")</f>
        <v>JOVEM APRENDIZ</v>
      </c>
      <c r="F2212" s="47" t="s">
        <v>107</v>
      </c>
      <c r="G2212" s="24" t="str">
        <f>IFERROR(VLOOKUP(F2212,Procedimentos!A:C,2,),"")</f>
        <v>PROTOCOLO DE COMUNICAÇÃO DE NOTÍCIAS DIFÍCEIS</v>
      </c>
      <c r="K2212" s="25" t="str">
        <f t="shared" si="75"/>
        <v/>
      </c>
    </row>
    <row r="2213" spans="2:11" ht="15" customHeight="1">
      <c r="B2213" s="38">
        <v>14972</v>
      </c>
      <c r="C2213" s="22" t="str">
        <f>IFERROR(VLOOKUP(B2213,Colaboradores!A:D,2,),"")</f>
        <v>JUAN PABLO SOUSA FARIAS</v>
      </c>
      <c r="D2213" s="22" t="str">
        <f>IFERROR(VLOOKUP(B2213,Colaboradores!A:D,3,),"")</f>
        <v>SAÚDE OCUPACIONAL</v>
      </c>
      <c r="E2213" s="22" t="str">
        <f>IFERROR(VLOOKUP(B2213,Colaboradores!A:D,4,),"")</f>
        <v>JOVEM APRENDIZ</v>
      </c>
      <c r="F2213" s="47" t="s">
        <v>108</v>
      </c>
      <c r="G2213" s="24" t="str">
        <f>IFERROR(VLOOKUP(F2213,Procedimentos!A:C,2,),"")</f>
        <v>PROTOCOLO PARA ATENDIMENTO DO (A) ASSISTENTE SOCIAL NO AMBULATÓRIO DO ESPAÇO CUIDAR</v>
      </c>
      <c r="K2213" s="25" t="str">
        <f t="shared" si="75"/>
        <v/>
      </c>
    </row>
    <row r="2214" spans="2:11" ht="15" customHeight="1">
      <c r="B2214" s="38">
        <v>14972</v>
      </c>
      <c r="C2214" s="22" t="str">
        <f>IFERROR(VLOOKUP(B2214,Colaboradores!A:D,2,),"")</f>
        <v>JUAN PABLO SOUSA FARIAS</v>
      </c>
      <c r="D2214" s="22" t="str">
        <f>IFERROR(VLOOKUP(B2214,Colaboradores!A:D,3,),"")</f>
        <v>SAÚDE OCUPACIONAL</v>
      </c>
      <c r="E2214" s="22" t="str">
        <f>IFERROR(VLOOKUP(B2214,Colaboradores!A:D,4,),"")</f>
        <v>JOVEM APRENDIZ</v>
      </c>
      <c r="F2214" s="47" t="s">
        <v>109</v>
      </c>
      <c r="G2214" s="24" t="str">
        <f>IFERROR(VLOOKUP(F2214,Procedimentos!A:C,2,),"")</f>
        <v>ROTOCOLO DE ASSISTÊNCIA NUTRICIONAL AMBULATÓRIAL PARA ADULTOS E IDOSOS COM SOBREPESO E OBESIDADE</v>
      </c>
      <c r="K2214" s="25" t="str">
        <f t="shared" si="75"/>
        <v/>
      </c>
    </row>
    <row r="2215" spans="2:11" ht="15" customHeight="1">
      <c r="B2215" s="38">
        <v>14972</v>
      </c>
      <c r="C2215" s="22" t="str">
        <f>IFERROR(VLOOKUP(B2215,Colaboradores!A:D,2,),"")</f>
        <v>JUAN PABLO SOUSA FARIAS</v>
      </c>
      <c r="D2215" s="22" t="str">
        <f>IFERROR(VLOOKUP(B2215,Colaboradores!A:D,3,),"")</f>
        <v>SAÚDE OCUPACIONAL</v>
      </c>
      <c r="E2215" s="22" t="str">
        <f>IFERROR(VLOOKUP(B2215,Colaboradores!A:D,4,),"")</f>
        <v>JOVEM APRENDIZ</v>
      </c>
      <c r="F2215" s="47" t="s">
        <v>110</v>
      </c>
      <c r="G2215" s="24" t="str">
        <f>IFERROR(VLOOKUP(F2215,Procedimentos!A:C,2,),"")</f>
        <v>PROTOCOLO DE AGENDAMENTO</v>
      </c>
      <c r="K2215" s="25" t="str">
        <f t="shared" si="75"/>
        <v/>
      </c>
    </row>
    <row r="2216" spans="2:11" ht="15" customHeight="1">
      <c r="B2216" s="38">
        <v>14972</v>
      </c>
      <c r="C2216" s="22" t="str">
        <f>IFERROR(VLOOKUP(B2216,Colaboradores!A:D,2,),"")</f>
        <v>JUAN PABLO SOUSA FARIAS</v>
      </c>
      <c r="D2216" s="22" t="str">
        <f>IFERROR(VLOOKUP(B2216,Colaboradores!A:D,3,),"")</f>
        <v>SAÚDE OCUPACIONAL</v>
      </c>
      <c r="E2216" s="22" t="str">
        <f>IFERROR(VLOOKUP(B2216,Colaboradores!A:D,4,),"")</f>
        <v>JOVEM APRENDIZ</v>
      </c>
      <c r="F2216" s="47" t="s">
        <v>111</v>
      </c>
      <c r="G2216" s="24" t="str">
        <f>IFERROR(VLOOKUP(F2216,Procedimentos!A:C,2,),"")</f>
        <v>PROTOCOLO DE IDENTIFICAÇÃO DE SINAIS SUSGETIVOS DE VIOLÊNCIA - ESPAÇO CUIDAR/ EMSERH</v>
      </c>
      <c r="K2216" s="25" t="str">
        <f t="shared" si="75"/>
        <v/>
      </c>
    </row>
    <row r="2217" spans="2:11" ht="15" customHeight="1">
      <c r="B2217" s="38">
        <v>14972</v>
      </c>
      <c r="C2217" s="22" t="str">
        <f>IFERROR(VLOOKUP(B2217,Colaboradores!A:D,2,),"")</f>
        <v>JUAN PABLO SOUSA FARIAS</v>
      </c>
      <c r="D2217" s="22" t="str">
        <f>IFERROR(VLOOKUP(B2217,Colaboradores!A:D,3,),"")</f>
        <v>SAÚDE OCUPACIONAL</v>
      </c>
      <c r="E2217" s="22" t="str">
        <f>IFERROR(VLOOKUP(B2217,Colaboradores!A:D,4,),"")</f>
        <v>JOVEM APRENDIZ</v>
      </c>
      <c r="F2217" s="47" t="s">
        <v>112</v>
      </c>
      <c r="G2217" s="24" t="str">
        <f>IFERROR(VLOOKUP(F2217,Procedimentos!A:C,2,),"")</f>
        <v>PROTOCOLO DE IDENTIFICAÇÃO SEGURA</v>
      </c>
      <c r="K2217" s="25" t="str">
        <f t="shared" si="75"/>
        <v/>
      </c>
    </row>
    <row r="2218" spans="2:11" ht="15" customHeight="1">
      <c r="B2218" s="38">
        <v>14972</v>
      </c>
      <c r="C2218" s="22" t="str">
        <f>IFERROR(VLOOKUP(B2218,Colaboradores!A:D,2,),"")</f>
        <v>JUAN PABLO SOUSA FARIAS</v>
      </c>
      <c r="D2218" s="22" t="str">
        <f>IFERROR(VLOOKUP(B2218,Colaboradores!A:D,3,),"")</f>
        <v>SAÚDE OCUPACIONAL</v>
      </c>
      <c r="E2218" s="22" t="str">
        <f>IFERROR(VLOOKUP(B2218,Colaboradores!A:D,4,),"")</f>
        <v>JOVEM APRENDIZ</v>
      </c>
      <c r="F2218" s="47" t="s">
        <v>113</v>
      </c>
      <c r="G2218" s="24" t="str">
        <f>IFERROR(VLOOKUP(F2218,Procedimentos!A:C,2,),"")</f>
        <v>PROTOCOLO DE NORMAS E ROTINAS PARA COMUNICAÇÃO DO ESTADO DE SAÚDE DO PACIENTE</v>
      </c>
      <c r="K2218" s="25" t="str">
        <f t="shared" si="75"/>
        <v/>
      </c>
    </row>
    <row r="2219" spans="2:11" ht="15" customHeight="1">
      <c r="B2219" s="38">
        <v>14972</v>
      </c>
      <c r="C2219" s="22" t="str">
        <f>IFERROR(VLOOKUP(B2219,Colaboradores!A:D,2,),"")</f>
        <v>JUAN PABLO SOUSA FARIAS</v>
      </c>
      <c r="D2219" s="22" t="str">
        <f>IFERROR(VLOOKUP(B2219,Colaboradores!A:D,3,),"")</f>
        <v>SAÚDE OCUPACIONAL</v>
      </c>
      <c r="E2219" s="22" t="str">
        <f>IFERROR(VLOOKUP(B2219,Colaboradores!A:D,4,),"")</f>
        <v>JOVEM APRENDIZ</v>
      </c>
      <c r="F2219" s="47" t="s">
        <v>114</v>
      </c>
      <c r="G2219" s="24" t="str">
        <f>IFERROR(VLOOKUP(F2219,Procedimentos!A:C,2,),"")</f>
        <v>PROTOCOLO DE COMUNICAÇÃO EFETIVA EM PRÁTICAS DE SAÚDE</v>
      </c>
      <c r="K2219" s="25" t="str">
        <f t="shared" si="75"/>
        <v/>
      </c>
    </row>
    <row r="2220" spans="2:11" ht="15" customHeight="1">
      <c r="B2220" s="38">
        <v>14972</v>
      </c>
      <c r="C2220" s="22" t="str">
        <f>IFERROR(VLOOKUP(B2220,Colaboradores!A:D,2,),"")</f>
        <v>JUAN PABLO SOUSA FARIAS</v>
      </c>
      <c r="D2220" s="22" t="str">
        <f>IFERROR(VLOOKUP(B2220,Colaboradores!A:D,3,),"")</f>
        <v>SAÚDE OCUPACIONAL</v>
      </c>
      <c r="E2220" s="22" t="str">
        <f>IFERROR(VLOOKUP(B2220,Colaboradores!A:D,4,),"")</f>
        <v>JOVEM APRENDIZ</v>
      </c>
      <c r="F2220" s="47" t="s">
        <v>115</v>
      </c>
      <c r="G2220" s="24" t="str">
        <f>IFERROR(VLOOKUP(F2220,Procedimentos!A:C,2,),"")</f>
        <v>PROTOCOLO DE NORMAS E ROTINAS DE ADMISSÃO, TRIAGEM E ALTA</v>
      </c>
      <c r="K2220" s="25" t="str">
        <f t="shared" si="75"/>
        <v/>
      </c>
    </row>
    <row r="2221" spans="2:11" ht="15" customHeight="1">
      <c r="B2221" s="38">
        <v>14972</v>
      </c>
      <c r="C2221" s="22" t="str">
        <f>IFERROR(VLOOKUP(B2221,Colaboradores!A:D,2,),"")</f>
        <v>JUAN PABLO SOUSA FARIAS</v>
      </c>
      <c r="D2221" s="22" t="str">
        <f>IFERROR(VLOOKUP(B2221,Colaboradores!A:D,3,),"")</f>
        <v>SAÚDE OCUPACIONAL</v>
      </c>
      <c r="E2221" s="22" t="str">
        <f>IFERROR(VLOOKUP(B2221,Colaboradores!A:D,4,),"")</f>
        <v>JOVEM APRENDIZ</v>
      </c>
      <c r="F2221" s="47" t="s">
        <v>116</v>
      </c>
      <c r="G2221" s="24" t="str">
        <f>IFERROR(VLOOKUP(F2221,Procedimentos!A:C,2,),"")</f>
        <v>PROTOCOLO DE SEGURANÇA NA PRESCRIÇÃO, USO E ADMINISTRAÇÃO DE MEDICAMENTOS ESPAÇO CUIDAR</v>
      </c>
      <c r="K2221" s="25" t="str">
        <f t="shared" si="75"/>
        <v/>
      </c>
    </row>
    <row r="2222" spans="2:11" ht="15" customHeight="1">
      <c r="B2222" s="38">
        <v>14972</v>
      </c>
      <c r="C2222" s="22" t="str">
        <f>IFERROR(VLOOKUP(B2222,Colaboradores!A:D,2,),"")</f>
        <v>JUAN PABLO SOUSA FARIAS</v>
      </c>
      <c r="D2222" s="22" t="str">
        <f>IFERROR(VLOOKUP(B2222,Colaboradores!A:D,3,),"")</f>
        <v>SAÚDE OCUPACIONAL</v>
      </c>
      <c r="E2222" s="22" t="str">
        <f>IFERROR(VLOOKUP(B2222,Colaboradores!A:D,4,),"")</f>
        <v>JOVEM APRENDIZ</v>
      </c>
      <c r="F2222" s="47" t="s">
        <v>117</v>
      </c>
      <c r="G2222" s="24" t="str">
        <f>IFERROR(VLOOKUP(F2222,Procedimentos!A:C,2,),"")</f>
        <v>NORMA E ROTINA DA TRANSIÇÃO DE CUIDADOS</v>
      </c>
      <c r="K2222" s="25" t="str">
        <f t="shared" si="75"/>
        <v/>
      </c>
    </row>
    <row r="2223" spans="2:11" ht="15" customHeight="1">
      <c r="B2223" s="38">
        <v>14972</v>
      </c>
      <c r="C2223" s="22" t="str">
        <f>IFERROR(VLOOKUP(B2223,Colaboradores!A:D,2,),"")</f>
        <v>JUAN PABLO SOUSA FARIAS</v>
      </c>
      <c r="D2223" s="22" t="str">
        <f>IFERROR(VLOOKUP(B2223,Colaboradores!A:D,3,),"")</f>
        <v>SAÚDE OCUPACIONAL</v>
      </c>
      <c r="E2223" s="22" t="str">
        <f>IFERROR(VLOOKUP(B2223,Colaboradores!A:D,4,),"")</f>
        <v>JOVEM APRENDIZ</v>
      </c>
      <c r="F2223" s="47" t="s">
        <v>118</v>
      </c>
      <c r="G2223" s="24" t="str">
        <f>IFERROR(VLOOKUP(F2223,Procedimentos!A:C,2,),"")</f>
        <v>PROTOCOLO DE ASSISTÊNCIA FISIOTERAPÊUTICA DO ESPAÇO CUIDAR</v>
      </c>
      <c r="K2223" s="25" t="str">
        <f t="shared" si="75"/>
        <v/>
      </c>
    </row>
    <row r="2224" spans="2:11" ht="15" customHeight="1">
      <c r="B2224" s="38">
        <v>13778</v>
      </c>
      <c r="C2224" s="22" t="str">
        <f>IFERROR(VLOOKUP(B2224,Colaboradores!A:D,2,),"")</f>
        <v>LAIS FERREIRA CAMPOS MINEIRO</v>
      </c>
      <c r="D2224" s="22" t="str">
        <f>IFERROR(VLOOKUP(B2224,Colaboradores!A:D,3,),"")</f>
        <v>SAÚDE OCUPACIONAL</v>
      </c>
      <c r="E2224" s="22" t="str">
        <f>IFERROR(VLOOKUP(B2224,Colaboradores!A:D,4,),"")</f>
        <v>FISIOTERAPEUTA</v>
      </c>
      <c r="F2224" s="47" t="s">
        <v>94</v>
      </c>
      <c r="G2224" s="24" t="str">
        <f>IFERROR(VLOOKUP(F2224,Procedimentos!A:C,2,),"")</f>
        <v>PROTOCOLO DE CONSENTIMENTO INFORMADO</v>
      </c>
      <c r="K2224" s="25" t="str">
        <f t="shared" si="75"/>
        <v/>
      </c>
    </row>
    <row r="2225" spans="2:11" ht="15" customHeight="1">
      <c r="B2225" s="38">
        <v>13778</v>
      </c>
      <c r="C2225" s="22" t="str">
        <f>IFERROR(VLOOKUP(B2225,Colaboradores!A:D,2,),"")</f>
        <v>LAIS FERREIRA CAMPOS MINEIRO</v>
      </c>
      <c r="D2225" s="22" t="str">
        <f>IFERROR(VLOOKUP(B2225,Colaboradores!A:D,3,),"")</f>
        <v>SAÚDE OCUPACIONAL</v>
      </c>
      <c r="E2225" s="22" t="str">
        <f>IFERROR(VLOOKUP(B2225,Colaboradores!A:D,4,),"")</f>
        <v>FISIOTERAPEUTA</v>
      </c>
      <c r="F2225" s="47" t="s">
        <v>95</v>
      </c>
      <c r="G2225" s="24" t="str">
        <f>IFERROR(VLOOKUP(F2225,Procedimentos!A:C,2,),"")</f>
        <v>PROTOCOLO DE NOTIFICAÇÃO COMPULSORIA - ESPAÇO CUIDAR/EMSERH</v>
      </c>
      <c r="K2225" s="25" t="str">
        <f t="shared" si="75"/>
        <v/>
      </c>
    </row>
    <row r="2226" spans="2:11" ht="15" customHeight="1">
      <c r="B2226" s="38">
        <v>13778</v>
      </c>
      <c r="C2226" s="22" t="str">
        <f>IFERROR(VLOOKUP(B2226,Colaboradores!A:D,2,),"")</f>
        <v>LAIS FERREIRA CAMPOS MINEIRO</v>
      </c>
      <c r="D2226" s="22" t="str">
        <f>IFERROR(VLOOKUP(B2226,Colaboradores!A:D,3,),"")</f>
        <v>SAÚDE OCUPACIONAL</v>
      </c>
      <c r="E2226" s="22" t="str">
        <f>IFERROR(VLOOKUP(B2226,Colaboradores!A:D,4,),"")</f>
        <v>FISIOTERAPEUTA</v>
      </c>
      <c r="F2226" s="47" t="s">
        <v>96</v>
      </c>
      <c r="G2226" s="24" t="str">
        <f>IFERROR(VLOOKUP(F2226,Procedimentos!A:C,2,),"")</f>
        <v>PROTOCOLO PARA HIGIENIZAÇÃO DAS MÃOS</v>
      </c>
      <c r="H2226" s="25"/>
      <c r="K2226" s="25" t="str">
        <f t="shared" si="75"/>
        <v/>
      </c>
    </row>
    <row r="2227" spans="2:11" ht="15" customHeight="1">
      <c r="B2227" s="38">
        <v>13778</v>
      </c>
      <c r="C2227" s="22" t="str">
        <f>IFERROR(VLOOKUP(B2227,Colaboradores!A:D,2,),"")</f>
        <v>LAIS FERREIRA CAMPOS MINEIRO</v>
      </c>
      <c r="D2227" s="22" t="str">
        <f>IFERROR(VLOOKUP(B2227,Colaboradores!A:D,3,),"")</f>
        <v>SAÚDE OCUPACIONAL</v>
      </c>
      <c r="E2227" s="22" t="str">
        <f>IFERROR(VLOOKUP(B2227,Colaboradores!A:D,4,),"")</f>
        <v>FISIOTERAPEUTA</v>
      </c>
      <c r="F2227" s="47" t="s">
        <v>97</v>
      </c>
      <c r="G2227" s="24" t="str">
        <f>IFERROR(VLOOKUP(F2227,Procedimentos!A:C,2,),"")</f>
        <v>PROTOCOLO DE PREVENÇÃO DE QUEDAS</v>
      </c>
      <c r="K2227" s="25" t="str">
        <f t="shared" si="75"/>
        <v/>
      </c>
    </row>
    <row r="2228" spans="2:11" ht="15" customHeight="1">
      <c r="B2228" s="38">
        <v>13778</v>
      </c>
      <c r="C2228" s="22" t="str">
        <f>IFERROR(VLOOKUP(B2228,Colaboradores!A:D,2,),"")</f>
        <v>LAIS FERREIRA CAMPOS MINEIRO</v>
      </c>
      <c r="D2228" s="22" t="str">
        <f>IFERROR(VLOOKUP(B2228,Colaboradores!A:D,3,),"")</f>
        <v>SAÚDE OCUPACIONAL</v>
      </c>
      <c r="E2228" s="22" t="str">
        <f>IFERROR(VLOOKUP(B2228,Colaboradores!A:D,4,),"")</f>
        <v>FISIOTERAPEUTA</v>
      </c>
      <c r="F2228" s="47" t="s">
        <v>98</v>
      </c>
      <c r="G2228" s="24" t="str">
        <f>IFERROR(VLOOKUP(F2228,Procedimentos!A:C,2,),"")</f>
        <v>PROTOCOLO INSTITUCIONAL DE CONDUTA ETICA NO ATENDIMENTO MULTIPROFISSIONAL NO ESPAÇO CUIDAR</v>
      </c>
      <c r="K2228" s="25" t="str">
        <f t="shared" si="75"/>
        <v/>
      </c>
    </row>
    <row r="2229" spans="2:11" ht="15" customHeight="1">
      <c r="B2229" s="38">
        <v>13778</v>
      </c>
      <c r="C2229" s="22" t="str">
        <f>IFERROR(VLOOKUP(B2229,Colaboradores!A:D,2,),"")</f>
        <v>LAIS FERREIRA CAMPOS MINEIRO</v>
      </c>
      <c r="D2229" s="22" t="str">
        <f>IFERROR(VLOOKUP(B2229,Colaboradores!A:D,3,),"")</f>
        <v>SAÚDE OCUPACIONAL</v>
      </c>
      <c r="E2229" s="22" t="str">
        <f>IFERROR(VLOOKUP(B2229,Colaboradores!A:D,4,),"")</f>
        <v>FISIOTERAPEUTA</v>
      </c>
      <c r="F2229" s="47" t="s">
        <v>99</v>
      </c>
      <c r="G2229" s="24" t="str">
        <f>IFERROR(VLOOKUP(F2229,Procedimentos!A:C,2,),"")</f>
        <v>PROTOCOLO PARA LIMPEZA DE ÁREAS E SUPERFÍCIES NO ESPAÇO CUIDAR</v>
      </c>
      <c r="K2229" s="25" t="str">
        <f t="shared" si="75"/>
        <v/>
      </c>
    </row>
    <row r="2230" spans="2:11" ht="15" customHeight="1">
      <c r="B2230" s="38">
        <v>13778</v>
      </c>
      <c r="C2230" s="22" t="str">
        <f>IFERROR(VLOOKUP(B2230,Colaboradores!A:D,2,),"")</f>
        <v>LAIS FERREIRA CAMPOS MINEIRO</v>
      </c>
      <c r="D2230" s="22" t="str">
        <f>IFERROR(VLOOKUP(B2230,Colaboradores!A:D,3,),"")</f>
        <v>SAÚDE OCUPACIONAL</v>
      </c>
      <c r="E2230" s="22" t="str">
        <f>IFERROR(VLOOKUP(B2230,Colaboradores!A:D,4,),"")</f>
        <v>FISIOTERAPEUTA</v>
      </c>
      <c r="F2230" s="47" t="s">
        <v>100</v>
      </c>
      <c r="G2230" s="24" t="str">
        <f>IFERROR(VLOOKUP(F2230,Procedimentos!A:C,2,),"")</f>
        <v>PROTOCOLO DE ATENDIMENTO PSIQUIATRICO NO ESPAÇO CUIDAR DA EMSERH</v>
      </c>
      <c r="K2230" s="25" t="str">
        <f t="shared" si="75"/>
        <v/>
      </c>
    </row>
    <row r="2231" spans="2:11" ht="15" customHeight="1">
      <c r="B2231" s="38">
        <v>13778</v>
      </c>
      <c r="C2231" s="22" t="str">
        <f>IFERROR(VLOOKUP(B2231,Colaboradores!A:D,2,),"")</f>
        <v>LAIS FERREIRA CAMPOS MINEIRO</v>
      </c>
      <c r="D2231" s="22" t="str">
        <f>IFERROR(VLOOKUP(B2231,Colaboradores!A:D,3,),"")</f>
        <v>SAÚDE OCUPACIONAL</v>
      </c>
      <c r="E2231" s="22" t="str">
        <f>IFERROR(VLOOKUP(B2231,Colaboradores!A:D,4,),"")</f>
        <v>FISIOTERAPEUTA</v>
      </c>
      <c r="F2231" s="47" t="s">
        <v>101</v>
      </c>
      <c r="G2231" s="24" t="str">
        <f>IFERROR(VLOOKUP(F2231,Procedimentos!A:C,2,),"")</f>
        <v>PROTOCOLO DE MANEJO DE SURTO</v>
      </c>
      <c r="K2231" s="25" t="str">
        <f t="shared" si="75"/>
        <v/>
      </c>
    </row>
    <row r="2232" spans="2:11" ht="15" customHeight="1">
      <c r="B2232" s="38">
        <v>13778</v>
      </c>
      <c r="C2232" s="22" t="str">
        <f>IFERROR(VLOOKUP(B2232,Colaboradores!A:D,2,),"")</f>
        <v>LAIS FERREIRA CAMPOS MINEIRO</v>
      </c>
      <c r="D2232" s="22" t="str">
        <f>IFERROR(VLOOKUP(B2232,Colaboradores!A:D,3,),"")</f>
        <v>SAÚDE OCUPACIONAL</v>
      </c>
      <c r="E2232" s="22" t="str">
        <f>IFERROR(VLOOKUP(B2232,Colaboradores!A:D,4,),"")</f>
        <v>FISIOTERAPEUTA</v>
      </c>
      <c r="F2232" s="47" t="s">
        <v>102</v>
      </c>
      <c r="G2232" s="24" t="str">
        <f>IFERROR(VLOOKUP(F2232,Procedimentos!A:C,2,),"")</f>
        <v>PROTOCOLO DE TRANSPORTE SEGURO NO ESPAÇO CUIDAR</v>
      </c>
      <c r="K2232" s="25" t="str">
        <f t="shared" si="75"/>
        <v/>
      </c>
    </row>
    <row r="2233" spans="2:11" ht="15" customHeight="1">
      <c r="B2233" s="38">
        <v>13778</v>
      </c>
      <c r="C2233" s="22" t="str">
        <f>IFERROR(VLOOKUP(B2233,Colaboradores!A:D,2,),"")</f>
        <v>LAIS FERREIRA CAMPOS MINEIRO</v>
      </c>
      <c r="D2233" s="22" t="str">
        <f>IFERROR(VLOOKUP(B2233,Colaboradores!A:D,3,),"")</f>
        <v>SAÚDE OCUPACIONAL</v>
      </c>
      <c r="E2233" s="22" t="str">
        <f>IFERROR(VLOOKUP(B2233,Colaboradores!A:D,4,),"")</f>
        <v>FISIOTERAPEUTA</v>
      </c>
      <c r="F2233" s="47" t="s">
        <v>103</v>
      </c>
      <c r="G2233" s="24" t="str">
        <f>IFERROR(VLOOKUP(F2233,Procedimentos!A:C,2,),"")</f>
        <v>PROTOCOLO DE ATENDIMENTO À PESSOA COM COMPORTAMENTO SUÍCIDA</v>
      </c>
      <c r="K2233" s="25" t="str">
        <f t="shared" si="75"/>
        <v/>
      </c>
    </row>
    <row r="2234" spans="2:11" ht="15" customHeight="1">
      <c r="B2234" s="38">
        <v>13778</v>
      </c>
      <c r="C2234" s="22" t="str">
        <f>IFERROR(VLOOKUP(B2234,Colaboradores!A:D,2,),"")</f>
        <v>LAIS FERREIRA CAMPOS MINEIRO</v>
      </c>
      <c r="D2234" s="22" t="str">
        <f>IFERROR(VLOOKUP(B2234,Colaboradores!A:D,3,),"")</f>
        <v>SAÚDE OCUPACIONAL</v>
      </c>
      <c r="E2234" s="22" t="str">
        <f>IFERROR(VLOOKUP(B2234,Colaboradores!A:D,4,),"")</f>
        <v>FISIOTERAPEUTA</v>
      </c>
      <c r="F2234" s="47" t="s">
        <v>104</v>
      </c>
      <c r="G2234" s="24" t="str">
        <f>IFERROR(VLOOKUP(F2234,Procedimentos!A:C,2,),"")</f>
        <v>PROTOCOLO DE BIOSSEGURANÇA</v>
      </c>
      <c r="K2234" s="25" t="str">
        <f t="shared" si="75"/>
        <v/>
      </c>
    </row>
    <row r="2235" spans="2:11" ht="15" customHeight="1">
      <c r="B2235" s="38">
        <v>13778</v>
      </c>
      <c r="C2235" s="22" t="str">
        <f>IFERROR(VLOOKUP(B2235,Colaboradores!A:D,2,),"")</f>
        <v>LAIS FERREIRA CAMPOS MINEIRO</v>
      </c>
      <c r="D2235" s="22" t="str">
        <f>IFERROR(VLOOKUP(B2235,Colaboradores!A:D,3,),"")</f>
        <v>SAÚDE OCUPACIONAL</v>
      </c>
      <c r="E2235" s="22" t="str">
        <f>IFERROR(VLOOKUP(B2235,Colaboradores!A:D,4,),"")</f>
        <v>FISIOTERAPEUTA</v>
      </c>
      <c r="F2235" s="47" t="s">
        <v>105</v>
      </c>
      <c r="G2235" s="24" t="str">
        <f>IFERROR(VLOOKUP(F2235,Procedimentos!A:C,2,),"")</f>
        <v>PROTOCOLO IDENTIFICAÇÃO E MANEJO DA EVOLUÇÃO DESFAVORÁVEL DO PACIENTE NO ESPAÇO CUIDAR</v>
      </c>
      <c r="K2235" s="25" t="str">
        <f t="shared" si="75"/>
        <v/>
      </c>
    </row>
    <row r="2236" spans="2:11" ht="15" customHeight="1">
      <c r="B2236" s="38">
        <v>13778</v>
      </c>
      <c r="C2236" s="22" t="str">
        <f>IFERROR(VLOOKUP(B2236,Colaboradores!A:D,2,),"")</f>
        <v>LAIS FERREIRA CAMPOS MINEIRO</v>
      </c>
      <c r="D2236" s="22" t="str">
        <f>IFERROR(VLOOKUP(B2236,Colaboradores!A:D,3,),"")</f>
        <v>SAÚDE OCUPACIONAL</v>
      </c>
      <c r="E2236" s="22" t="str">
        <f>IFERROR(VLOOKUP(B2236,Colaboradores!A:D,4,),"")</f>
        <v>FISIOTERAPEUTA</v>
      </c>
      <c r="F2236" s="47" t="s">
        <v>106</v>
      </c>
      <c r="G2236" s="24" t="str">
        <f>IFERROR(VLOOKUP(F2236,Procedimentos!A:C,2,),"")</f>
        <v>PROTOCOLO DE DETERIORAÇÃO CLÍNICA</v>
      </c>
      <c r="K2236" s="25" t="str">
        <f t="shared" si="75"/>
        <v/>
      </c>
    </row>
    <row r="2237" spans="2:11" ht="15" customHeight="1">
      <c r="B2237" s="38">
        <v>13778</v>
      </c>
      <c r="C2237" s="22" t="str">
        <f>IFERROR(VLOOKUP(B2237,Colaboradores!A:D,2,),"")</f>
        <v>LAIS FERREIRA CAMPOS MINEIRO</v>
      </c>
      <c r="D2237" s="22" t="str">
        <f>IFERROR(VLOOKUP(B2237,Colaboradores!A:D,3,),"")</f>
        <v>SAÚDE OCUPACIONAL</v>
      </c>
      <c r="E2237" s="22" t="str">
        <f>IFERROR(VLOOKUP(B2237,Colaboradores!A:D,4,),"")</f>
        <v>FISIOTERAPEUTA</v>
      </c>
      <c r="F2237" s="47" t="s">
        <v>107</v>
      </c>
      <c r="G2237" s="24" t="str">
        <f>IFERROR(VLOOKUP(F2237,Procedimentos!A:C,2,),"")</f>
        <v>PROTOCOLO DE COMUNICAÇÃO DE NOTÍCIAS DIFÍCEIS</v>
      </c>
      <c r="K2237" s="25" t="str">
        <f t="shared" si="75"/>
        <v/>
      </c>
    </row>
    <row r="2238" spans="2:11" ht="15" customHeight="1">
      <c r="B2238" s="38">
        <v>13778</v>
      </c>
      <c r="C2238" s="22" t="str">
        <f>IFERROR(VLOOKUP(B2238,Colaboradores!A:D,2,),"")</f>
        <v>LAIS FERREIRA CAMPOS MINEIRO</v>
      </c>
      <c r="D2238" s="22" t="str">
        <f>IFERROR(VLOOKUP(B2238,Colaboradores!A:D,3,),"")</f>
        <v>SAÚDE OCUPACIONAL</v>
      </c>
      <c r="E2238" s="22" t="str">
        <f>IFERROR(VLOOKUP(B2238,Colaboradores!A:D,4,),"")</f>
        <v>FISIOTERAPEUTA</v>
      </c>
      <c r="F2238" s="47" t="s">
        <v>108</v>
      </c>
      <c r="G2238" s="24" t="str">
        <f>IFERROR(VLOOKUP(F2238,Procedimentos!A:C,2,),"")</f>
        <v>PROTOCOLO PARA ATENDIMENTO DO (A) ASSISTENTE SOCIAL NO AMBULATÓRIO DO ESPAÇO CUIDAR</v>
      </c>
      <c r="K2238" s="25" t="str">
        <f t="shared" si="75"/>
        <v/>
      </c>
    </row>
    <row r="2239" spans="2:11" ht="15" customHeight="1">
      <c r="B2239" s="38">
        <v>13778</v>
      </c>
      <c r="C2239" s="22" t="str">
        <f>IFERROR(VLOOKUP(B2239,Colaboradores!A:D,2,),"")</f>
        <v>LAIS FERREIRA CAMPOS MINEIRO</v>
      </c>
      <c r="D2239" s="22" t="str">
        <f>IFERROR(VLOOKUP(B2239,Colaboradores!A:D,3,),"")</f>
        <v>SAÚDE OCUPACIONAL</v>
      </c>
      <c r="E2239" s="22" t="str">
        <f>IFERROR(VLOOKUP(B2239,Colaboradores!A:D,4,),"")</f>
        <v>FISIOTERAPEUTA</v>
      </c>
      <c r="F2239" s="47" t="s">
        <v>109</v>
      </c>
      <c r="G2239" s="24" t="str">
        <f>IFERROR(VLOOKUP(F2239,Procedimentos!A:C,2,),"")</f>
        <v>ROTOCOLO DE ASSISTÊNCIA NUTRICIONAL AMBULATÓRIAL PARA ADULTOS E IDOSOS COM SOBREPESO E OBESIDADE</v>
      </c>
      <c r="K2239" s="25" t="str">
        <f t="shared" si="75"/>
        <v/>
      </c>
    </row>
    <row r="2240" spans="2:11" ht="15" customHeight="1">
      <c r="B2240" s="38">
        <v>13778</v>
      </c>
      <c r="C2240" s="22" t="str">
        <f>IFERROR(VLOOKUP(B2240,Colaboradores!A:D,2,),"")</f>
        <v>LAIS FERREIRA CAMPOS MINEIRO</v>
      </c>
      <c r="D2240" s="22" t="str">
        <f>IFERROR(VLOOKUP(B2240,Colaboradores!A:D,3,),"")</f>
        <v>SAÚDE OCUPACIONAL</v>
      </c>
      <c r="E2240" s="22" t="str">
        <f>IFERROR(VLOOKUP(B2240,Colaboradores!A:D,4,),"")</f>
        <v>FISIOTERAPEUTA</v>
      </c>
      <c r="F2240" s="47" t="s">
        <v>110</v>
      </c>
      <c r="G2240" s="24" t="str">
        <f>IFERROR(VLOOKUP(F2240,Procedimentos!A:C,2,),"")</f>
        <v>PROTOCOLO DE AGENDAMENTO</v>
      </c>
      <c r="K2240" s="25" t="str">
        <f t="shared" si="75"/>
        <v/>
      </c>
    </row>
    <row r="2241" spans="2:11" ht="15" customHeight="1">
      <c r="B2241" s="38">
        <v>13778</v>
      </c>
      <c r="C2241" s="22" t="str">
        <f>IFERROR(VLOOKUP(B2241,Colaboradores!A:D,2,),"")</f>
        <v>LAIS FERREIRA CAMPOS MINEIRO</v>
      </c>
      <c r="D2241" s="22" t="str">
        <f>IFERROR(VLOOKUP(B2241,Colaboradores!A:D,3,),"")</f>
        <v>SAÚDE OCUPACIONAL</v>
      </c>
      <c r="E2241" s="22" t="str">
        <f>IFERROR(VLOOKUP(B2241,Colaboradores!A:D,4,),"")</f>
        <v>FISIOTERAPEUTA</v>
      </c>
      <c r="F2241" s="47" t="s">
        <v>111</v>
      </c>
      <c r="G2241" s="24" t="str">
        <f>IFERROR(VLOOKUP(F2241,Procedimentos!A:C,2,),"")</f>
        <v>PROTOCOLO DE IDENTIFICAÇÃO DE SINAIS SUSGETIVOS DE VIOLÊNCIA - ESPAÇO CUIDAR/ EMSERH</v>
      </c>
      <c r="K2241" s="25" t="str">
        <f t="shared" si="75"/>
        <v/>
      </c>
    </row>
    <row r="2242" spans="2:11" ht="15" customHeight="1">
      <c r="B2242" s="38">
        <v>13778</v>
      </c>
      <c r="C2242" s="22" t="str">
        <f>IFERROR(VLOOKUP(B2242,Colaboradores!A:D,2,),"")</f>
        <v>LAIS FERREIRA CAMPOS MINEIRO</v>
      </c>
      <c r="D2242" s="22" t="str">
        <f>IFERROR(VLOOKUP(B2242,Colaboradores!A:D,3,),"")</f>
        <v>SAÚDE OCUPACIONAL</v>
      </c>
      <c r="E2242" s="22" t="str">
        <f>IFERROR(VLOOKUP(B2242,Colaboradores!A:D,4,),"")</f>
        <v>FISIOTERAPEUTA</v>
      </c>
      <c r="F2242" s="47" t="s">
        <v>112</v>
      </c>
      <c r="G2242" s="24" t="str">
        <f>IFERROR(VLOOKUP(F2242,Procedimentos!A:C,2,),"")</f>
        <v>PROTOCOLO DE IDENTIFICAÇÃO SEGURA</v>
      </c>
      <c r="K2242" s="25" t="str">
        <f t="shared" si="75"/>
        <v/>
      </c>
    </row>
    <row r="2243" spans="2:11" ht="15" customHeight="1">
      <c r="B2243" s="38">
        <v>13778</v>
      </c>
      <c r="C2243" s="22" t="str">
        <f>IFERROR(VLOOKUP(B2243,Colaboradores!A:D,2,),"")</f>
        <v>LAIS FERREIRA CAMPOS MINEIRO</v>
      </c>
      <c r="D2243" s="22" t="str">
        <f>IFERROR(VLOOKUP(B2243,Colaboradores!A:D,3,),"")</f>
        <v>SAÚDE OCUPACIONAL</v>
      </c>
      <c r="E2243" s="22" t="str">
        <f>IFERROR(VLOOKUP(B2243,Colaboradores!A:D,4,),"")</f>
        <v>FISIOTERAPEUTA</v>
      </c>
      <c r="F2243" s="47" t="s">
        <v>113</v>
      </c>
      <c r="G2243" s="24" t="str">
        <f>IFERROR(VLOOKUP(F2243,Procedimentos!A:C,2,),"")</f>
        <v>PROTOCOLO DE NORMAS E ROTINAS PARA COMUNICAÇÃO DO ESTADO DE SAÚDE DO PACIENTE</v>
      </c>
      <c r="K2243" s="25" t="str">
        <f t="shared" ref="K2243:K2306" si="76">IF(AND(I2243&lt;&gt;"",J2243&lt;&gt;""),DATE(YEAR(I2243),MONTH(I2243)+J2243,DAY(I2243)),"")</f>
        <v/>
      </c>
    </row>
    <row r="2244" spans="2:11" ht="15" customHeight="1">
      <c r="B2244" s="38">
        <v>13778</v>
      </c>
      <c r="C2244" s="22" t="str">
        <f>IFERROR(VLOOKUP(B2244,Colaboradores!A:D,2,),"")</f>
        <v>LAIS FERREIRA CAMPOS MINEIRO</v>
      </c>
      <c r="D2244" s="22" t="str">
        <f>IFERROR(VLOOKUP(B2244,Colaboradores!A:D,3,),"")</f>
        <v>SAÚDE OCUPACIONAL</v>
      </c>
      <c r="E2244" s="22" t="str">
        <f>IFERROR(VLOOKUP(B2244,Colaboradores!A:D,4,),"")</f>
        <v>FISIOTERAPEUTA</v>
      </c>
      <c r="F2244" s="47" t="s">
        <v>114</v>
      </c>
      <c r="G2244" s="24" t="str">
        <f>IFERROR(VLOOKUP(F2244,Procedimentos!A:C,2,),"")</f>
        <v>PROTOCOLO DE COMUNICAÇÃO EFETIVA EM PRÁTICAS DE SAÚDE</v>
      </c>
      <c r="K2244" s="25" t="str">
        <f t="shared" si="76"/>
        <v/>
      </c>
    </row>
    <row r="2245" spans="2:11" ht="15" customHeight="1">
      <c r="B2245" s="38">
        <v>13778</v>
      </c>
      <c r="C2245" s="22" t="str">
        <f>IFERROR(VLOOKUP(B2245,Colaboradores!A:D,2,),"")</f>
        <v>LAIS FERREIRA CAMPOS MINEIRO</v>
      </c>
      <c r="D2245" s="22" t="str">
        <f>IFERROR(VLOOKUP(B2245,Colaboradores!A:D,3,),"")</f>
        <v>SAÚDE OCUPACIONAL</v>
      </c>
      <c r="E2245" s="22" t="str">
        <f>IFERROR(VLOOKUP(B2245,Colaboradores!A:D,4,),"")</f>
        <v>FISIOTERAPEUTA</v>
      </c>
      <c r="F2245" s="47" t="s">
        <v>115</v>
      </c>
      <c r="G2245" s="24" t="str">
        <f>IFERROR(VLOOKUP(F2245,Procedimentos!A:C,2,),"")</f>
        <v>PROTOCOLO DE NORMAS E ROTINAS DE ADMISSÃO, TRIAGEM E ALTA</v>
      </c>
      <c r="K2245" s="25" t="str">
        <f t="shared" si="76"/>
        <v/>
      </c>
    </row>
    <row r="2246" spans="2:11" ht="15" customHeight="1">
      <c r="B2246" s="38">
        <v>13778</v>
      </c>
      <c r="C2246" s="22" t="str">
        <f>IFERROR(VLOOKUP(B2246,Colaboradores!A:D,2,),"")</f>
        <v>LAIS FERREIRA CAMPOS MINEIRO</v>
      </c>
      <c r="D2246" s="22" t="str">
        <f>IFERROR(VLOOKUP(B2246,Colaboradores!A:D,3,),"")</f>
        <v>SAÚDE OCUPACIONAL</v>
      </c>
      <c r="E2246" s="22" t="str">
        <f>IFERROR(VLOOKUP(B2246,Colaboradores!A:D,4,),"")</f>
        <v>FISIOTERAPEUTA</v>
      </c>
      <c r="F2246" s="47" t="s">
        <v>116</v>
      </c>
      <c r="G2246" s="24" t="str">
        <f>IFERROR(VLOOKUP(F2246,Procedimentos!A:C,2,),"")</f>
        <v>PROTOCOLO DE SEGURANÇA NA PRESCRIÇÃO, USO E ADMINISTRAÇÃO DE MEDICAMENTOS ESPAÇO CUIDAR</v>
      </c>
      <c r="K2246" s="25" t="str">
        <f t="shared" si="76"/>
        <v/>
      </c>
    </row>
    <row r="2247" spans="2:11" ht="15" customHeight="1">
      <c r="B2247" s="38">
        <v>13778</v>
      </c>
      <c r="C2247" s="22" t="str">
        <f>IFERROR(VLOOKUP(B2247,Colaboradores!A:D,2,),"")</f>
        <v>LAIS FERREIRA CAMPOS MINEIRO</v>
      </c>
      <c r="D2247" s="22" t="str">
        <f>IFERROR(VLOOKUP(B2247,Colaboradores!A:D,3,),"")</f>
        <v>SAÚDE OCUPACIONAL</v>
      </c>
      <c r="E2247" s="22" t="str">
        <f>IFERROR(VLOOKUP(B2247,Colaboradores!A:D,4,),"")</f>
        <v>FISIOTERAPEUTA</v>
      </c>
      <c r="F2247" s="47" t="s">
        <v>117</v>
      </c>
      <c r="G2247" s="24" t="str">
        <f>IFERROR(VLOOKUP(F2247,Procedimentos!A:C,2,),"")</f>
        <v>NORMA E ROTINA DA TRANSIÇÃO DE CUIDADOS</v>
      </c>
      <c r="K2247" s="25" t="str">
        <f t="shared" si="76"/>
        <v/>
      </c>
    </row>
    <row r="2248" spans="2:11" ht="15" customHeight="1">
      <c r="B2248" s="38">
        <v>13778</v>
      </c>
      <c r="C2248" s="22" t="str">
        <f>IFERROR(VLOOKUP(B2248,Colaboradores!A:D,2,),"")</f>
        <v>LAIS FERREIRA CAMPOS MINEIRO</v>
      </c>
      <c r="D2248" s="22" t="str">
        <f>IFERROR(VLOOKUP(B2248,Colaboradores!A:D,3,),"")</f>
        <v>SAÚDE OCUPACIONAL</v>
      </c>
      <c r="E2248" s="22" t="str">
        <f>IFERROR(VLOOKUP(B2248,Colaboradores!A:D,4,),"")</f>
        <v>FISIOTERAPEUTA</v>
      </c>
      <c r="F2248" s="47" t="s">
        <v>118</v>
      </c>
      <c r="G2248" s="24" t="str">
        <f>IFERROR(VLOOKUP(F2248,Procedimentos!A:C,2,),"")</f>
        <v>PROTOCOLO DE ASSISTÊNCIA FISIOTERAPÊUTICA DO ESPAÇO CUIDAR</v>
      </c>
      <c r="K2248" s="25" t="str">
        <f t="shared" si="76"/>
        <v/>
      </c>
    </row>
    <row r="2249" spans="2:11" ht="15" customHeight="1">
      <c r="B2249" s="38">
        <v>7147</v>
      </c>
      <c r="C2249" s="22" t="str">
        <f>IFERROR(VLOOKUP(B2249,Colaboradores!A:D,2,),"")</f>
        <v>MAIARA MONTEIRO MARQUES CASTELO BRANCO</v>
      </c>
      <c r="D2249" s="22" t="str">
        <f>IFERROR(VLOOKUP(B2249,Colaboradores!A:D,3,),"")</f>
        <v>SAÚDE OCUPACIONAL</v>
      </c>
      <c r="E2249" s="22" t="str">
        <f>IFERROR(VLOOKUP(B2249,Colaboradores!A:D,4,),"")</f>
        <v>PSICÓLOGA</v>
      </c>
      <c r="F2249" s="47" t="s">
        <v>94</v>
      </c>
      <c r="G2249" s="24" t="str">
        <f>IFERROR(VLOOKUP(F2249,Procedimentos!A:C,2,),"")</f>
        <v>PROTOCOLO DE CONSENTIMENTO INFORMADO</v>
      </c>
      <c r="K2249" s="25" t="str">
        <f t="shared" si="76"/>
        <v/>
      </c>
    </row>
    <row r="2250" spans="2:11" ht="15" customHeight="1">
      <c r="B2250" s="38">
        <v>7147</v>
      </c>
      <c r="C2250" s="22" t="str">
        <f>IFERROR(VLOOKUP(B2250,Colaboradores!A:D,2,),"")</f>
        <v>MAIARA MONTEIRO MARQUES CASTELO BRANCO</v>
      </c>
      <c r="D2250" s="22" t="str">
        <f>IFERROR(VLOOKUP(B2250,Colaboradores!A:D,3,),"")</f>
        <v>SAÚDE OCUPACIONAL</v>
      </c>
      <c r="E2250" s="22" t="str">
        <f>IFERROR(VLOOKUP(B2250,Colaboradores!A:D,4,),"")</f>
        <v>PSICÓLOGA</v>
      </c>
      <c r="F2250" s="47" t="s">
        <v>95</v>
      </c>
      <c r="G2250" s="24" t="str">
        <f>IFERROR(VLOOKUP(F2250,Procedimentos!A:C,2,),"")</f>
        <v>PROTOCOLO DE NOTIFICAÇÃO COMPULSORIA - ESPAÇO CUIDAR/EMSERH</v>
      </c>
      <c r="K2250" s="25" t="str">
        <f t="shared" si="76"/>
        <v/>
      </c>
    </row>
    <row r="2251" spans="2:11" ht="15" customHeight="1">
      <c r="B2251" s="38">
        <v>7147</v>
      </c>
      <c r="C2251" s="22" t="str">
        <f>IFERROR(VLOOKUP(B2251,Colaboradores!A:D,2,),"")</f>
        <v>MAIARA MONTEIRO MARQUES CASTELO BRANCO</v>
      </c>
      <c r="D2251" s="22" t="str">
        <f>IFERROR(VLOOKUP(B2251,Colaboradores!A:D,3,),"")</f>
        <v>SAÚDE OCUPACIONAL</v>
      </c>
      <c r="E2251" s="22" t="str">
        <f>IFERROR(VLOOKUP(B2251,Colaboradores!A:D,4,),"")</f>
        <v>PSICÓLOGA</v>
      </c>
      <c r="F2251" s="47" t="s">
        <v>96</v>
      </c>
      <c r="G2251" s="24" t="str">
        <f>IFERROR(VLOOKUP(F2251,Procedimentos!A:C,2,),"")</f>
        <v>PROTOCOLO PARA HIGIENIZAÇÃO DAS MÃOS</v>
      </c>
      <c r="H2251" s="25"/>
      <c r="K2251" s="25" t="str">
        <f t="shared" si="76"/>
        <v/>
      </c>
    </row>
    <row r="2252" spans="2:11" ht="15" customHeight="1">
      <c r="B2252" s="38">
        <v>7147</v>
      </c>
      <c r="C2252" s="22" t="str">
        <f>IFERROR(VLOOKUP(B2252,Colaboradores!A:D,2,),"")</f>
        <v>MAIARA MONTEIRO MARQUES CASTELO BRANCO</v>
      </c>
      <c r="D2252" s="22" t="str">
        <f>IFERROR(VLOOKUP(B2252,Colaboradores!A:D,3,),"")</f>
        <v>SAÚDE OCUPACIONAL</v>
      </c>
      <c r="E2252" s="22" t="str">
        <f>IFERROR(VLOOKUP(B2252,Colaboradores!A:D,4,),"")</f>
        <v>PSICÓLOGA</v>
      </c>
      <c r="F2252" s="47" t="s">
        <v>97</v>
      </c>
      <c r="G2252" s="24" t="str">
        <f>IFERROR(VLOOKUP(F2252,Procedimentos!A:C,2,),"")</f>
        <v>PROTOCOLO DE PREVENÇÃO DE QUEDAS</v>
      </c>
      <c r="K2252" s="25" t="str">
        <f t="shared" si="76"/>
        <v/>
      </c>
    </row>
    <row r="2253" spans="2:11" ht="15" customHeight="1">
      <c r="B2253" s="38">
        <v>7147</v>
      </c>
      <c r="C2253" s="22" t="str">
        <f>IFERROR(VLOOKUP(B2253,Colaboradores!A:D,2,),"")</f>
        <v>MAIARA MONTEIRO MARQUES CASTELO BRANCO</v>
      </c>
      <c r="D2253" s="22" t="str">
        <f>IFERROR(VLOOKUP(B2253,Colaboradores!A:D,3,),"")</f>
        <v>SAÚDE OCUPACIONAL</v>
      </c>
      <c r="E2253" s="22" t="str">
        <f>IFERROR(VLOOKUP(B2253,Colaboradores!A:D,4,),"")</f>
        <v>PSICÓLOGA</v>
      </c>
      <c r="F2253" s="47" t="s">
        <v>98</v>
      </c>
      <c r="G2253" s="24" t="str">
        <f>IFERROR(VLOOKUP(F2253,Procedimentos!A:C,2,),"")</f>
        <v>PROTOCOLO INSTITUCIONAL DE CONDUTA ETICA NO ATENDIMENTO MULTIPROFISSIONAL NO ESPAÇO CUIDAR</v>
      </c>
      <c r="K2253" s="25" t="str">
        <f t="shared" si="76"/>
        <v/>
      </c>
    </row>
    <row r="2254" spans="2:11" ht="15" customHeight="1">
      <c r="B2254" s="38">
        <v>7147</v>
      </c>
      <c r="C2254" s="22" t="str">
        <f>IFERROR(VLOOKUP(B2254,Colaboradores!A:D,2,),"")</f>
        <v>MAIARA MONTEIRO MARQUES CASTELO BRANCO</v>
      </c>
      <c r="D2254" s="22" t="str">
        <f>IFERROR(VLOOKUP(B2254,Colaboradores!A:D,3,),"")</f>
        <v>SAÚDE OCUPACIONAL</v>
      </c>
      <c r="E2254" s="22" t="str">
        <f>IFERROR(VLOOKUP(B2254,Colaboradores!A:D,4,),"")</f>
        <v>PSICÓLOGA</v>
      </c>
      <c r="F2254" s="47" t="s">
        <v>99</v>
      </c>
      <c r="G2254" s="24" t="str">
        <f>IFERROR(VLOOKUP(F2254,Procedimentos!A:C,2,),"")</f>
        <v>PROTOCOLO PARA LIMPEZA DE ÁREAS E SUPERFÍCIES NO ESPAÇO CUIDAR</v>
      </c>
      <c r="K2254" s="25" t="str">
        <f t="shared" si="76"/>
        <v/>
      </c>
    </row>
    <row r="2255" spans="2:11" ht="15" customHeight="1">
      <c r="B2255" s="38">
        <v>7147</v>
      </c>
      <c r="C2255" s="22" t="str">
        <f>IFERROR(VLOOKUP(B2255,Colaboradores!A:D,2,),"")</f>
        <v>MAIARA MONTEIRO MARQUES CASTELO BRANCO</v>
      </c>
      <c r="D2255" s="22" t="str">
        <f>IFERROR(VLOOKUP(B2255,Colaboradores!A:D,3,),"")</f>
        <v>SAÚDE OCUPACIONAL</v>
      </c>
      <c r="E2255" s="22" t="str">
        <f>IFERROR(VLOOKUP(B2255,Colaboradores!A:D,4,),"")</f>
        <v>PSICÓLOGA</v>
      </c>
      <c r="F2255" s="47" t="s">
        <v>100</v>
      </c>
      <c r="G2255" s="24" t="str">
        <f>IFERROR(VLOOKUP(F2255,Procedimentos!A:C,2,),"")</f>
        <v>PROTOCOLO DE ATENDIMENTO PSIQUIATRICO NO ESPAÇO CUIDAR DA EMSERH</v>
      </c>
      <c r="H2255" s="22" t="s">
        <v>7</v>
      </c>
      <c r="K2255" s="25" t="str">
        <f t="shared" si="76"/>
        <v/>
      </c>
    </row>
    <row r="2256" spans="2:11" ht="15" customHeight="1">
      <c r="B2256" s="38">
        <v>7147</v>
      </c>
      <c r="C2256" s="22" t="str">
        <f>IFERROR(VLOOKUP(B2256,Colaboradores!A:D,2,),"")</f>
        <v>MAIARA MONTEIRO MARQUES CASTELO BRANCO</v>
      </c>
      <c r="D2256" s="22" t="str">
        <f>IFERROR(VLOOKUP(B2256,Colaboradores!A:D,3,),"")</f>
        <v>SAÚDE OCUPACIONAL</v>
      </c>
      <c r="E2256" s="22" t="str">
        <f>IFERROR(VLOOKUP(B2256,Colaboradores!A:D,4,),"")</f>
        <v>PSICÓLOGA</v>
      </c>
      <c r="F2256" s="47" t="s">
        <v>101</v>
      </c>
      <c r="G2256" s="24" t="str">
        <f>IFERROR(VLOOKUP(F2256,Procedimentos!A:C,2,),"")</f>
        <v>PROTOCOLO DE MANEJO DE SURTO</v>
      </c>
      <c r="K2256" s="25" t="str">
        <f t="shared" si="76"/>
        <v/>
      </c>
    </row>
    <row r="2257" spans="2:11" ht="15" customHeight="1">
      <c r="B2257" s="38">
        <v>7147</v>
      </c>
      <c r="C2257" s="22" t="str">
        <f>IFERROR(VLOOKUP(B2257,Colaboradores!A:D,2,),"")</f>
        <v>MAIARA MONTEIRO MARQUES CASTELO BRANCO</v>
      </c>
      <c r="D2257" s="22" t="str">
        <f>IFERROR(VLOOKUP(B2257,Colaboradores!A:D,3,),"")</f>
        <v>SAÚDE OCUPACIONAL</v>
      </c>
      <c r="E2257" s="22" t="str">
        <f>IFERROR(VLOOKUP(B2257,Colaboradores!A:D,4,),"")</f>
        <v>PSICÓLOGA</v>
      </c>
      <c r="F2257" s="47" t="s">
        <v>102</v>
      </c>
      <c r="G2257" s="24" t="str">
        <f>IFERROR(VLOOKUP(F2257,Procedimentos!A:C,2,),"")</f>
        <v>PROTOCOLO DE TRANSPORTE SEGURO NO ESPAÇO CUIDAR</v>
      </c>
      <c r="K2257" s="25" t="str">
        <f t="shared" si="76"/>
        <v/>
      </c>
    </row>
    <row r="2258" spans="2:11" ht="15" customHeight="1">
      <c r="B2258" s="38">
        <v>7147</v>
      </c>
      <c r="C2258" s="22" t="str">
        <f>IFERROR(VLOOKUP(B2258,Colaboradores!A:D,2,),"")</f>
        <v>MAIARA MONTEIRO MARQUES CASTELO BRANCO</v>
      </c>
      <c r="D2258" s="22" t="str">
        <f>IFERROR(VLOOKUP(B2258,Colaboradores!A:D,3,),"")</f>
        <v>SAÚDE OCUPACIONAL</v>
      </c>
      <c r="E2258" s="22" t="str">
        <f>IFERROR(VLOOKUP(B2258,Colaboradores!A:D,4,),"")</f>
        <v>PSICÓLOGA</v>
      </c>
      <c r="F2258" s="47" t="s">
        <v>103</v>
      </c>
      <c r="G2258" s="24" t="str">
        <f>IFERROR(VLOOKUP(F2258,Procedimentos!A:C,2,),"")</f>
        <v>PROTOCOLO DE ATENDIMENTO À PESSOA COM COMPORTAMENTO SUÍCIDA</v>
      </c>
      <c r="H2258" s="22" t="s">
        <v>7</v>
      </c>
      <c r="K2258" s="25" t="str">
        <f t="shared" si="76"/>
        <v/>
      </c>
    </row>
    <row r="2259" spans="2:11" ht="15" customHeight="1">
      <c r="B2259" s="38">
        <v>7147</v>
      </c>
      <c r="C2259" s="22" t="str">
        <f>IFERROR(VLOOKUP(B2259,Colaboradores!A:D,2,),"")</f>
        <v>MAIARA MONTEIRO MARQUES CASTELO BRANCO</v>
      </c>
      <c r="D2259" s="22" t="str">
        <f>IFERROR(VLOOKUP(B2259,Colaboradores!A:D,3,),"")</f>
        <v>SAÚDE OCUPACIONAL</v>
      </c>
      <c r="E2259" s="22" t="str">
        <f>IFERROR(VLOOKUP(B2259,Colaboradores!A:D,4,),"")</f>
        <v>PSICÓLOGA</v>
      </c>
      <c r="F2259" s="47" t="s">
        <v>104</v>
      </c>
      <c r="G2259" s="24" t="str">
        <f>IFERROR(VLOOKUP(F2259,Procedimentos!A:C,2,),"")</f>
        <v>PROTOCOLO DE BIOSSEGURANÇA</v>
      </c>
      <c r="K2259" s="25" t="str">
        <f t="shared" si="76"/>
        <v/>
      </c>
    </row>
    <row r="2260" spans="2:11" ht="15" customHeight="1">
      <c r="B2260" s="38">
        <v>7147</v>
      </c>
      <c r="C2260" s="22" t="str">
        <f>IFERROR(VLOOKUP(B2260,Colaboradores!A:D,2,),"")</f>
        <v>MAIARA MONTEIRO MARQUES CASTELO BRANCO</v>
      </c>
      <c r="D2260" s="22" t="str">
        <f>IFERROR(VLOOKUP(B2260,Colaboradores!A:D,3,),"")</f>
        <v>SAÚDE OCUPACIONAL</v>
      </c>
      <c r="E2260" s="22" t="str">
        <f>IFERROR(VLOOKUP(B2260,Colaboradores!A:D,4,),"")</f>
        <v>PSICÓLOGA</v>
      </c>
      <c r="F2260" s="47" t="s">
        <v>105</v>
      </c>
      <c r="G2260" s="24" t="str">
        <f>IFERROR(VLOOKUP(F2260,Procedimentos!A:C,2,),"")</f>
        <v>PROTOCOLO IDENTIFICAÇÃO E MANEJO DA EVOLUÇÃO DESFAVORÁVEL DO PACIENTE NO ESPAÇO CUIDAR</v>
      </c>
      <c r="K2260" s="25" t="str">
        <f t="shared" si="76"/>
        <v/>
      </c>
    </row>
    <row r="2261" spans="2:11" ht="15" customHeight="1">
      <c r="B2261" s="38">
        <v>7147</v>
      </c>
      <c r="C2261" s="22" t="str">
        <f>IFERROR(VLOOKUP(B2261,Colaboradores!A:D,2,),"")</f>
        <v>MAIARA MONTEIRO MARQUES CASTELO BRANCO</v>
      </c>
      <c r="D2261" s="22" t="str">
        <f>IFERROR(VLOOKUP(B2261,Colaboradores!A:D,3,),"")</f>
        <v>SAÚDE OCUPACIONAL</v>
      </c>
      <c r="E2261" s="22" t="str">
        <f>IFERROR(VLOOKUP(B2261,Colaboradores!A:D,4,),"")</f>
        <v>PSICÓLOGA</v>
      </c>
      <c r="F2261" s="47" t="s">
        <v>106</v>
      </c>
      <c r="G2261" s="24" t="str">
        <f>IFERROR(VLOOKUP(F2261,Procedimentos!A:C,2,),"")</f>
        <v>PROTOCOLO DE DETERIORAÇÃO CLÍNICA</v>
      </c>
      <c r="K2261" s="25" t="str">
        <f t="shared" si="76"/>
        <v/>
      </c>
    </row>
    <row r="2262" spans="2:11" ht="15" customHeight="1">
      <c r="B2262" s="38">
        <v>7147</v>
      </c>
      <c r="C2262" s="22" t="str">
        <f>IFERROR(VLOOKUP(B2262,Colaboradores!A:D,2,),"")</f>
        <v>MAIARA MONTEIRO MARQUES CASTELO BRANCO</v>
      </c>
      <c r="D2262" s="22" t="str">
        <f>IFERROR(VLOOKUP(B2262,Colaboradores!A:D,3,),"")</f>
        <v>SAÚDE OCUPACIONAL</v>
      </c>
      <c r="E2262" s="22" t="str">
        <f>IFERROR(VLOOKUP(B2262,Colaboradores!A:D,4,),"")</f>
        <v>PSICÓLOGA</v>
      </c>
      <c r="F2262" s="47" t="s">
        <v>107</v>
      </c>
      <c r="G2262" s="24" t="str">
        <f>IFERROR(VLOOKUP(F2262,Procedimentos!A:C,2,),"")</f>
        <v>PROTOCOLO DE COMUNICAÇÃO DE NOTÍCIAS DIFÍCEIS</v>
      </c>
      <c r="K2262" s="25" t="str">
        <f t="shared" si="76"/>
        <v/>
      </c>
    </row>
    <row r="2263" spans="2:11" ht="15" customHeight="1">
      <c r="B2263" s="38">
        <v>7147</v>
      </c>
      <c r="C2263" s="22" t="str">
        <f>IFERROR(VLOOKUP(B2263,Colaboradores!A:D,2,),"")</f>
        <v>MAIARA MONTEIRO MARQUES CASTELO BRANCO</v>
      </c>
      <c r="D2263" s="22" t="str">
        <f>IFERROR(VLOOKUP(B2263,Colaboradores!A:D,3,),"")</f>
        <v>SAÚDE OCUPACIONAL</v>
      </c>
      <c r="E2263" s="22" t="str">
        <f>IFERROR(VLOOKUP(B2263,Colaboradores!A:D,4,),"")</f>
        <v>PSICÓLOGA</v>
      </c>
      <c r="F2263" s="47" t="s">
        <v>108</v>
      </c>
      <c r="G2263" s="24" t="str">
        <f>IFERROR(VLOOKUP(F2263,Procedimentos!A:C,2,),"")</f>
        <v>PROTOCOLO PARA ATENDIMENTO DO (A) ASSISTENTE SOCIAL NO AMBULATÓRIO DO ESPAÇO CUIDAR</v>
      </c>
      <c r="K2263" s="25" t="str">
        <f t="shared" si="76"/>
        <v/>
      </c>
    </row>
    <row r="2264" spans="2:11" ht="15" customHeight="1">
      <c r="B2264" s="38">
        <v>7147</v>
      </c>
      <c r="C2264" s="22" t="str">
        <f>IFERROR(VLOOKUP(B2264,Colaboradores!A:D,2,),"")</f>
        <v>MAIARA MONTEIRO MARQUES CASTELO BRANCO</v>
      </c>
      <c r="D2264" s="22" t="str">
        <f>IFERROR(VLOOKUP(B2264,Colaboradores!A:D,3,),"")</f>
        <v>SAÚDE OCUPACIONAL</v>
      </c>
      <c r="E2264" s="22" t="str">
        <f>IFERROR(VLOOKUP(B2264,Colaboradores!A:D,4,),"")</f>
        <v>PSICÓLOGA</v>
      </c>
      <c r="F2264" s="47" t="s">
        <v>109</v>
      </c>
      <c r="G2264" s="24" t="str">
        <f>IFERROR(VLOOKUP(F2264,Procedimentos!A:C,2,),"")</f>
        <v>ROTOCOLO DE ASSISTÊNCIA NUTRICIONAL AMBULATÓRIAL PARA ADULTOS E IDOSOS COM SOBREPESO E OBESIDADE</v>
      </c>
      <c r="K2264" s="25" t="str">
        <f t="shared" si="76"/>
        <v/>
      </c>
    </row>
    <row r="2265" spans="2:11" ht="15" customHeight="1">
      <c r="B2265" s="38">
        <v>7147</v>
      </c>
      <c r="C2265" s="22" t="str">
        <f>IFERROR(VLOOKUP(B2265,Colaboradores!A:D,2,),"")</f>
        <v>MAIARA MONTEIRO MARQUES CASTELO BRANCO</v>
      </c>
      <c r="D2265" s="22" t="str">
        <f>IFERROR(VLOOKUP(B2265,Colaboradores!A:D,3,),"")</f>
        <v>SAÚDE OCUPACIONAL</v>
      </c>
      <c r="E2265" s="22" t="str">
        <f>IFERROR(VLOOKUP(B2265,Colaboradores!A:D,4,),"")</f>
        <v>PSICÓLOGA</v>
      </c>
      <c r="F2265" s="47" t="s">
        <v>110</v>
      </c>
      <c r="G2265" s="24" t="str">
        <f>IFERROR(VLOOKUP(F2265,Procedimentos!A:C,2,),"")</f>
        <v>PROTOCOLO DE AGENDAMENTO</v>
      </c>
      <c r="K2265" s="25" t="str">
        <f t="shared" si="76"/>
        <v/>
      </c>
    </row>
    <row r="2266" spans="2:11" ht="15" customHeight="1">
      <c r="B2266" s="38">
        <v>7147</v>
      </c>
      <c r="C2266" s="22" t="str">
        <f>IFERROR(VLOOKUP(B2266,Colaboradores!A:D,2,),"")</f>
        <v>MAIARA MONTEIRO MARQUES CASTELO BRANCO</v>
      </c>
      <c r="D2266" s="22" t="str">
        <f>IFERROR(VLOOKUP(B2266,Colaboradores!A:D,3,),"")</f>
        <v>SAÚDE OCUPACIONAL</v>
      </c>
      <c r="E2266" s="22" t="str">
        <f>IFERROR(VLOOKUP(B2266,Colaboradores!A:D,4,),"")</f>
        <v>PSICÓLOGA</v>
      </c>
      <c r="F2266" s="47" t="s">
        <v>111</v>
      </c>
      <c r="G2266" s="24" t="str">
        <f>IFERROR(VLOOKUP(F2266,Procedimentos!A:C,2,),"")</f>
        <v>PROTOCOLO DE IDENTIFICAÇÃO DE SINAIS SUSGETIVOS DE VIOLÊNCIA - ESPAÇO CUIDAR/ EMSERH</v>
      </c>
      <c r="K2266" s="25" t="str">
        <f t="shared" si="76"/>
        <v/>
      </c>
    </row>
    <row r="2267" spans="2:11" ht="15" customHeight="1">
      <c r="B2267" s="38">
        <v>7147</v>
      </c>
      <c r="C2267" s="22" t="str">
        <f>IFERROR(VLOOKUP(B2267,Colaboradores!A:D,2,),"")</f>
        <v>MAIARA MONTEIRO MARQUES CASTELO BRANCO</v>
      </c>
      <c r="D2267" s="22" t="str">
        <f>IFERROR(VLOOKUP(B2267,Colaboradores!A:D,3,),"")</f>
        <v>SAÚDE OCUPACIONAL</v>
      </c>
      <c r="E2267" s="22" t="str">
        <f>IFERROR(VLOOKUP(B2267,Colaboradores!A:D,4,),"")</f>
        <v>PSICÓLOGA</v>
      </c>
      <c r="F2267" s="47" t="s">
        <v>112</v>
      </c>
      <c r="G2267" s="24" t="str">
        <f>IFERROR(VLOOKUP(F2267,Procedimentos!A:C,2,),"")</f>
        <v>PROTOCOLO DE IDENTIFICAÇÃO SEGURA</v>
      </c>
      <c r="K2267" s="25" t="str">
        <f t="shared" si="76"/>
        <v/>
      </c>
    </row>
    <row r="2268" spans="2:11" ht="15" customHeight="1">
      <c r="B2268" s="38">
        <v>7147</v>
      </c>
      <c r="C2268" s="22" t="str">
        <f>IFERROR(VLOOKUP(B2268,Colaboradores!A:D,2,),"")</f>
        <v>MAIARA MONTEIRO MARQUES CASTELO BRANCO</v>
      </c>
      <c r="D2268" s="22" t="str">
        <f>IFERROR(VLOOKUP(B2268,Colaboradores!A:D,3,),"")</f>
        <v>SAÚDE OCUPACIONAL</v>
      </c>
      <c r="E2268" s="22" t="str">
        <f>IFERROR(VLOOKUP(B2268,Colaboradores!A:D,4,),"")</f>
        <v>PSICÓLOGA</v>
      </c>
      <c r="F2268" s="47" t="s">
        <v>113</v>
      </c>
      <c r="G2268" s="24" t="str">
        <f>IFERROR(VLOOKUP(F2268,Procedimentos!A:C,2,),"")</f>
        <v>PROTOCOLO DE NORMAS E ROTINAS PARA COMUNICAÇÃO DO ESTADO DE SAÚDE DO PACIENTE</v>
      </c>
      <c r="K2268" s="25" t="str">
        <f t="shared" si="76"/>
        <v/>
      </c>
    </row>
    <row r="2269" spans="2:11" ht="15" customHeight="1">
      <c r="B2269" s="38">
        <v>7147</v>
      </c>
      <c r="C2269" s="22" t="str">
        <f>IFERROR(VLOOKUP(B2269,Colaboradores!A:D,2,),"")</f>
        <v>MAIARA MONTEIRO MARQUES CASTELO BRANCO</v>
      </c>
      <c r="D2269" s="22" t="str">
        <f>IFERROR(VLOOKUP(B2269,Colaboradores!A:D,3,),"")</f>
        <v>SAÚDE OCUPACIONAL</v>
      </c>
      <c r="E2269" s="22" t="str">
        <f>IFERROR(VLOOKUP(B2269,Colaboradores!A:D,4,),"")</f>
        <v>PSICÓLOGA</v>
      </c>
      <c r="F2269" s="47" t="s">
        <v>114</v>
      </c>
      <c r="G2269" s="24" t="str">
        <f>IFERROR(VLOOKUP(F2269,Procedimentos!A:C,2,),"")</f>
        <v>PROTOCOLO DE COMUNICAÇÃO EFETIVA EM PRÁTICAS DE SAÚDE</v>
      </c>
      <c r="K2269" s="25" t="str">
        <f t="shared" si="76"/>
        <v/>
      </c>
    </row>
    <row r="2270" spans="2:11" ht="15" customHeight="1">
      <c r="B2270" s="38">
        <v>7147</v>
      </c>
      <c r="C2270" s="22" t="str">
        <f>IFERROR(VLOOKUP(B2270,Colaboradores!A:D,2,),"")</f>
        <v>MAIARA MONTEIRO MARQUES CASTELO BRANCO</v>
      </c>
      <c r="D2270" s="22" t="str">
        <f>IFERROR(VLOOKUP(B2270,Colaboradores!A:D,3,),"")</f>
        <v>SAÚDE OCUPACIONAL</v>
      </c>
      <c r="E2270" s="22" t="str">
        <f>IFERROR(VLOOKUP(B2270,Colaboradores!A:D,4,),"")</f>
        <v>PSICÓLOGA</v>
      </c>
      <c r="F2270" s="47" t="s">
        <v>115</v>
      </c>
      <c r="G2270" s="24" t="str">
        <f>IFERROR(VLOOKUP(F2270,Procedimentos!A:C,2,),"")</f>
        <v>PROTOCOLO DE NORMAS E ROTINAS DE ADMISSÃO, TRIAGEM E ALTA</v>
      </c>
      <c r="K2270" s="25" t="str">
        <f t="shared" si="76"/>
        <v/>
      </c>
    </row>
    <row r="2271" spans="2:11" ht="15" customHeight="1">
      <c r="B2271" s="38">
        <v>7147</v>
      </c>
      <c r="C2271" s="22" t="str">
        <f>IFERROR(VLOOKUP(B2271,Colaboradores!A:D,2,),"")</f>
        <v>MAIARA MONTEIRO MARQUES CASTELO BRANCO</v>
      </c>
      <c r="D2271" s="22" t="str">
        <f>IFERROR(VLOOKUP(B2271,Colaboradores!A:D,3,),"")</f>
        <v>SAÚDE OCUPACIONAL</v>
      </c>
      <c r="E2271" s="22" t="str">
        <f>IFERROR(VLOOKUP(B2271,Colaboradores!A:D,4,),"")</f>
        <v>PSICÓLOGA</v>
      </c>
      <c r="F2271" s="47" t="s">
        <v>116</v>
      </c>
      <c r="G2271" s="24" t="str">
        <f>IFERROR(VLOOKUP(F2271,Procedimentos!A:C,2,),"")</f>
        <v>PROTOCOLO DE SEGURANÇA NA PRESCRIÇÃO, USO E ADMINISTRAÇÃO DE MEDICAMENTOS ESPAÇO CUIDAR</v>
      </c>
      <c r="K2271" s="25" t="str">
        <f t="shared" si="76"/>
        <v/>
      </c>
    </row>
    <row r="2272" spans="2:11" ht="15" customHeight="1">
      <c r="B2272" s="38">
        <v>7147</v>
      </c>
      <c r="C2272" s="22" t="str">
        <f>IFERROR(VLOOKUP(B2272,Colaboradores!A:D,2,),"")</f>
        <v>MAIARA MONTEIRO MARQUES CASTELO BRANCO</v>
      </c>
      <c r="D2272" s="22" t="str">
        <f>IFERROR(VLOOKUP(B2272,Colaboradores!A:D,3,),"")</f>
        <v>SAÚDE OCUPACIONAL</v>
      </c>
      <c r="E2272" s="22" t="str">
        <f>IFERROR(VLOOKUP(B2272,Colaboradores!A:D,4,),"")</f>
        <v>PSICÓLOGA</v>
      </c>
      <c r="F2272" s="47" t="s">
        <v>117</v>
      </c>
      <c r="G2272" s="24" t="str">
        <f>IFERROR(VLOOKUP(F2272,Procedimentos!A:C,2,),"")</f>
        <v>NORMA E ROTINA DA TRANSIÇÃO DE CUIDADOS</v>
      </c>
      <c r="K2272" s="25" t="str">
        <f t="shared" si="76"/>
        <v/>
      </c>
    </row>
    <row r="2273" spans="2:11" ht="15" customHeight="1">
      <c r="B2273" s="38">
        <v>7147</v>
      </c>
      <c r="C2273" s="22" t="str">
        <f>IFERROR(VLOOKUP(B2273,Colaboradores!A:D,2,),"")</f>
        <v>MAIARA MONTEIRO MARQUES CASTELO BRANCO</v>
      </c>
      <c r="D2273" s="22" t="str">
        <f>IFERROR(VLOOKUP(B2273,Colaboradores!A:D,3,),"")</f>
        <v>SAÚDE OCUPACIONAL</v>
      </c>
      <c r="E2273" s="22" t="str">
        <f>IFERROR(VLOOKUP(B2273,Colaboradores!A:D,4,),"")</f>
        <v>PSICÓLOGA</v>
      </c>
      <c r="F2273" s="47" t="s">
        <v>118</v>
      </c>
      <c r="G2273" s="24" t="str">
        <f>IFERROR(VLOOKUP(F2273,Procedimentos!A:C,2,),"")</f>
        <v>PROTOCOLO DE ASSISTÊNCIA FISIOTERAPÊUTICA DO ESPAÇO CUIDAR</v>
      </c>
      <c r="K2273" s="25" t="str">
        <f t="shared" si="76"/>
        <v/>
      </c>
    </row>
    <row r="2274" spans="2:11" ht="15" customHeight="1">
      <c r="B2274" s="38">
        <v>13594</v>
      </c>
      <c r="C2274" s="22" t="str">
        <f>IFERROR(VLOOKUP(B2274,Colaboradores!A:D,2,),"")</f>
        <v>MARCIO AUGUSTO SILVA MIRANDA</v>
      </c>
      <c r="D2274" s="22" t="str">
        <f>IFERROR(VLOOKUP(B2274,Colaboradores!A:D,3,),"")</f>
        <v>SAÚDE OCUPACIONAL</v>
      </c>
      <c r="E2274" s="22" t="str">
        <f>IFERROR(VLOOKUP(B2274,Colaboradores!A:D,4,),"")</f>
        <v>ASSESSOR (A) CLINICO</v>
      </c>
      <c r="F2274" s="47" t="s">
        <v>94</v>
      </c>
      <c r="G2274" s="24" t="str">
        <f>IFERROR(VLOOKUP(F2274,Procedimentos!A:C,2,),"")</f>
        <v>PROTOCOLO DE CONSENTIMENTO INFORMADO</v>
      </c>
      <c r="K2274" s="25" t="str">
        <f t="shared" si="76"/>
        <v/>
      </c>
    </row>
    <row r="2275" spans="2:11" ht="15" customHeight="1">
      <c r="B2275" s="38">
        <v>13594</v>
      </c>
      <c r="C2275" s="22" t="str">
        <f>IFERROR(VLOOKUP(B2275,Colaboradores!A:D,2,),"")</f>
        <v>MARCIO AUGUSTO SILVA MIRANDA</v>
      </c>
      <c r="D2275" s="22" t="str">
        <f>IFERROR(VLOOKUP(B2275,Colaboradores!A:D,3,),"")</f>
        <v>SAÚDE OCUPACIONAL</v>
      </c>
      <c r="E2275" s="22" t="str">
        <f>IFERROR(VLOOKUP(B2275,Colaboradores!A:D,4,),"")</f>
        <v>ASSESSOR (A) CLINICO</v>
      </c>
      <c r="F2275" s="47" t="s">
        <v>95</v>
      </c>
      <c r="G2275" s="24" t="str">
        <f>IFERROR(VLOOKUP(F2275,Procedimentos!A:C,2,),"")</f>
        <v>PROTOCOLO DE NOTIFICAÇÃO COMPULSORIA - ESPAÇO CUIDAR/EMSERH</v>
      </c>
      <c r="K2275" s="25" t="str">
        <f t="shared" si="76"/>
        <v/>
      </c>
    </row>
    <row r="2276" spans="2:11" ht="15" customHeight="1">
      <c r="B2276" s="38">
        <v>13594</v>
      </c>
      <c r="C2276" s="22" t="str">
        <f>IFERROR(VLOOKUP(B2276,Colaboradores!A:D,2,),"")</f>
        <v>MARCIO AUGUSTO SILVA MIRANDA</v>
      </c>
      <c r="D2276" s="22" t="str">
        <f>IFERROR(VLOOKUP(B2276,Colaboradores!A:D,3,),"")</f>
        <v>SAÚDE OCUPACIONAL</v>
      </c>
      <c r="E2276" s="22" t="str">
        <f>IFERROR(VLOOKUP(B2276,Colaboradores!A:D,4,),"")</f>
        <v>ASSESSOR (A) CLINICO</v>
      </c>
      <c r="F2276" s="47" t="s">
        <v>96</v>
      </c>
      <c r="G2276" s="24" t="str">
        <f>IFERROR(VLOOKUP(F2276,Procedimentos!A:C,2,),"")</f>
        <v>PROTOCOLO PARA HIGIENIZAÇÃO DAS MÃOS</v>
      </c>
      <c r="H2276" s="25"/>
      <c r="K2276" s="25" t="str">
        <f t="shared" si="76"/>
        <v/>
      </c>
    </row>
    <row r="2277" spans="2:11" ht="15" customHeight="1">
      <c r="B2277" s="38">
        <v>13594</v>
      </c>
      <c r="C2277" s="22" t="str">
        <f>IFERROR(VLOOKUP(B2277,Colaboradores!A:D,2,),"")</f>
        <v>MARCIO AUGUSTO SILVA MIRANDA</v>
      </c>
      <c r="D2277" s="22" t="str">
        <f>IFERROR(VLOOKUP(B2277,Colaboradores!A:D,3,),"")</f>
        <v>SAÚDE OCUPACIONAL</v>
      </c>
      <c r="E2277" s="22" t="str">
        <f>IFERROR(VLOOKUP(B2277,Colaboradores!A:D,4,),"")</f>
        <v>ASSESSOR (A) CLINICO</v>
      </c>
      <c r="F2277" s="47" t="s">
        <v>97</v>
      </c>
      <c r="G2277" s="24" t="str">
        <f>IFERROR(VLOOKUP(F2277,Procedimentos!A:C,2,),"")</f>
        <v>PROTOCOLO DE PREVENÇÃO DE QUEDAS</v>
      </c>
      <c r="K2277" s="25" t="str">
        <f t="shared" si="76"/>
        <v/>
      </c>
    </row>
    <row r="2278" spans="2:11" ht="15" customHeight="1">
      <c r="B2278" s="38">
        <v>13594</v>
      </c>
      <c r="C2278" s="22" t="str">
        <f>IFERROR(VLOOKUP(B2278,Colaboradores!A:D,2,),"")</f>
        <v>MARCIO AUGUSTO SILVA MIRANDA</v>
      </c>
      <c r="D2278" s="22" t="str">
        <f>IFERROR(VLOOKUP(B2278,Colaboradores!A:D,3,),"")</f>
        <v>SAÚDE OCUPACIONAL</v>
      </c>
      <c r="E2278" s="22" t="str">
        <f>IFERROR(VLOOKUP(B2278,Colaboradores!A:D,4,),"")</f>
        <v>ASSESSOR (A) CLINICO</v>
      </c>
      <c r="F2278" s="47" t="s">
        <v>98</v>
      </c>
      <c r="G2278" s="24" t="str">
        <f>IFERROR(VLOOKUP(F2278,Procedimentos!A:C,2,),"")</f>
        <v>PROTOCOLO INSTITUCIONAL DE CONDUTA ETICA NO ATENDIMENTO MULTIPROFISSIONAL NO ESPAÇO CUIDAR</v>
      </c>
      <c r="K2278" s="25" t="str">
        <f t="shared" si="76"/>
        <v/>
      </c>
    </row>
    <row r="2279" spans="2:11" ht="15" customHeight="1">
      <c r="B2279" s="38">
        <v>13594</v>
      </c>
      <c r="C2279" s="22" t="str">
        <f>IFERROR(VLOOKUP(B2279,Colaboradores!A:D,2,),"")</f>
        <v>MARCIO AUGUSTO SILVA MIRANDA</v>
      </c>
      <c r="D2279" s="22" t="str">
        <f>IFERROR(VLOOKUP(B2279,Colaboradores!A:D,3,),"")</f>
        <v>SAÚDE OCUPACIONAL</v>
      </c>
      <c r="E2279" s="22" t="str">
        <f>IFERROR(VLOOKUP(B2279,Colaboradores!A:D,4,),"")</f>
        <v>ASSESSOR (A) CLINICO</v>
      </c>
      <c r="F2279" s="47" t="s">
        <v>99</v>
      </c>
      <c r="G2279" s="24" t="str">
        <f>IFERROR(VLOOKUP(F2279,Procedimentos!A:C,2,),"")</f>
        <v>PROTOCOLO PARA LIMPEZA DE ÁREAS E SUPERFÍCIES NO ESPAÇO CUIDAR</v>
      </c>
      <c r="K2279" s="25" t="str">
        <f t="shared" si="76"/>
        <v/>
      </c>
    </row>
    <row r="2280" spans="2:11" ht="15" customHeight="1">
      <c r="B2280" s="38">
        <v>13594</v>
      </c>
      <c r="C2280" s="22" t="str">
        <f>IFERROR(VLOOKUP(B2280,Colaboradores!A:D,2,),"")</f>
        <v>MARCIO AUGUSTO SILVA MIRANDA</v>
      </c>
      <c r="D2280" s="22" t="str">
        <f>IFERROR(VLOOKUP(B2280,Colaboradores!A:D,3,),"")</f>
        <v>SAÚDE OCUPACIONAL</v>
      </c>
      <c r="E2280" s="22" t="str">
        <f>IFERROR(VLOOKUP(B2280,Colaboradores!A:D,4,),"")</f>
        <v>ASSESSOR (A) CLINICO</v>
      </c>
      <c r="F2280" s="47" t="s">
        <v>100</v>
      </c>
      <c r="G2280" s="24" t="str">
        <f>IFERROR(VLOOKUP(F2280,Procedimentos!A:C,2,),"")</f>
        <v>PROTOCOLO DE ATENDIMENTO PSIQUIATRICO NO ESPAÇO CUIDAR DA EMSERH</v>
      </c>
      <c r="K2280" s="25" t="str">
        <f t="shared" si="76"/>
        <v/>
      </c>
    </row>
    <row r="2281" spans="2:11" ht="15" customHeight="1">
      <c r="B2281" s="38">
        <v>13594</v>
      </c>
      <c r="C2281" s="22" t="str">
        <f>IFERROR(VLOOKUP(B2281,Colaboradores!A:D,2,),"")</f>
        <v>MARCIO AUGUSTO SILVA MIRANDA</v>
      </c>
      <c r="D2281" s="22" t="str">
        <f>IFERROR(VLOOKUP(B2281,Colaboradores!A:D,3,),"")</f>
        <v>SAÚDE OCUPACIONAL</v>
      </c>
      <c r="E2281" s="22" t="str">
        <f>IFERROR(VLOOKUP(B2281,Colaboradores!A:D,4,),"")</f>
        <v>ASSESSOR (A) CLINICO</v>
      </c>
      <c r="F2281" s="47" t="s">
        <v>101</v>
      </c>
      <c r="G2281" s="24" t="str">
        <f>IFERROR(VLOOKUP(F2281,Procedimentos!A:C,2,),"")</f>
        <v>PROTOCOLO DE MANEJO DE SURTO</v>
      </c>
      <c r="K2281" s="25" t="str">
        <f t="shared" si="76"/>
        <v/>
      </c>
    </row>
    <row r="2282" spans="2:11" ht="15" customHeight="1">
      <c r="B2282" s="38">
        <v>13594</v>
      </c>
      <c r="C2282" s="22" t="str">
        <f>IFERROR(VLOOKUP(B2282,Colaboradores!A:D,2,),"")</f>
        <v>MARCIO AUGUSTO SILVA MIRANDA</v>
      </c>
      <c r="D2282" s="22" t="str">
        <f>IFERROR(VLOOKUP(B2282,Colaboradores!A:D,3,),"")</f>
        <v>SAÚDE OCUPACIONAL</v>
      </c>
      <c r="E2282" s="22" t="str">
        <f>IFERROR(VLOOKUP(B2282,Colaboradores!A:D,4,),"")</f>
        <v>ASSESSOR (A) CLINICO</v>
      </c>
      <c r="F2282" s="47" t="s">
        <v>102</v>
      </c>
      <c r="G2282" s="24" t="str">
        <f>IFERROR(VLOOKUP(F2282,Procedimentos!A:C,2,),"")</f>
        <v>PROTOCOLO DE TRANSPORTE SEGURO NO ESPAÇO CUIDAR</v>
      </c>
      <c r="K2282" s="25" t="str">
        <f t="shared" si="76"/>
        <v/>
      </c>
    </row>
    <row r="2283" spans="2:11" ht="15" customHeight="1">
      <c r="B2283" s="38">
        <v>13594</v>
      </c>
      <c r="C2283" s="22" t="str">
        <f>IFERROR(VLOOKUP(B2283,Colaboradores!A:D,2,),"")</f>
        <v>MARCIO AUGUSTO SILVA MIRANDA</v>
      </c>
      <c r="D2283" s="22" t="str">
        <f>IFERROR(VLOOKUP(B2283,Colaboradores!A:D,3,),"")</f>
        <v>SAÚDE OCUPACIONAL</v>
      </c>
      <c r="E2283" s="22" t="str">
        <f>IFERROR(VLOOKUP(B2283,Colaboradores!A:D,4,),"")</f>
        <v>ASSESSOR (A) CLINICO</v>
      </c>
      <c r="F2283" s="47" t="s">
        <v>103</v>
      </c>
      <c r="G2283" s="24" t="str">
        <f>IFERROR(VLOOKUP(F2283,Procedimentos!A:C,2,),"")</f>
        <v>PROTOCOLO DE ATENDIMENTO À PESSOA COM COMPORTAMENTO SUÍCIDA</v>
      </c>
      <c r="K2283" s="25" t="str">
        <f t="shared" si="76"/>
        <v/>
      </c>
    </row>
    <row r="2284" spans="2:11" ht="15" customHeight="1">
      <c r="B2284" s="38">
        <v>13594</v>
      </c>
      <c r="C2284" s="22" t="str">
        <f>IFERROR(VLOOKUP(B2284,Colaboradores!A:D,2,),"")</f>
        <v>MARCIO AUGUSTO SILVA MIRANDA</v>
      </c>
      <c r="D2284" s="22" t="str">
        <f>IFERROR(VLOOKUP(B2284,Colaboradores!A:D,3,),"")</f>
        <v>SAÚDE OCUPACIONAL</v>
      </c>
      <c r="E2284" s="22" t="str">
        <f>IFERROR(VLOOKUP(B2284,Colaboradores!A:D,4,),"")</f>
        <v>ASSESSOR (A) CLINICO</v>
      </c>
      <c r="F2284" s="47" t="s">
        <v>104</v>
      </c>
      <c r="G2284" s="24" t="str">
        <f>IFERROR(VLOOKUP(F2284,Procedimentos!A:C,2,),"")</f>
        <v>PROTOCOLO DE BIOSSEGURANÇA</v>
      </c>
      <c r="K2284" s="25" t="str">
        <f t="shared" si="76"/>
        <v/>
      </c>
    </row>
    <row r="2285" spans="2:11" ht="15" customHeight="1">
      <c r="B2285" s="38">
        <v>13594</v>
      </c>
      <c r="C2285" s="22" t="str">
        <f>IFERROR(VLOOKUP(B2285,Colaboradores!A:D,2,),"")</f>
        <v>MARCIO AUGUSTO SILVA MIRANDA</v>
      </c>
      <c r="D2285" s="22" t="str">
        <f>IFERROR(VLOOKUP(B2285,Colaboradores!A:D,3,),"")</f>
        <v>SAÚDE OCUPACIONAL</v>
      </c>
      <c r="E2285" s="22" t="str">
        <f>IFERROR(VLOOKUP(B2285,Colaboradores!A:D,4,),"")</f>
        <v>ASSESSOR (A) CLINICO</v>
      </c>
      <c r="F2285" s="47" t="s">
        <v>105</v>
      </c>
      <c r="G2285" s="24" t="str">
        <f>IFERROR(VLOOKUP(F2285,Procedimentos!A:C,2,),"")</f>
        <v>PROTOCOLO IDENTIFICAÇÃO E MANEJO DA EVOLUÇÃO DESFAVORÁVEL DO PACIENTE NO ESPAÇO CUIDAR</v>
      </c>
      <c r="K2285" s="25" t="str">
        <f t="shared" si="76"/>
        <v/>
      </c>
    </row>
    <row r="2286" spans="2:11" ht="15" customHeight="1">
      <c r="B2286" s="38">
        <v>13594</v>
      </c>
      <c r="C2286" s="22" t="str">
        <f>IFERROR(VLOOKUP(B2286,Colaboradores!A:D,2,),"")</f>
        <v>MARCIO AUGUSTO SILVA MIRANDA</v>
      </c>
      <c r="D2286" s="22" t="str">
        <f>IFERROR(VLOOKUP(B2286,Colaboradores!A:D,3,),"")</f>
        <v>SAÚDE OCUPACIONAL</v>
      </c>
      <c r="E2286" s="22" t="str">
        <f>IFERROR(VLOOKUP(B2286,Colaboradores!A:D,4,),"")</f>
        <v>ASSESSOR (A) CLINICO</v>
      </c>
      <c r="F2286" s="47" t="s">
        <v>106</v>
      </c>
      <c r="G2286" s="24" t="str">
        <f>IFERROR(VLOOKUP(F2286,Procedimentos!A:C,2,),"")</f>
        <v>PROTOCOLO DE DETERIORAÇÃO CLÍNICA</v>
      </c>
      <c r="K2286" s="25" t="str">
        <f t="shared" si="76"/>
        <v/>
      </c>
    </row>
    <row r="2287" spans="2:11" ht="15" customHeight="1">
      <c r="B2287" s="38">
        <v>13594</v>
      </c>
      <c r="C2287" s="22" t="str">
        <f>IFERROR(VLOOKUP(B2287,Colaboradores!A:D,2,),"")</f>
        <v>MARCIO AUGUSTO SILVA MIRANDA</v>
      </c>
      <c r="D2287" s="22" t="str">
        <f>IFERROR(VLOOKUP(B2287,Colaboradores!A:D,3,),"")</f>
        <v>SAÚDE OCUPACIONAL</v>
      </c>
      <c r="E2287" s="22" t="str">
        <f>IFERROR(VLOOKUP(B2287,Colaboradores!A:D,4,),"")</f>
        <v>ASSESSOR (A) CLINICO</v>
      </c>
      <c r="F2287" s="47" t="s">
        <v>107</v>
      </c>
      <c r="G2287" s="24" t="str">
        <f>IFERROR(VLOOKUP(F2287,Procedimentos!A:C,2,),"")</f>
        <v>PROTOCOLO DE COMUNICAÇÃO DE NOTÍCIAS DIFÍCEIS</v>
      </c>
      <c r="K2287" s="25" t="str">
        <f t="shared" si="76"/>
        <v/>
      </c>
    </row>
    <row r="2288" spans="2:11" ht="15" customHeight="1">
      <c r="B2288" s="38">
        <v>13594</v>
      </c>
      <c r="C2288" s="22" t="str">
        <f>IFERROR(VLOOKUP(B2288,Colaboradores!A:D,2,),"")</f>
        <v>MARCIO AUGUSTO SILVA MIRANDA</v>
      </c>
      <c r="D2288" s="22" t="str">
        <f>IFERROR(VLOOKUP(B2288,Colaboradores!A:D,3,),"")</f>
        <v>SAÚDE OCUPACIONAL</v>
      </c>
      <c r="E2288" s="22" t="str">
        <f>IFERROR(VLOOKUP(B2288,Colaboradores!A:D,4,),"")</f>
        <v>ASSESSOR (A) CLINICO</v>
      </c>
      <c r="F2288" s="47" t="s">
        <v>108</v>
      </c>
      <c r="G2288" s="24" t="str">
        <f>IFERROR(VLOOKUP(F2288,Procedimentos!A:C,2,),"")</f>
        <v>PROTOCOLO PARA ATENDIMENTO DO (A) ASSISTENTE SOCIAL NO AMBULATÓRIO DO ESPAÇO CUIDAR</v>
      </c>
      <c r="K2288" s="25" t="str">
        <f t="shared" si="76"/>
        <v/>
      </c>
    </row>
    <row r="2289" spans="2:11" ht="15" customHeight="1">
      <c r="B2289" s="38">
        <v>13594</v>
      </c>
      <c r="C2289" s="22" t="str">
        <f>IFERROR(VLOOKUP(B2289,Colaboradores!A:D,2,),"")</f>
        <v>MARCIO AUGUSTO SILVA MIRANDA</v>
      </c>
      <c r="D2289" s="22" t="str">
        <f>IFERROR(VLOOKUP(B2289,Colaboradores!A:D,3,),"")</f>
        <v>SAÚDE OCUPACIONAL</v>
      </c>
      <c r="E2289" s="22" t="str">
        <f>IFERROR(VLOOKUP(B2289,Colaboradores!A:D,4,),"")</f>
        <v>ASSESSOR (A) CLINICO</v>
      </c>
      <c r="F2289" s="47" t="s">
        <v>109</v>
      </c>
      <c r="G2289" s="24" t="str">
        <f>IFERROR(VLOOKUP(F2289,Procedimentos!A:C,2,),"")</f>
        <v>ROTOCOLO DE ASSISTÊNCIA NUTRICIONAL AMBULATÓRIAL PARA ADULTOS E IDOSOS COM SOBREPESO E OBESIDADE</v>
      </c>
      <c r="K2289" s="25" t="str">
        <f t="shared" si="76"/>
        <v/>
      </c>
    </row>
    <row r="2290" spans="2:11" ht="15" customHeight="1">
      <c r="B2290" s="38">
        <v>13594</v>
      </c>
      <c r="C2290" s="22" t="str">
        <f>IFERROR(VLOOKUP(B2290,Colaboradores!A:D,2,),"")</f>
        <v>MARCIO AUGUSTO SILVA MIRANDA</v>
      </c>
      <c r="D2290" s="22" t="str">
        <f>IFERROR(VLOOKUP(B2290,Colaboradores!A:D,3,),"")</f>
        <v>SAÚDE OCUPACIONAL</v>
      </c>
      <c r="E2290" s="22" t="str">
        <f>IFERROR(VLOOKUP(B2290,Colaboradores!A:D,4,),"")</f>
        <v>ASSESSOR (A) CLINICO</v>
      </c>
      <c r="F2290" s="47" t="s">
        <v>110</v>
      </c>
      <c r="G2290" s="24" t="str">
        <f>IFERROR(VLOOKUP(F2290,Procedimentos!A:C,2,),"")</f>
        <v>PROTOCOLO DE AGENDAMENTO</v>
      </c>
      <c r="K2290" s="25" t="str">
        <f t="shared" si="76"/>
        <v/>
      </c>
    </row>
    <row r="2291" spans="2:11" ht="15" customHeight="1">
      <c r="B2291" s="38">
        <v>13594</v>
      </c>
      <c r="C2291" s="22" t="str">
        <f>IFERROR(VLOOKUP(B2291,Colaboradores!A:D,2,),"")</f>
        <v>MARCIO AUGUSTO SILVA MIRANDA</v>
      </c>
      <c r="D2291" s="22" t="str">
        <f>IFERROR(VLOOKUP(B2291,Colaboradores!A:D,3,),"")</f>
        <v>SAÚDE OCUPACIONAL</v>
      </c>
      <c r="E2291" s="22" t="str">
        <f>IFERROR(VLOOKUP(B2291,Colaboradores!A:D,4,),"")</f>
        <v>ASSESSOR (A) CLINICO</v>
      </c>
      <c r="F2291" s="47" t="s">
        <v>111</v>
      </c>
      <c r="G2291" s="24" t="str">
        <f>IFERROR(VLOOKUP(F2291,Procedimentos!A:C,2,),"")</f>
        <v>PROTOCOLO DE IDENTIFICAÇÃO DE SINAIS SUSGETIVOS DE VIOLÊNCIA - ESPAÇO CUIDAR/ EMSERH</v>
      </c>
      <c r="K2291" s="25" t="str">
        <f t="shared" si="76"/>
        <v/>
      </c>
    </row>
    <row r="2292" spans="2:11" ht="15" customHeight="1">
      <c r="B2292" s="38">
        <v>13594</v>
      </c>
      <c r="C2292" s="22" t="str">
        <f>IFERROR(VLOOKUP(B2292,Colaboradores!A:D,2,),"")</f>
        <v>MARCIO AUGUSTO SILVA MIRANDA</v>
      </c>
      <c r="D2292" s="22" t="str">
        <f>IFERROR(VLOOKUP(B2292,Colaboradores!A:D,3,),"")</f>
        <v>SAÚDE OCUPACIONAL</v>
      </c>
      <c r="E2292" s="22" t="str">
        <f>IFERROR(VLOOKUP(B2292,Colaboradores!A:D,4,),"")</f>
        <v>ASSESSOR (A) CLINICO</v>
      </c>
      <c r="F2292" s="47" t="s">
        <v>112</v>
      </c>
      <c r="G2292" s="24" t="str">
        <f>IFERROR(VLOOKUP(F2292,Procedimentos!A:C,2,),"")</f>
        <v>PROTOCOLO DE IDENTIFICAÇÃO SEGURA</v>
      </c>
      <c r="K2292" s="25" t="str">
        <f t="shared" si="76"/>
        <v/>
      </c>
    </row>
    <row r="2293" spans="2:11" ht="15" customHeight="1">
      <c r="B2293" s="38">
        <v>13594</v>
      </c>
      <c r="C2293" s="22" t="str">
        <f>IFERROR(VLOOKUP(B2293,Colaboradores!A:D,2,),"")</f>
        <v>MARCIO AUGUSTO SILVA MIRANDA</v>
      </c>
      <c r="D2293" s="22" t="str">
        <f>IFERROR(VLOOKUP(B2293,Colaboradores!A:D,3,),"")</f>
        <v>SAÚDE OCUPACIONAL</v>
      </c>
      <c r="E2293" s="22" t="str">
        <f>IFERROR(VLOOKUP(B2293,Colaboradores!A:D,4,),"")</f>
        <v>ASSESSOR (A) CLINICO</v>
      </c>
      <c r="F2293" s="47" t="s">
        <v>113</v>
      </c>
      <c r="G2293" s="24" t="str">
        <f>IFERROR(VLOOKUP(F2293,Procedimentos!A:C,2,),"")</f>
        <v>PROTOCOLO DE NORMAS E ROTINAS PARA COMUNICAÇÃO DO ESTADO DE SAÚDE DO PACIENTE</v>
      </c>
      <c r="K2293" s="25" t="str">
        <f t="shared" si="76"/>
        <v/>
      </c>
    </row>
    <row r="2294" spans="2:11" ht="15" customHeight="1">
      <c r="B2294" s="38">
        <v>13594</v>
      </c>
      <c r="C2294" s="22" t="str">
        <f>IFERROR(VLOOKUP(B2294,Colaboradores!A:D,2,),"")</f>
        <v>MARCIO AUGUSTO SILVA MIRANDA</v>
      </c>
      <c r="D2294" s="22" t="str">
        <f>IFERROR(VLOOKUP(B2294,Colaboradores!A:D,3,),"")</f>
        <v>SAÚDE OCUPACIONAL</v>
      </c>
      <c r="E2294" s="22" t="str">
        <f>IFERROR(VLOOKUP(B2294,Colaboradores!A:D,4,),"")</f>
        <v>ASSESSOR (A) CLINICO</v>
      </c>
      <c r="F2294" s="47" t="s">
        <v>114</v>
      </c>
      <c r="G2294" s="24" t="str">
        <f>IFERROR(VLOOKUP(F2294,Procedimentos!A:C,2,),"")</f>
        <v>PROTOCOLO DE COMUNICAÇÃO EFETIVA EM PRÁTICAS DE SAÚDE</v>
      </c>
      <c r="K2294" s="25" t="str">
        <f t="shared" si="76"/>
        <v/>
      </c>
    </row>
    <row r="2295" spans="2:11" ht="15" customHeight="1">
      <c r="B2295" s="38">
        <v>13594</v>
      </c>
      <c r="C2295" s="22" t="str">
        <f>IFERROR(VLOOKUP(B2295,Colaboradores!A:D,2,),"")</f>
        <v>MARCIO AUGUSTO SILVA MIRANDA</v>
      </c>
      <c r="D2295" s="22" t="str">
        <f>IFERROR(VLOOKUP(B2295,Colaboradores!A:D,3,),"")</f>
        <v>SAÚDE OCUPACIONAL</v>
      </c>
      <c r="E2295" s="22" t="str">
        <f>IFERROR(VLOOKUP(B2295,Colaboradores!A:D,4,),"")</f>
        <v>ASSESSOR (A) CLINICO</v>
      </c>
      <c r="F2295" s="47" t="s">
        <v>115</v>
      </c>
      <c r="G2295" s="24" t="str">
        <f>IFERROR(VLOOKUP(F2295,Procedimentos!A:C,2,),"")</f>
        <v>PROTOCOLO DE NORMAS E ROTINAS DE ADMISSÃO, TRIAGEM E ALTA</v>
      </c>
      <c r="K2295" s="25" t="str">
        <f t="shared" si="76"/>
        <v/>
      </c>
    </row>
    <row r="2296" spans="2:11" ht="15" customHeight="1">
      <c r="B2296" s="38">
        <v>13594</v>
      </c>
      <c r="C2296" s="22" t="str">
        <f>IFERROR(VLOOKUP(B2296,Colaboradores!A:D,2,),"")</f>
        <v>MARCIO AUGUSTO SILVA MIRANDA</v>
      </c>
      <c r="D2296" s="22" t="str">
        <f>IFERROR(VLOOKUP(B2296,Colaboradores!A:D,3,),"")</f>
        <v>SAÚDE OCUPACIONAL</v>
      </c>
      <c r="E2296" s="22" t="str">
        <f>IFERROR(VLOOKUP(B2296,Colaboradores!A:D,4,),"")</f>
        <v>ASSESSOR (A) CLINICO</v>
      </c>
      <c r="F2296" s="47" t="s">
        <v>116</v>
      </c>
      <c r="G2296" s="24" t="str">
        <f>IFERROR(VLOOKUP(F2296,Procedimentos!A:C,2,),"")</f>
        <v>PROTOCOLO DE SEGURANÇA NA PRESCRIÇÃO, USO E ADMINISTRAÇÃO DE MEDICAMENTOS ESPAÇO CUIDAR</v>
      </c>
      <c r="K2296" s="25" t="str">
        <f t="shared" si="76"/>
        <v/>
      </c>
    </row>
    <row r="2297" spans="2:11" ht="15" customHeight="1">
      <c r="B2297" s="38">
        <v>13594</v>
      </c>
      <c r="C2297" s="22" t="str">
        <f>IFERROR(VLOOKUP(B2297,Colaboradores!A:D,2,),"")</f>
        <v>MARCIO AUGUSTO SILVA MIRANDA</v>
      </c>
      <c r="D2297" s="22" t="str">
        <f>IFERROR(VLOOKUP(B2297,Colaboradores!A:D,3,),"")</f>
        <v>SAÚDE OCUPACIONAL</v>
      </c>
      <c r="E2297" s="22" t="str">
        <f>IFERROR(VLOOKUP(B2297,Colaboradores!A:D,4,),"")</f>
        <v>ASSESSOR (A) CLINICO</v>
      </c>
      <c r="F2297" s="47" t="s">
        <v>117</v>
      </c>
      <c r="G2297" s="24" t="str">
        <f>IFERROR(VLOOKUP(F2297,Procedimentos!A:C,2,),"")</f>
        <v>NORMA E ROTINA DA TRANSIÇÃO DE CUIDADOS</v>
      </c>
      <c r="K2297" s="25" t="str">
        <f t="shared" si="76"/>
        <v/>
      </c>
    </row>
    <row r="2298" spans="2:11" ht="15" customHeight="1">
      <c r="B2298" s="38">
        <v>13594</v>
      </c>
      <c r="C2298" s="22" t="str">
        <f>IFERROR(VLOOKUP(B2298,Colaboradores!A:D,2,),"")</f>
        <v>MARCIO AUGUSTO SILVA MIRANDA</v>
      </c>
      <c r="D2298" s="22" t="str">
        <f>IFERROR(VLOOKUP(B2298,Colaboradores!A:D,3,),"")</f>
        <v>SAÚDE OCUPACIONAL</v>
      </c>
      <c r="E2298" s="22" t="str">
        <f>IFERROR(VLOOKUP(B2298,Colaboradores!A:D,4,),"")</f>
        <v>ASSESSOR (A) CLINICO</v>
      </c>
      <c r="F2298" s="47" t="s">
        <v>118</v>
      </c>
      <c r="G2298" s="24" t="str">
        <f>IFERROR(VLOOKUP(F2298,Procedimentos!A:C,2,),"")</f>
        <v>PROTOCOLO DE ASSISTÊNCIA FISIOTERAPÊUTICA DO ESPAÇO CUIDAR</v>
      </c>
      <c r="K2298" s="25" t="str">
        <f t="shared" si="76"/>
        <v/>
      </c>
    </row>
    <row r="2299" spans="2:11" ht="15" customHeight="1">
      <c r="B2299" s="38">
        <v>7601</v>
      </c>
      <c r="C2299" s="22" t="str">
        <f>IFERROR(VLOOKUP(B2299,Colaboradores!A:D,2,),"")</f>
        <v>RAYANE BEZERRA DE JESUS</v>
      </c>
      <c r="D2299" s="22" t="str">
        <f>IFERROR(VLOOKUP(B2299,Colaboradores!A:D,3,),"")</f>
        <v>SAÚDE OCUPACIONAL</v>
      </c>
      <c r="E2299" s="22" t="str">
        <f>IFERROR(VLOOKUP(B2299,Colaboradores!A:D,4,),"")</f>
        <v>TÉCNICO DE ENFERMAGEM DO TRABALHO</v>
      </c>
      <c r="F2299" s="47" t="s">
        <v>94</v>
      </c>
      <c r="G2299" s="24" t="str">
        <f>IFERROR(VLOOKUP(F2299,Procedimentos!A:C,2,),"")</f>
        <v>PROTOCOLO DE CONSENTIMENTO INFORMADO</v>
      </c>
      <c r="K2299" s="25" t="str">
        <f t="shared" si="76"/>
        <v/>
      </c>
    </row>
    <row r="2300" spans="2:11" ht="15" customHeight="1">
      <c r="B2300" s="38">
        <v>7601</v>
      </c>
      <c r="C2300" s="22" t="str">
        <f>IFERROR(VLOOKUP(B2300,Colaboradores!A:D,2,),"")</f>
        <v>RAYANE BEZERRA DE JESUS</v>
      </c>
      <c r="D2300" s="22" t="str">
        <f>IFERROR(VLOOKUP(B2300,Colaboradores!A:D,3,),"")</f>
        <v>SAÚDE OCUPACIONAL</v>
      </c>
      <c r="E2300" s="22" t="str">
        <f>IFERROR(VLOOKUP(B2300,Colaboradores!A:D,4,),"")</f>
        <v>TÉCNICO DE ENFERMAGEM DO TRABALHO</v>
      </c>
      <c r="F2300" s="47" t="s">
        <v>95</v>
      </c>
      <c r="G2300" s="24" t="str">
        <f>IFERROR(VLOOKUP(F2300,Procedimentos!A:C,2,),"")</f>
        <v>PROTOCOLO DE NOTIFICAÇÃO COMPULSORIA - ESPAÇO CUIDAR/EMSERH</v>
      </c>
      <c r="H2300" s="22" t="s">
        <v>7</v>
      </c>
      <c r="K2300" s="25" t="str">
        <f t="shared" si="76"/>
        <v/>
      </c>
    </row>
    <row r="2301" spans="2:11" ht="15" customHeight="1">
      <c r="B2301" s="38">
        <v>7601</v>
      </c>
      <c r="C2301" s="22" t="str">
        <f>IFERROR(VLOOKUP(B2301,Colaboradores!A:D,2,),"")</f>
        <v>RAYANE BEZERRA DE JESUS</v>
      </c>
      <c r="D2301" s="22" t="str">
        <f>IFERROR(VLOOKUP(B2301,Colaboradores!A:D,3,),"")</f>
        <v>SAÚDE OCUPACIONAL</v>
      </c>
      <c r="E2301" s="22" t="str">
        <f>IFERROR(VLOOKUP(B2301,Colaboradores!A:D,4,),"")</f>
        <v>TÉCNICO DE ENFERMAGEM DO TRABALHO</v>
      </c>
      <c r="F2301" s="47" t="s">
        <v>96</v>
      </c>
      <c r="G2301" s="24" t="str">
        <f>IFERROR(VLOOKUP(F2301,Procedimentos!A:C,2,),"")</f>
        <v>PROTOCOLO PARA HIGIENIZAÇÃO DAS MÃOS</v>
      </c>
      <c r="H2301" s="22" t="s">
        <v>7</v>
      </c>
      <c r="K2301" s="25" t="str">
        <f t="shared" si="76"/>
        <v/>
      </c>
    </row>
    <row r="2302" spans="2:11" ht="15" customHeight="1">
      <c r="B2302" s="38">
        <v>7601</v>
      </c>
      <c r="C2302" s="22" t="str">
        <f>IFERROR(VLOOKUP(B2302,Colaboradores!A:D,2,),"")</f>
        <v>RAYANE BEZERRA DE JESUS</v>
      </c>
      <c r="D2302" s="22" t="str">
        <f>IFERROR(VLOOKUP(B2302,Colaboradores!A:D,3,),"")</f>
        <v>SAÚDE OCUPACIONAL</v>
      </c>
      <c r="E2302" s="22" t="str">
        <f>IFERROR(VLOOKUP(B2302,Colaboradores!A:D,4,),"")</f>
        <v>TÉCNICO DE ENFERMAGEM DO TRABALHO</v>
      </c>
      <c r="F2302" s="47" t="s">
        <v>97</v>
      </c>
      <c r="G2302" s="24" t="str">
        <f>IFERROR(VLOOKUP(F2302,Procedimentos!A:C,2,),"")</f>
        <v>PROTOCOLO DE PREVENÇÃO DE QUEDAS</v>
      </c>
      <c r="K2302" s="25" t="str">
        <f t="shared" si="76"/>
        <v/>
      </c>
    </row>
    <row r="2303" spans="2:11" ht="15" customHeight="1">
      <c r="B2303" s="38">
        <v>7601</v>
      </c>
      <c r="C2303" s="22" t="str">
        <f>IFERROR(VLOOKUP(B2303,Colaboradores!A:D,2,),"")</f>
        <v>RAYANE BEZERRA DE JESUS</v>
      </c>
      <c r="D2303" s="22" t="str">
        <f>IFERROR(VLOOKUP(B2303,Colaboradores!A:D,3,),"")</f>
        <v>SAÚDE OCUPACIONAL</v>
      </c>
      <c r="E2303" s="22" t="str">
        <f>IFERROR(VLOOKUP(B2303,Colaboradores!A:D,4,),"")</f>
        <v>TÉCNICO DE ENFERMAGEM DO TRABALHO</v>
      </c>
      <c r="F2303" s="47" t="s">
        <v>98</v>
      </c>
      <c r="G2303" s="24" t="str">
        <f>IFERROR(VLOOKUP(F2303,Procedimentos!A:C,2,),"")</f>
        <v>PROTOCOLO INSTITUCIONAL DE CONDUTA ETICA NO ATENDIMENTO MULTIPROFISSIONAL NO ESPAÇO CUIDAR</v>
      </c>
      <c r="K2303" s="25" t="str">
        <f t="shared" si="76"/>
        <v/>
      </c>
    </row>
    <row r="2304" spans="2:11" ht="15" customHeight="1">
      <c r="B2304" s="38">
        <v>7601</v>
      </c>
      <c r="C2304" s="22" t="str">
        <f>IFERROR(VLOOKUP(B2304,Colaboradores!A:D,2,),"")</f>
        <v>RAYANE BEZERRA DE JESUS</v>
      </c>
      <c r="D2304" s="22" t="str">
        <f>IFERROR(VLOOKUP(B2304,Colaboradores!A:D,3,),"")</f>
        <v>SAÚDE OCUPACIONAL</v>
      </c>
      <c r="E2304" s="22" t="str">
        <f>IFERROR(VLOOKUP(B2304,Colaboradores!A:D,4,),"")</f>
        <v>TÉCNICO DE ENFERMAGEM DO TRABALHO</v>
      </c>
      <c r="F2304" s="47" t="s">
        <v>99</v>
      </c>
      <c r="G2304" s="24" t="str">
        <f>IFERROR(VLOOKUP(F2304,Procedimentos!A:C,2,),"")</f>
        <v>PROTOCOLO PARA LIMPEZA DE ÁREAS E SUPERFÍCIES NO ESPAÇO CUIDAR</v>
      </c>
      <c r="K2304" s="25" t="str">
        <f t="shared" si="76"/>
        <v/>
      </c>
    </row>
    <row r="2305" spans="2:11" ht="15" customHeight="1">
      <c r="B2305" s="38">
        <v>7601</v>
      </c>
      <c r="C2305" s="22" t="str">
        <f>IFERROR(VLOOKUP(B2305,Colaboradores!A:D,2,),"")</f>
        <v>RAYANE BEZERRA DE JESUS</v>
      </c>
      <c r="D2305" s="22" t="str">
        <f>IFERROR(VLOOKUP(B2305,Colaboradores!A:D,3,),"")</f>
        <v>SAÚDE OCUPACIONAL</v>
      </c>
      <c r="E2305" s="22" t="str">
        <f>IFERROR(VLOOKUP(B2305,Colaboradores!A:D,4,),"")</f>
        <v>TÉCNICO DE ENFERMAGEM DO TRABALHO</v>
      </c>
      <c r="F2305" s="47" t="s">
        <v>100</v>
      </c>
      <c r="G2305" s="24" t="str">
        <f>IFERROR(VLOOKUP(F2305,Procedimentos!A:C,2,),"")</f>
        <v>PROTOCOLO DE ATENDIMENTO PSIQUIATRICO NO ESPAÇO CUIDAR DA EMSERH</v>
      </c>
      <c r="H2305" s="22" t="s">
        <v>7</v>
      </c>
      <c r="K2305" s="25" t="str">
        <f t="shared" si="76"/>
        <v/>
      </c>
    </row>
    <row r="2306" spans="2:11" ht="15" customHeight="1">
      <c r="B2306" s="38">
        <v>7601</v>
      </c>
      <c r="C2306" s="22" t="str">
        <f>IFERROR(VLOOKUP(B2306,Colaboradores!A:D,2,),"")</f>
        <v>RAYANE BEZERRA DE JESUS</v>
      </c>
      <c r="D2306" s="22" t="str">
        <f>IFERROR(VLOOKUP(B2306,Colaboradores!A:D,3,),"")</f>
        <v>SAÚDE OCUPACIONAL</v>
      </c>
      <c r="E2306" s="22" t="str">
        <f>IFERROR(VLOOKUP(B2306,Colaboradores!A:D,4,),"")</f>
        <v>TÉCNICO DE ENFERMAGEM DO TRABALHO</v>
      </c>
      <c r="F2306" s="47" t="s">
        <v>101</v>
      </c>
      <c r="G2306" s="24" t="str">
        <f>IFERROR(VLOOKUP(F2306,Procedimentos!A:C,2,),"")</f>
        <v>PROTOCOLO DE MANEJO DE SURTO</v>
      </c>
      <c r="H2306" s="22" t="s">
        <v>7</v>
      </c>
      <c r="K2306" s="25" t="str">
        <f t="shared" si="76"/>
        <v/>
      </c>
    </row>
    <row r="2307" spans="2:11" ht="15" customHeight="1">
      <c r="B2307" s="38">
        <v>7601</v>
      </c>
      <c r="C2307" s="22" t="str">
        <f>IFERROR(VLOOKUP(B2307,Colaboradores!A:D,2,),"")</f>
        <v>RAYANE BEZERRA DE JESUS</v>
      </c>
      <c r="D2307" s="22" t="str">
        <f>IFERROR(VLOOKUP(B2307,Colaboradores!A:D,3,),"")</f>
        <v>SAÚDE OCUPACIONAL</v>
      </c>
      <c r="E2307" s="22" t="str">
        <f>IFERROR(VLOOKUP(B2307,Colaboradores!A:D,4,),"")</f>
        <v>TÉCNICO DE ENFERMAGEM DO TRABALHO</v>
      </c>
      <c r="F2307" s="47" t="s">
        <v>102</v>
      </c>
      <c r="G2307" s="24" t="str">
        <f>IFERROR(VLOOKUP(F2307,Procedimentos!A:C,2,),"")</f>
        <v>PROTOCOLO DE TRANSPORTE SEGURO NO ESPAÇO CUIDAR</v>
      </c>
      <c r="K2307" s="25" t="str">
        <f t="shared" ref="K2307:K2370" si="77">IF(AND(I2307&lt;&gt;"",J2307&lt;&gt;""),DATE(YEAR(I2307),MONTH(I2307)+J2307,DAY(I2307)),"")</f>
        <v/>
      </c>
    </row>
    <row r="2308" spans="2:11" ht="15" customHeight="1">
      <c r="B2308" s="38">
        <v>7601</v>
      </c>
      <c r="C2308" s="22" t="str">
        <f>IFERROR(VLOOKUP(B2308,Colaboradores!A:D,2,),"")</f>
        <v>RAYANE BEZERRA DE JESUS</v>
      </c>
      <c r="D2308" s="22" t="str">
        <f>IFERROR(VLOOKUP(B2308,Colaboradores!A:D,3,),"")</f>
        <v>SAÚDE OCUPACIONAL</v>
      </c>
      <c r="E2308" s="22" t="str">
        <f>IFERROR(VLOOKUP(B2308,Colaboradores!A:D,4,),"")</f>
        <v>TÉCNICO DE ENFERMAGEM DO TRABALHO</v>
      </c>
      <c r="F2308" s="47" t="s">
        <v>103</v>
      </c>
      <c r="G2308" s="24" t="str">
        <f>IFERROR(VLOOKUP(F2308,Procedimentos!A:C,2,),"")</f>
        <v>PROTOCOLO DE ATENDIMENTO À PESSOA COM COMPORTAMENTO SUÍCIDA</v>
      </c>
      <c r="K2308" s="25" t="str">
        <f t="shared" si="77"/>
        <v/>
      </c>
    </row>
    <row r="2309" spans="2:11" ht="15" customHeight="1">
      <c r="B2309" s="38">
        <v>7601</v>
      </c>
      <c r="C2309" s="22" t="str">
        <f>IFERROR(VLOOKUP(B2309,Colaboradores!A:D,2,),"")</f>
        <v>RAYANE BEZERRA DE JESUS</v>
      </c>
      <c r="D2309" s="22" t="str">
        <f>IFERROR(VLOOKUP(B2309,Colaboradores!A:D,3,),"")</f>
        <v>SAÚDE OCUPACIONAL</v>
      </c>
      <c r="E2309" s="22" t="str">
        <f>IFERROR(VLOOKUP(B2309,Colaboradores!A:D,4,),"")</f>
        <v>TÉCNICO DE ENFERMAGEM DO TRABALHO</v>
      </c>
      <c r="F2309" s="47" t="s">
        <v>104</v>
      </c>
      <c r="G2309" s="24" t="str">
        <f>IFERROR(VLOOKUP(F2309,Procedimentos!A:C,2,),"")</f>
        <v>PROTOCOLO DE BIOSSEGURANÇA</v>
      </c>
      <c r="K2309" s="25" t="str">
        <f t="shared" si="77"/>
        <v/>
      </c>
    </row>
    <row r="2310" spans="2:11" ht="15" customHeight="1">
      <c r="B2310" s="38">
        <v>7601</v>
      </c>
      <c r="C2310" s="22" t="str">
        <f>IFERROR(VLOOKUP(B2310,Colaboradores!A:D,2,),"")</f>
        <v>RAYANE BEZERRA DE JESUS</v>
      </c>
      <c r="D2310" s="22" t="str">
        <f>IFERROR(VLOOKUP(B2310,Colaboradores!A:D,3,),"")</f>
        <v>SAÚDE OCUPACIONAL</v>
      </c>
      <c r="E2310" s="22" t="str">
        <f>IFERROR(VLOOKUP(B2310,Colaboradores!A:D,4,),"")</f>
        <v>TÉCNICO DE ENFERMAGEM DO TRABALHO</v>
      </c>
      <c r="F2310" s="47" t="s">
        <v>105</v>
      </c>
      <c r="G2310" s="24" t="str">
        <f>IFERROR(VLOOKUP(F2310,Procedimentos!A:C,2,),"")</f>
        <v>PROTOCOLO IDENTIFICAÇÃO E MANEJO DA EVOLUÇÃO DESFAVORÁVEL DO PACIENTE NO ESPAÇO CUIDAR</v>
      </c>
      <c r="H2310" s="22" t="s">
        <v>7</v>
      </c>
      <c r="K2310" s="25" t="str">
        <f t="shared" si="77"/>
        <v/>
      </c>
    </row>
    <row r="2311" spans="2:11" ht="15" customHeight="1">
      <c r="B2311" s="38">
        <v>7601</v>
      </c>
      <c r="C2311" s="22" t="str">
        <f>IFERROR(VLOOKUP(B2311,Colaboradores!A:D,2,),"")</f>
        <v>RAYANE BEZERRA DE JESUS</v>
      </c>
      <c r="D2311" s="22" t="str">
        <f>IFERROR(VLOOKUP(B2311,Colaboradores!A:D,3,),"")</f>
        <v>SAÚDE OCUPACIONAL</v>
      </c>
      <c r="E2311" s="22" t="str">
        <f>IFERROR(VLOOKUP(B2311,Colaboradores!A:D,4,),"")</f>
        <v>TÉCNICO DE ENFERMAGEM DO TRABALHO</v>
      </c>
      <c r="F2311" s="47" t="s">
        <v>106</v>
      </c>
      <c r="G2311" s="24" t="str">
        <f>IFERROR(VLOOKUP(F2311,Procedimentos!A:C,2,),"")</f>
        <v>PROTOCOLO DE DETERIORAÇÃO CLÍNICA</v>
      </c>
      <c r="K2311" s="25" t="str">
        <f t="shared" si="77"/>
        <v/>
      </c>
    </row>
    <row r="2312" spans="2:11" ht="15" customHeight="1">
      <c r="B2312" s="38">
        <v>7601</v>
      </c>
      <c r="C2312" s="22" t="str">
        <f>IFERROR(VLOOKUP(B2312,Colaboradores!A:D,2,),"")</f>
        <v>RAYANE BEZERRA DE JESUS</v>
      </c>
      <c r="D2312" s="22" t="str">
        <f>IFERROR(VLOOKUP(B2312,Colaboradores!A:D,3,),"")</f>
        <v>SAÚDE OCUPACIONAL</v>
      </c>
      <c r="E2312" s="22" t="str">
        <f>IFERROR(VLOOKUP(B2312,Colaboradores!A:D,4,),"")</f>
        <v>TÉCNICO DE ENFERMAGEM DO TRABALHO</v>
      </c>
      <c r="F2312" s="47" t="s">
        <v>107</v>
      </c>
      <c r="G2312" s="24" t="str">
        <f>IFERROR(VLOOKUP(F2312,Procedimentos!A:C,2,),"")</f>
        <v>PROTOCOLO DE COMUNICAÇÃO DE NOTÍCIAS DIFÍCEIS</v>
      </c>
      <c r="K2312" s="25" t="str">
        <f t="shared" si="77"/>
        <v/>
      </c>
    </row>
    <row r="2313" spans="2:11" ht="15" customHeight="1">
      <c r="B2313" s="38">
        <v>7601</v>
      </c>
      <c r="C2313" s="22" t="str">
        <f>IFERROR(VLOOKUP(B2313,Colaboradores!A:D,2,),"")</f>
        <v>RAYANE BEZERRA DE JESUS</v>
      </c>
      <c r="D2313" s="22" t="str">
        <f>IFERROR(VLOOKUP(B2313,Colaboradores!A:D,3,),"")</f>
        <v>SAÚDE OCUPACIONAL</v>
      </c>
      <c r="E2313" s="22" t="str">
        <f>IFERROR(VLOOKUP(B2313,Colaboradores!A:D,4,),"")</f>
        <v>TÉCNICO DE ENFERMAGEM DO TRABALHO</v>
      </c>
      <c r="F2313" s="47" t="s">
        <v>108</v>
      </c>
      <c r="G2313" s="24" t="str">
        <f>IFERROR(VLOOKUP(F2313,Procedimentos!A:C,2,),"")</f>
        <v>PROTOCOLO PARA ATENDIMENTO DO (A) ASSISTENTE SOCIAL NO AMBULATÓRIO DO ESPAÇO CUIDAR</v>
      </c>
      <c r="H2313" s="22" t="s">
        <v>7</v>
      </c>
      <c r="K2313" s="25" t="str">
        <f t="shared" si="77"/>
        <v/>
      </c>
    </row>
    <row r="2314" spans="2:11" ht="15" customHeight="1">
      <c r="B2314" s="38">
        <v>7601</v>
      </c>
      <c r="C2314" s="22" t="str">
        <f>IFERROR(VLOOKUP(B2314,Colaboradores!A:D,2,),"")</f>
        <v>RAYANE BEZERRA DE JESUS</v>
      </c>
      <c r="D2314" s="22" t="str">
        <f>IFERROR(VLOOKUP(B2314,Colaboradores!A:D,3,),"")</f>
        <v>SAÚDE OCUPACIONAL</v>
      </c>
      <c r="E2314" s="22" t="str">
        <f>IFERROR(VLOOKUP(B2314,Colaboradores!A:D,4,),"")</f>
        <v>TÉCNICO DE ENFERMAGEM DO TRABALHO</v>
      </c>
      <c r="F2314" s="47" t="s">
        <v>109</v>
      </c>
      <c r="G2314" s="24" t="str">
        <f>IFERROR(VLOOKUP(F2314,Procedimentos!A:C,2,),"")</f>
        <v>ROTOCOLO DE ASSISTÊNCIA NUTRICIONAL AMBULATÓRIAL PARA ADULTOS E IDOSOS COM SOBREPESO E OBESIDADE</v>
      </c>
      <c r="K2314" s="25" t="str">
        <f t="shared" si="77"/>
        <v/>
      </c>
    </row>
    <row r="2315" spans="2:11" ht="15" customHeight="1">
      <c r="B2315" s="38">
        <v>7601</v>
      </c>
      <c r="C2315" s="22" t="str">
        <f>IFERROR(VLOOKUP(B2315,Colaboradores!A:D,2,),"")</f>
        <v>RAYANE BEZERRA DE JESUS</v>
      </c>
      <c r="D2315" s="22" t="str">
        <f>IFERROR(VLOOKUP(B2315,Colaboradores!A:D,3,),"")</f>
        <v>SAÚDE OCUPACIONAL</v>
      </c>
      <c r="E2315" s="22" t="str">
        <f>IFERROR(VLOOKUP(B2315,Colaboradores!A:D,4,),"")</f>
        <v>TÉCNICO DE ENFERMAGEM DO TRABALHO</v>
      </c>
      <c r="F2315" s="47" t="s">
        <v>110</v>
      </c>
      <c r="G2315" s="24" t="str">
        <f>IFERROR(VLOOKUP(F2315,Procedimentos!A:C,2,),"")</f>
        <v>PROTOCOLO DE AGENDAMENTO</v>
      </c>
      <c r="H2315" s="22" t="s">
        <v>7</v>
      </c>
      <c r="K2315" s="25" t="str">
        <f t="shared" si="77"/>
        <v/>
      </c>
    </row>
    <row r="2316" spans="2:11" ht="15" customHeight="1">
      <c r="B2316" s="38">
        <v>7601</v>
      </c>
      <c r="C2316" s="22" t="str">
        <f>IFERROR(VLOOKUP(B2316,Colaboradores!A:D,2,),"")</f>
        <v>RAYANE BEZERRA DE JESUS</v>
      </c>
      <c r="D2316" s="22" t="str">
        <f>IFERROR(VLOOKUP(B2316,Colaboradores!A:D,3,),"")</f>
        <v>SAÚDE OCUPACIONAL</v>
      </c>
      <c r="E2316" s="22" t="str">
        <f>IFERROR(VLOOKUP(B2316,Colaboradores!A:D,4,),"")</f>
        <v>TÉCNICO DE ENFERMAGEM DO TRABALHO</v>
      </c>
      <c r="F2316" s="47" t="s">
        <v>111</v>
      </c>
      <c r="G2316" s="24" t="str">
        <f>IFERROR(VLOOKUP(F2316,Procedimentos!A:C,2,),"")</f>
        <v>PROTOCOLO DE IDENTIFICAÇÃO DE SINAIS SUSGETIVOS DE VIOLÊNCIA - ESPAÇO CUIDAR/ EMSERH</v>
      </c>
      <c r="H2316" s="22" t="s">
        <v>7</v>
      </c>
      <c r="K2316" s="25" t="str">
        <f t="shared" si="77"/>
        <v/>
      </c>
    </row>
    <row r="2317" spans="2:11" ht="15" customHeight="1">
      <c r="B2317" s="38">
        <v>7601</v>
      </c>
      <c r="C2317" s="22" t="str">
        <f>IFERROR(VLOOKUP(B2317,Colaboradores!A:D,2,),"")</f>
        <v>RAYANE BEZERRA DE JESUS</v>
      </c>
      <c r="D2317" s="22" t="str">
        <f>IFERROR(VLOOKUP(B2317,Colaboradores!A:D,3,),"")</f>
        <v>SAÚDE OCUPACIONAL</v>
      </c>
      <c r="E2317" s="22" t="str">
        <f>IFERROR(VLOOKUP(B2317,Colaboradores!A:D,4,),"")</f>
        <v>TÉCNICO DE ENFERMAGEM DO TRABALHO</v>
      </c>
      <c r="F2317" s="47" t="s">
        <v>112</v>
      </c>
      <c r="G2317" s="24" t="str">
        <f>IFERROR(VLOOKUP(F2317,Procedimentos!A:C,2,),"")</f>
        <v>PROTOCOLO DE IDENTIFICAÇÃO SEGURA</v>
      </c>
      <c r="K2317" s="25" t="str">
        <f t="shared" si="77"/>
        <v/>
      </c>
    </row>
    <row r="2318" spans="2:11" ht="15" customHeight="1">
      <c r="B2318" s="38">
        <v>7601</v>
      </c>
      <c r="C2318" s="22" t="str">
        <f>IFERROR(VLOOKUP(B2318,Colaboradores!A:D,2,),"")</f>
        <v>RAYANE BEZERRA DE JESUS</v>
      </c>
      <c r="D2318" s="22" t="str">
        <f>IFERROR(VLOOKUP(B2318,Colaboradores!A:D,3,),"")</f>
        <v>SAÚDE OCUPACIONAL</v>
      </c>
      <c r="E2318" s="22" t="str">
        <f>IFERROR(VLOOKUP(B2318,Colaboradores!A:D,4,),"")</f>
        <v>TÉCNICO DE ENFERMAGEM DO TRABALHO</v>
      </c>
      <c r="F2318" s="47" t="s">
        <v>113</v>
      </c>
      <c r="G2318" s="24" t="str">
        <f>IFERROR(VLOOKUP(F2318,Procedimentos!A:C,2,),"")</f>
        <v>PROTOCOLO DE NORMAS E ROTINAS PARA COMUNICAÇÃO DO ESTADO DE SAÚDE DO PACIENTE</v>
      </c>
      <c r="K2318" s="25" t="str">
        <f t="shared" si="77"/>
        <v/>
      </c>
    </row>
    <row r="2319" spans="2:11" ht="15" customHeight="1">
      <c r="B2319" s="38">
        <v>7601</v>
      </c>
      <c r="C2319" s="22" t="str">
        <f>IFERROR(VLOOKUP(B2319,Colaboradores!A:D,2,),"")</f>
        <v>RAYANE BEZERRA DE JESUS</v>
      </c>
      <c r="D2319" s="22" t="str">
        <f>IFERROR(VLOOKUP(B2319,Colaboradores!A:D,3,),"")</f>
        <v>SAÚDE OCUPACIONAL</v>
      </c>
      <c r="E2319" s="22" t="str">
        <f>IFERROR(VLOOKUP(B2319,Colaboradores!A:D,4,),"")</f>
        <v>TÉCNICO DE ENFERMAGEM DO TRABALHO</v>
      </c>
      <c r="F2319" s="47" t="s">
        <v>114</v>
      </c>
      <c r="G2319" s="24" t="str">
        <f>IFERROR(VLOOKUP(F2319,Procedimentos!A:C,2,),"")</f>
        <v>PROTOCOLO DE COMUNICAÇÃO EFETIVA EM PRÁTICAS DE SAÚDE</v>
      </c>
      <c r="K2319" s="25" t="str">
        <f t="shared" si="77"/>
        <v/>
      </c>
    </row>
    <row r="2320" spans="2:11" ht="15" customHeight="1">
      <c r="B2320" s="38">
        <v>7601</v>
      </c>
      <c r="C2320" s="22" t="str">
        <f>IFERROR(VLOOKUP(B2320,Colaboradores!A:D,2,),"")</f>
        <v>RAYANE BEZERRA DE JESUS</v>
      </c>
      <c r="D2320" s="22" t="str">
        <f>IFERROR(VLOOKUP(B2320,Colaboradores!A:D,3,),"")</f>
        <v>SAÚDE OCUPACIONAL</v>
      </c>
      <c r="E2320" s="22" t="str">
        <f>IFERROR(VLOOKUP(B2320,Colaboradores!A:D,4,),"")</f>
        <v>TÉCNICO DE ENFERMAGEM DO TRABALHO</v>
      </c>
      <c r="F2320" s="47" t="s">
        <v>115</v>
      </c>
      <c r="G2320" s="24" t="str">
        <f>IFERROR(VLOOKUP(F2320,Procedimentos!A:C,2,),"")</f>
        <v>PROTOCOLO DE NORMAS E ROTINAS DE ADMISSÃO, TRIAGEM E ALTA</v>
      </c>
      <c r="K2320" s="25" t="str">
        <f t="shared" si="77"/>
        <v/>
      </c>
    </row>
    <row r="2321" spans="2:11" ht="15" customHeight="1">
      <c r="B2321" s="38">
        <v>7601</v>
      </c>
      <c r="C2321" s="22" t="str">
        <f>IFERROR(VLOOKUP(B2321,Colaboradores!A:D,2,),"")</f>
        <v>RAYANE BEZERRA DE JESUS</v>
      </c>
      <c r="D2321" s="22" t="str">
        <f>IFERROR(VLOOKUP(B2321,Colaboradores!A:D,3,),"")</f>
        <v>SAÚDE OCUPACIONAL</v>
      </c>
      <c r="E2321" s="22" t="str">
        <f>IFERROR(VLOOKUP(B2321,Colaboradores!A:D,4,),"")</f>
        <v>TÉCNICO DE ENFERMAGEM DO TRABALHO</v>
      </c>
      <c r="F2321" s="47" t="s">
        <v>116</v>
      </c>
      <c r="G2321" s="24" t="str">
        <f>IFERROR(VLOOKUP(F2321,Procedimentos!A:C,2,),"")</f>
        <v>PROTOCOLO DE SEGURANÇA NA PRESCRIÇÃO, USO E ADMINISTRAÇÃO DE MEDICAMENTOS ESPAÇO CUIDAR</v>
      </c>
      <c r="K2321" s="25" t="str">
        <f t="shared" si="77"/>
        <v/>
      </c>
    </row>
    <row r="2322" spans="2:11" ht="15" customHeight="1">
      <c r="B2322" s="38">
        <v>7601</v>
      </c>
      <c r="C2322" s="22" t="str">
        <f>IFERROR(VLOOKUP(B2322,Colaboradores!A:D,2,),"")</f>
        <v>RAYANE BEZERRA DE JESUS</v>
      </c>
      <c r="D2322" s="22" t="str">
        <f>IFERROR(VLOOKUP(B2322,Colaboradores!A:D,3,),"")</f>
        <v>SAÚDE OCUPACIONAL</v>
      </c>
      <c r="E2322" s="22" t="str">
        <f>IFERROR(VLOOKUP(B2322,Colaboradores!A:D,4,),"")</f>
        <v>TÉCNICO DE ENFERMAGEM DO TRABALHO</v>
      </c>
      <c r="F2322" s="47" t="s">
        <v>117</v>
      </c>
      <c r="G2322" s="24" t="str">
        <f>IFERROR(VLOOKUP(F2322,Procedimentos!A:C,2,),"")</f>
        <v>NORMA E ROTINA DA TRANSIÇÃO DE CUIDADOS</v>
      </c>
      <c r="K2322" s="25" t="str">
        <f t="shared" si="77"/>
        <v/>
      </c>
    </row>
    <row r="2323" spans="2:11" ht="15" customHeight="1">
      <c r="B2323" s="38">
        <v>7601</v>
      </c>
      <c r="C2323" s="22" t="str">
        <f>IFERROR(VLOOKUP(B2323,Colaboradores!A:D,2,),"")</f>
        <v>RAYANE BEZERRA DE JESUS</v>
      </c>
      <c r="D2323" s="22" t="str">
        <f>IFERROR(VLOOKUP(B2323,Colaboradores!A:D,3,),"")</f>
        <v>SAÚDE OCUPACIONAL</v>
      </c>
      <c r="E2323" s="22" t="str">
        <f>IFERROR(VLOOKUP(B2323,Colaboradores!A:D,4,),"")</f>
        <v>TÉCNICO DE ENFERMAGEM DO TRABALHO</v>
      </c>
      <c r="F2323" s="47" t="s">
        <v>118</v>
      </c>
      <c r="G2323" s="24" t="str">
        <f>IFERROR(VLOOKUP(F2323,Procedimentos!A:C,2,),"")</f>
        <v>PROTOCOLO DE ASSISTÊNCIA FISIOTERAPÊUTICA DO ESPAÇO CUIDAR</v>
      </c>
      <c r="H2323" s="22" t="s">
        <v>7</v>
      </c>
      <c r="K2323" s="25" t="str">
        <f t="shared" si="77"/>
        <v/>
      </c>
    </row>
    <row r="2324" spans="2:11" ht="15" customHeight="1">
      <c r="B2324" s="38">
        <v>12463</v>
      </c>
      <c r="C2324" s="22" t="str">
        <f>IFERROR(VLOOKUP(B2324,Colaboradores!A:D,2,),"")</f>
        <v>SAMMY RAYANA L. SANTOS</v>
      </c>
      <c r="D2324" s="22" t="str">
        <f>IFERROR(VLOOKUP(B2324,Colaboradores!A:D,3,),"")</f>
        <v>SAÚDE OCUPACIONAL</v>
      </c>
      <c r="E2324" s="22" t="str">
        <f>IFERROR(VLOOKUP(B2324,Colaboradores!A:D,4,),"")</f>
        <v>ASSESSOR(A) DE SERVIÇO SOCIAL</v>
      </c>
      <c r="F2324" s="47" t="s">
        <v>94</v>
      </c>
      <c r="G2324" s="24" t="str">
        <f>IFERROR(VLOOKUP(F2324,Procedimentos!A:C,2,),"")</f>
        <v>PROTOCOLO DE CONSENTIMENTO INFORMADO</v>
      </c>
      <c r="K2324" s="25" t="str">
        <f t="shared" si="77"/>
        <v/>
      </c>
    </row>
    <row r="2325" spans="2:11" ht="15" customHeight="1">
      <c r="B2325" s="38">
        <v>12463</v>
      </c>
      <c r="C2325" s="22" t="str">
        <f>IFERROR(VLOOKUP(B2325,Colaboradores!A:D,2,),"")</f>
        <v>SAMMY RAYANA L. SANTOS</v>
      </c>
      <c r="D2325" s="22" t="str">
        <f>IFERROR(VLOOKUP(B2325,Colaboradores!A:D,3,),"")</f>
        <v>SAÚDE OCUPACIONAL</v>
      </c>
      <c r="E2325" s="22" t="str">
        <f>IFERROR(VLOOKUP(B2325,Colaboradores!A:D,4,),"")</f>
        <v>ASSESSOR(A) DE SERVIÇO SOCIAL</v>
      </c>
      <c r="F2325" s="47" t="s">
        <v>95</v>
      </c>
      <c r="G2325" s="24" t="str">
        <f>IFERROR(VLOOKUP(F2325,Procedimentos!A:C,2,),"")</f>
        <v>PROTOCOLO DE NOTIFICAÇÃO COMPULSORIA - ESPAÇO CUIDAR/EMSERH</v>
      </c>
      <c r="K2325" s="25" t="str">
        <f t="shared" si="77"/>
        <v/>
      </c>
    </row>
    <row r="2326" spans="2:11" ht="15" customHeight="1">
      <c r="B2326" s="38">
        <v>12463</v>
      </c>
      <c r="C2326" s="22" t="str">
        <f>IFERROR(VLOOKUP(B2326,Colaboradores!A:D,2,),"")</f>
        <v>SAMMY RAYANA L. SANTOS</v>
      </c>
      <c r="D2326" s="22" t="str">
        <f>IFERROR(VLOOKUP(B2326,Colaboradores!A:D,3,),"")</f>
        <v>SAÚDE OCUPACIONAL</v>
      </c>
      <c r="E2326" s="22" t="str">
        <f>IFERROR(VLOOKUP(B2326,Colaboradores!A:D,4,),"")</f>
        <v>ASSESSOR(A) DE SERVIÇO SOCIAL</v>
      </c>
      <c r="F2326" s="47" t="s">
        <v>96</v>
      </c>
      <c r="G2326" s="24" t="str">
        <f>IFERROR(VLOOKUP(F2326,Procedimentos!A:C,2,),"")</f>
        <v>PROTOCOLO PARA HIGIENIZAÇÃO DAS MÃOS</v>
      </c>
      <c r="K2326" s="25" t="str">
        <f t="shared" si="77"/>
        <v/>
      </c>
    </row>
    <row r="2327" spans="2:11" ht="15" customHeight="1">
      <c r="B2327" s="38">
        <v>12463</v>
      </c>
      <c r="C2327" s="22" t="str">
        <f>IFERROR(VLOOKUP(B2327,Colaboradores!A:D,2,),"")</f>
        <v>SAMMY RAYANA L. SANTOS</v>
      </c>
      <c r="D2327" s="22" t="str">
        <f>IFERROR(VLOOKUP(B2327,Colaboradores!A:D,3,),"")</f>
        <v>SAÚDE OCUPACIONAL</v>
      </c>
      <c r="E2327" s="22" t="str">
        <f>IFERROR(VLOOKUP(B2327,Colaboradores!A:D,4,),"")</f>
        <v>ASSESSOR(A) DE SERVIÇO SOCIAL</v>
      </c>
      <c r="F2327" s="47" t="s">
        <v>97</v>
      </c>
      <c r="G2327" s="24" t="str">
        <f>IFERROR(VLOOKUP(F2327,Procedimentos!A:C,2,),"")</f>
        <v>PROTOCOLO DE PREVENÇÃO DE QUEDAS</v>
      </c>
      <c r="K2327" s="25" t="str">
        <f t="shared" si="77"/>
        <v/>
      </c>
    </row>
    <row r="2328" spans="2:11" ht="15" customHeight="1">
      <c r="B2328" s="38">
        <v>12463</v>
      </c>
      <c r="C2328" s="22" t="str">
        <f>IFERROR(VLOOKUP(B2328,Colaboradores!A:D,2,),"")</f>
        <v>SAMMY RAYANA L. SANTOS</v>
      </c>
      <c r="D2328" s="22" t="str">
        <f>IFERROR(VLOOKUP(B2328,Colaboradores!A:D,3,),"")</f>
        <v>SAÚDE OCUPACIONAL</v>
      </c>
      <c r="E2328" s="22" t="str">
        <f>IFERROR(VLOOKUP(B2328,Colaboradores!A:D,4,),"")</f>
        <v>ASSESSOR(A) DE SERVIÇO SOCIAL</v>
      </c>
      <c r="F2328" s="47" t="s">
        <v>98</v>
      </c>
      <c r="G2328" s="24" t="str">
        <f>IFERROR(VLOOKUP(F2328,Procedimentos!A:C,2,),"")</f>
        <v>PROTOCOLO INSTITUCIONAL DE CONDUTA ETICA NO ATENDIMENTO MULTIPROFISSIONAL NO ESPAÇO CUIDAR</v>
      </c>
      <c r="K2328" s="25" t="str">
        <f t="shared" si="77"/>
        <v/>
      </c>
    </row>
    <row r="2329" spans="2:11" ht="15" customHeight="1">
      <c r="B2329" s="38">
        <v>12463</v>
      </c>
      <c r="C2329" s="22" t="str">
        <f>IFERROR(VLOOKUP(B2329,Colaboradores!A:D,2,),"")</f>
        <v>SAMMY RAYANA L. SANTOS</v>
      </c>
      <c r="D2329" s="22" t="str">
        <f>IFERROR(VLOOKUP(B2329,Colaboradores!A:D,3,),"")</f>
        <v>SAÚDE OCUPACIONAL</v>
      </c>
      <c r="E2329" s="22" t="str">
        <f>IFERROR(VLOOKUP(B2329,Colaboradores!A:D,4,),"")</f>
        <v>ASSESSOR(A) DE SERVIÇO SOCIAL</v>
      </c>
      <c r="F2329" s="47" t="s">
        <v>99</v>
      </c>
      <c r="G2329" s="24" t="str">
        <f>IFERROR(VLOOKUP(F2329,Procedimentos!A:C,2,),"")</f>
        <v>PROTOCOLO PARA LIMPEZA DE ÁREAS E SUPERFÍCIES NO ESPAÇO CUIDAR</v>
      </c>
      <c r="K2329" s="25" t="str">
        <f t="shared" si="77"/>
        <v/>
      </c>
    </row>
    <row r="2330" spans="2:11" ht="15" customHeight="1">
      <c r="B2330" s="38">
        <v>12463</v>
      </c>
      <c r="C2330" s="22" t="str">
        <f>IFERROR(VLOOKUP(B2330,Colaboradores!A:D,2,),"")</f>
        <v>SAMMY RAYANA L. SANTOS</v>
      </c>
      <c r="D2330" s="22" t="str">
        <f>IFERROR(VLOOKUP(B2330,Colaboradores!A:D,3,),"")</f>
        <v>SAÚDE OCUPACIONAL</v>
      </c>
      <c r="E2330" s="22" t="str">
        <f>IFERROR(VLOOKUP(B2330,Colaboradores!A:D,4,),"")</f>
        <v>ASSESSOR(A) DE SERVIÇO SOCIAL</v>
      </c>
      <c r="F2330" s="47" t="s">
        <v>100</v>
      </c>
      <c r="G2330" s="24" t="str">
        <f>IFERROR(VLOOKUP(F2330,Procedimentos!A:C,2,),"")</f>
        <v>PROTOCOLO DE ATENDIMENTO PSIQUIATRICO NO ESPAÇO CUIDAR DA EMSERH</v>
      </c>
      <c r="K2330" s="25" t="str">
        <f t="shared" si="77"/>
        <v/>
      </c>
    </row>
    <row r="2331" spans="2:11" ht="15" customHeight="1">
      <c r="B2331" s="38">
        <v>12463</v>
      </c>
      <c r="C2331" s="22" t="str">
        <f>IFERROR(VLOOKUP(B2331,Colaboradores!A:D,2,),"")</f>
        <v>SAMMY RAYANA L. SANTOS</v>
      </c>
      <c r="D2331" s="22" t="str">
        <f>IFERROR(VLOOKUP(B2331,Colaboradores!A:D,3,),"")</f>
        <v>SAÚDE OCUPACIONAL</v>
      </c>
      <c r="E2331" s="22" t="str">
        <f>IFERROR(VLOOKUP(B2331,Colaboradores!A:D,4,),"")</f>
        <v>ASSESSOR(A) DE SERVIÇO SOCIAL</v>
      </c>
      <c r="F2331" s="47" t="s">
        <v>101</v>
      </c>
      <c r="G2331" s="24" t="str">
        <f>IFERROR(VLOOKUP(F2331,Procedimentos!A:C,2,),"")</f>
        <v>PROTOCOLO DE MANEJO DE SURTO</v>
      </c>
      <c r="K2331" s="25" t="str">
        <f t="shared" si="77"/>
        <v/>
      </c>
    </row>
    <row r="2332" spans="2:11" ht="15" customHeight="1">
      <c r="B2332" s="38">
        <v>12463</v>
      </c>
      <c r="C2332" s="22" t="str">
        <f>IFERROR(VLOOKUP(B2332,Colaboradores!A:D,2,),"")</f>
        <v>SAMMY RAYANA L. SANTOS</v>
      </c>
      <c r="D2332" s="22" t="str">
        <f>IFERROR(VLOOKUP(B2332,Colaboradores!A:D,3,),"")</f>
        <v>SAÚDE OCUPACIONAL</v>
      </c>
      <c r="E2332" s="22" t="str">
        <f>IFERROR(VLOOKUP(B2332,Colaboradores!A:D,4,),"")</f>
        <v>ASSESSOR(A) DE SERVIÇO SOCIAL</v>
      </c>
      <c r="F2332" s="47" t="s">
        <v>102</v>
      </c>
      <c r="G2332" s="24" t="str">
        <f>IFERROR(VLOOKUP(F2332,Procedimentos!A:C,2,),"")</f>
        <v>PROTOCOLO DE TRANSPORTE SEGURO NO ESPAÇO CUIDAR</v>
      </c>
      <c r="K2332" s="25" t="str">
        <f t="shared" si="77"/>
        <v/>
      </c>
    </row>
    <row r="2333" spans="2:11" ht="15" customHeight="1">
      <c r="B2333" s="38">
        <v>12463</v>
      </c>
      <c r="C2333" s="22" t="str">
        <f>IFERROR(VLOOKUP(B2333,Colaboradores!A:D,2,),"")</f>
        <v>SAMMY RAYANA L. SANTOS</v>
      </c>
      <c r="D2333" s="22" t="str">
        <f>IFERROR(VLOOKUP(B2333,Colaboradores!A:D,3,),"")</f>
        <v>SAÚDE OCUPACIONAL</v>
      </c>
      <c r="E2333" s="22" t="str">
        <f>IFERROR(VLOOKUP(B2333,Colaboradores!A:D,4,),"")</f>
        <v>ASSESSOR(A) DE SERVIÇO SOCIAL</v>
      </c>
      <c r="F2333" s="47" t="s">
        <v>103</v>
      </c>
      <c r="G2333" s="24" t="str">
        <f>IFERROR(VLOOKUP(F2333,Procedimentos!A:C,2,),"")</f>
        <v>PROTOCOLO DE ATENDIMENTO À PESSOA COM COMPORTAMENTO SUÍCIDA</v>
      </c>
      <c r="K2333" s="25" t="str">
        <f t="shared" si="77"/>
        <v/>
      </c>
    </row>
    <row r="2334" spans="2:11" ht="15" customHeight="1">
      <c r="B2334" s="38">
        <v>12463</v>
      </c>
      <c r="C2334" s="22" t="str">
        <f>IFERROR(VLOOKUP(B2334,Colaboradores!A:D,2,),"")</f>
        <v>SAMMY RAYANA L. SANTOS</v>
      </c>
      <c r="D2334" s="22" t="str">
        <f>IFERROR(VLOOKUP(B2334,Colaboradores!A:D,3,),"")</f>
        <v>SAÚDE OCUPACIONAL</v>
      </c>
      <c r="E2334" s="22" t="str">
        <f>IFERROR(VLOOKUP(B2334,Colaboradores!A:D,4,),"")</f>
        <v>ASSESSOR(A) DE SERVIÇO SOCIAL</v>
      </c>
      <c r="F2334" s="47" t="s">
        <v>104</v>
      </c>
      <c r="G2334" s="24" t="str">
        <f>IFERROR(VLOOKUP(F2334,Procedimentos!A:C,2,),"")</f>
        <v>PROTOCOLO DE BIOSSEGURANÇA</v>
      </c>
      <c r="K2334" s="25" t="str">
        <f t="shared" si="77"/>
        <v/>
      </c>
    </row>
    <row r="2335" spans="2:11" ht="15" customHeight="1">
      <c r="B2335" s="38">
        <v>12463</v>
      </c>
      <c r="C2335" s="22" t="str">
        <f>IFERROR(VLOOKUP(B2335,Colaboradores!A:D,2,),"")</f>
        <v>SAMMY RAYANA L. SANTOS</v>
      </c>
      <c r="D2335" s="22" t="str">
        <f>IFERROR(VLOOKUP(B2335,Colaboradores!A:D,3,),"")</f>
        <v>SAÚDE OCUPACIONAL</v>
      </c>
      <c r="E2335" s="22" t="str">
        <f>IFERROR(VLOOKUP(B2335,Colaboradores!A:D,4,),"")</f>
        <v>ASSESSOR(A) DE SERVIÇO SOCIAL</v>
      </c>
      <c r="F2335" s="47" t="s">
        <v>105</v>
      </c>
      <c r="G2335" s="24" t="str">
        <f>IFERROR(VLOOKUP(F2335,Procedimentos!A:C,2,),"")</f>
        <v>PROTOCOLO IDENTIFICAÇÃO E MANEJO DA EVOLUÇÃO DESFAVORÁVEL DO PACIENTE NO ESPAÇO CUIDAR</v>
      </c>
      <c r="K2335" s="25" t="str">
        <f t="shared" si="77"/>
        <v/>
      </c>
    </row>
    <row r="2336" spans="2:11" ht="15" customHeight="1">
      <c r="B2336" s="38">
        <v>12463</v>
      </c>
      <c r="C2336" s="22" t="str">
        <f>IFERROR(VLOOKUP(B2336,Colaboradores!A:D,2,),"")</f>
        <v>SAMMY RAYANA L. SANTOS</v>
      </c>
      <c r="D2336" s="22" t="str">
        <f>IFERROR(VLOOKUP(B2336,Colaboradores!A:D,3,),"")</f>
        <v>SAÚDE OCUPACIONAL</v>
      </c>
      <c r="E2336" s="22" t="str">
        <f>IFERROR(VLOOKUP(B2336,Colaboradores!A:D,4,),"")</f>
        <v>ASSESSOR(A) DE SERVIÇO SOCIAL</v>
      </c>
      <c r="F2336" s="47" t="s">
        <v>106</v>
      </c>
      <c r="G2336" s="24" t="str">
        <f>IFERROR(VLOOKUP(F2336,Procedimentos!A:C,2,),"")</f>
        <v>PROTOCOLO DE DETERIORAÇÃO CLÍNICA</v>
      </c>
      <c r="K2336" s="25" t="str">
        <f t="shared" si="77"/>
        <v/>
      </c>
    </row>
    <row r="2337" spans="2:11" ht="15" customHeight="1">
      <c r="B2337" s="38">
        <v>12463</v>
      </c>
      <c r="C2337" s="22" t="str">
        <f>IFERROR(VLOOKUP(B2337,Colaboradores!A:D,2,),"")</f>
        <v>SAMMY RAYANA L. SANTOS</v>
      </c>
      <c r="D2337" s="22" t="str">
        <f>IFERROR(VLOOKUP(B2337,Colaboradores!A:D,3,),"")</f>
        <v>SAÚDE OCUPACIONAL</v>
      </c>
      <c r="E2337" s="22" t="str">
        <f>IFERROR(VLOOKUP(B2337,Colaboradores!A:D,4,),"")</f>
        <v>ASSESSOR(A) DE SERVIÇO SOCIAL</v>
      </c>
      <c r="F2337" s="47" t="s">
        <v>107</v>
      </c>
      <c r="G2337" s="24" t="str">
        <f>IFERROR(VLOOKUP(F2337,Procedimentos!A:C,2,),"")</f>
        <v>PROTOCOLO DE COMUNICAÇÃO DE NOTÍCIAS DIFÍCEIS</v>
      </c>
      <c r="K2337" s="25" t="str">
        <f t="shared" si="77"/>
        <v/>
      </c>
    </row>
    <row r="2338" spans="2:11" ht="15" customHeight="1">
      <c r="B2338" s="38">
        <v>12463</v>
      </c>
      <c r="C2338" s="22" t="str">
        <f>IFERROR(VLOOKUP(B2338,Colaboradores!A:D,2,),"")</f>
        <v>SAMMY RAYANA L. SANTOS</v>
      </c>
      <c r="D2338" s="22" t="str">
        <f>IFERROR(VLOOKUP(B2338,Colaboradores!A:D,3,),"")</f>
        <v>SAÚDE OCUPACIONAL</v>
      </c>
      <c r="E2338" s="22" t="str">
        <f>IFERROR(VLOOKUP(B2338,Colaboradores!A:D,4,),"")</f>
        <v>ASSESSOR(A) DE SERVIÇO SOCIAL</v>
      </c>
      <c r="F2338" s="47" t="s">
        <v>108</v>
      </c>
      <c r="G2338" s="24" t="str">
        <f>IFERROR(VLOOKUP(F2338,Procedimentos!A:C,2,),"")</f>
        <v>PROTOCOLO PARA ATENDIMENTO DO (A) ASSISTENTE SOCIAL NO AMBULATÓRIO DO ESPAÇO CUIDAR</v>
      </c>
      <c r="H2338" s="22" t="s">
        <v>7</v>
      </c>
      <c r="K2338" s="25" t="str">
        <f t="shared" si="77"/>
        <v/>
      </c>
    </row>
    <row r="2339" spans="2:11" ht="15" customHeight="1">
      <c r="B2339" s="38">
        <v>12463</v>
      </c>
      <c r="C2339" s="22" t="str">
        <f>IFERROR(VLOOKUP(B2339,Colaboradores!A:D,2,),"")</f>
        <v>SAMMY RAYANA L. SANTOS</v>
      </c>
      <c r="D2339" s="22" t="str">
        <f>IFERROR(VLOOKUP(B2339,Colaboradores!A:D,3,),"")</f>
        <v>SAÚDE OCUPACIONAL</v>
      </c>
      <c r="E2339" s="22" t="str">
        <f>IFERROR(VLOOKUP(B2339,Colaboradores!A:D,4,),"")</f>
        <v>ASSESSOR(A) DE SERVIÇO SOCIAL</v>
      </c>
      <c r="F2339" s="47" t="s">
        <v>109</v>
      </c>
      <c r="G2339" s="24" t="str">
        <f>IFERROR(VLOOKUP(F2339,Procedimentos!A:C,2,),"")</f>
        <v>ROTOCOLO DE ASSISTÊNCIA NUTRICIONAL AMBULATÓRIAL PARA ADULTOS E IDOSOS COM SOBREPESO E OBESIDADE</v>
      </c>
      <c r="K2339" s="25" t="str">
        <f t="shared" si="77"/>
        <v/>
      </c>
    </row>
    <row r="2340" spans="2:11" ht="15" customHeight="1">
      <c r="B2340" s="38">
        <v>12463</v>
      </c>
      <c r="C2340" s="22" t="str">
        <f>IFERROR(VLOOKUP(B2340,Colaboradores!A:D,2,),"")</f>
        <v>SAMMY RAYANA L. SANTOS</v>
      </c>
      <c r="D2340" s="22" t="str">
        <f>IFERROR(VLOOKUP(B2340,Colaboradores!A:D,3,),"")</f>
        <v>SAÚDE OCUPACIONAL</v>
      </c>
      <c r="E2340" s="22" t="str">
        <f>IFERROR(VLOOKUP(B2340,Colaboradores!A:D,4,),"")</f>
        <v>ASSESSOR(A) DE SERVIÇO SOCIAL</v>
      </c>
      <c r="F2340" s="47" t="s">
        <v>110</v>
      </c>
      <c r="G2340" s="24" t="str">
        <f>IFERROR(VLOOKUP(F2340,Procedimentos!A:C,2,),"")</f>
        <v>PROTOCOLO DE AGENDAMENTO</v>
      </c>
      <c r="K2340" s="25" t="str">
        <f t="shared" si="77"/>
        <v/>
      </c>
    </row>
    <row r="2341" spans="2:11" ht="15" customHeight="1">
      <c r="B2341" s="38">
        <v>12463</v>
      </c>
      <c r="C2341" s="22" t="str">
        <f>IFERROR(VLOOKUP(B2341,Colaboradores!A:D,2,),"")</f>
        <v>SAMMY RAYANA L. SANTOS</v>
      </c>
      <c r="D2341" s="22" t="str">
        <f>IFERROR(VLOOKUP(B2341,Colaboradores!A:D,3,),"")</f>
        <v>SAÚDE OCUPACIONAL</v>
      </c>
      <c r="E2341" s="22" t="str">
        <f>IFERROR(VLOOKUP(B2341,Colaboradores!A:D,4,),"")</f>
        <v>ASSESSOR(A) DE SERVIÇO SOCIAL</v>
      </c>
      <c r="F2341" s="47" t="s">
        <v>111</v>
      </c>
      <c r="G2341" s="24" t="str">
        <f>IFERROR(VLOOKUP(F2341,Procedimentos!A:C,2,),"")</f>
        <v>PROTOCOLO DE IDENTIFICAÇÃO DE SINAIS SUSGETIVOS DE VIOLÊNCIA - ESPAÇO CUIDAR/ EMSERH</v>
      </c>
      <c r="H2341" s="22" t="s">
        <v>7</v>
      </c>
      <c r="K2341" s="25" t="str">
        <f t="shared" si="77"/>
        <v/>
      </c>
    </row>
    <row r="2342" spans="2:11" ht="15" customHeight="1">
      <c r="B2342" s="38">
        <v>12463</v>
      </c>
      <c r="C2342" s="22" t="str">
        <f>IFERROR(VLOOKUP(B2342,Colaboradores!A:D,2,),"")</f>
        <v>SAMMY RAYANA L. SANTOS</v>
      </c>
      <c r="D2342" s="22" t="str">
        <f>IFERROR(VLOOKUP(B2342,Colaboradores!A:D,3,),"")</f>
        <v>SAÚDE OCUPACIONAL</v>
      </c>
      <c r="E2342" s="22" t="str">
        <f>IFERROR(VLOOKUP(B2342,Colaboradores!A:D,4,),"")</f>
        <v>ASSESSOR(A) DE SERVIÇO SOCIAL</v>
      </c>
      <c r="F2342" s="47" t="s">
        <v>112</v>
      </c>
      <c r="G2342" s="24" t="str">
        <f>IFERROR(VLOOKUP(F2342,Procedimentos!A:C,2,),"")</f>
        <v>PROTOCOLO DE IDENTIFICAÇÃO SEGURA</v>
      </c>
      <c r="K2342" s="25" t="str">
        <f t="shared" si="77"/>
        <v/>
      </c>
    </row>
    <row r="2343" spans="2:11" ht="15" customHeight="1">
      <c r="B2343" s="38">
        <v>12463</v>
      </c>
      <c r="C2343" s="22" t="str">
        <f>IFERROR(VLOOKUP(B2343,Colaboradores!A:D,2,),"")</f>
        <v>SAMMY RAYANA L. SANTOS</v>
      </c>
      <c r="D2343" s="22" t="str">
        <f>IFERROR(VLOOKUP(B2343,Colaboradores!A:D,3,),"")</f>
        <v>SAÚDE OCUPACIONAL</v>
      </c>
      <c r="E2343" s="22" t="str">
        <f>IFERROR(VLOOKUP(B2343,Colaboradores!A:D,4,),"")</f>
        <v>ASSESSOR(A) DE SERVIÇO SOCIAL</v>
      </c>
      <c r="F2343" s="47" t="s">
        <v>113</v>
      </c>
      <c r="G2343" s="24" t="str">
        <f>IFERROR(VLOOKUP(F2343,Procedimentos!A:C,2,),"")</f>
        <v>PROTOCOLO DE NORMAS E ROTINAS PARA COMUNICAÇÃO DO ESTADO DE SAÚDE DO PACIENTE</v>
      </c>
      <c r="K2343" s="25" t="str">
        <f t="shared" si="77"/>
        <v/>
      </c>
    </row>
    <row r="2344" spans="2:11" ht="15" customHeight="1">
      <c r="B2344" s="38">
        <v>12463</v>
      </c>
      <c r="C2344" s="22" t="str">
        <f>IFERROR(VLOOKUP(B2344,Colaboradores!A:D,2,),"")</f>
        <v>SAMMY RAYANA L. SANTOS</v>
      </c>
      <c r="D2344" s="22" t="str">
        <f>IFERROR(VLOOKUP(B2344,Colaboradores!A:D,3,),"")</f>
        <v>SAÚDE OCUPACIONAL</v>
      </c>
      <c r="E2344" s="22" t="str">
        <f>IFERROR(VLOOKUP(B2344,Colaboradores!A:D,4,),"")</f>
        <v>ASSESSOR(A) DE SERVIÇO SOCIAL</v>
      </c>
      <c r="F2344" s="47" t="s">
        <v>114</v>
      </c>
      <c r="G2344" s="24" t="str">
        <f>IFERROR(VLOOKUP(F2344,Procedimentos!A:C,2,),"")</f>
        <v>PROTOCOLO DE COMUNICAÇÃO EFETIVA EM PRÁTICAS DE SAÚDE</v>
      </c>
      <c r="K2344" s="25" t="str">
        <f t="shared" si="77"/>
        <v/>
      </c>
    </row>
    <row r="2345" spans="2:11" ht="15" customHeight="1">
      <c r="B2345" s="38">
        <v>12463</v>
      </c>
      <c r="C2345" s="22" t="str">
        <f>IFERROR(VLOOKUP(B2345,Colaboradores!A:D,2,),"")</f>
        <v>SAMMY RAYANA L. SANTOS</v>
      </c>
      <c r="D2345" s="22" t="str">
        <f>IFERROR(VLOOKUP(B2345,Colaboradores!A:D,3,),"")</f>
        <v>SAÚDE OCUPACIONAL</v>
      </c>
      <c r="E2345" s="22" t="str">
        <f>IFERROR(VLOOKUP(B2345,Colaboradores!A:D,4,),"")</f>
        <v>ASSESSOR(A) DE SERVIÇO SOCIAL</v>
      </c>
      <c r="F2345" s="47" t="s">
        <v>115</v>
      </c>
      <c r="G2345" s="24" t="str">
        <f>IFERROR(VLOOKUP(F2345,Procedimentos!A:C,2,),"")</f>
        <v>PROTOCOLO DE NORMAS E ROTINAS DE ADMISSÃO, TRIAGEM E ALTA</v>
      </c>
      <c r="K2345" s="25" t="str">
        <f t="shared" si="77"/>
        <v/>
      </c>
    </row>
    <row r="2346" spans="2:11" ht="15" customHeight="1">
      <c r="B2346" s="38">
        <v>12463</v>
      </c>
      <c r="C2346" s="22" t="str">
        <f>IFERROR(VLOOKUP(B2346,Colaboradores!A:D,2,),"")</f>
        <v>SAMMY RAYANA L. SANTOS</v>
      </c>
      <c r="D2346" s="22" t="str">
        <f>IFERROR(VLOOKUP(B2346,Colaboradores!A:D,3,),"")</f>
        <v>SAÚDE OCUPACIONAL</v>
      </c>
      <c r="E2346" s="22" t="str">
        <f>IFERROR(VLOOKUP(B2346,Colaboradores!A:D,4,),"")</f>
        <v>ASSESSOR(A) DE SERVIÇO SOCIAL</v>
      </c>
      <c r="F2346" s="47" t="s">
        <v>116</v>
      </c>
      <c r="G2346" s="24" t="str">
        <f>IFERROR(VLOOKUP(F2346,Procedimentos!A:C,2,),"")</f>
        <v>PROTOCOLO DE SEGURANÇA NA PRESCRIÇÃO, USO E ADMINISTRAÇÃO DE MEDICAMENTOS ESPAÇO CUIDAR</v>
      </c>
      <c r="K2346" s="25" t="str">
        <f t="shared" si="77"/>
        <v/>
      </c>
    </row>
    <row r="2347" spans="2:11" ht="15" customHeight="1">
      <c r="B2347" s="38">
        <v>12463</v>
      </c>
      <c r="C2347" s="22" t="str">
        <f>IFERROR(VLOOKUP(B2347,Colaboradores!A:D,2,),"")</f>
        <v>SAMMY RAYANA L. SANTOS</v>
      </c>
      <c r="D2347" s="22" t="str">
        <f>IFERROR(VLOOKUP(B2347,Colaboradores!A:D,3,),"")</f>
        <v>SAÚDE OCUPACIONAL</v>
      </c>
      <c r="E2347" s="22" t="str">
        <f>IFERROR(VLOOKUP(B2347,Colaboradores!A:D,4,),"")</f>
        <v>ASSESSOR(A) DE SERVIÇO SOCIAL</v>
      </c>
      <c r="F2347" s="47" t="s">
        <v>117</v>
      </c>
      <c r="G2347" s="24" t="str">
        <f>IFERROR(VLOOKUP(F2347,Procedimentos!A:C,2,),"")</f>
        <v>NORMA E ROTINA DA TRANSIÇÃO DE CUIDADOS</v>
      </c>
      <c r="K2347" s="25" t="str">
        <f t="shared" si="77"/>
        <v/>
      </c>
    </row>
    <row r="2348" spans="2:11" ht="15" customHeight="1">
      <c r="B2348" s="38">
        <v>12463</v>
      </c>
      <c r="C2348" s="22" t="str">
        <f>IFERROR(VLOOKUP(B2348,Colaboradores!A:D,2,),"")</f>
        <v>SAMMY RAYANA L. SANTOS</v>
      </c>
      <c r="D2348" s="22" t="str">
        <f>IFERROR(VLOOKUP(B2348,Colaboradores!A:D,3,),"")</f>
        <v>SAÚDE OCUPACIONAL</v>
      </c>
      <c r="E2348" s="22" t="str">
        <f>IFERROR(VLOOKUP(B2348,Colaboradores!A:D,4,),"")</f>
        <v>ASSESSOR(A) DE SERVIÇO SOCIAL</v>
      </c>
      <c r="F2348" s="47" t="s">
        <v>118</v>
      </c>
      <c r="G2348" s="24" t="str">
        <f>IFERROR(VLOOKUP(F2348,Procedimentos!A:C,2,),"")</f>
        <v>PROTOCOLO DE ASSISTÊNCIA FISIOTERAPÊUTICA DO ESPAÇO CUIDAR</v>
      </c>
      <c r="K2348" s="25" t="str">
        <f t="shared" si="77"/>
        <v/>
      </c>
    </row>
    <row r="2349" spans="2:11" ht="15" customHeight="1">
      <c r="B2349" s="38">
        <v>14083</v>
      </c>
      <c r="C2349" s="22" t="str">
        <f>IFERROR(VLOOKUP(B2349,Colaboradores!A:D,2,),"")</f>
        <v>TAHYNAN FREITAS SILVA COSTA</v>
      </c>
      <c r="D2349" s="22" t="str">
        <f>IFERROR(VLOOKUP(B2349,Colaboradores!A:D,3,),"")</f>
        <v>SAÚDE OCUPACIONAL</v>
      </c>
      <c r="E2349" s="22" t="str">
        <f>IFERROR(VLOOKUP(B2349,Colaboradores!A:D,4,),"")</f>
        <v>TÉCNICO DE ENFERMAGEM DO TRABALHO</v>
      </c>
      <c r="F2349" s="47" t="s">
        <v>94</v>
      </c>
      <c r="G2349" s="24" t="str">
        <f>IFERROR(VLOOKUP(F2349,Procedimentos!A:C,2,),"")</f>
        <v>PROTOCOLO DE CONSENTIMENTO INFORMADO</v>
      </c>
      <c r="K2349" s="25" t="str">
        <f t="shared" si="77"/>
        <v/>
      </c>
    </row>
    <row r="2350" spans="2:11" ht="15" customHeight="1">
      <c r="B2350" s="38">
        <v>14083</v>
      </c>
      <c r="C2350" s="22" t="str">
        <f>IFERROR(VLOOKUP(B2350,Colaboradores!A:D,2,),"")</f>
        <v>TAHYNAN FREITAS SILVA COSTA</v>
      </c>
      <c r="D2350" s="22" t="str">
        <f>IFERROR(VLOOKUP(B2350,Colaboradores!A:D,3,),"")</f>
        <v>SAÚDE OCUPACIONAL</v>
      </c>
      <c r="E2350" s="22" t="str">
        <f>IFERROR(VLOOKUP(B2350,Colaboradores!A:D,4,),"")</f>
        <v>TÉCNICO DE ENFERMAGEM DO TRABALHO</v>
      </c>
      <c r="F2350" s="47" t="s">
        <v>95</v>
      </c>
      <c r="G2350" s="24" t="str">
        <f>IFERROR(VLOOKUP(F2350,Procedimentos!A:C,2,),"")</f>
        <v>PROTOCOLO DE NOTIFICAÇÃO COMPULSORIA - ESPAÇO CUIDAR/EMSERH</v>
      </c>
      <c r="K2350" s="25" t="str">
        <f t="shared" si="77"/>
        <v/>
      </c>
    </row>
    <row r="2351" spans="2:11" ht="15" customHeight="1">
      <c r="B2351" s="38">
        <v>14083</v>
      </c>
      <c r="C2351" s="22" t="str">
        <f>IFERROR(VLOOKUP(B2351,Colaboradores!A:D,2,),"")</f>
        <v>TAHYNAN FREITAS SILVA COSTA</v>
      </c>
      <c r="D2351" s="22" t="str">
        <f>IFERROR(VLOOKUP(B2351,Colaboradores!A:D,3,),"")</f>
        <v>SAÚDE OCUPACIONAL</v>
      </c>
      <c r="E2351" s="22" t="str">
        <f>IFERROR(VLOOKUP(B2351,Colaboradores!A:D,4,),"")</f>
        <v>TÉCNICO DE ENFERMAGEM DO TRABALHO</v>
      </c>
      <c r="F2351" s="47" t="s">
        <v>96</v>
      </c>
      <c r="G2351" s="24" t="str">
        <f>IFERROR(VLOOKUP(F2351,Procedimentos!A:C,2,),"")</f>
        <v>PROTOCOLO PARA HIGIENIZAÇÃO DAS MÃOS</v>
      </c>
      <c r="K2351" s="25" t="str">
        <f t="shared" si="77"/>
        <v/>
      </c>
    </row>
    <row r="2352" spans="2:11" ht="15" customHeight="1">
      <c r="B2352" s="38">
        <v>14083</v>
      </c>
      <c r="C2352" s="22" t="str">
        <f>IFERROR(VLOOKUP(B2352,Colaboradores!A:D,2,),"")</f>
        <v>TAHYNAN FREITAS SILVA COSTA</v>
      </c>
      <c r="D2352" s="22" t="str">
        <f>IFERROR(VLOOKUP(B2352,Colaboradores!A:D,3,),"")</f>
        <v>SAÚDE OCUPACIONAL</v>
      </c>
      <c r="E2352" s="22" t="str">
        <f>IFERROR(VLOOKUP(B2352,Colaboradores!A:D,4,),"")</f>
        <v>TÉCNICO DE ENFERMAGEM DO TRABALHO</v>
      </c>
      <c r="F2352" s="47" t="s">
        <v>97</v>
      </c>
      <c r="G2352" s="24" t="str">
        <f>IFERROR(VLOOKUP(F2352,Procedimentos!A:C,2,),"")</f>
        <v>PROTOCOLO DE PREVENÇÃO DE QUEDAS</v>
      </c>
      <c r="K2352" s="25" t="str">
        <f t="shared" si="77"/>
        <v/>
      </c>
    </row>
    <row r="2353" spans="2:11" ht="15" customHeight="1">
      <c r="B2353" s="38">
        <v>14083</v>
      </c>
      <c r="C2353" s="22" t="str">
        <f>IFERROR(VLOOKUP(B2353,Colaboradores!A:D,2,),"")</f>
        <v>TAHYNAN FREITAS SILVA COSTA</v>
      </c>
      <c r="D2353" s="22" t="str">
        <f>IFERROR(VLOOKUP(B2353,Colaboradores!A:D,3,),"")</f>
        <v>SAÚDE OCUPACIONAL</v>
      </c>
      <c r="E2353" s="22" t="str">
        <f>IFERROR(VLOOKUP(B2353,Colaboradores!A:D,4,),"")</f>
        <v>TÉCNICO DE ENFERMAGEM DO TRABALHO</v>
      </c>
      <c r="F2353" s="47" t="s">
        <v>98</v>
      </c>
      <c r="G2353" s="24" t="str">
        <f>IFERROR(VLOOKUP(F2353,Procedimentos!A:C,2,),"")</f>
        <v>PROTOCOLO INSTITUCIONAL DE CONDUTA ETICA NO ATENDIMENTO MULTIPROFISSIONAL NO ESPAÇO CUIDAR</v>
      </c>
      <c r="K2353" s="25" t="str">
        <f t="shared" si="77"/>
        <v/>
      </c>
    </row>
    <row r="2354" spans="2:11" ht="15" customHeight="1">
      <c r="B2354" s="38">
        <v>14083</v>
      </c>
      <c r="C2354" s="22" t="str">
        <f>IFERROR(VLOOKUP(B2354,Colaboradores!A:D,2,),"")</f>
        <v>TAHYNAN FREITAS SILVA COSTA</v>
      </c>
      <c r="D2354" s="22" t="str">
        <f>IFERROR(VLOOKUP(B2354,Colaboradores!A:D,3,),"")</f>
        <v>SAÚDE OCUPACIONAL</v>
      </c>
      <c r="E2354" s="22" t="str">
        <f>IFERROR(VLOOKUP(B2354,Colaboradores!A:D,4,),"")</f>
        <v>TÉCNICO DE ENFERMAGEM DO TRABALHO</v>
      </c>
      <c r="F2354" s="47" t="s">
        <v>99</v>
      </c>
      <c r="G2354" s="24" t="str">
        <f>IFERROR(VLOOKUP(F2354,Procedimentos!A:C,2,),"")</f>
        <v>PROTOCOLO PARA LIMPEZA DE ÁREAS E SUPERFÍCIES NO ESPAÇO CUIDAR</v>
      </c>
      <c r="K2354" s="25" t="str">
        <f t="shared" si="77"/>
        <v/>
      </c>
    </row>
    <row r="2355" spans="2:11" ht="15" customHeight="1">
      <c r="B2355" s="38">
        <v>14083</v>
      </c>
      <c r="C2355" s="22" t="str">
        <f>IFERROR(VLOOKUP(B2355,Colaboradores!A:D,2,),"")</f>
        <v>TAHYNAN FREITAS SILVA COSTA</v>
      </c>
      <c r="D2355" s="22" t="str">
        <f>IFERROR(VLOOKUP(B2355,Colaboradores!A:D,3,),"")</f>
        <v>SAÚDE OCUPACIONAL</v>
      </c>
      <c r="E2355" s="22" t="str">
        <f>IFERROR(VLOOKUP(B2355,Colaboradores!A:D,4,),"")</f>
        <v>TÉCNICO DE ENFERMAGEM DO TRABALHO</v>
      </c>
      <c r="F2355" s="47" t="s">
        <v>100</v>
      </c>
      <c r="G2355" s="24" t="str">
        <f>IFERROR(VLOOKUP(F2355,Procedimentos!A:C,2,),"")</f>
        <v>PROTOCOLO DE ATENDIMENTO PSIQUIATRICO NO ESPAÇO CUIDAR DA EMSERH</v>
      </c>
      <c r="K2355" s="25" t="str">
        <f t="shared" si="77"/>
        <v/>
      </c>
    </row>
    <row r="2356" spans="2:11" ht="15" customHeight="1">
      <c r="B2356" s="38">
        <v>14083</v>
      </c>
      <c r="C2356" s="22" t="str">
        <f>IFERROR(VLOOKUP(B2356,Colaboradores!A:D,2,),"")</f>
        <v>TAHYNAN FREITAS SILVA COSTA</v>
      </c>
      <c r="D2356" s="22" t="str">
        <f>IFERROR(VLOOKUP(B2356,Colaboradores!A:D,3,),"")</f>
        <v>SAÚDE OCUPACIONAL</v>
      </c>
      <c r="E2356" s="22" t="str">
        <f>IFERROR(VLOOKUP(B2356,Colaboradores!A:D,4,),"")</f>
        <v>TÉCNICO DE ENFERMAGEM DO TRABALHO</v>
      </c>
      <c r="F2356" s="47" t="s">
        <v>101</v>
      </c>
      <c r="G2356" s="24" t="str">
        <f>IFERROR(VLOOKUP(F2356,Procedimentos!A:C,2,),"")</f>
        <v>PROTOCOLO DE MANEJO DE SURTO</v>
      </c>
      <c r="K2356" s="25" t="str">
        <f t="shared" si="77"/>
        <v/>
      </c>
    </row>
    <row r="2357" spans="2:11" ht="15" customHeight="1">
      <c r="B2357" s="38">
        <v>14083</v>
      </c>
      <c r="C2357" s="22" t="str">
        <f>IFERROR(VLOOKUP(B2357,Colaboradores!A:D,2,),"")</f>
        <v>TAHYNAN FREITAS SILVA COSTA</v>
      </c>
      <c r="D2357" s="22" t="str">
        <f>IFERROR(VLOOKUP(B2357,Colaboradores!A:D,3,),"")</f>
        <v>SAÚDE OCUPACIONAL</v>
      </c>
      <c r="E2357" s="22" t="str">
        <f>IFERROR(VLOOKUP(B2357,Colaboradores!A:D,4,),"")</f>
        <v>TÉCNICO DE ENFERMAGEM DO TRABALHO</v>
      </c>
      <c r="F2357" s="47" t="s">
        <v>102</v>
      </c>
      <c r="G2357" s="24" t="str">
        <f>IFERROR(VLOOKUP(F2357,Procedimentos!A:C,2,),"")</f>
        <v>PROTOCOLO DE TRANSPORTE SEGURO NO ESPAÇO CUIDAR</v>
      </c>
      <c r="K2357" s="25" t="str">
        <f t="shared" si="77"/>
        <v/>
      </c>
    </row>
    <row r="2358" spans="2:11" ht="15" customHeight="1">
      <c r="B2358" s="38">
        <v>14083</v>
      </c>
      <c r="C2358" s="22" t="str">
        <f>IFERROR(VLOOKUP(B2358,Colaboradores!A:D,2,),"")</f>
        <v>TAHYNAN FREITAS SILVA COSTA</v>
      </c>
      <c r="D2358" s="22" t="str">
        <f>IFERROR(VLOOKUP(B2358,Colaboradores!A:D,3,),"")</f>
        <v>SAÚDE OCUPACIONAL</v>
      </c>
      <c r="E2358" s="22" t="str">
        <f>IFERROR(VLOOKUP(B2358,Colaboradores!A:D,4,),"")</f>
        <v>TÉCNICO DE ENFERMAGEM DO TRABALHO</v>
      </c>
      <c r="F2358" s="47" t="s">
        <v>103</v>
      </c>
      <c r="G2358" s="24" t="str">
        <f>IFERROR(VLOOKUP(F2358,Procedimentos!A:C,2,),"")</f>
        <v>PROTOCOLO DE ATENDIMENTO À PESSOA COM COMPORTAMENTO SUÍCIDA</v>
      </c>
      <c r="K2358" s="25" t="str">
        <f t="shared" si="77"/>
        <v/>
      </c>
    </row>
    <row r="2359" spans="2:11" ht="15" customHeight="1">
      <c r="B2359" s="38">
        <v>14083</v>
      </c>
      <c r="C2359" s="22" t="str">
        <f>IFERROR(VLOOKUP(B2359,Colaboradores!A:D,2,),"")</f>
        <v>TAHYNAN FREITAS SILVA COSTA</v>
      </c>
      <c r="D2359" s="22" t="str">
        <f>IFERROR(VLOOKUP(B2359,Colaboradores!A:D,3,),"")</f>
        <v>SAÚDE OCUPACIONAL</v>
      </c>
      <c r="E2359" s="22" t="str">
        <f>IFERROR(VLOOKUP(B2359,Colaboradores!A:D,4,),"")</f>
        <v>TÉCNICO DE ENFERMAGEM DO TRABALHO</v>
      </c>
      <c r="F2359" s="47" t="s">
        <v>104</v>
      </c>
      <c r="G2359" s="24" t="str">
        <f>IFERROR(VLOOKUP(F2359,Procedimentos!A:C,2,),"")</f>
        <v>PROTOCOLO DE BIOSSEGURANÇA</v>
      </c>
      <c r="K2359" s="25" t="str">
        <f t="shared" si="77"/>
        <v/>
      </c>
    </row>
    <row r="2360" spans="2:11" ht="15" customHeight="1">
      <c r="B2360" s="38">
        <v>14083</v>
      </c>
      <c r="C2360" s="22" t="str">
        <f>IFERROR(VLOOKUP(B2360,Colaboradores!A:D,2,),"")</f>
        <v>TAHYNAN FREITAS SILVA COSTA</v>
      </c>
      <c r="D2360" s="22" t="str">
        <f>IFERROR(VLOOKUP(B2360,Colaboradores!A:D,3,),"")</f>
        <v>SAÚDE OCUPACIONAL</v>
      </c>
      <c r="E2360" s="22" t="str">
        <f>IFERROR(VLOOKUP(B2360,Colaboradores!A:D,4,),"")</f>
        <v>TÉCNICO DE ENFERMAGEM DO TRABALHO</v>
      </c>
      <c r="F2360" s="47" t="s">
        <v>105</v>
      </c>
      <c r="G2360" s="24" t="str">
        <f>IFERROR(VLOOKUP(F2360,Procedimentos!A:C,2,),"")</f>
        <v>PROTOCOLO IDENTIFICAÇÃO E MANEJO DA EVOLUÇÃO DESFAVORÁVEL DO PACIENTE NO ESPAÇO CUIDAR</v>
      </c>
      <c r="K2360" s="25" t="str">
        <f t="shared" si="77"/>
        <v/>
      </c>
    </row>
    <row r="2361" spans="2:11" ht="15" customHeight="1">
      <c r="B2361" s="38">
        <v>14083</v>
      </c>
      <c r="C2361" s="22" t="str">
        <f>IFERROR(VLOOKUP(B2361,Colaboradores!A:D,2,),"")</f>
        <v>TAHYNAN FREITAS SILVA COSTA</v>
      </c>
      <c r="D2361" s="22" t="str">
        <f>IFERROR(VLOOKUP(B2361,Colaboradores!A:D,3,),"")</f>
        <v>SAÚDE OCUPACIONAL</v>
      </c>
      <c r="E2361" s="22" t="str">
        <f>IFERROR(VLOOKUP(B2361,Colaboradores!A:D,4,),"")</f>
        <v>TÉCNICO DE ENFERMAGEM DO TRABALHO</v>
      </c>
      <c r="F2361" s="47" t="s">
        <v>106</v>
      </c>
      <c r="G2361" s="24" t="str">
        <f>IFERROR(VLOOKUP(F2361,Procedimentos!A:C,2,),"")</f>
        <v>PROTOCOLO DE DETERIORAÇÃO CLÍNICA</v>
      </c>
      <c r="K2361" s="25" t="str">
        <f t="shared" si="77"/>
        <v/>
      </c>
    </row>
    <row r="2362" spans="2:11" ht="15" customHeight="1">
      <c r="B2362" s="38">
        <v>14083</v>
      </c>
      <c r="C2362" s="22" t="str">
        <f>IFERROR(VLOOKUP(B2362,Colaboradores!A:D,2,),"")</f>
        <v>TAHYNAN FREITAS SILVA COSTA</v>
      </c>
      <c r="D2362" s="22" t="str">
        <f>IFERROR(VLOOKUP(B2362,Colaboradores!A:D,3,),"")</f>
        <v>SAÚDE OCUPACIONAL</v>
      </c>
      <c r="E2362" s="22" t="str">
        <f>IFERROR(VLOOKUP(B2362,Colaboradores!A:D,4,),"")</f>
        <v>TÉCNICO DE ENFERMAGEM DO TRABALHO</v>
      </c>
      <c r="F2362" s="47" t="s">
        <v>107</v>
      </c>
      <c r="G2362" s="24" t="str">
        <f>IFERROR(VLOOKUP(F2362,Procedimentos!A:C,2,),"")</f>
        <v>PROTOCOLO DE COMUNICAÇÃO DE NOTÍCIAS DIFÍCEIS</v>
      </c>
      <c r="K2362" s="25" t="str">
        <f t="shared" si="77"/>
        <v/>
      </c>
    </row>
    <row r="2363" spans="2:11" ht="15" customHeight="1">
      <c r="B2363" s="38">
        <v>14083</v>
      </c>
      <c r="C2363" s="22" t="str">
        <f>IFERROR(VLOOKUP(B2363,Colaboradores!A:D,2,),"")</f>
        <v>TAHYNAN FREITAS SILVA COSTA</v>
      </c>
      <c r="D2363" s="22" t="str">
        <f>IFERROR(VLOOKUP(B2363,Colaboradores!A:D,3,),"")</f>
        <v>SAÚDE OCUPACIONAL</v>
      </c>
      <c r="E2363" s="22" t="str">
        <f>IFERROR(VLOOKUP(B2363,Colaboradores!A:D,4,),"")</f>
        <v>TÉCNICO DE ENFERMAGEM DO TRABALHO</v>
      </c>
      <c r="F2363" s="47" t="s">
        <v>108</v>
      </c>
      <c r="G2363" s="24" t="str">
        <f>IFERROR(VLOOKUP(F2363,Procedimentos!A:C,2,),"")</f>
        <v>PROTOCOLO PARA ATENDIMENTO DO (A) ASSISTENTE SOCIAL NO AMBULATÓRIO DO ESPAÇO CUIDAR</v>
      </c>
      <c r="K2363" s="25" t="str">
        <f t="shared" si="77"/>
        <v/>
      </c>
    </row>
    <row r="2364" spans="2:11" ht="15" customHeight="1">
      <c r="B2364" s="38">
        <v>14083</v>
      </c>
      <c r="C2364" s="22" t="str">
        <f>IFERROR(VLOOKUP(B2364,Colaboradores!A:D,2,),"")</f>
        <v>TAHYNAN FREITAS SILVA COSTA</v>
      </c>
      <c r="D2364" s="22" t="str">
        <f>IFERROR(VLOOKUP(B2364,Colaboradores!A:D,3,),"")</f>
        <v>SAÚDE OCUPACIONAL</v>
      </c>
      <c r="E2364" s="22" t="str">
        <f>IFERROR(VLOOKUP(B2364,Colaboradores!A:D,4,),"")</f>
        <v>TÉCNICO DE ENFERMAGEM DO TRABALHO</v>
      </c>
      <c r="F2364" s="47" t="s">
        <v>109</v>
      </c>
      <c r="G2364" s="24" t="str">
        <f>IFERROR(VLOOKUP(F2364,Procedimentos!A:C,2,),"")</f>
        <v>ROTOCOLO DE ASSISTÊNCIA NUTRICIONAL AMBULATÓRIAL PARA ADULTOS E IDOSOS COM SOBREPESO E OBESIDADE</v>
      </c>
      <c r="K2364" s="25" t="str">
        <f t="shared" si="77"/>
        <v/>
      </c>
    </row>
    <row r="2365" spans="2:11" ht="15" customHeight="1">
      <c r="B2365" s="38">
        <v>14083</v>
      </c>
      <c r="C2365" s="22" t="str">
        <f>IFERROR(VLOOKUP(B2365,Colaboradores!A:D,2,),"")</f>
        <v>TAHYNAN FREITAS SILVA COSTA</v>
      </c>
      <c r="D2365" s="22" t="str">
        <f>IFERROR(VLOOKUP(B2365,Colaboradores!A:D,3,),"")</f>
        <v>SAÚDE OCUPACIONAL</v>
      </c>
      <c r="E2365" s="22" t="str">
        <f>IFERROR(VLOOKUP(B2365,Colaboradores!A:D,4,),"")</f>
        <v>TÉCNICO DE ENFERMAGEM DO TRABALHO</v>
      </c>
      <c r="F2365" s="47" t="s">
        <v>110</v>
      </c>
      <c r="G2365" s="24" t="str">
        <f>IFERROR(VLOOKUP(F2365,Procedimentos!A:C,2,),"")</f>
        <v>PROTOCOLO DE AGENDAMENTO</v>
      </c>
      <c r="K2365" s="25" t="str">
        <f t="shared" si="77"/>
        <v/>
      </c>
    </row>
    <row r="2366" spans="2:11" ht="15" customHeight="1">
      <c r="B2366" s="38">
        <v>14083</v>
      </c>
      <c r="C2366" s="22" t="str">
        <f>IFERROR(VLOOKUP(B2366,Colaboradores!A:D,2,),"")</f>
        <v>TAHYNAN FREITAS SILVA COSTA</v>
      </c>
      <c r="D2366" s="22" t="str">
        <f>IFERROR(VLOOKUP(B2366,Colaboradores!A:D,3,),"")</f>
        <v>SAÚDE OCUPACIONAL</v>
      </c>
      <c r="E2366" s="22" t="str">
        <f>IFERROR(VLOOKUP(B2366,Colaboradores!A:D,4,),"")</f>
        <v>TÉCNICO DE ENFERMAGEM DO TRABALHO</v>
      </c>
      <c r="F2366" s="47" t="s">
        <v>111</v>
      </c>
      <c r="G2366" s="24" t="str">
        <f>IFERROR(VLOOKUP(F2366,Procedimentos!A:C,2,),"")</f>
        <v>PROTOCOLO DE IDENTIFICAÇÃO DE SINAIS SUSGETIVOS DE VIOLÊNCIA - ESPAÇO CUIDAR/ EMSERH</v>
      </c>
      <c r="K2366" s="25" t="str">
        <f t="shared" si="77"/>
        <v/>
      </c>
    </row>
    <row r="2367" spans="2:11" ht="15" customHeight="1">
      <c r="B2367" s="38">
        <v>14083</v>
      </c>
      <c r="C2367" s="22" t="str">
        <f>IFERROR(VLOOKUP(B2367,Colaboradores!A:D,2,),"")</f>
        <v>TAHYNAN FREITAS SILVA COSTA</v>
      </c>
      <c r="D2367" s="22" t="str">
        <f>IFERROR(VLOOKUP(B2367,Colaboradores!A:D,3,),"")</f>
        <v>SAÚDE OCUPACIONAL</v>
      </c>
      <c r="E2367" s="22" t="str">
        <f>IFERROR(VLOOKUP(B2367,Colaboradores!A:D,4,),"")</f>
        <v>TÉCNICO DE ENFERMAGEM DO TRABALHO</v>
      </c>
      <c r="F2367" s="47" t="s">
        <v>112</v>
      </c>
      <c r="G2367" s="24" t="str">
        <f>IFERROR(VLOOKUP(F2367,Procedimentos!A:C,2,),"")</f>
        <v>PROTOCOLO DE IDENTIFICAÇÃO SEGURA</v>
      </c>
      <c r="K2367" s="25" t="str">
        <f t="shared" si="77"/>
        <v/>
      </c>
    </row>
    <row r="2368" spans="2:11" ht="15" customHeight="1">
      <c r="B2368" s="38">
        <v>14083</v>
      </c>
      <c r="C2368" s="22" t="str">
        <f>IFERROR(VLOOKUP(B2368,Colaboradores!A:D,2,),"")</f>
        <v>TAHYNAN FREITAS SILVA COSTA</v>
      </c>
      <c r="D2368" s="22" t="str">
        <f>IFERROR(VLOOKUP(B2368,Colaboradores!A:D,3,),"")</f>
        <v>SAÚDE OCUPACIONAL</v>
      </c>
      <c r="E2368" s="22" t="str">
        <f>IFERROR(VLOOKUP(B2368,Colaboradores!A:D,4,),"")</f>
        <v>TÉCNICO DE ENFERMAGEM DO TRABALHO</v>
      </c>
      <c r="F2368" s="47" t="s">
        <v>113</v>
      </c>
      <c r="G2368" s="24" t="str">
        <f>IFERROR(VLOOKUP(F2368,Procedimentos!A:C,2,),"")</f>
        <v>PROTOCOLO DE NORMAS E ROTINAS PARA COMUNICAÇÃO DO ESTADO DE SAÚDE DO PACIENTE</v>
      </c>
      <c r="K2368" s="25" t="str">
        <f t="shared" si="77"/>
        <v/>
      </c>
    </row>
    <row r="2369" spans="2:11" ht="15" customHeight="1">
      <c r="B2369" s="38">
        <v>14083</v>
      </c>
      <c r="C2369" s="22" t="str">
        <f>IFERROR(VLOOKUP(B2369,Colaboradores!A:D,2,),"")</f>
        <v>TAHYNAN FREITAS SILVA COSTA</v>
      </c>
      <c r="D2369" s="22" t="str">
        <f>IFERROR(VLOOKUP(B2369,Colaboradores!A:D,3,),"")</f>
        <v>SAÚDE OCUPACIONAL</v>
      </c>
      <c r="E2369" s="22" t="str">
        <f>IFERROR(VLOOKUP(B2369,Colaboradores!A:D,4,),"")</f>
        <v>TÉCNICO DE ENFERMAGEM DO TRABALHO</v>
      </c>
      <c r="F2369" s="47" t="s">
        <v>114</v>
      </c>
      <c r="G2369" s="24" t="str">
        <f>IFERROR(VLOOKUP(F2369,Procedimentos!A:C,2,),"")</f>
        <v>PROTOCOLO DE COMUNICAÇÃO EFETIVA EM PRÁTICAS DE SAÚDE</v>
      </c>
      <c r="K2369" s="25" t="str">
        <f t="shared" si="77"/>
        <v/>
      </c>
    </row>
    <row r="2370" spans="2:11" ht="15" customHeight="1">
      <c r="B2370" s="38">
        <v>14083</v>
      </c>
      <c r="C2370" s="22" t="str">
        <f>IFERROR(VLOOKUP(B2370,Colaboradores!A:D,2,),"")</f>
        <v>TAHYNAN FREITAS SILVA COSTA</v>
      </c>
      <c r="D2370" s="22" t="str">
        <f>IFERROR(VLOOKUP(B2370,Colaboradores!A:D,3,),"")</f>
        <v>SAÚDE OCUPACIONAL</v>
      </c>
      <c r="E2370" s="22" t="str">
        <f>IFERROR(VLOOKUP(B2370,Colaboradores!A:D,4,),"")</f>
        <v>TÉCNICO DE ENFERMAGEM DO TRABALHO</v>
      </c>
      <c r="F2370" s="47" t="s">
        <v>115</v>
      </c>
      <c r="G2370" s="24" t="str">
        <f>IFERROR(VLOOKUP(F2370,Procedimentos!A:C,2,),"")</f>
        <v>PROTOCOLO DE NORMAS E ROTINAS DE ADMISSÃO, TRIAGEM E ALTA</v>
      </c>
      <c r="K2370" s="25" t="str">
        <f t="shared" si="77"/>
        <v/>
      </c>
    </row>
    <row r="2371" spans="2:11" ht="15" customHeight="1">
      <c r="B2371" s="38">
        <v>14083</v>
      </c>
      <c r="C2371" s="22" t="str">
        <f>IFERROR(VLOOKUP(B2371,Colaboradores!A:D,2,),"")</f>
        <v>TAHYNAN FREITAS SILVA COSTA</v>
      </c>
      <c r="D2371" s="22" t="str">
        <f>IFERROR(VLOOKUP(B2371,Colaboradores!A:D,3,),"")</f>
        <v>SAÚDE OCUPACIONAL</v>
      </c>
      <c r="E2371" s="22" t="str">
        <f>IFERROR(VLOOKUP(B2371,Colaboradores!A:D,4,),"")</f>
        <v>TÉCNICO DE ENFERMAGEM DO TRABALHO</v>
      </c>
      <c r="F2371" s="47" t="s">
        <v>116</v>
      </c>
      <c r="G2371" s="24" t="str">
        <f>IFERROR(VLOOKUP(F2371,Procedimentos!A:C,2,),"")</f>
        <v>PROTOCOLO DE SEGURANÇA NA PRESCRIÇÃO, USO E ADMINISTRAÇÃO DE MEDICAMENTOS ESPAÇO CUIDAR</v>
      </c>
      <c r="K2371" s="25" t="str">
        <f t="shared" ref="K2371:K2434" si="78">IF(AND(I2371&lt;&gt;"",J2371&lt;&gt;""),DATE(YEAR(I2371),MONTH(I2371)+J2371,DAY(I2371)),"")</f>
        <v/>
      </c>
    </row>
    <row r="2372" spans="2:11" ht="15" customHeight="1">
      <c r="B2372" s="38">
        <v>14083</v>
      </c>
      <c r="C2372" s="22" t="str">
        <f>IFERROR(VLOOKUP(B2372,Colaboradores!A:D,2,),"")</f>
        <v>TAHYNAN FREITAS SILVA COSTA</v>
      </c>
      <c r="D2372" s="22" t="str">
        <f>IFERROR(VLOOKUP(B2372,Colaboradores!A:D,3,),"")</f>
        <v>SAÚDE OCUPACIONAL</v>
      </c>
      <c r="E2372" s="22" t="str">
        <f>IFERROR(VLOOKUP(B2372,Colaboradores!A:D,4,),"")</f>
        <v>TÉCNICO DE ENFERMAGEM DO TRABALHO</v>
      </c>
      <c r="F2372" s="47" t="s">
        <v>117</v>
      </c>
      <c r="G2372" s="24" t="str">
        <f>IFERROR(VLOOKUP(F2372,Procedimentos!A:C,2,),"")</f>
        <v>NORMA E ROTINA DA TRANSIÇÃO DE CUIDADOS</v>
      </c>
      <c r="K2372" s="25" t="str">
        <f t="shared" si="78"/>
        <v/>
      </c>
    </row>
    <row r="2373" spans="2:11" ht="15" customHeight="1">
      <c r="B2373" s="38">
        <v>14083</v>
      </c>
      <c r="C2373" s="22" t="str">
        <f>IFERROR(VLOOKUP(B2373,Colaboradores!A:D,2,),"")</f>
        <v>TAHYNAN FREITAS SILVA COSTA</v>
      </c>
      <c r="D2373" s="22" t="str">
        <f>IFERROR(VLOOKUP(B2373,Colaboradores!A:D,3,),"")</f>
        <v>SAÚDE OCUPACIONAL</v>
      </c>
      <c r="E2373" s="22" t="str">
        <f>IFERROR(VLOOKUP(B2373,Colaboradores!A:D,4,),"")</f>
        <v>TÉCNICO DE ENFERMAGEM DO TRABALHO</v>
      </c>
      <c r="F2373" s="47" t="s">
        <v>118</v>
      </c>
      <c r="G2373" s="24" t="str">
        <f>IFERROR(VLOOKUP(F2373,Procedimentos!A:C,2,),"")</f>
        <v>PROTOCOLO DE ASSISTÊNCIA FISIOTERAPÊUTICA DO ESPAÇO CUIDAR</v>
      </c>
      <c r="K2373" s="25" t="str">
        <f t="shared" si="78"/>
        <v/>
      </c>
    </row>
    <row r="2374" spans="2:11" ht="15" customHeight="1">
      <c r="B2374" s="38">
        <v>13100</v>
      </c>
      <c r="C2374" s="22" t="str">
        <f>IFERROR(VLOOKUP(B2374,Colaboradores!A:D,2,),"")</f>
        <v>TAYNAH SOARES DE SOUZA CAMARAO</v>
      </c>
      <c r="D2374" s="22" t="str">
        <f>IFERROR(VLOOKUP(B2374,Colaboradores!A:D,3,),"")</f>
        <v>SAÚDE OCUPACIONAL</v>
      </c>
      <c r="E2374" s="22" t="str">
        <f>IFERROR(VLOOKUP(B2374,Colaboradores!A:D,4,),"")</f>
        <v>MÉDICA</v>
      </c>
      <c r="F2374" s="47" t="s">
        <v>94</v>
      </c>
      <c r="G2374" s="24" t="str">
        <f>IFERROR(VLOOKUP(F2374,Procedimentos!A:C,2,),"")</f>
        <v>PROTOCOLO DE CONSENTIMENTO INFORMADO</v>
      </c>
      <c r="K2374" s="25" t="str">
        <f t="shared" si="78"/>
        <v/>
      </c>
    </row>
    <row r="2375" spans="2:11" ht="15" customHeight="1">
      <c r="B2375" s="38">
        <v>13100</v>
      </c>
      <c r="C2375" s="22" t="str">
        <f>IFERROR(VLOOKUP(B2375,Colaboradores!A:D,2,),"")</f>
        <v>TAYNAH SOARES DE SOUZA CAMARAO</v>
      </c>
      <c r="D2375" s="22" t="str">
        <f>IFERROR(VLOOKUP(B2375,Colaboradores!A:D,3,),"")</f>
        <v>SAÚDE OCUPACIONAL</v>
      </c>
      <c r="E2375" s="22" t="str">
        <f>IFERROR(VLOOKUP(B2375,Colaboradores!A:D,4,),"")</f>
        <v>MÉDICA</v>
      </c>
      <c r="F2375" s="47" t="s">
        <v>95</v>
      </c>
      <c r="G2375" s="24" t="str">
        <f>IFERROR(VLOOKUP(F2375,Procedimentos!A:C,2,),"")</f>
        <v>PROTOCOLO DE NOTIFICAÇÃO COMPULSORIA - ESPAÇO CUIDAR/EMSERH</v>
      </c>
      <c r="K2375" s="25" t="str">
        <f t="shared" si="78"/>
        <v/>
      </c>
    </row>
    <row r="2376" spans="2:11" ht="15" customHeight="1">
      <c r="B2376" s="38">
        <v>13100</v>
      </c>
      <c r="C2376" s="22" t="str">
        <f>IFERROR(VLOOKUP(B2376,Colaboradores!A:D,2,),"")</f>
        <v>TAYNAH SOARES DE SOUZA CAMARAO</v>
      </c>
      <c r="D2376" s="22" t="str">
        <f>IFERROR(VLOOKUP(B2376,Colaboradores!A:D,3,),"")</f>
        <v>SAÚDE OCUPACIONAL</v>
      </c>
      <c r="E2376" s="22" t="str">
        <f>IFERROR(VLOOKUP(B2376,Colaboradores!A:D,4,),"")</f>
        <v>MÉDICA</v>
      </c>
      <c r="F2376" s="47" t="s">
        <v>96</v>
      </c>
      <c r="G2376" s="24" t="str">
        <f>IFERROR(VLOOKUP(F2376,Procedimentos!A:C,2,),"")</f>
        <v>PROTOCOLO PARA HIGIENIZAÇÃO DAS MÃOS</v>
      </c>
      <c r="K2376" s="25" t="str">
        <f t="shared" si="78"/>
        <v/>
      </c>
    </row>
    <row r="2377" spans="2:11" ht="15" customHeight="1">
      <c r="B2377" s="38">
        <v>13100</v>
      </c>
      <c r="C2377" s="22" t="str">
        <f>IFERROR(VLOOKUP(B2377,Colaboradores!A:D,2,),"")</f>
        <v>TAYNAH SOARES DE SOUZA CAMARAO</v>
      </c>
      <c r="D2377" s="22" t="str">
        <f>IFERROR(VLOOKUP(B2377,Colaboradores!A:D,3,),"")</f>
        <v>SAÚDE OCUPACIONAL</v>
      </c>
      <c r="E2377" s="22" t="str">
        <f>IFERROR(VLOOKUP(B2377,Colaboradores!A:D,4,),"")</f>
        <v>MÉDICA</v>
      </c>
      <c r="F2377" s="47" t="s">
        <v>97</v>
      </c>
      <c r="G2377" s="24" t="str">
        <f>IFERROR(VLOOKUP(F2377,Procedimentos!A:C,2,),"")</f>
        <v>PROTOCOLO DE PREVENÇÃO DE QUEDAS</v>
      </c>
      <c r="K2377" s="25" t="str">
        <f t="shared" si="78"/>
        <v/>
      </c>
    </row>
    <row r="2378" spans="2:11" ht="15" customHeight="1">
      <c r="B2378" s="38">
        <v>13100</v>
      </c>
      <c r="C2378" s="22" t="str">
        <f>IFERROR(VLOOKUP(B2378,Colaboradores!A:D,2,),"")</f>
        <v>TAYNAH SOARES DE SOUZA CAMARAO</v>
      </c>
      <c r="D2378" s="22" t="str">
        <f>IFERROR(VLOOKUP(B2378,Colaboradores!A:D,3,),"")</f>
        <v>SAÚDE OCUPACIONAL</v>
      </c>
      <c r="E2378" s="22" t="str">
        <f>IFERROR(VLOOKUP(B2378,Colaboradores!A:D,4,),"")</f>
        <v>MÉDICA</v>
      </c>
      <c r="F2378" s="47" t="s">
        <v>98</v>
      </c>
      <c r="G2378" s="24" t="str">
        <f>IFERROR(VLOOKUP(F2378,Procedimentos!A:C,2,),"")</f>
        <v>PROTOCOLO INSTITUCIONAL DE CONDUTA ETICA NO ATENDIMENTO MULTIPROFISSIONAL NO ESPAÇO CUIDAR</v>
      </c>
      <c r="K2378" s="25" t="str">
        <f t="shared" si="78"/>
        <v/>
      </c>
    </row>
    <row r="2379" spans="2:11" ht="15" customHeight="1">
      <c r="B2379" s="38">
        <v>13100</v>
      </c>
      <c r="C2379" s="22" t="str">
        <f>IFERROR(VLOOKUP(B2379,Colaboradores!A:D,2,),"")</f>
        <v>TAYNAH SOARES DE SOUZA CAMARAO</v>
      </c>
      <c r="D2379" s="22" t="str">
        <f>IFERROR(VLOOKUP(B2379,Colaboradores!A:D,3,),"")</f>
        <v>SAÚDE OCUPACIONAL</v>
      </c>
      <c r="E2379" s="22" t="str">
        <f>IFERROR(VLOOKUP(B2379,Colaboradores!A:D,4,),"")</f>
        <v>MÉDICA</v>
      </c>
      <c r="F2379" s="47" t="s">
        <v>99</v>
      </c>
      <c r="G2379" s="24" t="str">
        <f>IFERROR(VLOOKUP(F2379,Procedimentos!A:C,2,),"")</f>
        <v>PROTOCOLO PARA LIMPEZA DE ÁREAS E SUPERFÍCIES NO ESPAÇO CUIDAR</v>
      </c>
      <c r="K2379" s="25" t="str">
        <f t="shared" si="78"/>
        <v/>
      </c>
    </row>
    <row r="2380" spans="2:11" ht="15" customHeight="1">
      <c r="B2380" s="38">
        <v>13100</v>
      </c>
      <c r="C2380" s="22" t="str">
        <f>IFERROR(VLOOKUP(B2380,Colaboradores!A:D,2,),"")</f>
        <v>TAYNAH SOARES DE SOUZA CAMARAO</v>
      </c>
      <c r="D2380" s="22" t="str">
        <f>IFERROR(VLOOKUP(B2380,Colaboradores!A:D,3,),"")</f>
        <v>SAÚDE OCUPACIONAL</v>
      </c>
      <c r="E2380" s="22" t="str">
        <f>IFERROR(VLOOKUP(B2380,Colaboradores!A:D,4,),"")</f>
        <v>MÉDICA</v>
      </c>
      <c r="F2380" s="47" t="s">
        <v>100</v>
      </c>
      <c r="G2380" s="24" t="str">
        <f>IFERROR(VLOOKUP(F2380,Procedimentos!A:C,2,),"")</f>
        <v>PROTOCOLO DE ATENDIMENTO PSIQUIATRICO NO ESPAÇO CUIDAR DA EMSERH</v>
      </c>
      <c r="K2380" s="25" t="str">
        <f t="shared" si="78"/>
        <v/>
      </c>
    </row>
    <row r="2381" spans="2:11" ht="15" customHeight="1">
      <c r="B2381" s="38">
        <v>13100</v>
      </c>
      <c r="C2381" s="22" t="str">
        <f>IFERROR(VLOOKUP(B2381,Colaboradores!A:D,2,),"")</f>
        <v>TAYNAH SOARES DE SOUZA CAMARAO</v>
      </c>
      <c r="D2381" s="22" t="str">
        <f>IFERROR(VLOOKUP(B2381,Colaboradores!A:D,3,),"")</f>
        <v>SAÚDE OCUPACIONAL</v>
      </c>
      <c r="E2381" s="22" t="str">
        <f>IFERROR(VLOOKUP(B2381,Colaboradores!A:D,4,),"")</f>
        <v>MÉDICA</v>
      </c>
      <c r="F2381" s="47" t="s">
        <v>101</v>
      </c>
      <c r="G2381" s="24" t="str">
        <f>IFERROR(VLOOKUP(F2381,Procedimentos!A:C,2,),"")</f>
        <v>PROTOCOLO DE MANEJO DE SURTO</v>
      </c>
      <c r="K2381" s="25" t="str">
        <f t="shared" si="78"/>
        <v/>
      </c>
    </row>
    <row r="2382" spans="2:11" ht="15" customHeight="1">
      <c r="B2382" s="38">
        <v>13100</v>
      </c>
      <c r="C2382" s="22" t="str">
        <f>IFERROR(VLOOKUP(B2382,Colaboradores!A:D,2,),"")</f>
        <v>TAYNAH SOARES DE SOUZA CAMARAO</v>
      </c>
      <c r="D2382" s="22" t="str">
        <f>IFERROR(VLOOKUP(B2382,Colaboradores!A:D,3,),"")</f>
        <v>SAÚDE OCUPACIONAL</v>
      </c>
      <c r="E2382" s="22" t="str">
        <f>IFERROR(VLOOKUP(B2382,Colaboradores!A:D,4,),"")</f>
        <v>MÉDICA</v>
      </c>
      <c r="F2382" s="47" t="s">
        <v>102</v>
      </c>
      <c r="G2382" s="24" t="str">
        <f>IFERROR(VLOOKUP(F2382,Procedimentos!A:C,2,),"")</f>
        <v>PROTOCOLO DE TRANSPORTE SEGURO NO ESPAÇO CUIDAR</v>
      </c>
      <c r="K2382" s="25" t="str">
        <f t="shared" si="78"/>
        <v/>
      </c>
    </row>
    <row r="2383" spans="2:11" ht="15" customHeight="1">
      <c r="B2383" s="38">
        <v>13100</v>
      </c>
      <c r="C2383" s="22" t="str">
        <f>IFERROR(VLOOKUP(B2383,Colaboradores!A:D,2,),"")</f>
        <v>TAYNAH SOARES DE SOUZA CAMARAO</v>
      </c>
      <c r="D2383" s="22" t="str">
        <f>IFERROR(VLOOKUP(B2383,Colaboradores!A:D,3,),"")</f>
        <v>SAÚDE OCUPACIONAL</v>
      </c>
      <c r="E2383" s="22" t="str">
        <f>IFERROR(VLOOKUP(B2383,Colaboradores!A:D,4,),"")</f>
        <v>MÉDICA</v>
      </c>
      <c r="F2383" s="47" t="s">
        <v>103</v>
      </c>
      <c r="G2383" s="24" t="str">
        <f>IFERROR(VLOOKUP(F2383,Procedimentos!A:C,2,),"")</f>
        <v>PROTOCOLO DE ATENDIMENTO À PESSOA COM COMPORTAMENTO SUÍCIDA</v>
      </c>
      <c r="K2383" s="25" t="str">
        <f t="shared" si="78"/>
        <v/>
      </c>
    </row>
    <row r="2384" spans="2:11" ht="15" customHeight="1">
      <c r="B2384" s="38">
        <v>13100</v>
      </c>
      <c r="C2384" s="22" t="str">
        <f>IFERROR(VLOOKUP(B2384,Colaboradores!A:D,2,),"")</f>
        <v>TAYNAH SOARES DE SOUZA CAMARAO</v>
      </c>
      <c r="D2384" s="22" t="str">
        <f>IFERROR(VLOOKUP(B2384,Colaboradores!A:D,3,),"")</f>
        <v>SAÚDE OCUPACIONAL</v>
      </c>
      <c r="E2384" s="22" t="str">
        <f>IFERROR(VLOOKUP(B2384,Colaboradores!A:D,4,),"")</f>
        <v>MÉDICA</v>
      </c>
      <c r="F2384" s="47" t="s">
        <v>104</v>
      </c>
      <c r="G2384" s="24" t="str">
        <f>IFERROR(VLOOKUP(F2384,Procedimentos!A:C,2,),"")</f>
        <v>PROTOCOLO DE BIOSSEGURANÇA</v>
      </c>
      <c r="K2384" s="25" t="str">
        <f t="shared" si="78"/>
        <v/>
      </c>
    </row>
    <row r="2385" spans="2:11" ht="15" customHeight="1">
      <c r="B2385" s="38">
        <v>13100</v>
      </c>
      <c r="C2385" s="22" t="str">
        <f>IFERROR(VLOOKUP(B2385,Colaboradores!A:D,2,),"")</f>
        <v>TAYNAH SOARES DE SOUZA CAMARAO</v>
      </c>
      <c r="D2385" s="22" t="str">
        <f>IFERROR(VLOOKUP(B2385,Colaboradores!A:D,3,),"")</f>
        <v>SAÚDE OCUPACIONAL</v>
      </c>
      <c r="E2385" s="22" t="str">
        <f>IFERROR(VLOOKUP(B2385,Colaboradores!A:D,4,),"")</f>
        <v>MÉDICA</v>
      </c>
      <c r="F2385" s="47" t="s">
        <v>105</v>
      </c>
      <c r="G2385" s="24" t="str">
        <f>IFERROR(VLOOKUP(F2385,Procedimentos!A:C,2,),"")</f>
        <v>PROTOCOLO IDENTIFICAÇÃO E MANEJO DA EVOLUÇÃO DESFAVORÁVEL DO PACIENTE NO ESPAÇO CUIDAR</v>
      </c>
      <c r="K2385" s="25" t="str">
        <f t="shared" si="78"/>
        <v/>
      </c>
    </row>
    <row r="2386" spans="2:11" ht="15" customHeight="1">
      <c r="B2386" s="38">
        <v>13100</v>
      </c>
      <c r="C2386" s="22" t="str">
        <f>IFERROR(VLOOKUP(B2386,Colaboradores!A:D,2,),"")</f>
        <v>TAYNAH SOARES DE SOUZA CAMARAO</v>
      </c>
      <c r="D2386" s="22" t="str">
        <f>IFERROR(VLOOKUP(B2386,Colaboradores!A:D,3,),"")</f>
        <v>SAÚDE OCUPACIONAL</v>
      </c>
      <c r="E2386" s="22" t="str">
        <f>IFERROR(VLOOKUP(B2386,Colaboradores!A:D,4,),"")</f>
        <v>MÉDICA</v>
      </c>
      <c r="F2386" s="47" t="s">
        <v>106</v>
      </c>
      <c r="G2386" s="24" t="str">
        <f>IFERROR(VLOOKUP(F2386,Procedimentos!A:C,2,),"")</f>
        <v>PROTOCOLO DE DETERIORAÇÃO CLÍNICA</v>
      </c>
      <c r="K2386" s="25" t="str">
        <f t="shared" si="78"/>
        <v/>
      </c>
    </row>
    <row r="2387" spans="2:11" ht="15" customHeight="1">
      <c r="B2387" s="38">
        <v>13100</v>
      </c>
      <c r="C2387" s="22" t="str">
        <f>IFERROR(VLOOKUP(B2387,Colaboradores!A:D,2,),"")</f>
        <v>TAYNAH SOARES DE SOUZA CAMARAO</v>
      </c>
      <c r="D2387" s="22" t="str">
        <f>IFERROR(VLOOKUP(B2387,Colaboradores!A:D,3,),"")</f>
        <v>SAÚDE OCUPACIONAL</v>
      </c>
      <c r="E2387" s="22" t="str">
        <f>IFERROR(VLOOKUP(B2387,Colaboradores!A:D,4,),"")</f>
        <v>MÉDICA</v>
      </c>
      <c r="F2387" s="47" t="s">
        <v>107</v>
      </c>
      <c r="G2387" s="24" t="str">
        <f>IFERROR(VLOOKUP(F2387,Procedimentos!A:C,2,),"")</f>
        <v>PROTOCOLO DE COMUNICAÇÃO DE NOTÍCIAS DIFÍCEIS</v>
      </c>
      <c r="K2387" s="25" t="str">
        <f t="shared" si="78"/>
        <v/>
      </c>
    </row>
    <row r="2388" spans="2:11" ht="15" customHeight="1">
      <c r="B2388" s="38">
        <v>13100</v>
      </c>
      <c r="C2388" s="22" t="str">
        <f>IFERROR(VLOOKUP(B2388,Colaboradores!A:D,2,),"")</f>
        <v>TAYNAH SOARES DE SOUZA CAMARAO</v>
      </c>
      <c r="D2388" s="22" t="str">
        <f>IFERROR(VLOOKUP(B2388,Colaboradores!A:D,3,),"")</f>
        <v>SAÚDE OCUPACIONAL</v>
      </c>
      <c r="E2388" s="22" t="str">
        <f>IFERROR(VLOOKUP(B2388,Colaboradores!A:D,4,),"")</f>
        <v>MÉDICA</v>
      </c>
      <c r="F2388" s="47" t="s">
        <v>108</v>
      </c>
      <c r="G2388" s="24" t="str">
        <f>IFERROR(VLOOKUP(F2388,Procedimentos!A:C,2,),"")</f>
        <v>PROTOCOLO PARA ATENDIMENTO DO (A) ASSISTENTE SOCIAL NO AMBULATÓRIO DO ESPAÇO CUIDAR</v>
      </c>
      <c r="K2388" s="25" t="str">
        <f t="shared" si="78"/>
        <v/>
      </c>
    </row>
    <row r="2389" spans="2:11" ht="15" customHeight="1">
      <c r="B2389" s="38">
        <v>13100</v>
      </c>
      <c r="C2389" s="22" t="str">
        <f>IFERROR(VLOOKUP(B2389,Colaboradores!A:D,2,),"")</f>
        <v>TAYNAH SOARES DE SOUZA CAMARAO</v>
      </c>
      <c r="D2389" s="22" t="str">
        <f>IFERROR(VLOOKUP(B2389,Colaboradores!A:D,3,),"")</f>
        <v>SAÚDE OCUPACIONAL</v>
      </c>
      <c r="E2389" s="22" t="str">
        <f>IFERROR(VLOOKUP(B2389,Colaboradores!A:D,4,),"")</f>
        <v>MÉDICA</v>
      </c>
      <c r="F2389" s="47" t="s">
        <v>109</v>
      </c>
      <c r="G2389" s="24" t="str">
        <f>IFERROR(VLOOKUP(F2389,Procedimentos!A:C,2,),"")</f>
        <v>ROTOCOLO DE ASSISTÊNCIA NUTRICIONAL AMBULATÓRIAL PARA ADULTOS E IDOSOS COM SOBREPESO E OBESIDADE</v>
      </c>
      <c r="K2389" s="25" t="str">
        <f t="shared" si="78"/>
        <v/>
      </c>
    </row>
    <row r="2390" spans="2:11" ht="15" customHeight="1">
      <c r="B2390" s="38">
        <v>13100</v>
      </c>
      <c r="C2390" s="22" t="str">
        <f>IFERROR(VLOOKUP(B2390,Colaboradores!A:D,2,),"")</f>
        <v>TAYNAH SOARES DE SOUZA CAMARAO</v>
      </c>
      <c r="D2390" s="22" t="str">
        <f>IFERROR(VLOOKUP(B2390,Colaboradores!A:D,3,),"")</f>
        <v>SAÚDE OCUPACIONAL</v>
      </c>
      <c r="E2390" s="22" t="str">
        <f>IFERROR(VLOOKUP(B2390,Colaboradores!A:D,4,),"")</f>
        <v>MÉDICA</v>
      </c>
      <c r="F2390" s="47" t="s">
        <v>110</v>
      </c>
      <c r="G2390" s="24" t="str">
        <f>IFERROR(VLOOKUP(F2390,Procedimentos!A:C,2,),"")</f>
        <v>PROTOCOLO DE AGENDAMENTO</v>
      </c>
      <c r="K2390" s="25" t="str">
        <f t="shared" si="78"/>
        <v/>
      </c>
    </row>
    <row r="2391" spans="2:11" ht="15" customHeight="1">
      <c r="B2391" s="38">
        <v>13100</v>
      </c>
      <c r="C2391" s="22" t="str">
        <f>IFERROR(VLOOKUP(B2391,Colaboradores!A:D,2,),"")</f>
        <v>TAYNAH SOARES DE SOUZA CAMARAO</v>
      </c>
      <c r="D2391" s="22" t="str">
        <f>IFERROR(VLOOKUP(B2391,Colaboradores!A:D,3,),"")</f>
        <v>SAÚDE OCUPACIONAL</v>
      </c>
      <c r="E2391" s="22" t="str">
        <f>IFERROR(VLOOKUP(B2391,Colaboradores!A:D,4,),"")</f>
        <v>MÉDICA</v>
      </c>
      <c r="F2391" s="47" t="s">
        <v>111</v>
      </c>
      <c r="G2391" s="24" t="str">
        <f>IFERROR(VLOOKUP(F2391,Procedimentos!A:C,2,),"")</f>
        <v>PROTOCOLO DE IDENTIFICAÇÃO DE SINAIS SUSGETIVOS DE VIOLÊNCIA - ESPAÇO CUIDAR/ EMSERH</v>
      </c>
      <c r="K2391" s="25" t="str">
        <f t="shared" si="78"/>
        <v/>
      </c>
    </row>
    <row r="2392" spans="2:11" ht="15" customHeight="1">
      <c r="B2392" s="38">
        <v>13100</v>
      </c>
      <c r="C2392" s="22" t="str">
        <f>IFERROR(VLOOKUP(B2392,Colaboradores!A:D,2,),"")</f>
        <v>TAYNAH SOARES DE SOUZA CAMARAO</v>
      </c>
      <c r="D2392" s="22" t="str">
        <f>IFERROR(VLOOKUP(B2392,Colaboradores!A:D,3,),"")</f>
        <v>SAÚDE OCUPACIONAL</v>
      </c>
      <c r="E2392" s="22" t="str">
        <f>IFERROR(VLOOKUP(B2392,Colaboradores!A:D,4,),"")</f>
        <v>MÉDICA</v>
      </c>
      <c r="F2392" s="47" t="s">
        <v>112</v>
      </c>
      <c r="G2392" s="24" t="str">
        <f>IFERROR(VLOOKUP(F2392,Procedimentos!A:C,2,),"")</f>
        <v>PROTOCOLO DE IDENTIFICAÇÃO SEGURA</v>
      </c>
      <c r="K2392" s="25" t="str">
        <f t="shared" si="78"/>
        <v/>
      </c>
    </row>
    <row r="2393" spans="2:11" ht="15" customHeight="1">
      <c r="B2393" s="38">
        <v>13100</v>
      </c>
      <c r="C2393" s="22" t="str">
        <f>IFERROR(VLOOKUP(B2393,Colaboradores!A:D,2,),"")</f>
        <v>TAYNAH SOARES DE SOUZA CAMARAO</v>
      </c>
      <c r="D2393" s="22" t="str">
        <f>IFERROR(VLOOKUP(B2393,Colaboradores!A:D,3,),"")</f>
        <v>SAÚDE OCUPACIONAL</v>
      </c>
      <c r="E2393" s="22" t="str">
        <f>IFERROR(VLOOKUP(B2393,Colaboradores!A:D,4,),"")</f>
        <v>MÉDICA</v>
      </c>
      <c r="F2393" s="47" t="s">
        <v>113</v>
      </c>
      <c r="G2393" s="24" t="str">
        <f>IFERROR(VLOOKUP(F2393,Procedimentos!A:C,2,),"")</f>
        <v>PROTOCOLO DE NORMAS E ROTINAS PARA COMUNICAÇÃO DO ESTADO DE SAÚDE DO PACIENTE</v>
      </c>
      <c r="K2393" s="25" t="str">
        <f t="shared" si="78"/>
        <v/>
      </c>
    </row>
    <row r="2394" spans="2:11" ht="15" customHeight="1">
      <c r="B2394" s="38">
        <v>13100</v>
      </c>
      <c r="C2394" s="22" t="str">
        <f>IFERROR(VLOOKUP(B2394,Colaboradores!A:D,2,),"")</f>
        <v>TAYNAH SOARES DE SOUZA CAMARAO</v>
      </c>
      <c r="D2394" s="22" t="str">
        <f>IFERROR(VLOOKUP(B2394,Colaboradores!A:D,3,),"")</f>
        <v>SAÚDE OCUPACIONAL</v>
      </c>
      <c r="E2394" s="22" t="str">
        <f>IFERROR(VLOOKUP(B2394,Colaboradores!A:D,4,),"")</f>
        <v>MÉDICA</v>
      </c>
      <c r="F2394" s="47" t="s">
        <v>114</v>
      </c>
      <c r="G2394" s="24" t="str">
        <f>IFERROR(VLOOKUP(F2394,Procedimentos!A:C,2,),"")</f>
        <v>PROTOCOLO DE COMUNICAÇÃO EFETIVA EM PRÁTICAS DE SAÚDE</v>
      </c>
      <c r="K2394" s="25" t="str">
        <f t="shared" si="78"/>
        <v/>
      </c>
    </row>
    <row r="2395" spans="2:11" ht="15" customHeight="1">
      <c r="B2395" s="38">
        <v>13100</v>
      </c>
      <c r="C2395" s="22" t="str">
        <f>IFERROR(VLOOKUP(B2395,Colaboradores!A:D,2,),"")</f>
        <v>TAYNAH SOARES DE SOUZA CAMARAO</v>
      </c>
      <c r="D2395" s="22" t="str">
        <f>IFERROR(VLOOKUP(B2395,Colaboradores!A:D,3,),"")</f>
        <v>SAÚDE OCUPACIONAL</v>
      </c>
      <c r="E2395" s="22" t="str">
        <f>IFERROR(VLOOKUP(B2395,Colaboradores!A:D,4,),"")</f>
        <v>MÉDICA</v>
      </c>
      <c r="F2395" s="47" t="s">
        <v>115</v>
      </c>
      <c r="G2395" s="24" t="str">
        <f>IFERROR(VLOOKUP(F2395,Procedimentos!A:C,2,),"")</f>
        <v>PROTOCOLO DE NORMAS E ROTINAS DE ADMISSÃO, TRIAGEM E ALTA</v>
      </c>
      <c r="K2395" s="25" t="str">
        <f t="shared" si="78"/>
        <v/>
      </c>
    </row>
    <row r="2396" spans="2:11" ht="15" customHeight="1">
      <c r="B2396" s="38">
        <v>13100</v>
      </c>
      <c r="C2396" s="22" t="str">
        <f>IFERROR(VLOOKUP(B2396,Colaboradores!A:D,2,),"")</f>
        <v>TAYNAH SOARES DE SOUZA CAMARAO</v>
      </c>
      <c r="D2396" s="22" t="str">
        <f>IFERROR(VLOOKUP(B2396,Colaboradores!A:D,3,),"")</f>
        <v>SAÚDE OCUPACIONAL</v>
      </c>
      <c r="E2396" s="22" t="str">
        <f>IFERROR(VLOOKUP(B2396,Colaboradores!A:D,4,),"")</f>
        <v>MÉDICA</v>
      </c>
      <c r="F2396" s="47" t="s">
        <v>116</v>
      </c>
      <c r="G2396" s="24" t="str">
        <f>IFERROR(VLOOKUP(F2396,Procedimentos!A:C,2,),"")</f>
        <v>PROTOCOLO DE SEGURANÇA NA PRESCRIÇÃO, USO E ADMINISTRAÇÃO DE MEDICAMENTOS ESPAÇO CUIDAR</v>
      </c>
      <c r="K2396" s="25" t="str">
        <f t="shared" si="78"/>
        <v/>
      </c>
    </row>
    <row r="2397" spans="2:11" ht="15" customHeight="1">
      <c r="B2397" s="38">
        <v>13100</v>
      </c>
      <c r="C2397" s="22" t="str">
        <f>IFERROR(VLOOKUP(B2397,Colaboradores!A:D,2,),"")</f>
        <v>TAYNAH SOARES DE SOUZA CAMARAO</v>
      </c>
      <c r="D2397" s="22" t="str">
        <f>IFERROR(VLOOKUP(B2397,Colaboradores!A:D,3,),"")</f>
        <v>SAÚDE OCUPACIONAL</v>
      </c>
      <c r="E2397" s="22" t="str">
        <f>IFERROR(VLOOKUP(B2397,Colaboradores!A:D,4,),"")</f>
        <v>MÉDICA</v>
      </c>
      <c r="F2397" s="47" t="s">
        <v>117</v>
      </c>
      <c r="G2397" s="24" t="str">
        <f>IFERROR(VLOOKUP(F2397,Procedimentos!A:C,2,),"")</f>
        <v>NORMA E ROTINA DA TRANSIÇÃO DE CUIDADOS</v>
      </c>
      <c r="K2397" s="25" t="str">
        <f t="shared" si="78"/>
        <v/>
      </c>
    </row>
    <row r="2398" spans="2:11" ht="15" customHeight="1">
      <c r="B2398" s="38">
        <v>13100</v>
      </c>
      <c r="C2398" s="22" t="str">
        <f>IFERROR(VLOOKUP(B2398,Colaboradores!A:D,2,),"")</f>
        <v>TAYNAH SOARES DE SOUZA CAMARAO</v>
      </c>
      <c r="D2398" s="22" t="str">
        <f>IFERROR(VLOOKUP(B2398,Colaboradores!A:D,3,),"")</f>
        <v>SAÚDE OCUPACIONAL</v>
      </c>
      <c r="E2398" s="22" t="str">
        <f>IFERROR(VLOOKUP(B2398,Colaboradores!A:D,4,),"")</f>
        <v>MÉDICA</v>
      </c>
      <c r="F2398" s="47" t="s">
        <v>118</v>
      </c>
      <c r="G2398" s="24" t="str">
        <f>IFERROR(VLOOKUP(F2398,Procedimentos!A:C,2,),"")</f>
        <v>PROTOCOLO DE ASSISTÊNCIA FISIOTERAPÊUTICA DO ESPAÇO CUIDAR</v>
      </c>
      <c r="K2398" s="25" t="str">
        <f t="shared" si="78"/>
        <v/>
      </c>
    </row>
    <row r="2399" spans="2:11" ht="15" customHeight="1">
      <c r="B2399" s="38">
        <v>14962</v>
      </c>
      <c r="C2399" s="22" t="str">
        <f>IFERROR(VLOOKUP(B2399,Colaboradores!A:D,2,),"")</f>
        <v>YASMIN KARINE DE OLIVEIRA SOARES</v>
      </c>
      <c r="D2399" s="22" t="str">
        <f>IFERROR(VLOOKUP(B2399,Colaboradores!A:D,3,),"")</f>
        <v>SAÚDE OCUPACIONAL</v>
      </c>
      <c r="E2399" s="22" t="str">
        <f>IFERROR(VLOOKUP(B2399,Colaboradores!A:D,4,),"")</f>
        <v>JOVEM APRENDIZ</v>
      </c>
      <c r="F2399" s="47" t="s">
        <v>94</v>
      </c>
      <c r="G2399" s="24" t="str">
        <f>IFERROR(VLOOKUP(F2399,Procedimentos!A:C,2,),"")</f>
        <v>PROTOCOLO DE CONSENTIMENTO INFORMADO</v>
      </c>
      <c r="K2399" s="25" t="str">
        <f t="shared" si="78"/>
        <v/>
      </c>
    </row>
    <row r="2400" spans="2:11" ht="15" customHeight="1">
      <c r="B2400" s="38">
        <v>14962</v>
      </c>
      <c r="C2400" s="22" t="str">
        <f>IFERROR(VLOOKUP(B2400,Colaboradores!A:D,2,),"")</f>
        <v>YASMIN KARINE DE OLIVEIRA SOARES</v>
      </c>
      <c r="D2400" s="22" t="str">
        <f>IFERROR(VLOOKUP(B2400,Colaboradores!A:D,3,),"")</f>
        <v>SAÚDE OCUPACIONAL</v>
      </c>
      <c r="E2400" s="22" t="str">
        <f>IFERROR(VLOOKUP(B2400,Colaboradores!A:D,4,),"")</f>
        <v>JOVEM APRENDIZ</v>
      </c>
      <c r="F2400" s="47" t="s">
        <v>95</v>
      </c>
      <c r="G2400" s="24" t="str">
        <f>IFERROR(VLOOKUP(F2400,Procedimentos!A:C,2,),"")</f>
        <v>PROTOCOLO DE NOTIFICAÇÃO COMPULSORIA - ESPAÇO CUIDAR/EMSERH</v>
      </c>
      <c r="K2400" s="25" t="str">
        <f t="shared" si="78"/>
        <v/>
      </c>
    </row>
    <row r="2401" spans="2:11" ht="15" customHeight="1">
      <c r="B2401" s="38">
        <v>14962</v>
      </c>
      <c r="C2401" s="22" t="str">
        <f>IFERROR(VLOOKUP(B2401,Colaboradores!A:D,2,),"")</f>
        <v>YASMIN KARINE DE OLIVEIRA SOARES</v>
      </c>
      <c r="D2401" s="22" t="str">
        <f>IFERROR(VLOOKUP(B2401,Colaboradores!A:D,3,),"")</f>
        <v>SAÚDE OCUPACIONAL</v>
      </c>
      <c r="E2401" s="22" t="str">
        <f>IFERROR(VLOOKUP(B2401,Colaboradores!A:D,4,),"")</f>
        <v>JOVEM APRENDIZ</v>
      </c>
      <c r="F2401" s="47" t="s">
        <v>96</v>
      </c>
      <c r="G2401" s="24" t="str">
        <f>IFERROR(VLOOKUP(F2401,Procedimentos!A:C,2,),"")</f>
        <v>PROTOCOLO PARA HIGIENIZAÇÃO DAS MÃOS</v>
      </c>
      <c r="K2401" s="25" t="str">
        <f t="shared" si="78"/>
        <v/>
      </c>
    </row>
    <row r="2402" spans="2:11" ht="15" customHeight="1">
      <c r="B2402" s="38">
        <v>14962</v>
      </c>
      <c r="C2402" s="22" t="str">
        <f>IFERROR(VLOOKUP(B2402,Colaboradores!A:D,2,),"")</f>
        <v>YASMIN KARINE DE OLIVEIRA SOARES</v>
      </c>
      <c r="D2402" s="22" t="str">
        <f>IFERROR(VLOOKUP(B2402,Colaboradores!A:D,3,),"")</f>
        <v>SAÚDE OCUPACIONAL</v>
      </c>
      <c r="E2402" s="22" t="str">
        <f>IFERROR(VLOOKUP(B2402,Colaboradores!A:D,4,),"")</f>
        <v>JOVEM APRENDIZ</v>
      </c>
      <c r="F2402" s="47" t="s">
        <v>97</v>
      </c>
      <c r="G2402" s="24" t="str">
        <f>IFERROR(VLOOKUP(F2402,Procedimentos!A:C,2,),"")</f>
        <v>PROTOCOLO DE PREVENÇÃO DE QUEDAS</v>
      </c>
      <c r="K2402" s="25" t="str">
        <f t="shared" si="78"/>
        <v/>
      </c>
    </row>
    <row r="2403" spans="2:11" ht="15" customHeight="1">
      <c r="B2403" s="38">
        <v>14962</v>
      </c>
      <c r="C2403" s="22" t="str">
        <f>IFERROR(VLOOKUP(B2403,Colaboradores!A:D,2,),"")</f>
        <v>YASMIN KARINE DE OLIVEIRA SOARES</v>
      </c>
      <c r="D2403" s="22" t="str">
        <f>IFERROR(VLOOKUP(B2403,Colaboradores!A:D,3,),"")</f>
        <v>SAÚDE OCUPACIONAL</v>
      </c>
      <c r="E2403" s="22" t="str">
        <f>IFERROR(VLOOKUP(B2403,Colaboradores!A:D,4,),"")</f>
        <v>JOVEM APRENDIZ</v>
      </c>
      <c r="F2403" s="47" t="s">
        <v>98</v>
      </c>
      <c r="G2403" s="24" t="str">
        <f>IFERROR(VLOOKUP(F2403,Procedimentos!A:C,2,),"")</f>
        <v>PROTOCOLO INSTITUCIONAL DE CONDUTA ETICA NO ATENDIMENTO MULTIPROFISSIONAL NO ESPAÇO CUIDAR</v>
      </c>
      <c r="K2403" s="25" t="str">
        <f t="shared" si="78"/>
        <v/>
      </c>
    </row>
    <row r="2404" spans="2:11" ht="15" customHeight="1">
      <c r="B2404" s="38">
        <v>14962</v>
      </c>
      <c r="C2404" s="22" t="str">
        <f>IFERROR(VLOOKUP(B2404,Colaboradores!A:D,2,),"")</f>
        <v>YASMIN KARINE DE OLIVEIRA SOARES</v>
      </c>
      <c r="D2404" s="22" t="str">
        <f>IFERROR(VLOOKUP(B2404,Colaboradores!A:D,3,),"")</f>
        <v>SAÚDE OCUPACIONAL</v>
      </c>
      <c r="E2404" s="22" t="str">
        <f>IFERROR(VLOOKUP(B2404,Colaboradores!A:D,4,),"")</f>
        <v>JOVEM APRENDIZ</v>
      </c>
      <c r="F2404" s="47" t="s">
        <v>99</v>
      </c>
      <c r="G2404" s="24" t="str">
        <f>IFERROR(VLOOKUP(F2404,Procedimentos!A:C,2,),"")</f>
        <v>PROTOCOLO PARA LIMPEZA DE ÁREAS E SUPERFÍCIES NO ESPAÇO CUIDAR</v>
      </c>
      <c r="K2404" s="25" t="str">
        <f t="shared" si="78"/>
        <v/>
      </c>
    </row>
    <row r="2405" spans="2:11" ht="15" customHeight="1">
      <c r="B2405" s="38">
        <v>14962</v>
      </c>
      <c r="C2405" s="22" t="str">
        <f>IFERROR(VLOOKUP(B2405,Colaboradores!A:D,2,),"")</f>
        <v>YASMIN KARINE DE OLIVEIRA SOARES</v>
      </c>
      <c r="D2405" s="22" t="str">
        <f>IFERROR(VLOOKUP(B2405,Colaboradores!A:D,3,),"")</f>
        <v>SAÚDE OCUPACIONAL</v>
      </c>
      <c r="E2405" s="22" t="str">
        <f>IFERROR(VLOOKUP(B2405,Colaboradores!A:D,4,),"")</f>
        <v>JOVEM APRENDIZ</v>
      </c>
      <c r="F2405" s="47" t="s">
        <v>100</v>
      </c>
      <c r="G2405" s="24" t="str">
        <f>IFERROR(VLOOKUP(F2405,Procedimentos!A:C,2,),"")</f>
        <v>PROTOCOLO DE ATENDIMENTO PSIQUIATRICO NO ESPAÇO CUIDAR DA EMSERH</v>
      </c>
      <c r="K2405" s="25" t="str">
        <f t="shared" si="78"/>
        <v/>
      </c>
    </row>
    <row r="2406" spans="2:11" ht="15" customHeight="1">
      <c r="B2406" s="38">
        <v>14962</v>
      </c>
      <c r="C2406" s="22" t="str">
        <f>IFERROR(VLOOKUP(B2406,Colaboradores!A:D,2,),"")</f>
        <v>YASMIN KARINE DE OLIVEIRA SOARES</v>
      </c>
      <c r="D2406" s="22" t="str">
        <f>IFERROR(VLOOKUP(B2406,Colaboradores!A:D,3,),"")</f>
        <v>SAÚDE OCUPACIONAL</v>
      </c>
      <c r="E2406" s="22" t="str">
        <f>IFERROR(VLOOKUP(B2406,Colaboradores!A:D,4,),"")</f>
        <v>JOVEM APRENDIZ</v>
      </c>
      <c r="F2406" s="47" t="s">
        <v>101</v>
      </c>
      <c r="G2406" s="24" t="str">
        <f>IFERROR(VLOOKUP(F2406,Procedimentos!A:C,2,),"")</f>
        <v>PROTOCOLO DE MANEJO DE SURTO</v>
      </c>
      <c r="K2406" s="25" t="str">
        <f t="shared" si="78"/>
        <v/>
      </c>
    </row>
    <row r="2407" spans="2:11" ht="15" customHeight="1">
      <c r="B2407" s="38">
        <v>14962</v>
      </c>
      <c r="C2407" s="22" t="str">
        <f>IFERROR(VLOOKUP(B2407,Colaboradores!A:D,2,),"")</f>
        <v>YASMIN KARINE DE OLIVEIRA SOARES</v>
      </c>
      <c r="D2407" s="22" t="str">
        <f>IFERROR(VLOOKUP(B2407,Colaboradores!A:D,3,),"")</f>
        <v>SAÚDE OCUPACIONAL</v>
      </c>
      <c r="E2407" s="22" t="str">
        <f>IFERROR(VLOOKUP(B2407,Colaboradores!A:D,4,),"")</f>
        <v>JOVEM APRENDIZ</v>
      </c>
      <c r="F2407" s="47" t="s">
        <v>102</v>
      </c>
      <c r="G2407" s="24" t="str">
        <f>IFERROR(VLOOKUP(F2407,Procedimentos!A:C,2,),"")</f>
        <v>PROTOCOLO DE TRANSPORTE SEGURO NO ESPAÇO CUIDAR</v>
      </c>
      <c r="K2407" s="25" t="str">
        <f t="shared" si="78"/>
        <v/>
      </c>
    </row>
    <row r="2408" spans="2:11" ht="15" customHeight="1">
      <c r="B2408" s="38">
        <v>14962</v>
      </c>
      <c r="C2408" s="22" t="str">
        <f>IFERROR(VLOOKUP(B2408,Colaboradores!A:D,2,),"")</f>
        <v>YASMIN KARINE DE OLIVEIRA SOARES</v>
      </c>
      <c r="D2408" s="22" t="str">
        <f>IFERROR(VLOOKUP(B2408,Colaboradores!A:D,3,),"")</f>
        <v>SAÚDE OCUPACIONAL</v>
      </c>
      <c r="E2408" s="22" t="str">
        <f>IFERROR(VLOOKUP(B2408,Colaboradores!A:D,4,),"")</f>
        <v>JOVEM APRENDIZ</v>
      </c>
      <c r="F2408" s="47" t="s">
        <v>103</v>
      </c>
      <c r="G2408" s="24" t="str">
        <f>IFERROR(VLOOKUP(F2408,Procedimentos!A:C,2,),"")</f>
        <v>PROTOCOLO DE ATENDIMENTO À PESSOA COM COMPORTAMENTO SUÍCIDA</v>
      </c>
      <c r="K2408" s="25" t="str">
        <f t="shared" si="78"/>
        <v/>
      </c>
    </row>
    <row r="2409" spans="2:11" ht="15" customHeight="1">
      <c r="B2409" s="38">
        <v>14962</v>
      </c>
      <c r="C2409" s="22" t="str">
        <f>IFERROR(VLOOKUP(B2409,Colaboradores!A:D,2,),"")</f>
        <v>YASMIN KARINE DE OLIVEIRA SOARES</v>
      </c>
      <c r="D2409" s="22" t="str">
        <f>IFERROR(VLOOKUP(B2409,Colaboradores!A:D,3,),"")</f>
        <v>SAÚDE OCUPACIONAL</v>
      </c>
      <c r="E2409" s="22" t="str">
        <f>IFERROR(VLOOKUP(B2409,Colaboradores!A:D,4,),"")</f>
        <v>JOVEM APRENDIZ</v>
      </c>
      <c r="F2409" s="47" t="s">
        <v>104</v>
      </c>
      <c r="G2409" s="24" t="str">
        <f>IFERROR(VLOOKUP(F2409,Procedimentos!A:C,2,),"")</f>
        <v>PROTOCOLO DE BIOSSEGURANÇA</v>
      </c>
      <c r="K2409" s="25" t="str">
        <f t="shared" si="78"/>
        <v/>
      </c>
    </row>
    <row r="2410" spans="2:11" ht="15" customHeight="1">
      <c r="B2410" s="38">
        <v>14962</v>
      </c>
      <c r="C2410" s="22" t="str">
        <f>IFERROR(VLOOKUP(B2410,Colaboradores!A:D,2,),"")</f>
        <v>YASMIN KARINE DE OLIVEIRA SOARES</v>
      </c>
      <c r="D2410" s="22" t="str">
        <f>IFERROR(VLOOKUP(B2410,Colaboradores!A:D,3,),"")</f>
        <v>SAÚDE OCUPACIONAL</v>
      </c>
      <c r="E2410" s="22" t="str">
        <f>IFERROR(VLOOKUP(B2410,Colaboradores!A:D,4,),"")</f>
        <v>JOVEM APRENDIZ</v>
      </c>
      <c r="F2410" s="47" t="s">
        <v>105</v>
      </c>
      <c r="G2410" s="24" t="str">
        <f>IFERROR(VLOOKUP(F2410,Procedimentos!A:C,2,),"")</f>
        <v>PROTOCOLO IDENTIFICAÇÃO E MANEJO DA EVOLUÇÃO DESFAVORÁVEL DO PACIENTE NO ESPAÇO CUIDAR</v>
      </c>
      <c r="K2410" s="25" t="str">
        <f t="shared" si="78"/>
        <v/>
      </c>
    </row>
    <row r="2411" spans="2:11" ht="15" customHeight="1">
      <c r="B2411" s="38">
        <v>14962</v>
      </c>
      <c r="C2411" s="22" t="str">
        <f>IFERROR(VLOOKUP(B2411,Colaboradores!A:D,2,),"")</f>
        <v>YASMIN KARINE DE OLIVEIRA SOARES</v>
      </c>
      <c r="D2411" s="22" t="str">
        <f>IFERROR(VLOOKUP(B2411,Colaboradores!A:D,3,),"")</f>
        <v>SAÚDE OCUPACIONAL</v>
      </c>
      <c r="E2411" s="22" t="str">
        <f>IFERROR(VLOOKUP(B2411,Colaboradores!A:D,4,),"")</f>
        <v>JOVEM APRENDIZ</v>
      </c>
      <c r="F2411" s="47" t="s">
        <v>106</v>
      </c>
      <c r="G2411" s="24" t="str">
        <f>IFERROR(VLOOKUP(F2411,Procedimentos!A:C,2,),"")</f>
        <v>PROTOCOLO DE DETERIORAÇÃO CLÍNICA</v>
      </c>
      <c r="K2411" s="25" t="str">
        <f t="shared" si="78"/>
        <v/>
      </c>
    </row>
    <row r="2412" spans="2:11" ht="15" customHeight="1">
      <c r="B2412" s="38">
        <v>14962</v>
      </c>
      <c r="C2412" s="22" t="str">
        <f>IFERROR(VLOOKUP(B2412,Colaboradores!A:D,2,),"")</f>
        <v>YASMIN KARINE DE OLIVEIRA SOARES</v>
      </c>
      <c r="D2412" s="22" t="str">
        <f>IFERROR(VLOOKUP(B2412,Colaboradores!A:D,3,),"")</f>
        <v>SAÚDE OCUPACIONAL</v>
      </c>
      <c r="E2412" s="22" t="str">
        <f>IFERROR(VLOOKUP(B2412,Colaboradores!A:D,4,),"")</f>
        <v>JOVEM APRENDIZ</v>
      </c>
      <c r="F2412" s="47" t="s">
        <v>107</v>
      </c>
      <c r="G2412" s="24" t="str">
        <f>IFERROR(VLOOKUP(F2412,Procedimentos!A:C,2,),"")</f>
        <v>PROTOCOLO DE COMUNICAÇÃO DE NOTÍCIAS DIFÍCEIS</v>
      </c>
      <c r="K2412" s="25" t="str">
        <f t="shared" si="78"/>
        <v/>
      </c>
    </row>
    <row r="2413" spans="2:11" ht="15" customHeight="1">
      <c r="B2413" s="38">
        <v>14962</v>
      </c>
      <c r="C2413" s="22" t="str">
        <f>IFERROR(VLOOKUP(B2413,Colaboradores!A:D,2,),"")</f>
        <v>YASMIN KARINE DE OLIVEIRA SOARES</v>
      </c>
      <c r="D2413" s="22" t="str">
        <f>IFERROR(VLOOKUP(B2413,Colaboradores!A:D,3,),"")</f>
        <v>SAÚDE OCUPACIONAL</v>
      </c>
      <c r="E2413" s="22" t="str">
        <f>IFERROR(VLOOKUP(B2413,Colaboradores!A:D,4,),"")</f>
        <v>JOVEM APRENDIZ</v>
      </c>
      <c r="F2413" s="47" t="s">
        <v>108</v>
      </c>
      <c r="G2413" s="24" t="str">
        <f>IFERROR(VLOOKUP(F2413,Procedimentos!A:C,2,),"")</f>
        <v>PROTOCOLO PARA ATENDIMENTO DO (A) ASSISTENTE SOCIAL NO AMBULATÓRIO DO ESPAÇO CUIDAR</v>
      </c>
      <c r="K2413" s="25" t="str">
        <f t="shared" si="78"/>
        <v/>
      </c>
    </row>
    <row r="2414" spans="2:11" ht="15" customHeight="1">
      <c r="B2414" s="38">
        <v>14962</v>
      </c>
      <c r="C2414" s="22" t="str">
        <f>IFERROR(VLOOKUP(B2414,Colaboradores!A:D,2,),"")</f>
        <v>YASMIN KARINE DE OLIVEIRA SOARES</v>
      </c>
      <c r="D2414" s="22" t="str">
        <f>IFERROR(VLOOKUP(B2414,Colaboradores!A:D,3,),"")</f>
        <v>SAÚDE OCUPACIONAL</v>
      </c>
      <c r="E2414" s="22" t="str">
        <f>IFERROR(VLOOKUP(B2414,Colaboradores!A:D,4,),"")</f>
        <v>JOVEM APRENDIZ</v>
      </c>
      <c r="F2414" s="47" t="s">
        <v>109</v>
      </c>
      <c r="G2414" s="24" t="str">
        <f>IFERROR(VLOOKUP(F2414,Procedimentos!A:C,2,),"")</f>
        <v>ROTOCOLO DE ASSISTÊNCIA NUTRICIONAL AMBULATÓRIAL PARA ADULTOS E IDOSOS COM SOBREPESO E OBESIDADE</v>
      </c>
      <c r="K2414" s="25" t="str">
        <f t="shared" si="78"/>
        <v/>
      </c>
    </row>
    <row r="2415" spans="2:11" ht="15" customHeight="1">
      <c r="B2415" s="38">
        <v>14962</v>
      </c>
      <c r="C2415" s="22" t="str">
        <f>IFERROR(VLOOKUP(B2415,Colaboradores!A:D,2,),"")</f>
        <v>YASMIN KARINE DE OLIVEIRA SOARES</v>
      </c>
      <c r="D2415" s="22" t="str">
        <f>IFERROR(VLOOKUP(B2415,Colaboradores!A:D,3,),"")</f>
        <v>SAÚDE OCUPACIONAL</v>
      </c>
      <c r="E2415" s="22" t="str">
        <f>IFERROR(VLOOKUP(B2415,Colaboradores!A:D,4,),"")</f>
        <v>JOVEM APRENDIZ</v>
      </c>
      <c r="F2415" s="47" t="s">
        <v>110</v>
      </c>
      <c r="G2415" s="24" t="str">
        <f>IFERROR(VLOOKUP(F2415,Procedimentos!A:C,2,),"")</f>
        <v>PROTOCOLO DE AGENDAMENTO</v>
      </c>
      <c r="K2415" s="25" t="str">
        <f t="shared" si="78"/>
        <v/>
      </c>
    </row>
    <row r="2416" spans="2:11" ht="15" customHeight="1">
      <c r="B2416" s="38">
        <v>14962</v>
      </c>
      <c r="C2416" s="22" t="str">
        <f>IFERROR(VLOOKUP(B2416,Colaboradores!A:D,2,),"")</f>
        <v>YASMIN KARINE DE OLIVEIRA SOARES</v>
      </c>
      <c r="D2416" s="22" t="str">
        <f>IFERROR(VLOOKUP(B2416,Colaboradores!A:D,3,),"")</f>
        <v>SAÚDE OCUPACIONAL</v>
      </c>
      <c r="E2416" s="22" t="str">
        <f>IFERROR(VLOOKUP(B2416,Colaboradores!A:D,4,),"")</f>
        <v>JOVEM APRENDIZ</v>
      </c>
      <c r="F2416" s="47" t="s">
        <v>111</v>
      </c>
      <c r="G2416" s="24" t="str">
        <f>IFERROR(VLOOKUP(F2416,Procedimentos!A:C,2,),"")</f>
        <v>PROTOCOLO DE IDENTIFICAÇÃO DE SINAIS SUSGETIVOS DE VIOLÊNCIA - ESPAÇO CUIDAR/ EMSERH</v>
      </c>
      <c r="K2416" s="25" t="str">
        <f t="shared" si="78"/>
        <v/>
      </c>
    </row>
    <row r="2417" spans="2:11" ht="15" customHeight="1">
      <c r="B2417" s="38">
        <v>14962</v>
      </c>
      <c r="C2417" s="22" t="str">
        <f>IFERROR(VLOOKUP(B2417,Colaboradores!A:D,2,),"")</f>
        <v>YASMIN KARINE DE OLIVEIRA SOARES</v>
      </c>
      <c r="D2417" s="22" t="str">
        <f>IFERROR(VLOOKUP(B2417,Colaboradores!A:D,3,),"")</f>
        <v>SAÚDE OCUPACIONAL</v>
      </c>
      <c r="E2417" s="22" t="str">
        <f>IFERROR(VLOOKUP(B2417,Colaboradores!A:D,4,),"")</f>
        <v>JOVEM APRENDIZ</v>
      </c>
      <c r="F2417" s="47" t="s">
        <v>112</v>
      </c>
      <c r="G2417" s="24" t="str">
        <f>IFERROR(VLOOKUP(F2417,Procedimentos!A:C,2,),"")</f>
        <v>PROTOCOLO DE IDENTIFICAÇÃO SEGURA</v>
      </c>
      <c r="K2417" s="25" t="str">
        <f t="shared" si="78"/>
        <v/>
      </c>
    </row>
    <row r="2418" spans="2:11" ht="15" customHeight="1">
      <c r="B2418" s="38">
        <v>14962</v>
      </c>
      <c r="C2418" s="22" t="str">
        <f>IFERROR(VLOOKUP(B2418,Colaboradores!A:D,2,),"")</f>
        <v>YASMIN KARINE DE OLIVEIRA SOARES</v>
      </c>
      <c r="D2418" s="22" t="str">
        <f>IFERROR(VLOOKUP(B2418,Colaboradores!A:D,3,),"")</f>
        <v>SAÚDE OCUPACIONAL</v>
      </c>
      <c r="E2418" s="22" t="str">
        <f>IFERROR(VLOOKUP(B2418,Colaboradores!A:D,4,),"")</f>
        <v>JOVEM APRENDIZ</v>
      </c>
      <c r="F2418" s="47" t="s">
        <v>113</v>
      </c>
      <c r="G2418" s="24" t="str">
        <f>IFERROR(VLOOKUP(F2418,Procedimentos!A:C,2,),"")</f>
        <v>PROTOCOLO DE NORMAS E ROTINAS PARA COMUNICAÇÃO DO ESTADO DE SAÚDE DO PACIENTE</v>
      </c>
      <c r="K2418" s="25" t="str">
        <f t="shared" si="78"/>
        <v/>
      </c>
    </row>
    <row r="2419" spans="2:11" ht="15" customHeight="1">
      <c r="B2419" s="38">
        <v>14962</v>
      </c>
      <c r="C2419" s="22" t="str">
        <f>IFERROR(VLOOKUP(B2419,Colaboradores!A:D,2,),"")</f>
        <v>YASMIN KARINE DE OLIVEIRA SOARES</v>
      </c>
      <c r="D2419" s="22" t="str">
        <f>IFERROR(VLOOKUP(B2419,Colaboradores!A:D,3,),"")</f>
        <v>SAÚDE OCUPACIONAL</v>
      </c>
      <c r="E2419" s="22" t="str">
        <f>IFERROR(VLOOKUP(B2419,Colaboradores!A:D,4,),"")</f>
        <v>JOVEM APRENDIZ</v>
      </c>
      <c r="F2419" s="47" t="s">
        <v>114</v>
      </c>
      <c r="G2419" s="24" t="str">
        <f>IFERROR(VLOOKUP(F2419,Procedimentos!A:C,2,),"")</f>
        <v>PROTOCOLO DE COMUNICAÇÃO EFETIVA EM PRÁTICAS DE SAÚDE</v>
      </c>
      <c r="K2419" s="25" t="str">
        <f t="shared" si="78"/>
        <v/>
      </c>
    </row>
    <row r="2420" spans="2:11" ht="15" customHeight="1">
      <c r="B2420" s="38">
        <v>14962</v>
      </c>
      <c r="C2420" s="22" t="str">
        <f>IFERROR(VLOOKUP(B2420,Colaboradores!A:D,2,),"")</f>
        <v>YASMIN KARINE DE OLIVEIRA SOARES</v>
      </c>
      <c r="D2420" s="22" t="str">
        <f>IFERROR(VLOOKUP(B2420,Colaboradores!A:D,3,),"")</f>
        <v>SAÚDE OCUPACIONAL</v>
      </c>
      <c r="E2420" s="22" t="str">
        <f>IFERROR(VLOOKUP(B2420,Colaboradores!A:D,4,),"")</f>
        <v>JOVEM APRENDIZ</v>
      </c>
      <c r="F2420" s="47" t="s">
        <v>115</v>
      </c>
      <c r="G2420" s="24" t="str">
        <f>IFERROR(VLOOKUP(F2420,Procedimentos!A:C,2,),"")</f>
        <v>PROTOCOLO DE NORMAS E ROTINAS DE ADMISSÃO, TRIAGEM E ALTA</v>
      </c>
      <c r="K2420" s="25" t="str">
        <f t="shared" si="78"/>
        <v/>
      </c>
    </row>
    <row r="2421" spans="2:11" ht="15" customHeight="1">
      <c r="B2421" s="38">
        <v>14962</v>
      </c>
      <c r="C2421" s="22" t="str">
        <f>IFERROR(VLOOKUP(B2421,Colaboradores!A:D,2,),"")</f>
        <v>YASMIN KARINE DE OLIVEIRA SOARES</v>
      </c>
      <c r="D2421" s="22" t="str">
        <f>IFERROR(VLOOKUP(B2421,Colaboradores!A:D,3,),"")</f>
        <v>SAÚDE OCUPACIONAL</v>
      </c>
      <c r="E2421" s="22" t="str">
        <f>IFERROR(VLOOKUP(B2421,Colaboradores!A:D,4,),"")</f>
        <v>JOVEM APRENDIZ</v>
      </c>
      <c r="F2421" s="47" t="s">
        <v>116</v>
      </c>
      <c r="G2421" s="24" t="str">
        <f>IFERROR(VLOOKUP(F2421,Procedimentos!A:C,2,),"")</f>
        <v>PROTOCOLO DE SEGURANÇA NA PRESCRIÇÃO, USO E ADMINISTRAÇÃO DE MEDICAMENTOS ESPAÇO CUIDAR</v>
      </c>
      <c r="K2421" s="25" t="str">
        <f t="shared" si="78"/>
        <v/>
      </c>
    </row>
    <row r="2422" spans="2:11" ht="15" customHeight="1">
      <c r="B2422" s="38">
        <v>14962</v>
      </c>
      <c r="C2422" s="22" t="str">
        <f>IFERROR(VLOOKUP(B2422,Colaboradores!A:D,2,),"")</f>
        <v>YASMIN KARINE DE OLIVEIRA SOARES</v>
      </c>
      <c r="D2422" s="22" t="str">
        <f>IFERROR(VLOOKUP(B2422,Colaboradores!A:D,3,),"")</f>
        <v>SAÚDE OCUPACIONAL</v>
      </c>
      <c r="E2422" s="22" t="str">
        <f>IFERROR(VLOOKUP(B2422,Colaboradores!A:D,4,),"")</f>
        <v>JOVEM APRENDIZ</v>
      </c>
      <c r="F2422" s="47" t="s">
        <v>117</v>
      </c>
      <c r="G2422" s="24" t="str">
        <f>IFERROR(VLOOKUP(F2422,Procedimentos!A:C,2,),"")</f>
        <v>NORMA E ROTINA DA TRANSIÇÃO DE CUIDADOS</v>
      </c>
      <c r="K2422" s="25" t="str">
        <f t="shared" si="78"/>
        <v/>
      </c>
    </row>
    <row r="2423" spans="2:11" ht="15" customHeight="1">
      <c r="B2423" s="38">
        <v>14962</v>
      </c>
      <c r="C2423" s="22" t="str">
        <f>IFERROR(VLOOKUP(B2423,Colaboradores!A:D,2,),"")</f>
        <v>YASMIN KARINE DE OLIVEIRA SOARES</v>
      </c>
      <c r="D2423" s="22" t="str">
        <f>IFERROR(VLOOKUP(B2423,Colaboradores!A:D,3,),"")</f>
        <v>SAÚDE OCUPACIONAL</v>
      </c>
      <c r="E2423" s="22" t="str">
        <f>IFERROR(VLOOKUP(B2423,Colaboradores!A:D,4,),"")</f>
        <v>JOVEM APRENDIZ</v>
      </c>
      <c r="F2423" s="47" t="s">
        <v>118</v>
      </c>
      <c r="G2423" s="24" t="str">
        <f>IFERROR(VLOOKUP(F2423,Procedimentos!A:C,2,),"")</f>
        <v>PROTOCOLO DE ASSISTÊNCIA FISIOTERAPÊUTICA DO ESPAÇO CUIDAR</v>
      </c>
      <c r="K2423" s="25" t="str">
        <f t="shared" si="78"/>
        <v/>
      </c>
    </row>
    <row r="2424" spans="2:11" ht="15" customHeight="1">
      <c r="B2424" s="38">
        <v>15295</v>
      </c>
      <c r="C2424" s="22" t="str">
        <f>IFERROR(VLOOKUP(B2424,Colaboradores!A:D,2,),"")</f>
        <v>ANA CRISTINA GONÇALVES NUNES</v>
      </c>
      <c r="D2424" s="22" t="str">
        <f>IFERROR(VLOOKUP(B2424,Colaboradores!A:D,3,),"")</f>
        <v>SAÚDE OCUPACIONAL</v>
      </c>
      <c r="E2424" s="22" t="str">
        <f>IFERROR(VLOOKUP(B2424,Colaboradores!A:D,4,),"")</f>
        <v>ENFERMEIRA</v>
      </c>
      <c r="F2424" s="54" t="s">
        <v>80</v>
      </c>
      <c r="G2424" s="24" t="str">
        <f>IFERROR(VLOOKUP(F2424,Procedimentos!A:C,2,),"")</f>
        <v>ATENDIMENTO FISIOTERÁPICO NO ESPAÇO CUIDARH</v>
      </c>
      <c r="K2424" s="25" t="str">
        <f t="shared" si="78"/>
        <v/>
      </c>
    </row>
    <row r="2425" spans="2:11" ht="15" customHeight="1">
      <c r="B2425" s="38">
        <v>3109</v>
      </c>
      <c r="C2425" s="22" t="str">
        <f>IFERROR(VLOOKUP(B2425,Colaboradores!A:D,2,),"")</f>
        <v>BRUNO ARRUDA DE AMORIM OLIVEIRA</v>
      </c>
      <c r="D2425" s="22" t="str">
        <f>IFERROR(VLOOKUP(B2425,Colaboradores!A:D,3,),"")</f>
        <v>SAÚDE OCUPACIONAL</v>
      </c>
      <c r="E2425" s="22" t="str">
        <f>IFERROR(VLOOKUP(B2425,Colaboradores!A:D,4,),"")</f>
        <v>MÉDICO DO TRABALHO</v>
      </c>
      <c r="F2425" s="54" t="s">
        <v>80</v>
      </c>
      <c r="G2425" s="24" t="str">
        <f>IFERROR(VLOOKUP(F2425,Procedimentos!A:C,2,),"")</f>
        <v>ATENDIMENTO FISIOTERÁPICO NO ESPAÇO CUIDARH</v>
      </c>
      <c r="K2425" s="25" t="str">
        <f t="shared" si="78"/>
        <v/>
      </c>
    </row>
    <row r="2426" spans="2:11" ht="15" customHeight="1">
      <c r="B2426" s="38">
        <v>1866</v>
      </c>
      <c r="C2426" s="22" t="str">
        <f>IFERROR(VLOOKUP(B2426,Colaboradores!A:D,2,),"")</f>
        <v>FLAVIA AROUCHE GAMA</v>
      </c>
      <c r="D2426" s="22" t="str">
        <f>IFERROR(VLOOKUP(B2426,Colaboradores!A:D,3,),"")</f>
        <v>SAÚDE OCUPACIONAL</v>
      </c>
      <c r="E2426" s="22" t="str">
        <f>IFERROR(VLOOKUP(B2426,Colaboradores!A:D,4,),"")</f>
        <v>MÉDICO DO TRABALHO</v>
      </c>
      <c r="F2426" s="54" t="s">
        <v>80</v>
      </c>
      <c r="G2426" s="24" t="str">
        <f>IFERROR(VLOOKUP(F2426,Procedimentos!A:C,2,),"")</f>
        <v>ATENDIMENTO FISIOTERÁPICO NO ESPAÇO CUIDARH</v>
      </c>
      <c r="K2426" s="25" t="str">
        <f t="shared" si="78"/>
        <v/>
      </c>
    </row>
    <row r="2427" spans="2:11" ht="15" customHeight="1">
      <c r="B2427" s="38">
        <v>14508</v>
      </c>
      <c r="C2427" s="22" t="str">
        <f>IFERROR(VLOOKUP(B2427,Colaboradores!A:D,2,),"")</f>
        <v>FYAMA SANTOS SILVA</v>
      </c>
      <c r="D2427" s="22" t="str">
        <f>IFERROR(VLOOKUP(B2427,Colaboradores!A:D,3,),"")</f>
        <v>SAÚDE OCUPACIONAL</v>
      </c>
      <c r="E2427" s="22" t="str">
        <f>IFERROR(VLOOKUP(B2427,Colaboradores!A:D,4,),"")</f>
        <v>ASSISTENTE ADMINISTRATIVO</v>
      </c>
      <c r="F2427" s="54" t="s">
        <v>80</v>
      </c>
      <c r="G2427" s="24" t="str">
        <f>IFERROR(VLOOKUP(F2427,Procedimentos!A:C,2,),"")</f>
        <v>ATENDIMENTO FISIOTERÁPICO NO ESPAÇO CUIDARH</v>
      </c>
      <c r="K2427" s="25" t="str">
        <f t="shared" si="78"/>
        <v/>
      </c>
    </row>
    <row r="2428" spans="2:11" ht="15" customHeight="1">
      <c r="B2428" s="38">
        <v>14866</v>
      </c>
      <c r="C2428" s="22" t="str">
        <f>IFERROR(VLOOKUP(B2428,Colaboradores!A:D,2,),"")</f>
        <v>GERUSA LOURDES CHAVES ALVES DA SILVA</v>
      </c>
      <c r="D2428" s="22" t="str">
        <f>IFERROR(VLOOKUP(B2428,Colaboradores!A:D,3,),"")</f>
        <v>SAÚDE OCUPACIONAL</v>
      </c>
      <c r="E2428" s="22" t="str">
        <f>IFERROR(VLOOKUP(B2428,Colaboradores!A:D,4,),"")</f>
        <v>ASSESSOR CLINICO(A)</v>
      </c>
      <c r="F2428" s="54" t="s">
        <v>80</v>
      </c>
      <c r="G2428" s="24" t="str">
        <f>IFERROR(VLOOKUP(F2428,Procedimentos!A:C,2,),"")</f>
        <v>ATENDIMENTO FISIOTERÁPICO NO ESPAÇO CUIDARH</v>
      </c>
      <c r="K2428" s="25" t="str">
        <f t="shared" si="78"/>
        <v/>
      </c>
    </row>
    <row r="2429" spans="2:11" ht="15" customHeight="1">
      <c r="B2429" s="38">
        <v>15059</v>
      </c>
      <c r="C2429" s="22" t="str">
        <f>IFERROR(VLOOKUP(B2429,Colaboradores!A:D,2,),"")</f>
        <v>GUILHERME LEÃO DOS SANTOS</v>
      </c>
      <c r="D2429" s="22" t="str">
        <f>IFERROR(VLOOKUP(B2429,Colaboradores!A:D,3,),"")</f>
        <v>SAÚDE OCUPACIONAL</v>
      </c>
      <c r="E2429" s="22" t="str">
        <f>IFERROR(VLOOKUP(B2429,Colaboradores!A:D,4,),"")</f>
        <v>ASSISTENTE ADMINISTRATIVO</v>
      </c>
      <c r="F2429" s="54" t="s">
        <v>80</v>
      </c>
      <c r="G2429" s="24" t="str">
        <f>IFERROR(VLOOKUP(F2429,Procedimentos!A:C,2,),"")</f>
        <v>ATENDIMENTO FISIOTERÁPICO NO ESPAÇO CUIDARH</v>
      </c>
      <c r="K2429" s="25" t="str">
        <f t="shared" si="78"/>
        <v/>
      </c>
    </row>
    <row r="2430" spans="2:11" ht="15" customHeight="1">
      <c r="B2430" s="38">
        <v>7601</v>
      </c>
      <c r="C2430" s="22" t="str">
        <f>IFERROR(VLOOKUP(B2430,Colaboradores!A:D,2,),"")</f>
        <v>RAYANE BEZERRA DE JESUS</v>
      </c>
      <c r="D2430" s="22" t="str">
        <f>IFERROR(VLOOKUP(B2430,Colaboradores!A:D,3,),"")</f>
        <v>SAÚDE OCUPACIONAL</v>
      </c>
      <c r="E2430" s="22" t="str">
        <f>IFERROR(VLOOKUP(B2430,Colaboradores!A:D,4,),"")</f>
        <v>TÉCNICO DE ENFERMAGEM DO TRABALHO</v>
      </c>
      <c r="F2430" s="54" t="s">
        <v>80</v>
      </c>
      <c r="G2430" s="24" t="str">
        <f>IFERROR(VLOOKUP(F2430,Procedimentos!A:C,2,),"")</f>
        <v>ATENDIMENTO FISIOTERÁPICO NO ESPAÇO CUIDARH</v>
      </c>
      <c r="K2430" s="25" t="str">
        <f t="shared" si="78"/>
        <v/>
      </c>
    </row>
    <row r="2431" spans="2:11" ht="15" customHeight="1">
      <c r="B2431" s="38">
        <v>14083</v>
      </c>
      <c r="C2431" s="22" t="str">
        <f>IFERROR(VLOOKUP(B2431,Colaboradores!A:D,2,),"")</f>
        <v>TAHYNAN FREITAS SILVA COSTA</v>
      </c>
      <c r="D2431" s="22" t="str">
        <f>IFERROR(VLOOKUP(B2431,Colaboradores!A:D,3,),"")</f>
        <v>SAÚDE OCUPACIONAL</v>
      </c>
      <c r="E2431" s="22" t="str">
        <f>IFERROR(VLOOKUP(B2431,Colaboradores!A:D,4,),"")</f>
        <v>TÉCNICO DE ENFERMAGEM DO TRABALHO</v>
      </c>
      <c r="F2431" s="54" t="s">
        <v>80</v>
      </c>
      <c r="G2431" s="24" t="str">
        <f>IFERROR(VLOOKUP(F2431,Procedimentos!A:C,2,),"")</f>
        <v>ATENDIMENTO FISIOTERÁPICO NO ESPAÇO CUIDARH</v>
      </c>
      <c r="K2431" s="25" t="str">
        <f t="shared" si="78"/>
        <v/>
      </c>
    </row>
    <row r="2432" spans="2:11" ht="15" customHeight="1">
      <c r="B2432" s="38">
        <v>15295</v>
      </c>
      <c r="C2432" s="22" t="str">
        <f>IFERROR(VLOOKUP(B2432,Colaboradores!A:D,2,),"")</f>
        <v>ANA CRISTINA GONÇALVES NUNES</v>
      </c>
      <c r="D2432" s="22" t="str">
        <f>IFERROR(VLOOKUP(B2432,Colaboradores!A:D,3,),"")</f>
        <v>SAÚDE OCUPACIONAL</v>
      </c>
      <c r="E2432" s="22" t="str">
        <f>IFERROR(VLOOKUP(B2432,Colaboradores!A:D,4,),"")</f>
        <v>ENFERMEIRA</v>
      </c>
      <c r="F2432" s="54" t="s">
        <v>81</v>
      </c>
      <c r="G2432" s="24" t="str">
        <f>IFERROR(VLOOKUP(F2432,Procedimentos!A:C,2,),"")</f>
        <v>ATENDIMENTO PSICOLÓGICO NO ESPAÇO CUIDARH</v>
      </c>
      <c r="K2432" s="25" t="str">
        <f t="shared" si="78"/>
        <v/>
      </c>
    </row>
    <row r="2433" spans="2:11" ht="15" customHeight="1">
      <c r="B2433" s="38">
        <v>3109</v>
      </c>
      <c r="C2433" s="22" t="str">
        <f>IFERROR(VLOOKUP(B2433,Colaboradores!A:D,2,),"")</f>
        <v>BRUNO ARRUDA DE AMORIM OLIVEIRA</v>
      </c>
      <c r="D2433" s="22" t="str">
        <f>IFERROR(VLOOKUP(B2433,Colaboradores!A:D,3,),"")</f>
        <v>SAÚDE OCUPACIONAL</v>
      </c>
      <c r="E2433" s="22" t="str">
        <f>IFERROR(VLOOKUP(B2433,Colaboradores!A:D,4,),"")</f>
        <v>MÉDICO DO TRABALHO</v>
      </c>
      <c r="F2433" s="54" t="s">
        <v>81</v>
      </c>
      <c r="G2433" s="24" t="str">
        <f>IFERROR(VLOOKUP(F2433,Procedimentos!A:C,2,),"")</f>
        <v>ATENDIMENTO PSICOLÓGICO NO ESPAÇO CUIDARH</v>
      </c>
      <c r="K2433" s="25" t="str">
        <f t="shared" si="78"/>
        <v/>
      </c>
    </row>
    <row r="2434" spans="2:11" ht="15" customHeight="1">
      <c r="B2434" s="38">
        <v>1866</v>
      </c>
      <c r="C2434" s="22" t="str">
        <f>IFERROR(VLOOKUP(B2434,Colaboradores!A:D,2,),"")</f>
        <v>FLAVIA AROUCHE GAMA</v>
      </c>
      <c r="D2434" s="22" t="str">
        <f>IFERROR(VLOOKUP(B2434,Colaboradores!A:D,3,),"")</f>
        <v>SAÚDE OCUPACIONAL</v>
      </c>
      <c r="E2434" s="22" t="str">
        <f>IFERROR(VLOOKUP(B2434,Colaboradores!A:D,4,),"")</f>
        <v>MÉDICO DO TRABALHO</v>
      </c>
      <c r="F2434" s="54" t="s">
        <v>81</v>
      </c>
      <c r="G2434" s="24" t="str">
        <f>IFERROR(VLOOKUP(F2434,Procedimentos!A:C,2,),"")</f>
        <v>ATENDIMENTO PSICOLÓGICO NO ESPAÇO CUIDARH</v>
      </c>
      <c r="K2434" s="25" t="str">
        <f t="shared" si="78"/>
        <v/>
      </c>
    </row>
    <row r="2435" spans="2:11" ht="15" customHeight="1">
      <c r="B2435" s="38">
        <v>14508</v>
      </c>
      <c r="C2435" s="22" t="str">
        <f>IFERROR(VLOOKUP(B2435,Colaboradores!A:D,2,),"")</f>
        <v>FYAMA SANTOS SILVA</v>
      </c>
      <c r="D2435" s="22" t="str">
        <f>IFERROR(VLOOKUP(B2435,Colaboradores!A:D,3,),"")</f>
        <v>SAÚDE OCUPACIONAL</v>
      </c>
      <c r="E2435" s="22" t="str">
        <f>IFERROR(VLOOKUP(B2435,Colaboradores!A:D,4,),"")</f>
        <v>ASSISTENTE ADMINISTRATIVO</v>
      </c>
      <c r="F2435" s="54" t="s">
        <v>81</v>
      </c>
      <c r="G2435" s="24" t="str">
        <f>IFERROR(VLOOKUP(F2435,Procedimentos!A:C,2,),"")</f>
        <v>ATENDIMENTO PSICOLÓGICO NO ESPAÇO CUIDARH</v>
      </c>
      <c r="K2435" s="25" t="str">
        <f t="shared" ref="K2435:K2498" si="79">IF(AND(I2435&lt;&gt;"",J2435&lt;&gt;""),DATE(YEAR(I2435),MONTH(I2435)+J2435,DAY(I2435)),"")</f>
        <v/>
      </c>
    </row>
    <row r="2436" spans="2:11" ht="15" customHeight="1">
      <c r="B2436" s="38">
        <v>14866</v>
      </c>
      <c r="C2436" s="22" t="str">
        <f>IFERROR(VLOOKUP(B2436,Colaboradores!A:D,2,),"")</f>
        <v>GERUSA LOURDES CHAVES ALVES DA SILVA</v>
      </c>
      <c r="D2436" s="22" t="str">
        <f>IFERROR(VLOOKUP(B2436,Colaboradores!A:D,3,),"")</f>
        <v>SAÚDE OCUPACIONAL</v>
      </c>
      <c r="E2436" s="22" t="str">
        <f>IFERROR(VLOOKUP(B2436,Colaboradores!A:D,4,),"")</f>
        <v>ASSESSOR CLINICO(A)</v>
      </c>
      <c r="F2436" s="54" t="s">
        <v>81</v>
      </c>
      <c r="G2436" s="24" t="str">
        <f>IFERROR(VLOOKUP(F2436,Procedimentos!A:C,2,),"")</f>
        <v>ATENDIMENTO PSICOLÓGICO NO ESPAÇO CUIDARH</v>
      </c>
      <c r="K2436" s="25" t="str">
        <f t="shared" si="79"/>
        <v/>
      </c>
    </row>
    <row r="2437" spans="2:11" ht="15" customHeight="1">
      <c r="B2437" s="38">
        <v>15059</v>
      </c>
      <c r="C2437" s="22" t="str">
        <f>IFERROR(VLOOKUP(B2437,Colaboradores!A:D,2,),"")</f>
        <v>GUILHERME LEÃO DOS SANTOS</v>
      </c>
      <c r="D2437" s="22" t="str">
        <f>IFERROR(VLOOKUP(B2437,Colaboradores!A:D,3,),"")</f>
        <v>SAÚDE OCUPACIONAL</v>
      </c>
      <c r="E2437" s="22" t="str">
        <f>IFERROR(VLOOKUP(B2437,Colaboradores!A:D,4,),"")</f>
        <v>ASSISTENTE ADMINISTRATIVO</v>
      </c>
      <c r="F2437" s="54" t="s">
        <v>81</v>
      </c>
      <c r="G2437" s="24" t="str">
        <f>IFERROR(VLOOKUP(F2437,Procedimentos!A:C,2,),"")</f>
        <v>ATENDIMENTO PSICOLÓGICO NO ESPAÇO CUIDARH</v>
      </c>
      <c r="K2437" s="25" t="str">
        <f t="shared" si="79"/>
        <v/>
      </c>
    </row>
    <row r="2438" spans="2:11" ht="15" customHeight="1">
      <c r="B2438" s="38">
        <v>7601</v>
      </c>
      <c r="C2438" s="22" t="str">
        <f>IFERROR(VLOOKUP(B2438,Colaboradores!A:D,2,),"")</f>
        <v>RAYANE BEZERRA DE JESUS</v>
      </c>
      <c r="D2438" s="22" t="str">
        <f>IFERROR(VLOOKUP(B2438,Colaboradores!A:D,3,),"")</f>
        <v>SAÚDE OCUPACIONAL</v>
      </c>
      <c r="E2438" s="22" t="str">
        <f>IFERROR(VLOOKUP(B2438,Colaboradores!A:D,4,),"")</f>
        <v>TÉCNICO DE ENFERMAGEM DO TRABALHO</v>
      </c>
      <c r="F2438" s="54" t="s">
        <v>81</v>
      </c>
      <c r="G2438" s="24" t="str">
        <f>IFERROR(VLOOKUP(F2438,Procedimentos!A:C,2,),"")</f>
        <v>ATENDIMENTO PSICOLÓGICO NO ESPAÇO CUIDARH</v>
      </c>
      <c r="K2438" s="25" t="str">
        <f t="shared" si="79"/>
        <v/>
      </c>
    </row>
    <row r="2439" spans="2:11" ht="15" customHeight="1">
      <c r="B2439" s="38">
        <v>14083</v>
      </c>
      <c r="C2439" s="22" t="str">
        <f>IFERROR(VLOOKUP(B2439,Colaboradores!A:D,2,),"")</f>
        <v>TAHYNAN FREITAS SILVA COSTA</v>
      </c>
      <c r="D2439" s="22" t="str">
        <f>IFERROR(VLOOKUP(B2439,Colaboradores!A:D,3,),"")</f>
        <v>SAÚDE OCUPACIONAL</v>
      </c>
      <c r="E2439" s="22" t="str">
        <f>IFERROR(VLOOKUP(B2439,Colaboradores!A:D,4,),"")</f>
        <v>TÉCNICO DE ENFERMAGEM DO TRABALHO</v>
      </c>
      <c r="F2439" s="54" t="s">
        <v>81</v>
      </c>
      <c r="G2439" s="24" t="str">
        <f>IFERROR(VLOOKUP(F2439,Procedimentos!A:C,2,),"")</f>
        <v>ATENDIMENTO PSICOLÓGICO NO ESPAÇO CUIDARH</v>
      </c>
      <c r="K2439" s="25" t="str">
        <f t="shared" si="79"/>
        <v/>
      </c>
    </row>
    <row r="2440" spans="2:11" ht="15" customHeight="1">
      <c r="B2440" s="38">
        <v>15295</v>
      </c>
      <c r="C2440" s="22" t="str">
        <f>IFERROR(VLOOKUP(B2440,Colaboradores!A:D,2,),"")</f>
        <v>ANA CRISTINA GONÇALVES NUNES</v>
      </c>
      <c r="D2440" s="22" t="str">
        <f>IFERROR(VLOOKUP(B2440,Colaboradores!A:D,3,),"")</f>
        <v>SAÚDE OCUPACIONAL</v>
      </c>
      <c r="E2440" s="22" t="str">
        <f>IFERROR(VLOOKUP(B2440,Colaboradores!A:D,4,),"")</f>
        <v>ENFERMEIRA</v>
      </c>
      <c r="F2440" s="54" t="s">
        <v>85</v>
      </c>
      <c r="G2440" s="24" t="str">
        <f>IFERROR(VLOOKUP(F2440,Procedimentos!A:C,2,),"")</f>
        <v>PLANO DE CONTIGÊNCIA ESPAÇO CUIDAR</v>
      </c>
      <c r="K2440" s="25" t="str">
        <f t="shared" si="79"/>
        <v/>
      </c>
    </row>
    <row r="2441" spans="2:11" ht="15" customHeight="1">
      <c r="B2441" s="38">
        <v>3109</v>
      </c>
      <c r="C2441" s="22" t="str">
        <f>IFERROR(VLOOKUP(B2441,Colaboradores!A:D,2,),"")</f>
        <v>BRUNO ARRUDA DE AMORIM OLIVEIRA</v>
      </c>
      <c r="D2441" s="22" t="str">
        <f>IFERROR(VLOOKUP(B2441,Colaboradores!A:D,3,),"")</f>
        <v>SAÚDE OCUPACIONAL</v>
      </c>
      <c r="E2441" s="22" t="str">
        <f>IFERROR(VLOOKUP(B2441,Colaboradores!A:D,4,),"")</f>
        <v>MÉDICO DO TRABALHO</v>
      </c>
      <c r="F2441" s="54" t="s">
        <v>85</v>
      </c>
      <c r="G2441" s="24" t="str">
        <f>IFERROR(VLOOKUP(F2441,Procedimentos!A:C,2,),"")</f>
        <v>PLANO DE CONTIGÊNCIA ESPAÇO CUIDAR</v>
      </c>
      <c r="K2441" s="25" t="str">
        <f t="shared" si="79"/>
        <v/>
      </c>
    </row>
    <row r="2442" spans="2:11" ht="15" customHeight="1">
      <c r="B2442" s="38">
        <v>1866</v>
      </c>
      <c r="C2442" s="22" t="str">
        <f>IFERROR(VLOOKUP(B2442,Colaboradores!A:D,2,),"")</f>
        <v>FLAVIA AROUCHE GAMA</v>
      </c>
      <c r="D2442" s="22" t="str">
        <f>IFERROR(VLOOKUP(B2442,Colaboradores!A:D,3,),"")</f>
        <v>SAÚDE OCUPACIONAL</v>
      </c>
      <c r="E2442" s="22" t="str">
        <f>IFERROR(VLOOKUP(B2442,Colaboradores!A:D,4,),"")</f>
        <v>MÉDICO DO TRABALHO</v>
      </c>
      <c r="F2442" s="54" t="s">
        <v>85</v>
      </c>
      <c r="G2442" s="24" t="str">
        <f>IFERROR(VLOOKUP(F2442,Procedimentos!A:C,2,),"")</f>
        <v>PLANO DE CONTIGÊNCIA ESPAÇO CUIDAR</v>
      </c>
      <c r="K2442" s="25" t="str">
        <f t="shared" si="79"/>
        <v/>
      </c>
    </row>
    <row r="2443" spans="2:11" ht="15" customHeight="1">
      <c r="B2443" s="38">
        <v>14508</v>
      </c>
      <c r="C2443" s="22" t="str">
        <f>IFERROR(VLOOKUP(B2443,Colaboradores!A:D,2,),"")</f>
        <v>FYAMA SANTOS SILVA</v>
      </c>
      <c r="D2443" s="22" t="str">
        <f>IFERROR(VLOOKUP(B2443,Colaboradores!A:D,3,),"")</f>
        <v>SAÚDE OCUPACIONAL</v>
      </c>
      <c r="E2443" s="22" t="str">
        <f>IFERROR(VLOOKUP(B2443,Colaboradores!A:D,4,),"")</f>
        <v>ASSISTENTE ADMINISTRATIVO</v>
      </c>
      <c r="F2443" s="54" t="s">
        <v>85</v>
      </c>
      <c r="G2443" s="24" t="str">
        <f>IFERROR(VLOOKUP(F2443,Procedimentos!A:C,2,),"")</f>
        <v>PLANO DE CONTIGÊNCIA ESPAÇO CUIDAR</v>
      </c>
      <c r="K2443" s="25" t="str">
        <f t="shared" si="79"/>
        <v/>
      </c>
    </row>
    <row r="2444" spans="2:11" ht="15" customHeight="1">
      <c r="B2444" s="38">
        <v>14866</v>
      </c>
      <c r="C2444" s="22" t="str">
        <f>IFERROR(VLOOKUP(B2444,Colaboradores!A:D,2,),"")</f>
        <v>GERUSA LOURDES CHAVES ALVES DA SILVA</v>
      </c>
      <c r="D2444" s="22" t="str">
        <f>IFERROR(VLOOKUP(B2444,Colaboradores!A:D,3,),"")</f>
        <v>SAÚDE OCUPACIONAL</v>
      </c>
      <c r="E2444" s="22" t="str">
        <f>IFERROR(VLOOKUP(B2444,Colaboradores!A:D,4,),"")</f>
        <v>ASSESSOR CLINICO(A)</v>
      </c>
      <c r="F2444" s="54" t="s">
        <v>85</v>
      </c>
      <c r="G2444" s="24" t="str">
        <f>IFERROR(VLOOKUP(F2444,Procedimentos!A:C,2,),"")</f>
        <v>PLANO DE CONTIGÊNCIA ESPAÇO CUIDAR</v>
      </c>
      <c r="K2444" s="25" t="str">
        <f t="shared" si="79"/>
        <v/>
      </c>
    </row>
    <row r="2445" spans="2:11" ht="15" customHeight="1">
      <c r="B2445" s="38">
        <v>15059</v>
      </c>
      <c r="C2445" s="22" t="str">
        <f>IFERROR(VLOOKUP(B2445,Colaboradores!A:D,2,),"")</f>
        <v>GUILHERME LEÃO DOS SANTOS</v>
      </c>
      <c r="D2445" s="22" t="str">
        <f>IFERROR(VLOOKUP(B2445,Colaboradores!A:D,3,),"")</f>
        <v>SAÚDE OCUPACIONAL</v>
      </c>
      <c r="E2445" s="22" t="str">
        <f>IFERROR(VLOOKUP(B2445,Colaboradores!A:D,4,),"")</f>
        <v>ASSISTENTE ADMINISTRATIVO</v>
      </c>
      <c r="F2445" s="54" t="s">
        <v>85</v>
      </c>
      <c r="G2445" s="24" t="str">
        <f>IFERROR(VLOOKUP(F2445,Procedimentos!A:C,2,),"")</f>
        <v>PLANO DE CONTIGÊNCIA ESPAÇO CUIDAR</v>
      </c>
      <c r="K2445" s="25" t="str">
        <f t="shared" si="79"/>
        <v/>
      </c>
    </row>
    <row r="2446" spans="2:11" ht="15" customHeight="1">
      <c r="B2446" s="38">
        <v>7601</v>
      </c>
      <c r="C2446" s="22" t="str">
        <f>IFERROR(VLOOKUP(B2446,Colaboradores!A:D,2,),"")</f>
        <v>RAYANE BEZERRA DE JESUS</v>
      </c>
      <c r="D2446" s="22" t="str">
        <f>IFERROR(VLOOKUP(B2446,Colaboradores!A:D,3,),"")</f>
        <v>SAÚDE OCUPACIONAL</v>
      </c>
      <c r="E2446" s="22" t="str">
        <f>IFERROR(VLOOKUP(B2446,Colaboradores!A:D,4,),"")</f>
        <v>TÉCNICO DE ENFERMAGEM DO TRABALHO</v>
      </c>
      <c r="F2446" s="54" t="s">
        <v>85</v>
      </c>
      <c r="G2446" s="24" t="str">
        <f>IFERROR(VLOOKUP(F2446,Procedimentos!A:C,2,),"")</f>
        <v>PLANO DE CONTIGÊNCIA ESPAÇO CUIDAR</v>
      </c>
      <c r="K2446" s="25" t="str">
        <f t="shared" si="79"/>
        <v/>
      </c>
    </row>
    <row r="2447" spans="2:11" ht="15" customHeight="1">
      <c r="B2447" s="38">
        <v>14083</v>
      </c>
      <c r="C2447" s="22" t="str">
        <f>IFERROR(VLOOKUP(B2447,Colaboradores!A:D,2,),"")</f>
        <v>TAHYNAN FREITAS SILVA COSTA</v>
      </c>
      <c r="D2447" s="22" t="str">
        <f>IFERROR(VLOOKUP(B2447,Colaboradores!A:D,3,),"")</f>
        <v>SAÚDE OCUPACIONAL</v>
      </c>
      <c r="E2447" s="22" t="str">
        <f>IFERROR(VLOOKUP(B2447,Colaboradores!A:D,4,),"")</f>
        <v>TÉCNICO DE ENFERMAGEM DO TRABALHO</v>
      </c>
      <c r="F2447" s="54" t="s">
        <v>85</v>
      </c>
      <c r="G2447" s="24" t="str">
        <f>IFERROR(VLOOKUP(F2447,Procedimentos!A:C,2,),"")</f>
        <v>PLANO DE CONTIGÊNCIA ESPAÇO CUIDAR</v>
      </c>
      <c r="K2447" s="25" t="str">
        <f t="shared" si="79"/>
        <v/>
      </c>
    </row>
    <row r="2448" spans="2:11" ht="15" customHeight="1">
      <c r="B2448" s="38">
        <v>15295</v>
      </c>
      <c r="C2448" s="22" t="str">
        <f>IFERROR(VLOOKUP(B2448,Colaboradores!A:D,2,),"")</f>
        <v>ANA CRISTINA GONÇALVES NUNES</v>
      </c>
      <c r="D2448" s="22" t="str">
        <f>IFERROR(VLOOKUP(B2448,Colaboradores!A:D,3,),"")</f>
        <v>SAÚDE OCUPACIONAL</v>
      </c>
      <c r="E2448" s="22" t="str">
        <f>IFERROR(VLOOKUP(B2448,Colaboradores!A:D,4,),"")</f>
        <v>ENFERMEIRA</v>
      </c>
      <c r="F2448" s="54" t="s">
        <v>86</v>
      </c>
      <c r="G2448" s="24" t="str">
        <f>IFERROR(VLOOKUP(F2448,Procedimentos!A:C,2,),"")</f>
        <v>PROGRAMA DE CONTROLE DE INFECÇÃO RELACIONADA À ASSISTÊNCIA À SAÚDE – CCIRAS - ASSISTÊNCIA AMBULATORIAL</v>
      </c>
      <c r="K2448" s="25" t="str">
        <f t="shared" si="79"/>
        <v/>
      </c>
    </row>
    <row r="2449" spans="2:11" ht="15" customHeight="1">
      <c r="B2449" s="38">
        <v>3109</v>
      </c>
      <c r="C2449" s="22" t="str">
        <f>IFERROR(VLOOKUP(B2449,Colaboradores!A:D,2,),"")</f>
        <v>BRUNO ARRUDA DE AMORIM OLIVEIRA</v>
      </c>
      <c r="D2449" s="22" t="str">
        <f>IFERROR(VLOOKUP(B2449,Colaboradores!A:D,3,),"")</f>
        <v>SAÚDE OCUPACIONAL</v>
      </c>
      <c r="E2449" s="22" t="str">
        <f>IFERROR(VLOOKUP(B2449,Colaboradores!A:D,4,),"")</f>
        <v>MÉDICO DO TRABALHO</v>
      </c>
      <c r="F2449" s="54" t="s">
        <v>86</v>
      </c>
      <c r="G2449" s="24" t="str">
        <f>IFERROR(VLOOKUP(F2449,Procedimentos!A:C,2,),"")</f>
        <v>PROGRAMA DE CONTROLE DE INFECÇÃO RELACIONADA À ASSISTÊNCIA À SAÚDE – CCIRAS - ASSISTÊNCIA AMBULATORIAL</v>
      </c>
      <c r="K2449" s="25" t="str">
        <f t="shared" si="79"/>
        <v/>
      </c>
    </row>
    <row r="2450" spans="2:11" ht="15" customHeight="1">
      <c r="B2450" s="38">
        <v>1866</v>
      </c>
      <c r="C2450" s="22" t="str">
        <f>IFERROR(VLOOKUP(B2450,Colaboradores!A:D,2,),"")</f>
        <v>FLAVIA AROUCHE GAMA</v>
      </c>
      <c r="D2450" s="22" t="str">
        <f>IFERROR(VLOOKUP(B2450,Colaboradores!A:D,3,),"")</f>
        <v>SAÚDE OCUPACIONAL</v>
      </c>
      <c r="E2450" s="22" t="str">
        <f>IFERROR(VLOOKUP(B2450,Colaboradores!A:D,4,),"")</f>
        <v>MÉDICO DO TRABALHO</v>
      </c>
      <c r="F2450" s="54" t="s">
        <v>86</v>
      </c>
      <c r="G2450" s="24" t="str">
        <f>IFERROR(VLOOKUP(F2450,Procedimentos!A:C,2,),"")</f>
        <v>PROGRAMA DE CONTROLE DE INFECÇÃO RELACIONADA À ASSISTÊNCIA À SAÚDE – CCIRAS - ASSISTÊNCIA AMBULATORIAL</v>
      </c>
      <c r="K2450" s="25" t="str">
        <f t="shared" si="79"/>
        <v/>
      </c>
    </row>
    <row r="2451" spans="2:11" ht="15" customHeight="1">
      <c r="B2451" s="38">
        <v>14508</v>
      </c>
      <c r="C2451" s="22" t="str">
        <f>IFERROR(VLOOKUP(B2451,Colaboradores!A:D,2,),"")</f>
        <v>FYAMA SANTOS SILVA</v>
      </c>
      <c r="D2451" s="22" t="str">
        <f>IFERROR(VLOOKUP(B2451,Colaboradores!A:D,3,),"")</f>
        <v>SAÚDE OCUPACIONAL</v>
      </c>
      <c r="E2451" s="22" t="str">
        <f>IFERROR(VLOOKUP(B2451,Colaboradores!A:D,4,),"")</f>
        <v>ASSISTENTE ADMINISTRATIVO</v>
      </c>
      <c r="F2451" s="54" t="s">
        <v>86</v>
      </c>
      <c r="G2451" s="24" t="str">
        <f>IFERROR(VLOOKUP(F2451,Procedimentos!A:C,2,),"")</f>
        <v>PROGRAMA DE CONTROLE DE INFECÇÃO RELACIONADA À ASSISTÊNCIA À SAÚDE – CCIRAS - ASSISTÊNCIA AMBULATORIAL</v>
      </c>
      <c r="K2451" s="25" t="str">
        <f t="shared" si="79"/>
        <v/>
      </c>
    </row>
    <row r="2452" spans="2:11" ht="15" customHeight="1">
      <c r="B2452" s="38">
        <v>14866</v>
      </c>
      <c r="C2452" s="22" t="str">
        <f>IFERROR(VLOOKUP(B2452,Colaboradores!A:D,2,),"")</f>
        <v>GERUSA LOURDES CHAVES ALVES DA SILVA</v>
      </c>
      <c r="D2452" s="22" t="str">
        <f>IFERROR(VLOOKUP(B2452,Colaboradores!A:D,3,),"")</f>
        <v>SAÚDE OCUPACIONAL</v>
      </c>
      <c r="E2452" s="22" t="str">
        <f>IFERROR(VLOOKUP(B2452,Colaboradores!A:D,4,),"")</f>
        <v>ASSESSOR CLINICO(A)</v>
      </c>
      <c r="F2452" s="54" t="s">
        <v>86</v>
      </c>
      <c r="G2452" s="24" t="str">
        <f>IFERROR(VLOOKUP(F2452,Procedimentos!A:C,2,),"")</f>
        <v>PROGRAMA DE CONTROLE DE INFECÇÃO RELACIONADA À ASSISTÊNCIA À SAÚDE – CCIRAS - ASSISTÊNCIA AMBULATORIAL</v>
      </c>
      <c r="K2452" s="25" t="str">
        <f t="shared" si="79"/>
        <v/>
      </c>
    </row>
    <row r="2453" spans="2:11" ht="15" customHeight="1">
      <c r="B2453" s="38">
        <v>15059</v>
      </c>
      <c r="C2453" s="22" t="str">
        <f>IFERROR(VLOOKUP(B2453,Colaboradores!A:D,2,),"")</f>
        <v>GUILHERME LEÃO DOS SANTOS</v>
      </c>
      <c r="D2453" s="22" t="str">
        <f>IFERROR(VLOOKUP(B2453,Colaboradores!A:D,3,),"")</f>
        <v>SAÚDE OCUPACIONAL</v>
      </c>
      <c r="E2453" s="22" t="str">
        <f>IFERROR(VLOOKUP(B2453,Colaboradores!A:D,4,),"")</f>
        <v>ASSISTENTE ADMINISTRATIVO</v>
      </c>
      <c r="F2453" s="54" t="s">
        <v>86</v>
      </c>
      <c r="G2453" s="24" t="str">
        <f>IFERROR(VLOOKUP(F2453,Procedimentos!A:C,2,),"")</f>
        <v>PROGRAMA DE CONTROLE DE INFECÇÃO RELACIONADA À ASSISTÊNCIA À SAÚDE – CCIRAS - ASSISTÊNCIA AMBULATORIAL</v>
      </c>
      <c r="K2453" s="25" t="str">
        <f t="shared" si="79"/>
        <v/>
      </c>
    </row>
    <row r="2454" spans="2:11" ht="15" customHeight="1">
      <c r="B2454" s="38">
        <v>7601</v>
      </c>
      <c r="C2454" s="22" t="str">
        <f>IFERROR(VLOOKUP(B2454,Colaboradores!A:D,2,),"")</f>
        <v>RAYANE BEZERRA DE JESUS</v>
      </c>
      <c r="D2454" s="22" t="str">
        <f>IFERROR(VLOOKUP(B2454,Colaboradores!A:D,3,),"")</f>
        <v>SAÚDE OCUPACIONAL</v>
      </c>
      <c r="E2454" s="22" t="str">
        <f>IFERROR(VLOOKUP(B2454,Colaboradores!A:D,4,),"")</f>
        <v>TÉCNICO DE ENFERMAGEM DO TRABALHO</v>
      </c>
      <c r="F2454" s="54" t="s">
        <v>86</v>
      </c>
      <c r="G2454" s="24" t="str">
        <f>IFERROR(VLOOKUP(F2454,Procedimentos!A:C,2,),"")</f>
        <v>PROGRAMA DE CONTROLE DE INFECÇÃO RELACIONADA À ASSISTÊNCIA À SAÚDE – CCIRAS - ASSISTÊNCIA AMBULATORIAL</v>
      </c>
      <c r="K2454" s="25" t="str">
        <f t="shared" si="79"/>
        <v/>
      </c>
    </row>
    <row r="2455" spans="2:11" ht="15" customHeight="1">
      <c r="B2455" s="38">
        <v>14083</v>
      </c>
      <c r="C2455" s="22" t="str">
        <f>IFERROR(VLOOKUP(B2455,Colaboradores!A:D,2,),"")</f>
        <v>TAHYNAN FREITAS SILVA COSTA</v>
      </c>
      <c r="D2455" s="22" t="str">
        <f>IFERROR(VLOOKUP(B2455,Colaboradores!A:D,3,),"")</f>
        <v>SAÚDE OCUPACIONAL</v>
      </c>
      <c r="E2455" s="22" t="str">
        <f>IFERROR(VLOOKUP(B2455,Colaboradores!A:D,4,),"")</f>
        <v>TÉCNICO DE ENFERMAGEM DO TRABALHO</v>
      </c>
      <c r="F2455" s="54" t="s">
        <v>86</v>
      </c>
      <c r="G2455" s="24" t="str">
        <f>IFERROR(VLOOKUP(F2455,Procedimentos!A:C,2,),"")</f>
        <v>PROGRAMA DE CONTROLE DE INFECÇÃO RELACIONADA À ASSISTÊNCIA À SAÚDE – CCIRAS - ASSISTÊNCIA AMBULATORIAL</v>
      </c>
      <c r="K2455" s="25" t="str">
        <f t="shared" si="79"/>
        <v/>
      </c>
    </row>
    <row r="2456" spans="2:11" ht="15" customHeight="1">
      <c r="B2456" s="38">
        <v>15295</v>
      </c>
      <c r="C2456" s="22" t="str">
        <f>IFERROR(VLOOKUP(B2456,Colaboradores!A:D,2,),"")</f>
        <v>ANA CRISTINA GONÇALVES NUNES</v>
      </c>
      <c r="D2456" s="22" t="str">
        <f>IFERROR(VLOOKUP(B2456,Colaboradores!A:D,3,),"")</f>
        <v>SAÚDE OCUPACIONAL</v>
      </c>
      <c r="E2456" s="22" t="str">
        <f>IFERROR(VLOOKUP(B2456,Colaboradores!A:D,4,),"")</f>
        <v>ENFERMEIRA</v>
      </c>
      <c r="F2456" s="54" t="s">
        <v>87</v>
      </c>
      <c r="G2456" s="24" t="str">
        <f>IFERROR(VLOOKUP(F2456,Procedimentos!A:C,2,),"")</f>
        <v>PLANO ANUAL DE SEGURANÇA DO PACIENTE - NSP</v>
      </c>
      <c r="K2456" s="25" t="str">
        <f t="shared" si="79"/>
        <v/>
      </c>
    </row>
    <row r="2457" spans="2:11" ht="15" customHeight="1">
      <c r="B2457" s="38">
        <v>3109</v>
      </c>
      <c r="C2457" s="22" t="str">
        <f>IFERROR(VLOOKUP(B2457,Colaboradores!A:D,2,),"")</f>
        <v>BRUNO ARRUDA DE AMORIM OLIVEIRA</v>
      </c>
      <c r="D2457" s="22" t="str">
        <f>IFERROR(VLOOKUP(B2457,Colaboradores!A:D,3,),"")</f>
        <v>SAÚDE OCUPACIONAL</v>
      </c>
      <c r="E2457" s="22" t="str">
        <f>IFERROR(VLOOKUP(B2457,Colaboradores!A:D,4,),"")</f>
        <v>MÉDICO DO TRABALHO</v>
      </c>
      <c r="F2457" s="54" t="s">
        <v>87</v>
      </c>
      <c r="G2457" s="24" t="str">
        <f>IFERROR(VLOOKUP(F2457,Procedimentos!A:C,2,),"")</f>
        <v>PLANO ANUAL DE SEGURANÇA DO PACIENTE - NSP</v>
      </c>
      <c r="K2457" s="25" t="str">
        <f t="shared" si="79"/>
        <v/>
      </c>
    </row>
    <row r="2458" spans="2:11" ht="15" customHeight="1">
      <c r="B2458" s="38">
        <v>1866</v>
      </c>
      <c r="C2458" s="22" t="str">
        <f>IFERROR(VLOOKUP(B2458,Colaboradores!A:D,2,),"")</f>
        <v>FLAVIA AROUCHE GAMA</v>
      </c>
      <c r="D2458" s="22" t="str">
        <f>IFERROR(VLOOKUP(B2458,Colaboradores!A:D,3,),"")</f>
        <v>SAÚDE OCUPACIONAL</v>
      </c>
      <c r="E2458" s="22" t="str">
        <f>IFERROR(VLOOKUP(B2458,Colaboradores!A:D,4,),"")</f>
        <v>MÉDICO DO TRABALHO</v>
      </c>
      <c r="F2458" s="54" t="s">
        <v>87</v>
      </c>
      <c r="G2458" s="24" t="str">
        <f>IFERROR(VLOOKUP(F2458,Procedimentos!A:C,2,),"")</f>
        <v>PLANO ANUAL DE SEGURANÇA DO PACIENTE - NSP</v>
      </c>
      <c r="K2458" s="25" t="str">
        <f t="shared" si="79"/>
        <v/>
      </c>
    </row>
    <row r="2459" spans="2:11" ht="15" customHeight="1">
      <c r="B2459" s="38">
        <v>14508</v>
      </c>
      <c r="C2459" s="22" t="str">
        <f>IFERROR(VLOOKUP(B2459,Colaboradores!A:D,2,),"")</f>
        <v>FYAMA SANTOS SILVA</v>
      </c>
      <c r="D2459" s="22" t="str">
        <f>IFERROR(VLOOKUP(B2459,Colaboradores!A:D,3,),"")</f>
        <v>SAÚDE OCUPACIONAL</v>
      </c>
      <c r="E2459" s="22" t="str">
        <f>IFERROR(VLOOKUP(B2459,Colaboradores!A:D,4,),"")</f>
        <v>ASSISTENTE ADMINISTRATIVO</v>
      </c>
      <c r="F2459" s="54" t="s">
        <v>87</v>
      </c>
      <c r="G2459" s="24" t="str">
        <f>IFERROR(VLOOKUP(F2459,Procedimentos!A:C,2,),"")</f>
        <v>PLANO ANUAL DE SEGURANÇA DO PACIENTE - NSP</v>
      </c>
      <c r="K2459" s="25" t="str">
        <f t="shared" si="79"/>
        <v/>
      </c>
    </row>
    <row r="2460" spans="2:11" ht="15" customHeight="1">
      <c r="B2460" s="38">
        <v>14866</v>
      </c>
      <c r="C2460" s="22" t="str">
        <f>IFERROR(VLOOKUP(B2460,Colaboradores!A:D,2,),"")</f>
        <v>GERUSA LOURDES CHAVES ALVES DA SILVA</v>
      </c>
      <c r="D2460" s="22" t="str">
        <f>IFERROR(VLOOKUP(B2460,Colaboradores!A:D,3,),"")</f>
        <v>SAÚDE OCUPACIONAL</v>
      </c>
      <c r="E2460" s="22" t="str">
        <f>IFERROR(VLOOKUP(B2460,Colaboradores!A:D,4,),"")</f>
        <v>ASSESSOR CLINICO(A)</v>
      </c>
      <c r="F2460" s="54" t="s">
        <v>87</v>
      </c>
      <c r="G2460" s="24" t="str">
        <f>IFERROR(VLOOKUP(F2460,Procedimentos!A:C,2,),"")</f>
        <v>PLANO ANUAL DE SEGURANÇA DO PACIENTE - NSP</v>
      </c>
      <c r="K2460" s="25" t="str">
        <f t="shared" si="79"/>
        <v/>
      </c>
    </row>
    <row r="2461" spans="2:11" ht="15" customHeight="1">
      <c r="B2461" s="38">
        <v>15059</v>
      </c>
      <c r="C2461" s="22" t="str">
        <f>IFERROR(VLOOKUP(B2461,Colaboradores!A:D,2,),"")</f>
        <v>GUILHERME LEÃO DOS SANTOS</v>
      </c>
      <c r="D2461" s="22" t="str">
        <f>IFERROR(VLOOKUP(B2461,Colaboradores!A:D,3,),"")</f>
        <v>SAÚDE OCUPACIONAL</v>
      </c>
      <c r="E2461" s="22" t="str">
        <f>IFERROR(VLOOKUP(B2461,Colaboradores!A:D,4,),"")</f>
        <v>ASSISTENTE ADMINISTRATIVO</v>
      </c>
      <c r="F2461" s="54" t="s">
        <v>87</v>
      </c>
      <c r="G2461" s="24" t="str">
        <f>IFERROR(VLOOKUP(F2461,Procedimentos!A:C,2,),"")</f>
        <v>PLANO ANUAL DE SEGURANÇA DO PACIENTE - NSP</v>
      </c>
      <c r="K2461" s="25" t="str">
        <f t="shared" si="79"/>
        <v/>
      </c>
    </row>
    <row r="2462" spans="2:11" ht="15" customHeight="1">
      <c r="B2462" s="38">
        <v>7601</v>
      </c>
      <c r="C2462" s="22" t="str">
        <f>IFERROR(VLOOKUP(B2462,Colaboradores!A:D,2,),"")</f>
        <v>RAYANE BEZERRA DE JESUS</v>
      </c>
      <c r="D2462" s="22" t="str">
        <f>IFERROR(VLOOKUP(B2462,Colaboradores!A:D,3,),"")</f>
        <v>SAÚDE OCUPACIONAL</v>
      </c>
      <c r="E2462" s="22" t="str">
        <f>IFERROR(VLOOKUP(B2462,Colaboradores!A:D,4,),"")</f>
        <v>TÉCNICO DE ENFERMAGEM DO TRABALHO</v>
      </c>
      <c r="F2462" s="54" t="s">
        <v>87</v>
      </c>
      <c r="G2462" s="24" t="str">
        <f>IFERROR(VLOOKUP(F2462,Procedimentos!A:C,2,),"")</f>
        <v>PLANO ANUAL DE SEGURANÇA DO PACIENTE - NSP</v>
      </c>
      <c r="H2462" s="22"/>
      <c r="K2462" s="25" t="str">
        <f t="shared" si="79"/>
        <v/>
      </c>
    </row>
    <row r="2463" spans="2:11" ht="15" customHeight="1">
      <c r="B2463" s="38">
        <v>14083</v>
      </c>
      <c r="C2463" s="22" t="str">
        <f>IFERROR(VLOOKUP(B2463,Colaboradores!A:D,2,),"")</f>
        <v>TAHYNAN FREITAS SILVA COSTA</v>
      </c>
      <c r="D2463" s="22" t="str">
        <f>IFERROR(VLOOKUP(B2463,Colaboradores!A:D,3,),"")</f>
        <v>SAÚDE OCUPACIONAL</v>
      </c>
      <c r="E2463" s="22" t="str">
        <f>IFERROR(VLOOKUP(B2463,Colaboradores!A:D,4,),"")</f>
        <v>TÉCNICO DE ENFERMAGEM DO TRABALHO</v>
      </c>
      <c r="F2463" s="54" t="s">
        <v>87</v>
      </c>
      <c r="G2463" s="24" t="str">
        <f>IFERROR(VLOOKUP(F2463,Procedimentos!A:C,2,),"")</f>
        <v>PLANO ANUAL DE SEGURANÇA DO PACIENTE - NSP</v>
      </c>
      <c r="K2463" s="25" t="str">
        <f t="shared" si="79"/>
        <v/>
      </c>
    </row>
    <row r="2464" spans="2:11" ht="15" customHeight="1">
      <c r="B2464" s="38">
        <v>15295</v>
      </c>
      <c r="C2464" s="22" t="str">
        <f>IFERROR(VLOOKUP(B2464,Colaboradores!A:D,2,),"")</f>
        <v>ANA CRISTINA GONÇALVES NUNES</v>
      </c>
      <c r="D2464" s="22" t="str">
        <f>IFERROR(VLOOKUP(B2464,Colaboradores!A:D,3,),"")</f>
        <v>SAÚDE OCUPACIONAL</v>
      </c>
      <c r="E2464" s="22" t="str">
        <f>IFERROR(VLOOKUP(B2464,Colaboradores!A:D,4,),"")</f>
        <v>ENFERMEIRA</v>
      </c>
      <c r="F2464" s="54" t="s">
        <v>88</v>
      </c>
      <c r="G2464" s="24" t="str">
        <f>IFERROR(VLOOKUP(F2464,Procedimentos!A:C,2,),"")</f>
        <v>PLANO ANUAL COMISSÃO BIOSSEGURANÇA</v>
      </c>
      <c r="K2464" s="25" t="str">
        <f t="shared" si="79"/>
        <v/>
      </c>
    </row>
    <row r="2465" spans="2:11" ht="15" customHeight="1">
      <c r="B2465" s="38">
        <v>3109</v>
      </c>
      <c r="C2465" s="22" t="str">
        <f>IFERROR(VLOOKUP(B2465,Colaboradores!A:D,2,),"")</f>
        <v>BRUNO ARRUDA DE AMORIM OLIVEIRA</v>
      </c>
      <c r="D2465" s="22" t="str">
        <f>IFERROR(VLOOKUP(B2465,Colaboradores!A:D,3,),"")</f>
        <v>SAÚDE OCUPACIONAL</v>
      </c>
      <c r="E2465" s="22" t="str">
        <f>IFERROR(VLOOKUP(B2465,Colaboradores!A:D,4,),"")</f>
        <v>MÉDICO DO TRABALHO</v>
      </c>
      <c r="F2465" s="54" t="s">
        <v>88</v>
      </c>
      <c r="G2465" s="24" t="str">
        <f>IFERROR(VLOOKUP(F2465,Procedimentos!A:C,2,),"")</f>
        <v>PLANO ANUAL COMISSÃO BIOSSEGURANÇA</v>
      </c>
      <c r="K2465" s="25" t="str">
        <f t="shared" si="79"/>
        <v/>
      </c>
    </row>
    <row r="2466" spans="2:11" ht="15" customHeight="1">
      <c r="B2466" s="38">
        <v>1866</v>
      </c>
      <c r="C2466" s="22" t="str">
        <f>IFERROR(VLOOKUP(B2466,Colaboradores!A:D,2,),"")</f>
        <v>FLAVIA AROUCHE GAMA</v>
      </c>
      <c r="D2466" s="22" t="str">
        <f>IFERROR(VLOOKUP(B2466,Colaboradores!A:D,3,),"")</f>
        <v>SAÚDE OCUPACIONAL</v>
      </c>
      <c r="E2466" s="22" t="str">
        <f>IFERROR(VLOOKUP(B2466,Colaboradores!A:D,4,),"")</f>
        <v>MÉDICO DO TRABALHO</v>
      </c>
      <c r="F2466" s="54" t="s">
        <v>88</v>
      </c>
      <c r="G2466" s="24" t="str">
        <f>IFERROR(VLOOKUP(F2466,Procedimentos!A:C,2,),"")</f>
        <v>PLANO ANUAL COMISSÃO BIOSSEGURANÇA</v>
      </c>
      <c r="K2466" s="25" t="str">
        <f t="shared" si="79"/>
        <v/>
      </c>
    </row>
    <row r="2467" spans="2:11" ht="15" customHeight="1">
      <c r="B2467" s="38">
        <v>14508</v>
      </c>
      <c r="C2467" s="22" t="str">
        <f>IFERROR(VLOOKUP(B2467,Colaboradores!A:D,2,),"")</f>
        <v>FYAMA SANTOS SILVA</v>
      </c>
      <c r="D2467" s="22" t="str">
        <f>IFERROR(VLOOKUP(B2467,Colaboradores!A:D,3,),"")</f>
        <v>SAÚDE OCUPACIONAL</v>
      </c>
      <c r="E2467" s="22" t="str">
        <f>IFERROR(VLOOKUP(B2467,Colaboradores!A:D,4,),"")</f>
        <v>ASSISTENTE ADMINISTRATIVO</v>
      </c>
      <c r="F2467" s="54" t="s">
        <v>88</v>
      </c>
      <c r="G2467" s="24" t="str">
        <f>IFERROR(VLOOKUP(F2467,Procedimentos!A:C,2,),"")</f>
        <v>PLANO ANUAL COMISSÃO BIOSSEGURANÇA</v>
      </c>
      <c r="K2467" s="25" t="str">
        <f t="shared" si="79"/>
        <v/>
      </c>
    </row>
    <row r="2468" spans="2:11" ht="15" customHeight="1">
      <c r="B2468" s="38">
        <v>14866</v>
      </c>
      <c r="C2468" s="22" t="str">
        <f>IFERROR(VLOOKUP(B2468,Colaboradores!A:D,2,),"")</f>
        <v>GERUSA LOURDES CHAVES ALVES DA SILVA</v>
      </c>
      <c r="D2468" s="22" t="str">
        <f>IFERROR(VLOOKUP(B2468,Colaboradores!A:D,3,),"")</f>
        <v>SAÚDE OCUPACIONAL</v>
      </c>
      <c r="E2468" s="22" t="str">
        <f>IFERROR(VLOOKUP(B2468,Colaboradores!A:D,4,),"")</f>
        <v>ASSESSOR CLINICO(A)</v>
      </c>
      <c r="F2468" s="54" t="s">
        <v>88</v>
      </c>
      <c r="G2468" s="24" t="str">
        <f>IFERROR(VLOOKUP(F2468,Procedimentos!A:C,2,),"")</f>
        <v>PLANO ANUAL COMISSÃO BIOSSEGURANÇA</v>
      </c>
      <c r="K2468" s="25" t="str">
        <f t="shared" si="79"/>
        <v/>
      </c>
    </row>
    <row r="2469" spans="2:11" ht="15" customHeight="1">
      <c r="B2469" s="38">
        <v>15059</v>
      </c>
      <c r="C2469" s="22" t="str">
        <f>IFERROR(VLOOKUP(B2469,Colaboradores!A:D,2,),"")</f>
        <v>GUILHERME LEÃO DOS SANTOS</v>
      </c>
      <c r="D2469" s="22" t="str">
        <f>IFERROR(VLOOKUP(B2469,Colaboradores!A:D,3,),"")</f>
        <v>SAÚDE OCUPACIONAL</v>
      </c>
      <c r="E2469" s="22" t="str">
        <f>IFERROR(VLOOKUP(B2469,Colaboradores!A:D,4,),"")</f>
        <v>ASSISTENTE ADMINISTRATIVO</v>
      </c>
      <c r="F2469" s="54" t="s">
        <v>88</v>
      </c>
      <c r="G2469" s="24" t="str">
        <f>IFERROR(VLOOKUP(F2469,Procedimentos!A:C,2,),"")</f>
        <v>PLANO ANUAL COMISSÃO BIOSSEGURANÇA</v>
      </c>
      <c r="K2469" s="25" t="str">
        <f t="shared" si="79"/>
        <v/>
      </c>
    </row>
    <row r="2470" spans="2:11" ht="15" customHeight="1">
      <c r="B2470" s="38">
        <v>7601</v>
      </c>
      <c r="C2470" s="22" t="str">
        <f>IFERROR(VLOOKUP(B2470,Colaboradores!A:D,2,),"")</f>
        <v>RAYANE BEZERRA DE JESUS</v>
      </c>
      <c r="D2470" s="22" t="str">
        <f>IFERROR(VLOOKUP(B2470,Colaboradores!A:D,3,),"")</f>
        <v>SAÚDE OCUPACIONAL</v>
      </c>
      <c r="E2470" s="22" t="str">
        <f>IFERROR(VLOOKUP(B2470,Colaboradores!A:D,4,),"")</f>
        <v>TÉCNICO DE ENFERMAGEM DO TRABALHO</v>
      </c>
      <c r="F2470" s="54" t="s">
        <v>88</v>
      </c>
      <c r="G2470" s="24" t="str">
        <f>IFERROR(VLOOKUP(F2470,Procedimentos!A:C,2,),"")</f>
        <v>PLANO ANUAL COMISSÃO BIOSSEGURANÇA</v>
      </c>
      <c r="K2470" s="25" t="str">
        <f t="shared" si="79"/>
        <v/>
      </c>
    </row>
    <row r="2471" spans="2:11" ht="15" customHeight="1">
      <c r="B2471" s="38">
        <v>14083</v>
      </c>
      <c r="C2471" s="22" t="str">
        <f>IFERROR(VLOOKUP(B2471,Colaboradores!A:D,2,),"")</f>
        <v>TAHYNAN FREITAS SILVA COSTA</v>
      </c>
      <c r="D2471" s="22" t="str">
        <f>IFERROR(VLOOKUP(B2471,Colaboradores!A:D,3,),"")</f>
        <v>SAÚDE OCUPACIONAL</v>
      </c>
      <c r="E2471" s="22" t="str">
        <f>IFERROR(VLOOKUP(B2471,Colaboradores!A:D,4,),"")</f>
        <v>TÉCNICO DE ENFERMAGEM DO TRABALHO</v>
      </c>
      <c r="F2471" s="54" t="s">
        <v>88</v>
      </c>
      <c r="G2471" s="24" t="str">
        <f>IFERROR(VLOOKUP(F2471,Procedimentos!A:C,2,),"")</f>
        <v>PLANO ANUAL COMISSÃO BIOSSEGURANÇA</v>
      </c>
      <c r="K2471" s="25" t="str">
        <f t="shared" si="79"/>
        <v/>
      </c>
    </row>
    <row r="2472" spans="2:11" ht="15" customHeight="1">
      <c r="B2472" s="38">
        <v>15295</v>
      </c>
      <c r="C2472" s="22" t="str">
        <f>IFERROR(VLOOKUP(B2472,Colaboradores!A:D,2,),"")</f>
        <v>ANA CRISTINA GONÇALVES NUNES</v>
      </c>
      <c r="D2472" s="22" t="str">
        <f>IFERROR(VLOOKUP(B2472,Colaboradores!A:D,3,),"")</f>
        <v>SAÚDE OCUPACIONAL</v>
      </c>
      <c r="E2472" s="22" t="str">
        <f>IFERROR(VLOOKUP(B2472,Colaboradores!A:D,4,),"")</f>
        <v>ENFERMEIRA</v>
      </c>
      <c r="F2472" s="54" t="s">
        <v>89</v>
      </c>
      <c r="G2472" s="24" t="str">
        <f>IFERROR(VLOOKUP(F2472,Procedimentos!A:C,2,),"")</f>
        <v>PLANO ANUAL DA COMISSÃO DE REVISÃO DE PRONTUÁRIO</v>
      </c>
      <c r="K2472" s="25" t="str">
        <f t="shared" si="79"/>
        <v/>
      </c>
    </row>
    <row r="2473" spans="2:11" ht="15" customHeight="1">
      <c r="B2473" s="38">
        <v>3109</v>
      </c>
      <c r="C2473" s="22" t="str">
        <f>IFERROR(VLOOKUP(B2473,Colaboradores!A:D,2,),"")</f>
        <v>BRUNO ARRUDA DE AMORIM OLIVEIRA</v>
      </c>
      <c r="D2473" s="22" t="str">
        <f>IFERROR(VLOOKUP(B2473,Colaboradores!A:D,3,),"")</f>
        <v>SAÚDE OCUPACIONAL</v>
      </c>
      <c r="E2473" s="22" t="str">
        <f>IFERROR(VLOOKUP(B2473,Colaboradores!A:D,4,),"")</f>
        <v>MÉDICO DO TRABALHO</v>
      </c>
      <c r="F2473" s="54" t="s">
        <v>89</v>
      </c>
      <c r="G2473" s="24" t="str">
        <f>IFERROR(VLOOKUP(F2473,Procedimentos!A:C,2,),"")</f>
        <v>PLANO ANUAL DA COMISSÃO DE REVISÃO DE PRONTUÁRIO</v>
      </c>
      <c r="K2473" s="25" t="str">
        <f t="shared" si="79"/>
        <v/>
      </c>
    </row>
    <row r="2474" spans="2:11" ht="15" customHeight="1">
      <c r="B2474" s="38">
        <v>1866</v>
      </c>
      <c r="C2474" s="22" t="str">
        <f>IFERROR(VLOOKUP(B2474,Colaboradores!A:D,2,),"")</f>
        <v>FLAVIA AROUCHE GAMA</v>
      </c>
      <c r="D2474" s="22" t="str">
        <f>IFERROR(VLOOKUP(B2474,Colaboradores!A:D,3,),"")</f>
        <v>SAÚDE OCUPACIONAL</v>
      </c>
      <c r="E2474" s="22" t="str">
        <f>IFERROR(VLOOKUP(B2474,Colaboradores!A:D,4,),"")</f>
        <v>MÉDICO DO TRABALHO</v>
      </c>
      <c r="F2474" s="54" t="s">
        <v>89</v>
      </c>
      <c r="G2474" s="24" t="str">
        <f>IFERROR(VLOOKUP(F2474,Procedimentos!A:C,2,),"")</f>
        <v>PLANO ANUAL DA COMISSÃO DE REVISÃO DE PRONTUÁRIO</v>
      </c>
      <c r="K2474" s="25" t="str">
        <f t="shared" si="79"/>
        <v/>
      </c>
    </row>
    <row r="2475" spans="2:11" ht="15" customHeight="1">
      <c r="B2475" s="38">
        <v>14508</v>
      </c>
      <c r="C2475" s="22" t="str">
        <f>IFERROR(VLOOKUP(B2475,Colaboradores!A:D,2,),"")</f>
        <v>FYAMA SANTOS SILVA</v>
      </c>
      <c r="D2475" s="22" t="str">
        <f>IFERROR(VLOOKUP(B2475,Colaboradores!A:D,3,),"")</f>
        <v>SAÚDE OCUPACIONAL</v>
      </c>
      <c r="E2475" s="22" t="str">
        <f>IFERROR(VLOOKUP(B2475,Colaboradores!A:D,4,),"")</f>
        <v>ASSISTENTE ADMINISTRATIVO</v>
      </c>
      <c r="F2475" s="54" t="s">
        <v>89</v>
      </c>
      <c r="G2475" s="24" t="str">
        <f>IFERROR(VLOOKUP(F2475,Procedimentos!A:C,2,),"")</f>
        <v>PLANO ANUAL DA COMISSÃO DE REVISÃO DE PRONTUÁRIO</v>
      </c>
      <c r="K2475" s="25" t="str">
        <f t="shared" si="79"/>
        <v/>
      </c>
    </row>
    <row r="2476" spans="2:11" ht="15" customHeight="1">
      <c r="B2476" s="38">
        <v>14866</v>
      </c>
      <c r="C2476" s="22" t="str">
        <f>IFERROR(VLOOKUP(B2476,Colaboradores!A:D,2,),"")</f>
        <v>GERUSA LOURDES CHAVES ALVES DA SILVA</v>
      </c>
      <c r="D2476" s="22" t="str">
        <f>IFERROR(VLOOKUP(B2476,Colaboradores!A:D,3,),"")</f>
        <v>SAÚDE OCUPACIONAL</v>
      </c>
      <c r="E2476" s="22" t="str">
        <f>IFERROR(VLOOKUP(B2476,Colaboradores!A:D,4,),"")</f>
        <v>ASSESSOR CLINICO(A)</v>
      </c>
      <c r="F2476" s="54" t="s">
        <v>89</v>
      </c>
      <c r="G2476" s="24" t="str">
        <f>IFERROR(VLOOKUP(F2476,Procedimentos!A:C,2,),"")</f>
        <v>PLANO ANUAL DA COMISSÃO DE REVISÃO DE PRONTUÁRIO</v>
      </c>
      <c r="K2476" s="25" t="str">
        <f t="shared" si="79"/>
        <v/>
      </c>
    </row>
    <row r="2477" spans="2:11" ht="15" customHeight="1">
      <c r="B2477" s="38">
        <v>15059</v>
      </c>
      <c r="C2477" s="22" t="str">
        <f>IFERROR(VLOOKUP(B2477,Colaboradores!A:D,2,),"")</f>
        <v>GUILHERME LEÃO DOS SANTOS</v>
      </c>
      <c r="D2477" s="22" t="str">
        <f>IFERROR(VLOOKUP(B2477,Colaboradores!A:D,3,),"")</f>
        <v>SAÚDE OCUPACIONAL</v>
      </c>
      <c r="E2477" s="22" t="str">
        <f>IFERROR(VLOOKUP(B2477,Colaboradores!A:D,4,),"")</f>
        <v>ASSISTENTE ADMINISTRATIVO</v>
      </c>
      <c r="F2477" s="54" t="s">
        <v>89</v>
      </c>
      <c r="G2477" s="24" t="str">
        <f>IFERROR(VLOOKUP(F2477,Procedimentos!A:C,2,),"")</f>
        <v>PLANO ANUAL DA COMISSÃO DE REVISÃO DE PRONTUÁRIO</v>
      </c>
      <c r="K2477" s="25" t="str">
        <f t="shared" si="79"/>
        <v/>
      </c>
    </row>
    <row r="2478" spans="2:11" ht="15" customHeight="1">
      <c r="B2478" s="38">
        <v>7601</v>
      </c>
      <c r="C2478" s="22" t="str">
        <f>IFERROR(VLOOKUP(B2478,Colaboradores!A:D,2,),"")</f>
        <v>RAYANE BEZERRA DE JESUS</v>
      </c>
      <c r="D2478" s="22" t="str">
        <f>IFERROR(VLOOKUP(B2478,Colaboradores!A:D,3,),"")</f>
        <v>SAÚDE OCUPACIONAL</v>
      </c>
      <c r="E2478" s="22" t="str">
        <f>IFERROR(VLOOKUP(B2478,Colaboradores!A:D,4,),"")</f>
        <v>TÉCNICO DE ENFERMAGEM DO TRABALHO</v>
      </c>
      <c r="F2478" s="54" t="s">
        <v>89</v>
      </c>
      <c r="G2478" s="24" t="str">
        <f>IFERROR(VLOOKUP(F2478,Procedimentos!A:C,2,),"")</f>
        <v>PLANO ANUAL DA COMISSÃO DE REVISÃO DE PRONTUÁRIO</v>
      </c>
      <c r="K2478" s="25" t="str">
        <f t="shared" si="79"/>
        <v/>
      </c>
    </row>
    <row r="2479" spans="2:11" ht="15" customHeight="1">
      <c r="B2479" s="38">
        <v>14083</v>
      </c>
      <c r="C2479" s="22" t="str">
        <f>IFERROR(VLOOKUP(B2479,Colaboradores!A:D,2,),"")</f>
        <v>TAHYNAN FREITAS SILVA COSTA</v>
      </c>
      <c r="D2479" s="22" t="str">
        <f>IFERROR(VLOOKUP(B2479,Colaboradores!A:D,3,),"")</f>
        <v>SAÚDE OCUPACIONAL</v>
      </c>
      <c r="E2479" s="22" t="str">
        <f>IFERROR(VLOOKUP(B2479,Colaboradores!A:D,4,),"")</f>
        <v>TÉCNICO DE ENFERMAGEM DO TRABALHO</v>
      </c>
      <c r="F2479" s="54" t="s">
        <v>89</v>
      </c>
      <c r="G2479" s="24" t="str">
        <f>IFERROR(VLOOKUP(F2479,Procedimentos!A:C,2,),"")</f>
        <v>PLANO ANUAL DA COMISSÃO DE REVISÃO DE PRONTUÁRIO</v>
      </c>
      <c r="K2479" s="25" t="str">
        <f t="shared" si="79"/>
        <v/>
      </c>
    </row>
    <row r="2480" spans="2:11" ht="15" customHeight="1">
      <c r="B2480" s="38">
        <v>15295</v>
      </c>
      <c r="C2480" s="22" t="str">
        <f>IFERROR(VLOOKUP(B2480,Colaboradores!A:D,2,),"")</f>
        <v>ANA CRISTINA GONÇALVES NUNES</v>
      </c>
      <c r="D2480" s="22" t="str">
        <f>IFERROR(VLOOKUP(B2480,Colaboradores!A:D,3,),"")</f>
        <v>SAÚDE OCUPACIONAL</v>
      </c>
      <c r="E2480" s="22" t="str">
        <f>IFERROR(VLOOKUP(B2480,Colaboradores!A:D,4,),"")</f>
        <v>ENFERMEIRA</v>
      </c>
      <c r="F2480" s="54" t="s">
        <v>90</v>
      </c>
      <c r="G2480" s="24" t="str">
        <f>IFERROR(VLOOKUP(F2480,Procedimentos!A:C,2,),"")</f>
        <v>PROCEDIMENTO DE ATENDIMENTO DA NUTRIÇÃO</v>
      </c>
      <c r="K2480" s="25" t="str">
        <f t="shared" si="79"/>
        <v/>
      </c>
    </row>
    <row r="2481" spans="2:11" ht="15" customHeight="1">
      <c r="B2481" s="38">
        <v>3109</v>
      </c>
      <c r="C2481" s="22" t="str">
        <f>IFERROR(VLOOKUP(B2481,Colaboradores!A:D,2,),"")</f>
        <v>BRUNO ARRUDA DE AMORIM OLIVEIRA</v>
      </c>
      <c r="D2481" s="22" t="str">
        <f>IFERROR(VLOOKUP(B2481,Colaboradores!A:D,3,),"")</f>
        <v>SAÚDE OCUPACIONAL</v>
      </c>
      <c r="E2481" s="22" t="str">
        <f>IFERROR(VLOOKUP(B2481,Colaboradores!A:D,4,),"")</f>
        <v>MÉDICO DO TRABALHO</v>
      </c>
      <c r="F2481" s="54" t="s">
        <v>90</v>
      </c>
      <c r="G2481" s="24" t="str">
        <f>IFERROR(VLOOKUP(F2481,Procedimentos!A:C,2,),"")</f>
        <v>PROCEDIMENTO DE ATENDIMENTO DA NUTRIÇÃO</v>
      </c>
      <c r="K2481" s="25" t="str">
        <f t="shared" si="79"/>
        <v/>
      </c>
    </row>
    <row r="2482" spans="2:11" ht="15" customHeight="1">
      <c r="B2482" s="38">
        <v>1866</v>
      </c>
      <c r="C2482" s="22" t="str">
        <f>IFERROR(VLOOKUP(B2482,Colaboradores!A:D,2,),"")</f>
        <v>FLAVIA AROUCHE GAMA</v>
      </c>
      <c r="D2482" s="22" t="str">
        <f>IFERROR(VLOOKUP(B2482,Colaboradores!A:D,3,),"")</f>
        <v>SAÚDE OCUPACIONAL</v>
      </c>
      <c r="E2482" s="22" t="str">
        <f>IFERROR(VLOOKUP(B2482,Colaboradores!A:D,4,),"")</f>
        <v>MÉDICO DO TRABALHO</v>
      </c>
      <c r="F2482" s="54" t="s">
        <v>90</v>
      </c>
      <c r="G2482" s="24" t="str">
        <f>IFERROR(VLOOKUP(F2482,Procedimentos!A:C,2,),"")</f>
        <v>PROCEDIMENTO DE ATENDIMENTO DA NUTRIÇÃO</v>
      </c>
      <c r="K2482" s="25" t="str">
        <f t="shared" si="79"/>
        <v/>
      </c>
    </row>
    <row r="2483" spans="2:11" ht="15" customHeight="1">
      <c r="B2483" s="38">
        <v>14508</v>
      </c>
      <c r="C2483" s="22" t="str">
        <f>IFERROR(VLOOKUP(B2483,Colaboradores!A:D,2,),"")</f>
        <v>FYAMA SANTOS SILVA</v>
      </c>
      <c r="D2483" s="22" t="str">
        <f>IFERROR(VLOOKUP(B2483,Colaboradores!A:D,3,),"")</f>
        <v>SAÚDE OCUPACIONAL</v>
      </c>
      <c r="E2483" s="22" t="str">
        <f>IFERROR(VLOOKUP(B2483,Colaboradores!A:D,4,),"")</f>
        <v>ASSISTENTE ADMINISTRATIVO</v>
      </c>
      <c r="F2483" s="54" t="s">
        <v>90</v>
      </c>
      <c r="G2483" s="24" t="str">
        <f>IFERROR(VLOOKUP(F2483,Procedimentos!A:C,2,),"")</f>
        <v>PROCEDIMENTO DE ATENDIMENTO DA NUTRIÇÃO</v>
      </c>
      <c r="K2483" s="25" t="str">
        <f t="shared" si="79"/>
        <v/>
      </c>
    </row>
    <row r="2484" spans="2:11" ht="15" customHeight="1">
      <c r="B2484" s="38">
        <v>14866</v>
      </c>
      <c r="C2484" s="22" t="str">
        <f>IFERROR(VLOOKUP(B2484,Colaboradores!A:D,2,),"")</f>
        <v>GERUSA LOURDES CHAVES ALVES DA SILVA</v>
      </c>
      <c r="D2484" s="22" t="str">
        <f>IFERROR(VLOOKUP(B2484,Colaboradores!A:D,3,),"")</f>
        <v>SAÚDE OCUPACIONAL</v>
      </c>
      <c r="E2484" s="22" t="str">
        <f>IFERROR(VLOOKUP(B2484,Colaboradores!A:D,4,),"")</f>
        <v>ASSESSOR CLINICO(A)</v>
      </c>
      <c r="F2484" s="54" t="s">
        <v>90</v>
      </c>
      <c r="G2484" s="24" t="str">
        <f>IFERROR(VLOOKUP(F2484,Procedimentos!A:C,2,),"")</f>
        <v>PROCEDIMENTO DE ATENDIMENTO DA NUTRIÇÃO</v>
      </c>
      <c r="K2484" s="25" t="str">
        <f t="shared" si="79"/>
        <v/>
      </c>
    </row>
    <row r="2485" spans="2:11" ht="15" customHeight="1">
      <c r="B2485" s="38">
        <v>15059</v>
      </c>
      <c r="C2485" s="22" t="str">
        <f>IFERROR(VLOOKUP(B2485,Colaboradores!A:D,2,),"")</f>
        <v>GUILHERME LEÃO DOS SANTOS</v>
      </c>
      <c r="D2485" s="22" t="str">
        <f>IFERROR(VLOOKUP(B2485,Colaboradores!A:D,3,),"")</f>
        <v>SAÚDE OCUPACIONAL</v>
      </c>
      <c r="E2485" s="22" t="str">
        <f>IFERROR(VLOOKUP(B2485,Colaboradores!A:D,4,),"")</f>
        <v>ASSISTENTE ADMINISTRATIVO</v>
      </c>
      <c r="F2485" s="54" t="s">
        <v>90</v>
      </c>
      <c r="G2485" s="24" t="str">
        <f>IFERROR(VLOOKUP(F2485,Procedimentos!A:C,2,),"")</f>
        <v>PROCEDIMENTO DE ATENDIMENTO DA NUTRIÇÃO</v>
      </c>
      <c r="K2485" s="25" t="str">
        <f t="shared" si="79"/>
        <v/>
      </c>
    </row>
    <row r="2486" spans="2:11" ht="15" customHeight="1">
      <c r="B2486" s="38">
        <v>7601</v>
      </c>
      <c r="C2486" s="22" t="str">
        <f>IFERROR(VLOOKUP(B2486,Colaboradores!A:D,2,),"")</f>
        <v>RAYANE BEZERRA DE JESUS</v>
      </c>
      <c r="D2486" s="22" t="str">
        <f>IFERROR(VLOOKUP(B2486,Colaboradores!A:D,3,),"")</f>
        <v>SAÚDE OCUPACIONAL</v>
      </c>
      <c r="E2486" s="22" t="str">
        <f>IFERROR(VLOOKUP(B2486,Colaboradores!A:D,4,),"")</f>
        <v>TÉCNICO DE ENFERMAGEM DO TRABALHO</v>
      </c>
      <c r="F2486" s="54" t="s">
        <v>90</v>
      </c>
      <c r="G2486" s="24" t="str">
        <f>IFERROR(VLOOKUP(F2486,Procedimentos!A:C,2,),"")</f>
        <v>PROCEDIMENTO DE ATENDIMENTO DA NUTRIÇÃO</v>
      </c>
      <c r="K2486" s="25" t="str">
        <f t="shared" si="79"/>
        <v/>
      </c>
    </row>
    <row r="2487" spans="2:11" ht="15" customHeight="1">
      <c r="B2487" s="38">
        <v>14083</v>
      </c>
      <c r="C2487" s="22" t="str">
        <f>IFERROR(VLOOKUP(B2487,Colaboradores!A:D,2,),"")</f>
        <v>TAHYNAN FREITAS SILVA COSTA</v>
      </c>
      <c r="D2487" s="22" t="str">
        <f>IFERROR(VLOOKUP(B2487,Colaboradores!A:D,3,),"")</f>
        <v>SAÚDE OCUPACIONAL</v>
      </c>
      <c r="E2487" s="22" t="str">
        <f>IFERROR(VLOOKUP(B2487,Colaboradores!A:D,4,),"")</f>
        <v>TÉCNICO DE ENFERMAGEM DO TRABALHO</v>
      </c>
      <c r="F2487" s="54" t="s">
        <v>90</v>
      </c>
      <c r="G2487" s="24" t="str">
        <f>IFERROR(VLOOKUP(F2487,Procedimentos!A:C,2,),"")</f>
        <v>PROCEDIMENTO DE ATENDIMENTO DA NUTRIÇÃO</v>
      </c>
      <c r="K2487" s="25" t="str">
        <f t="shared" si="79"/>
        <v/>
      </c>
    </row>
    <row r="2488" spans="2:11" ht="15" customHeight="1">
      <c r="B2488" s="38">
        <v>15295</v>
      </c>
      <c r="C2488" s="22" t="str">
        <f>IFERROR(VLOOKUP(B2488,Colaboradores!A:D,2,),"")</f>
        <v>ANA CRISTINA GONÇALVES NUNES</v>
      </c>
      <c r="D2488" s="22" t="str">
        <f>IFERROR(VLOOKUP(B2488,Colaboradores!A:D,3,),"")</f>
        <v>SAÚDE OCUPACIONAL</v>
      </c>
      <c r="E2488" s="22" t="str">
        <f>IFERROR(VLOOKUP(B2488,Colaboradores!A:D,4,),"")</f>
        <v>ENFERMEIRA</v>
      </c>
      <c r="F2488" s="54" t="s">
        <v>91</v>
      </c>
      <c r="G2488" s="24" t="str">
        <f>IFERROR(VLOOKUP(F2488,Procedimentos!A:C,2,),"")</f>
        <v>PROCEDIMENTO PARA ATENDIMENTO SOCIAL</v>
      </c>
      <c r="K2488" s="25" t="str">
        <f t="shared" si="79"/>
        <v/>
      </c>
    </row>
    <row r="2489" spans="2:11" ht="15" customHeight="1">
      <c r="B2489" s="38">
        <v>3109</v>
      </c>
      <c r="C2489" s="22" t="str">
        <f>IFERROR(VLOOKUP(B2489,Colaboradores!A:D,2,),"")</f>
        <v>BRUNO ARRUDA DE AMORIM OLIVEIRA</v>
      </c>
      <c r="D2489" s="22" t="str">
        <f>IFERROR(VLOOKUP(B2489,Colaboradores!A:D,3,),"")</f>
        <v>SAÚDE OCUPACIONAL</v>
      </c>
      <c r="E2489" s="22" t="str">
        <f>IFERROR(VLOOKUP(B2489,Colaboradores!A:D,4,),"")</f>
        <v>MÉDICO DO TRABALHO</v>
      </c>
      <c r="F2489" s="54" t="s">
        <v>91</v>
      </c>
      <c r="G2489" s="24" t="str">
        <f>IFERROR(VLOOKUP(F2489,Procedimentos!A:C,2,),"")</f>
        <v>PROCEDIMENTO PARA ATENDIMENTO SOCIAL</v>
      </c>
      <c r="K2489" s="25" t="str">
        <f t="shared" si="79"/>
        <v/>
      </c>
    </row>
    <row r="2490" spans="2:11" ht="15" customHeight="1">
      <c r="B2490" s="38">
        <v>1866</v>
      </c>
      <c r="C2490" s="22" t="str">
        <f>IFERROR(VLOOKUP(B2490,Colaboradores!A:D,2,),"")</f>
        <v>FLAVIA AROUCHE GAMA</v>
      </c>
      <c r="D2490" s="22" t="str">
        <f>IFERROR(VLOOKUP(B2490,Colaboradores!A:D,3,),"")</f>
        <v>SAÚDE OCUPACIONAL</v>
      </c>
      <c r="E2490" s="22" t="str">
        <f>IFERROR(VLOOKUP(B2490,Colaboradores!A:D,4,),"")</f>
        <v>MÉDICO DO TRABALHO</v>
      </c>
      <c r="F2490" s="54" t="s">
        <v>91</v>
      </c>
      <c r="G2490" s="24" t="str">
        <f>IFERROR(VLOOKUP(F2490,Procedimentos!A:C,2,),"")</f>
        <v>PROCEDIMENTO PARA ATENDIMENTO SOCIAL</v>
      </c>
      <c r="K2490" s="25" t="str">
        <f t="shared" si="79"/>
        <v/>
      </c>
    </row>
    <row r="2491" spans="2:11" ht="15" customHeight="1">
      <c r="B2491" s="38">
        <v>14508</v>
      </c>
      <c r="C2491" s="22" t="str">
        <f>IFERROR(VLOOKUP(B2491,Colaboradores!A:D,2,),"")</f>
        <v>FYAMA SANTOS SILVA</v>
      </c>
      <c r="D2491" s="22" t="str">
        <f>IFERROR(VLOOKUP(B2491,Colaboradores!A:D,3,),"")</f>
        <v>SAÚDE OCUPACIONAL</v>
      </c>
      <c r="E2491" s="22" t="str">
        <f>IFERROR(VLOOKUP(B2491,Colaboradores!A:D,4,),"")</f>
        <v>ASSISTENTE ADMINISTRATIVO</v>
      </c>
      <c r="F2491" s="54" t="s">
        <v>91</v>
      </c>
      <c r="G2491" s="24" t="str">
        <f>IFERROR(VLOOKUP(F2491,Procedimentos!A:C,2,),"")</f>
        <v>PROCEDIMENTO PARA ATENDIMENTO SOCIAL</v>
      </c>
      <c r="K2491" s="25" t="str">
        <f t="shared" si="79"/>
        <v/>
      </c>
    </row>
    <row r="2492" spans="2:11" ht="15" customHeight="1">
      <c r="B2492" s="38">
        <v>14866</v>
      </c>
      <c r="C2492" s="22" t="str">
        <f>IFERROR(VLOOKUP(B2492,Colaboradores!A:D,2,),"")</f>
        <v>GERUSA LOURDES CHAVES ALVES DA SILVA</v>
      </c>
      <c r="D2492" s="22" t="str">
        <f>IFERROR(VLOOKUP(B2492,Colaboradores!A:D,3,),"")</f>
        <v>SAÚDE OCUPACIONAL</v>
      </c>
      <c r="E2492" s="22" t="str">
        <f>IFERROR(VLOOKUP(B2492,Colaboradores!A:D,4,),"")</f>
        <v>ASSESSOR CLINICO(A)</v>
      </c>
      <c r="F2492" s="54" t="s">
        <v>91</v>
      </c>
      <c r="G2492" s="24" t="str">
        <f>IFERROR(VLOOKUP(F2492,Procedimentos!A:C,2,),"")</f>
        <v>PROCEDIMENTO PARA ATENDIMENTO SOCIAL</v>
      </c>
      <c r="K2492" s="25" t="str">
        <f t="shared" si="79"/>
        <v/>
      </c>
    </row>
    <row r="2493" spans="2:11" ht="15" customHeight="1">
      <c r="B2493" s="38">
        <v>15059</v>
      </c>
      <c r="C2493" s="22" t="str">
        <f>IFERROR(VLOOKUP(B2493,Colaboradores!A:D,2,),"")</f>
        <v>GUILHERME LEÃO DOS SANTOS</v>
      </c>
      <c r="D2493" s="22" t="str">
        <f>IFERROR(VLOOKUP(B2493,Colaboradores!A:D,3,),"")</f>
        <v>SAÚDE OCUPACIONAL</v>
      </c>
      <c r="E2493" s="22" t="str">
        <f>IFERROR(VLOOKUP(B2493,Colaboradores!A:D,4,),"")</f>
        <v>ASSISTENTE ADMINISTRATIVO</v>
      </c>
      <c r="F2493" s="54" t="s">
        <v>91</v>
      </c>
      <c r="G2493" s="24" t="str">
        <f>IFERROR(VLOOKUP(F2493,Procedimentos!A:C,2,),"")</f>
        <v>PROCEDIMENTO PARA ATENDIMENTO SOCIAL</v>
      </c>
      <c r="K2493" s="25" t="str">
        <f t="shared" si="79"/>
        <v/>
      </c>
    </row>
    <row r="2494" spans="2:11" ht="15" customHeight="1">
      <c r="B2494" s="38">
        <v>7601</v>
      </c>
      <c r="C2494" s="22" t="str">
        <f>IFERROR(VLOOKUP(B2494,Colaboradores!A:D,2,),"")</f>
        <v>RAYANE BEZERRA DE JESUS</v>
      </c>
      <c r="D2494" s="22" t="str">
        <f>IFERROR(VLOOKUP(B2494,Colaboradores!A:D,3,),"")</f>
        <v>SAÚDE OCUPACIONAL</v>
      </c>
      <c r="E2494" s="22" t="str">
        <f>IFERROR(VLOOKUP(B2494,Colaboradores!A:D,4,),"")</f>
        <v>TÉCNICO DE ENFERMAGEM DO TRABALHO</v>
      </c>
      <c r="F2494" s="54" t="s">
        <v>91</v>
      </c>
      <c r="G2494" s="24" t="str">
        <f>IFERROR(VLOOKUP(F2494,Procedimentos!A:C,2,),"")</f>
        <v>PROCEDIMENTO PARA ATENDIMENTO SOCIAL</v>
      </c>
      <c r="K2494" s="25" t="str">
        <f t="shared" si="79"/>
        <v/>
      </c>
    </row>
    <row r="2495" spans="2:11" ht="15" customHeight="1">
      <c r="B2495" s="38">
        <v>14083</v>
      </c>
      <c r="C2495" s="22" t="str">
        <f>IFERROR(VLOOKUP(B2495,Colaboradores!A:D,2,),"")</f>
        <v>TAHYNAN FREITAS SILVA COSTA</v>
      </c>
      <c r="D2495" s="22" t="str">
        <f>IFERROR(VLOOKUP(B2495,Colaboradores!A:D,3,),"")</f>
        <v>SAÚDE OCUPACIONAL</v>
      </c>
      <c r="E2495" s="22" t="str">
        <f>IFERROR(VLOOKUP(B2495,Colaboradores!A:D,4,),"")</f>
        <v>TÉCNICO DE ENFERMAGEM DO TRABALHO</v>
      </c>
      <c r="F2495" s="54" t="s">
        <v>91</v>
      </c>
      <c r="G2495" s="24" t="str">
        <f>IFERROR(VLOOKUP(F2495,Procedimentos!A:C,2,),"")</f>
        <v>PROCEDIMENTO PARA ATENDIMENTO SOCIAL</v>
      </c>
      <c r="K2495" s="25" t="str">
        <f t="shared" si="79"/>
        <v/>
      </c>
    </row>
    <row r="2496" spans="2:11" ht="15" customHeight="1">
      <c r="B2496" s="38">
        <v>15295</v>
      </c>
      <c r="C2496" s="22" t="str">
        <f>IFERROR(VLOOKUP(B2496,Colaboradores!A:D,2,),"")</f>
        <v>ANA CRISTINA GONÇALVES NUNES</v>
      </c>
      <c r="D2496" s="22" t="str">
        <f>IFERROR(VLOOKUP(B2496,Colaboradores!A:D,3,),"")</f>
        <v>SAÚDE OCUPACIONAL</v>
      </c>
      <c r="E2496" s="22" t="str">
        <f>IFERROR(VLOOKUP(B2496,Colaboradores!A:D,4,),"")</f>
        <v>ENFERMEIRA</v>
      </c>
      <c r="F2496" s="54" t="s">
        <v>92</v>
      </c>
      <c r="G2496" s="24" t="str">
        <f>IFERROR(VLOOKUP(F2496,Procedimentos!A:C,2,),"")</f>
        <v>PROCEDIMENTO PARA GESTÃO DE PRONTUÁRIO</v>
      </c>
      <c r="K2496" s="25" t="str">
        <f t="shared" si="79"/>
        <v/>
      </c>
    </row>
    <row r="2497" spans="2:11" ht="15" customHeight="1">
      <c r="B2497" s="38">
        <v>3109</v>
      </c>
      <c r="C2497" s="22" t="str">
        <f>IFERROR(VLOOKUP(B2497,Colaboradores!A:D,2,),"")</f>
        <v>BRUNO ARRUDA DE AMORIM OLIVEIRA</v>
      </c>
      <c r="D2497" s="22" t="str">
        <f>IFERROR(VLOOKUP(B2497,Colaboradores!A:D,3,),"")</f>
        <v>SAÚDE OCUPACIONAL</v>
      </c>
      <c r="E2497" s="22" t="str">
        <f>IFERROR(VLOOKUP(B2497,Colaboradores!A:D,4,),"")</f>
        <v>MÉDICO DO TRABALHO</v>
      </c>
      <c r="F2497" s="54" t="s">
        <v>92</v>
      </c>
      <c r="G2497" s="24" t="str">
        <f>IFERROR(VLOOKUP(F2497,Procedimentos!A:C,2,),"")</f>
        <v>PROCEDIMENTO PARA GESTÃO DE PRONTUÁRIO</v>
      </c>
      <c r="K2497" s="25" t="str">
        <f t="shared" si="79"/>
        <v/>
      </c>
    </row>
    <row r="2498" spans="2:11" ht="15" customHeight="1">
      <c r="B2498" s="38">
        <v>1866</v>
      </c>
      <c r="C2498" s="22" t="str">
        <f>IFERROR(VLOOKUP(B2498,Colaboradores!A:D,2,),"")</f>
        <v>FLAVIA AROUCHE GAMA</v>
      </c>
      <c r="D2498" s="22" t="str">
        <f>IFERROR(VLOOKUP(B2498,Colaboradores!A:D,3,),"")</f>
        <v>SAÚDE OCUPACIONAL</v>
      </c>
      <c r="E2498" s="22" t="str">
        <f>IFERROR(VLOOKUP(B2498,Colaboradores!A:D,4,),"")</f>
        <v>MÉDICO DO TRABALHO</v>
      </c>
      <c r="F2498" s="54" t="s">
        <v>92</v>
      </c>
      <c r="G2498" s="24" t="str">
        <f>IFERROR(VLOOKUP(F2498,Procedimentos!A:C,2,),"")</f>
        <v>PROCEDIMENTO PARA GESTÃO DE PRONTUÁRIO</v>
      </c>
      <c r="K2498" s="25" t="str">
        <f t="shared" si="79"/>
        <v/>
      </c>
    </row>
    <row r="2499" spans="2:11" ht="15" customHeight="1">
      <c r="B2499" s="38">
        <v>14508</v>
      </c>
      <c r="C2499" s="22" t="str">
        <f>IFERROR(VLOOKUP(B2499,Colaboradores!A:D,2,),"")</f>
        <v>FYAMA SANTOS SILVA</v>
      </c>
      <c r="D2499" s="22" t="str">
        <f>IFERROR(VLOOKUP(B2499,Colaboradores!A:D,3,),"")</f>
        <v>SAÚDE OCUPACIONAL</v>
      </c>
      <c r="E2499" s="22" t="str">
        <f>IFERROR(VLOOKUP(B2499,Colaboradores!A:D,4,),"")</f>
        <v>ASSISTENTE ADMINISTRATIVO</v>
      </c>
      <c r="F2499" s="54" t="s">
        <v>92</v>
      </c>
      <c r="G2499" s="24" t="str">
        <f>IFERROR(VLOOKUP(F2499,Procedimentos!A:C,2,),"")</f>
        <v>PROCEDIMENTO PARA GESTÃO DE PRONTUÁRIO</v>
      </c>
      <c r="K2499" s="25" t="str">
        <f t="shared" ref="K2499:K2562" si="80">IF(AND(I2499&lt;&gt;"",J2499&lt;&gt;""),DATE(YEAR(I2499),MONTH(I2499)+J2499,DAY(I2499)),"")</f>
        <v/>
      </c>
    </row>
    <row r="2500" spans="2:11" ht="15" customHeight="1">
      <c r="B2500" s="38">
        <v>14866</v>
      </c>
      <c r="C2500" s="22" t="str">
        <f>IFERROR(VLOOKUP(B2500,Colaboradores!A:D,2,),"")</f>
        <v>GERUSA LOURDES CHAVES ALVES DA SILVA</v>
      </c>
      <c r="D2500" s="22" t="str">
        <f>IFERROR(VLOOKUP(B2500,Colaboradores!A:D,3,),"")</f>
        <v>SAÚDE OCUPACIONAL</v>
      </c>
      <c r="E2500" s="22" t="str">
        <f>IFERROR(VLOOKUP(B2500,Colaboradores!A:D,4,),"")</f>
        <v>ASSESSOR CLINICO(A)</v>
      </c>
      <c r="F2500" s="54" t="s">
        <v>92</v>
      </c>
      <c r="G2500" s="24" t="str">
        <f>IFERROR(VLOOKUP(F2500,Procedimentos!A:C,2,),"")</f>
        <v>PROCEDIMENTO PARA GESTÃO DE PRONTUÁRIO</v>
      </c>
      <c r="K2500" s="25" t="str">
        <f t="shared" si="80"/>
        <v/>
      </c>
    </row>
    <row r="2501" spans="2:11" ht="15" customHeight="1">
      <c r="B2501" s="38">
        <v>15059</v>
      </c>
      <c r="C2501" s="22" t="str">
        <f>IFERROR(VLOOKUP(B2501,Colaboradores!A:D,2,),"")</f>
        <v>GUILHERME LEÃO DOS SANTOS</v>
      </c>
      <c r="D2501" s="22" t="str">
        <f>IFERROR(VLOOKUP(B2501,Colaboradores!A:D,3,),"")</f>
        <v>SAÚDE OCUPACIONAL</v>
      </c>
      <c r="E2501" s="22" t="str">
        <f>IFERROR(VLOOKUP(B2501,Colaboradores!A:D,4,),"")</f>
        <v>ASSISTENTE ADMINISTRATIVO</v>
      </c>
      <c r="F2501" s="54" t="s">
        <v>92</v>
      </c>
      <c r="G2501" s="24" t="str">
        <f>IFERROR(VLOOKUP(F2501,Procedimentos!A:C,2,),"")</f>
        <v>PROCEDIMENTO PARA GESTÃO DE PRONTUÁRIO</v>
      </c>
      <c r="K2501" s="25" t="str">
        <f t="shared" si="80"/>
        <v/>
      </c>
    </row>
    <row r="2502" spans="2:11" ht="15" customHeight="1">
      <c r="B2502" s="38">
        <v>7601</v>
      </c>
      <c r="C2502" s="22" t="str">
        <f>IFERROR(VLOOKUP(B2502,Colaboradores!A:D,2,),"")</f>
        <v>RAYANE BEZERRA DE JESUS</v>
      </c>
      <c r="D2502" s="22" t="str">
        <f>IFERROR(VLOOKUP(B2502,Colaboradores!A:D,3,),"")</f>
        <v>SAÚDE OCUPACIONAL</v>
      </c>
      <c r="E2502" s="22" t="str">
        <f>IFERROR(VLOOKUP(B2502,Colaboradores!A:D,4,),"")</f>
        <v>TÉCNICO DE ENFERMAGEM DO TRABALHO</v>
      </c>
      <c r="F2502" s="54" t="s">
        <v>92</v>
      </c>
      <c r="G2502" s="24" t="str">
        <f>IFERROR(VLOOKUP(F2502,Procedimentos!A:C,2,),"")</f>
        <v>PROCEDIMENTO PARA GESTÃO DE PRONTUÁRIO</v>
      </c>
      <c r="H2502" s="22" t="s">
        <v>7</v>
      </c>
      <c r="K2502" s="25" t="str">
        <f t="shared" si="80"/>
        <v/>
      </c>
    </row>
    <row r="2503" spans="2:11" ht="15" customHeight="1">
      <c r="B2503" s="38">
        <v>14083</v>
      </c>
      <c r="C2503" s="22" t="str">
        <f>IFERROR(VLOOKUP(B2503,Colaboradores!A:D,2,),"")</f>
        <v>TAHYNAN FREITAS SILVA COSTA</v>
      </c>
      <c r="D2503" s="22" t="str">
        <f>IFERROR(VLOOKUP(B2503,Colaboradores!A:D,3,),"")</f>
        <v>SAÚDE OCUPACIONAL</v>
      </c>
      <c r="E2503" s="22" t="str">
        <f>IFERROR(VLOOKUP(B2503,Colaboradores!A:D,4,),"")</f>
        <v>TÉCNICO DE ENFERMAGEM DO TRABALHO</v>
      </c>
      <c r="F2503" s="54" t="s">
        <v>92</v>
      </c>
      <c r="G2503" s="24" t="str">
        <f>IFERROR(VLOOKUP(F2503,Procedimentos!A:C,2,),"")</f>
        <v>PROCEDIMENTO PARA GESTÃO DE PRONTUÁRIO</v>
      </c>
      <c r="K2503" s="25" t="str">
        <f t="shared" si="80"/>
        <v/>
      </c>
    </row>
    <row r="2504" spans="2:11" ht="15" customHeight="1">
      <c r="B2504" s="38">
        <v>15295</v>
      </c>
      <c r="C2504" s="22" t="str">
        <f>IFERROR(VLOOKUP(B2504,Colaboradores!A:D,2,),"")</f>
        <v>ANA CRISTINA GONÇALVES NUNES</v>
      </c>
      <c r="D2504" s="22" t="str">
        <f>IFERROR(VLOOKUP(B2504,Colaboradores!A:D,3,),"")</f>
        <v>SAÚDE OCUPACIONAL</v>
      </c>
      <c r="E2504" s="22" t="str">
        <f>IFERROR(VLOOKUP(B2504,Colaboradores!A:D,4,),"")</f>
        <v>ENFERMEIRA</v>
      </c>
      <c r="F2504" s="54" t="s">
        <v>93</v>
      </c>
      <c r="G2504" s="24" t="str">
        <f>IFERROR(VLOOKUP(F2504,Procedimentos!A:C,2,),"")</f>
        <v>ATENDIMENTO PSICOLÓGICO EM FOLLOW UP NO ESPAÇO CUIDAR</v>
      </c>
      <c r="K2504" s="25" t="str">
        <f t="shared" si="80"/>
        <v/>
      </c>
    </row>
    <row r="2505" spans="2:11" ht="15" customHeight="1">
      <c r="B2505" s="38">
        <v>3109</v>
      </c>
      <c r="C2505" s="22" t="str">
        <f>IFERROR(VLOOKUP(B2505,Colaboradores!A:D,2,),"")</f>
        <v>BRUNO ARRUDA DE AMORIM OLIVEIRA</v>
      </c>
      <c r="D2505" s="22" t="str">
        <f>IFERROR(VLOOKUP(B2505,Colaboradores!A:D,3,),"")</f>
        <v>SAÚDE OCUPACIONAL</v>
      </c>
      <c r="E2505" s="22" t="str">
        <f>IFERROR(VLOOKUP(B2505,Colaboradores!A:D,4,),"")</f>
        <v>MÉDICO DO TRABALHO</v>
      </c>
      <c r="F2505" s="54" t="s">
        <v>93</v>
      </c>
      <c r="G2505" s="24" t="str">
        <f>IFERROR(VLOOKUP(F2505,Procedimentos!A:C,2,),"")</f>
        <v>ATENDIMENTO PSICOLÓGICO EM FOLLOW UP NO ESPAÇO CUIDAR</v>
      </c>
      <c r="K2505" s="25" t="str">
        <f t="shared" si="80"/>
        <v/>
      </c>
    </row>
    <row r="2506" spans="2:11" ht="15" customHeight="1">
      <c r="B2506" s="38">
        <v>1866</v>
      </c>
      <c r="C2506" s="22" t="str">
        <f>IFERROR(VLOOKUP(B2506,Colaboradores!A:D,2,),"")</f>
        <v>FLAVIA AROUCHE GAMA</v>
      </c>
      <c r="D2506" s="22" t="str">
        <f>IFERROR(VLOOKUP(B2506,Colaboradores!A:D,3,),"")</f>
        <v>SAÚDE OCUPACIONAL</v>
      </c>
      <c r="E2506" s="22" t="str">
        <f>IFERROR(VLOOKUP(B2506,Colaboradores!A:D,4,),"")</f>
        <v>MÉDICO DO TRABALHO</v>
      </c>
      <c r="F2506" s="54" t="s">
        <v>93</v>
      </c>
      <c r="G2506" s="24" t="str">
        <f>IFERROR(VLOOKUP(F2506,Procedimentos!A:C,2,),"")</f>
        <v>ATENDIMENTO PSICOLÓGICO EM FOLLOW UP NO ESPAÇO CUIDAR</v>
      </c>
      <c r="K2506" s="25" t="str">
        <f t="shared" si="80"/>
        <v/>
      </c>
    </row>
    <row r="2507" spans="2:11" ht="15" customHeight="1">
      <c r="B2507" s="38">
        <v>14508</v>
      </c>
      <c r="C2507" s="22" t="str">
        <f>IFERROR(VLOOKUP(B2507,Colaboradores!A:D,2,),"")</f>
        <v>FYAMA SANTOS SILVA</v>
      </c>
      <c r="D2507" s="22" t="str">
        <f>IFERROR(VLOOKUP(B2507,Colaboradores!A:D,3,),"")</f>
        <v>SAÚDE OCUPACIONAL</v>
      </c>
      <c r="E2507" s="22" t="str">
        <f>IFERROR(VLOOKUP(B2507,Colaboradores!A:D,4,),"")</f>
        <v>ASSISTENTE ADMINISTRATIVO</v>
      </c>
      <c r="F2507" s="54" t="s">
        <v>93</v>
      </c>
      <c r="G2507" s="24" t="str">
        <f>IFERROR(VLOOKUP(F2507,Procedimentos!A:C,2,),"")</f>
        <v>ATENDIMENTO PSICOLÓGICO EM FOLLOW UP NO ESPAÇO CUIDAR</v>
      </c>
      <c r="K2507" s="25" t="str">
        <f t="shared" si="80"/>
        <v/>
      </c>
    </row>
    <row r="2508" spans="2:11" ht="15" customHeight="1">
      <c r="B2508" s="38">
        <v>14866</v>
      </c>
      <c r="C2508" s="22" t="str">
        <f>IFERROR(VLOOKUP(B2508,Colaboradores!A:D,2,),"")</f>
        <v>GERUSA LOURDES CHAVES ALVES DA SILVA</v>
      </c>
      <c r="D2508" s="22" t="str">
        <f>IFERROR(VLOOKUP(B2508,Colaboradores!A:D,3,),"")</f>
        <v>SAÚDE OCUPACIONAL</v>
      </c>
      <c r="E2508" s="22" t="str">
        <f>IFERROR(VLOOKUP(B2508,Colaboradores!A:D,4,),"")</f>
        <v>ASSESSOR CLINICO(A)</v>
      </c>
      <c r="F2508" s="54" t="s">
        <v>93</v>
      </c>
      <c r="G2508" s="24" t="str">
        <f>IFERROR(VLOOKUP(F2508,Procedimentos!A:C,2,),"")</f>
        <v>ATENDIMENTO PSICOLÓGICO EM FOLLOW UP NO ESPAÇO CUIDAR</v>
      </c>
      <c r="K2508" s="25" t="str">
        <f t="shared" si="80"/>
        <v/>
      </c>
    </row>
    <row r="2509" spans="2:11" ht="15" customHeight="1">
      <c r="B2509" s="38">
        <v>15059</v>
      </c>
      <c r="C2509" s="22" t="str">
        <f>IFERROR(VLOOKUP(B2509,Colaboradores!A:D,2,),"")</f>
        <v>GUILHERME LEÃO DOS SANTOS</v>
      </c>
      <c r="D2509" s="22" t="str">
        <f>IFERROR(VLOOKUP(B2509,Colaboradores!A:D,3,),"")</f>
        <v>SAÚDE OCUPACIONAL</v>
      </c>
      <c r="E2509" s="22" t="str">
        <f>IFERROR(VLOOKUP(B2509,Colaboradores!A:D,4,),"")</f>
        <v>ASSISTENTE ADMINISTRATIVO</v>
      </c>
      <c r="F2509" s="54" t="s">
        <v>93</v>
      </c>
      <c r="G2509" s="24" t="str">
        <f>IFERROR(VLOOKUP(F2509,Procedimentos!A:C,2,),"")</f>
        <v>ATENDIMENTO PSICOLÓGICO EM FOLLOW UP NO ESPAÇO CUIDAR</v>
      </c>
      <c r="K2509" s="25" t="str">
        <f t="shared" si="80"/>
        <v/>
      </c>
    </row>
    <row r="2510" spans="2:11" ht="15" customHeight="1">
      <c r="B2510" s="38">
        <v>7601</v>
      </c>
      <c r="C2510" s="22" t="str">
        <f>IFERROR(VLOOKUP(B2510,Colaboradores!A:D,2,),"")</f>
        <v>RAYANE BEZERRA DE JESUS</v>
      </c>
      <c r="D2510" s="22" t="str">
        <f>IFERROR(VLOOKUP(B2510,Colaboradores!A:D,3,),"")</f>
        <v>SAÚDE OCUPACIONAL</v>
      </c>
      <c r="E2510" s="22" t="str">
        <f>IFERROR(VLOOKUP(B2510,Colaboradores!A:D,4,),"")</f>
        <v>TÉCNICO DE ENFERMAGEM DO TRABALHO</v>
      </c>
      <c r="F2510" s="54" t="s">
        <v>93</v>
      </c>
      <c r="G2510" s="24" t="str">
        <f>IFERROR(VLOOKUP(F2510,Procedimentos!A:C,2,),"")</f>
        <v>ATENDIMENTO PSICOLÓGICO EM FOLLOW UP NO ESPAÇO CUIDAR</v>
      </c>
      <c r="K2510" s="25" t="str">
        <f t="shared" si="80"/>
        <v/>
      </c>
    </row>
    <row r="2511" spans="2:11" ht="15" customHeight="1">
      <c r="B2511" s="38">
        <v>14083</v>
      </c>
      <c r="C2511" s="22" t="str">
        <f>IFERROR(VLOOKUP(B2511,Colaboradores!A:D,2,),"")</f>
        <v>TAHYNAN FREITAS SILVA COSTA</v>
      </c>
      <c r="D2511" s="22" t="str">
        <f>IFERROR(VLOOKUP(B2511,Colaboradores!A:D,3,),"")</f>
        <v>SAÚDE OCUPACIONAL</v>
      </c>
      <c r="E2511" s="22" t="str">
        <f>IFERROR(VLOOKUP(B2511,Colaboradores!A:D,4,),"")</f>
        <v>TÉCNICO DE ENFERMAGEM DO TRABALHO</v>
      </c>
      <c r="F2511" s="54" t="s">
        <v>93</v>
      </c>
      <c r="G2511" s="24" t="str">
        <f>IFERROR(VLOOKUP(F2511,Procedimentos!A:C,2,),"")</f>
        <v>ATENDIMENTO PSICOLÓGICO EM FOLLOW UP NO ESPAÇO CUIDAR</v>
      </c>
      <c r="K2511" s="25" t="str">
        <f t="shared" si="80"/>
        <v/>
      </c>
    </row>
    <row r="2512" spans="2:11" ht="15" customHeight="1">
      <c r="B2512" s="38">
        <v>7590</v>
      </c>
      <c r="C2512" s="22" t="str">
        <f>IFERROR(VLOOKUP(B2512,Colaboradores!A:D,2,),"")</f>
        <v>FABIOLA SOUSA MOURA BORGES</v>
      </c>
      <c r="D2512" s="22" t="str">
        <f>IFERROR(VLOOKUP(B2512,Colaboradores!A:D,3,),"")</f>
        <v>SAÚDE OCUPACIONAL</v>
      </c>
      <c r="E2512" s="22" t="str">
        <f>IFERROR(VLOOKUP(B2512,Colaboradores!A:D,4,),"")</f>
        <v>GERENTE DE SAÚDE OCUPACIONAL</v>
      </c>
      <c r="F2512" s="54" t="s">
        <v>85</v>
      </c>
      <c r="G2512" s="24" t="str">
        <f>IFERROR(VLOOKUP(F2512,Procedimentos!A:C,2,),"")</f>
        <v>PLANO DE CONTIGÊNCIA ESPAÇO CUIDAR</v>
      </c>
      <c r="H2512" s="22" t="s">
        <v>7</v>
      </c>
      <c r="K2512" s="25" t="str">
        <f t="shared" si="80"/>
        <v/>
      </c>
    </row>
    <row r="2513" spans="2:11" ht="15" customHeight="1">
      <c r="B2513" s="38">
        <v>7590</v>
      </c>
      <c r="C2513" s="22" t="str">
        <f>IFERROR(VLOOKUP(B2513,Colaboradores!A:D,2,),"")</f>
        <v>FABIOLA SOUSA MOURA BORGES</v>
      </c>
      <c r="D2513" s="22" t="str">
        <f>IFERROR(VLOOKUP(B2513,Colaboradores!A:D,3,),"")</f>
        <v>SAÚDE OCUPACIONAL</v>
      </c>
      <c r="E2513" s="22" t="str">
        <f>IFERROR(VLOOKUP(B2513,Colaboradores!A:D,4,),"")</f>
        <v>GERENTE DE SAÚDE OCUPACIONAL</v>
      </c>
      <c r="F2513" s="54" t="s">
        <v>86</v>
      </c>
      <c r="G2513" s="24" t="str">
        <f>IFERROR(VLOOKUP(F2513,Procedimentos!A:C,2,),"")</f>
        <v>PROGRAMA DE CONTROLE DE INFECÇÃO RELACIONADA À ASSISTÊNCIA À SAÚDE – CCIRAS - ASSISTÊNCIA AMBULATORIAL</v>
      </c>
      <c r="H2513" s="22" t="s">
        <v>7</v>
      </c>
      <c r="K2513" s="25" t="str">
        <f t="shared" si="80"/>
        <v/>
      </c>
    </row>
    <row r="2514" spans="2:11" ht="15" customHeight="1">
      <c r="B2514" s="38">
        <v>7590</v>
      </c>
      <c r="C2514" s="22" t="str">
        <f>IFERROR(VLOOKUP(B2514,Colaboradores!A:D,2,),"")</f>
        <v>FABIOLA SOUSA MOURA BORGES</v>
      </c>
      <c r="D2514" s="22" t="str">
        <f>IFERROR(VLOOKUP(B2514,Colaboradores!A:D,3,),"")</f>
        <v>SAÚDE OCUPACIONAL</v>
      </c>
      <c r="E2514" s="22" t="str">
        <f>IFERROR(VLOOKUP(B2514,Colaboradores!A:D,4,),"")</f>
        <v>GERENTE DE SAÚDE OCUPACIONAL</v>
      </c>
      <c r="F2514" s="54" t="s">
        <v>87</v>
      </c>
      <c r="G2514" s="24" t="str">
        <f>IFERROR(VLOOKUP(F2514,Procedimentos!A:C,2,),"")</f>
        <v>PLANO ANUAL DE SEGURANÇA DO PACIENTE - NSP</v>
      </c>
      <c r="H2514" s="22" t="s">
        <v>7</v>
      </c>
      <c r="K2514" s="25" t="str">
        <f t="shared" si="80"/>
        <v/>
      </c>
    </row>
    <row r="2515" spans="2:11" ht="15" customHeight="1">
      <c r="B2515" s="38">
        <v>7590</v>
      </c>
      <c r="C2515" s="22" t="str">
        <f>IFERROR(VLOOKUP(B2515,Colaboradores!A:D,2,),"")</f>
        <v>FABIOLA SOUSA MOURA BORGES</v>
      </c>
      <c r="D2515" s="22" t="str">
        <f>IFERROR(VLOOKUP(B2515,Colaboradores!A:D,3,),"")</f>
        <v>SAÚDE OCUPACIONAL</v>
      </c>
      <c r="E2515" s="22" t="str">
        <f>IFERROR(VLOOKUP(B2515,Colaboradores!A:D,4,),"")</f>
        <v>GERENTE DE SAÚDE OCUPACIONAL</v>
      </c>
      <c r="F2515" s="54" t="s">
        <v>88</v>
      </c>
      <c r="G2515" s="24" t="str">
        <f>IFERROR(VLOOKUP(F2515,Procedimentos!A:C,2,),"")</f>
        <v>PLANO ANUAL COMISSÃO BIOSSEGURANÇA</v>
      </c>
      <c r="H2515" s="22" t="s">
        <v>7</v>
      </c>
      <c r="K2515" s="25" t="str">
        <f t="shared" si="80"/>
        <v/>
      </c>
    </row>
    <row r="2516" spans="2:11" ht="15" customHeight="1">
      <c r="B2516" s="38">
        <v>7590</v>
      </c>
      <c r="C2516" s="22" t="str">
        <f>IFERROR(VLOOKUP(B2516,Colaboradores!A:D,2,),"")</f>
        <v>FABIOLA SOUSA MOURA BORGES</v>
      </c>
      <c r="D2516" s="22" t="str">
        <f>IFERROR(VLOOKUP(B2516,Colaboradores!A:D,3,),"")</f>
        <v>SAÚDE OCUPACIONAL</v>
      </c>
      <c r="E2516" s="22" t="str">
        <f>IFERROR(VLOOKUP(B2516,Colaboradores!A:D,4,),"")</f>
        <v>GERENTE DE SAÚDE OCUPACIONAL</v>
      </c>
      <c r="F2516" s="54" t="s">
        <v>89</v>
      </c>
      <c r="G2516" s="24" t="str">
        <f>IFERROR(VLOOKUP(F2516,Procedimentos!A:C,2,),"")</f>
        <v>PLANO ANUAL DA COMISSÃO DE REVISÃO DE PRONTUÁRIO</v>
      </c>
      <c r="H2516" s="22" t="s">
        <v>7</v>
      </c>
      <c r="K2516" s="25" t="str">
        <f t="shared" si="80"/>
        <v/>
      </c>
    </row>
    <row r="2517" spans="2:11" ht="15" customHeight="1">
      <c r="B2517" s="38">
        <v>7590</v>
      </c>
      <c r="C2517" s="22" t="str">
        <f>IFERROR(VLOOKUP(B2517,Colaboradores!A:D,2,),"")</f>
        <v>FABIOLA SOUSA MOURA BORGES</v>
      </c>
      <c r="D2517" s="22" t="str">
        <f>IFERROR(VLOOKUP(B2517,Colaboradores!A:D,3,),"")</f>
        <v>SAÚDE OCUPACIONAL</v>
      </c>
      <c r="E2517" s="22" t="str">
        <f>IFERROR(VLOOKUP(B2517,Colaboradores!A:D,4,),"")</f>
        <v>GERENTE DE SAÚDE OCUPACIONAL</v>
      </c>
      <c r="F2517" s="54" t="s">
        <v>90</v>
      </c>
      <c r="G2517" s="24" t="str">
        <f>IFERROR(VLOOKUP(F2517,Procedimentos!A:C,2,),"")</f>
        <v>PROCEDIMENTO DE ATENDIMENTO DA NUTRIÇÃO</v>
      </c>
      <c r="H2517" s="22" t="s">
        <v>7</v>
      </c>
      <c r="K2517" s="25" t="str">
        <f t="shared" si="80"/>
        <v/>
      </c>
    </row>
    <row r="2518" spans="2:11" ht="15" customHeight="1">
      <c r="B2518" s="38">
        <v>7590</v>
      </c>
      <c r="C2518" s="22" t="str">
        <f>IFERROR(VLOOKUP(B2518,Colaboradores!A:D,2,),"")</f>
        <v>FABIOLA SOUSA MOURA BORGES</v>
      </c>
      <c r="D2518" s="22" t="str">
        <f>IFERROR(VLOOKUP(B2518,Colaboradores!A:D,3,),"")</f>
        <v>SAÚDE OCUPACIONAL</v>
      </c>
      <c r="E2518" s="22" t="str">
        <f>IFERROR(VLOOKUP(B2518,Colaboradores!A:D,4,),"")</f>
        <v>GERENTE DE SAÚDE OCUPACIONAL</v>
      </c>
      <c r="F2518" s="54" t="s">
        <v>91</v>
      </c>
      <c r="G2518" s="24" t="str">
        <f>IFERROR(VLOOKUP(F2518,Procedimentos!A:C,2,),"")</f>
        <v>PROCEDIMENTO PARA ATENDIMENTO SOCIAL</v>
      </c>
      <c r="H2518" s="22" t="s">
        <v>7</v>
      </c>
      <c r="K2518" s="25" t="str">
        <f t="shared" si="80"/>
        <v/>
      </c>
    </row>
    <row r="2519" spans="2:11" ht="15" customHeight="1">
      <c r="B2519" s="38">
        <v>7590</v>
      </c>
      <c r="C2519" s="22" t="str">
        <f>IFERROR(VLOOKUP(B2519,Colaboradores!A:D,2,),"")</f>
        <v>FABIOLA SOUSA MOURA BORGES</v>
      </c>
      <c r="D2519" s="22" t="str">
        <f>IFERROR(VLOOKUP(B2519,Colaboradores!A:D,3,),"")</f>
        <v>SAÚDE OCUPACIONAL</v>
      </c>
      <c r="E2519" s="22" t="str">
        <f>IFERROR(VLOOKUP(B2519,Colaboradores!A:D,4,),"")</f>
        <v>GERENTE DE SAÚDE OCUPACIONAL</v>
      </c>
      <c r="F2519" s="54" t="s">
        <v>92</v>
      </c>
      <c r="G2519" s="24" t="str">
        <f>IFERROR(VLOOKUP(F2519,Procedimentos!A:C,2,),"")</f>
        <v>PROCEDIMENTO PARA GESTÃO DE PRONTUÁRIO</v>
      </c>
      <c r="H2519" s="22" t="s">
        <v>7</v>
      </c>
      <c r="K2519" s="25" t="str">
        <f t="shared" si="80"/>
        <v/>
      </c>
    </row>
    <row r="2520" spans="2:11" ht="15" customHeight="1">
      <c r="B2520" s="38">
        <v>7590</v>
      </c>
      <c r="C2520" s="22" t="str">
        <f>IFERROR(VLOOKUP(B2520,Colaboradores!A:D,2,),"")</f>
        <v>FABIOLA SOUSA MOURA BORGES</v>
      </c>
      <c r="D2520" s="22" t="str">
        <f>IFERROR(VLOOKUP(B2520,Colaboradores!A:D,3,),"")</f>
        <v>SAÚDE OCUPACIONAL</v>
      </c>
      <c r="E2520" s="22" t="str">
        <f>IFERROR(VLOOKUP(B2520,Colaboradores!A:D,4,),"")</f>
        <v>GERENTE DE SAÚDE OCUPACIONAL</v>
      </c>
      <c r="F2520" s="54" t="s">
        <v>93</v>
      </c>
      <c r="G2520" s="24" t="str">
        <f>IFERROR(VLOOKUP(F2520,Procedimentos!A:C,2,),"")</f>
        <v>ATENDIMENTO PSICOLÓGICO EM FOLLOW UP NO ESPAÇO CUIDAR</v>
      </c>
      <c r="H2520" s="22" t="s">
        <v>7</v>
      </c>
      <c r="K2520" s="25" t="str">
        <f t="shared" si="80"/>
        <v/>
      </c>
    </row>
    <row r="2521" spans="2:11" ht="15" customHeight="1">
      <c r="B2521" s="38">
        <v>13778</v>
      </c>
      <c r="C2521" s="22" t="str">
        <f>IFERROR(VLOOKUP(B2521,Colaboradores!A:D,2,),"")</f>
        <v>LAIS FERREIRA CAMPOS MINEIRO</v>
      </c>
      <c r="D2521" s="22" t="str">
        <f>IFERROR(VLOOKUP(B2521,Colaboradores!A:D,3,),"")</f>
        <v>SAÚDE OCUPACIONAL</v>
      </c>
      <c r="E2521" s="22" t="str">
        <f>IFERROR(VLOOKUP(B2521,Colaboradores!A:D,4,),"")</f>
        <v>FISIOTERAPEUTA</v>
      </c>
      <c r="F2521" s="54" t="s">
        <v>81</v>
      </c>
      <c r="G2521" s="24" t="str">
        <f>IFERROR(VLOOKUP(F2521,Procedimentos!A:C,2,),"")</f>
        <v>ATENDIMENTO PSICOLÓGICO NO ESPAÇO CUIDARH</v>
      </c>
      <c r="K2521" s="25" t="str">
        <f t="shared" si="80"/>
        <v/>
      </c>
    </row>
    <row r="2522" spans="2:11" ht="15" customHeight="1">
      <c r="B2522" s="38">
        <v>13778</v>
      </c>
      <c r="C2522" s="22" t="str">
        <f>IFERROR(VLOOKUP(B2522,Colaboradores!A:D,2,),"")</f>
        <v>LAIS FERREIRA CAMPOS MINEIRO</v>
      </c>
      <c r="D2522" s="22" t="str">
        <f>IFERROR(VLOOKUP(B2522,Colaboradores!A:D,3,),"")</f>
        <v>SAÚDE OCUPACIONAL</v>
      </c>
      <c r="E2522" s="22" t="str">
        <f>IFERROR(VLOOKUP(B2522,Colaboradores!A:D,4,),"")</f>
        <v>FISIOTERAPEUTA</v>
      </c>
      <c r="F2522" s="54" t="s">
        <v>85</v>
      </c>
      <c r="G2522" s="24" t="str">
        <f>IFERROR(VLOOKUP(F2522,Procedimentos!A:C,2,),"")</f>
        <v>PLANO DE CONTIGÊNCIA ESPAÇO CUIDAR</v>
      </c>
      <c r="K2522" s="25" t="str">
        <f t="shared" si="80"/>
        <v/>
      </c>
    </row>
    <row r="2523" spans="2:11" ht="15" customHeight="1">
      <c r="B2523" s="38">
        <v>13778</v>
      </c>
      <c r="C2523" s="22" t="str">
        <f>IFERROR(VLOOKUP(B2523,Colaboradores!A:D,2,),"")</f>
        <v>LAIS FERREIRA CAMPOS MINEIRO</v>
      </c>
      <c r="D2523" s="22" t="str">
        <f>IFERROR(VLOOKUP(B2523,Colaboradores!A:D,3,),"")</f>
        <v>SAÚDE OCUPACIONAL</v>
      </c>
      <c r="E2523" s="22" t="str">
        <f>IFERROR(VLOOKUP(B2523,Colaboradores!A:D,4,),"")</f>
        <v>FISIOTERAPEUTA</v>
      </c>
      <c r="F2523" s="54" t="s">
        <v>86</v>
      </c>
      <c r="G2523" s="24" t="str">
        <f>IFERROR(VLOOKUP(F2523,Procedimentos!A:C,2,),"")</f>
        <v>PROGRAMA DE CONTROLE DE INFECÇÃO RELACIONADA À ASSISTÊNCIA À SAÚDE – CCIRAS - ASSISTÊNCIA AMBULATORIAL</v>
      </c>
      <c r="K2523" s="25" t="str">
        <f t="shared" si="80"/>
        <v/>
      </c>
    </row>
    <row r="2524" spans="2:11" ht="15" customHeight="1">
      <c r="B2524" s="38">
        <v>13778</v>
      </c>
      <c r="C2524" s="22" t="str">
        <f>IFERROR(VLOOKUP(B2524,Colaboradores!A:D,2,),"")</f>
        <v>LAIS FERREIRA CAMPOS MINEIRO</v>
      </c>
      <c r="D2524" s="22" t="str">
        <f>IFERROR(VLOOKUP(B2524,Colaboradores!A:D,3,),"")</f>
        <v>SAÚDE OCUPACIONAL</v>
      </c>
      <c r="E2524" s="22" t="str">
        <f>IFERROR(VLOOKUP(B2524,Colaboradores!A:D,4,),"")</f>
        <v>FISIOTERAPEUTA</v>
      </c>
      <c r="F2524" s="54" t="s">
        <v>87</v>
      </c>
      <c r="G2524" s="24" t="str">
        <f>IFERROR(VLOOKUP(F2524,Procedimentos!A:C,2,),"")</f>
        <v>PLANO ANUAL DE SEGURANÇA DO PACIENTE - NSP</v>
      </c>
      <c r="K2524" s="25" t="str">
        <f t="shared" si="80"/>
        <v/>
      </c>
    </row>
    <row r="2525" spans="2:11" ht="15" customHeight="1">
      <c r="B2525" s="38">
        <v>13778</v>
      </c>
      <c r="C2525" s="22" t="str">
        <f>IFERROR(VLOOKUP(B2525,Colaboradores!A:D,2,),"")</f>
        <v>LAIS FERREIRA CAMPOS MINEIRO</v>
      </c>
      <c r="D2525" s="22" t="str">
        <f>IFERROR(VLOOKUP(B2525,Colaboradores!A:D,3,),"")</f>
        <v>SAÚDE OCUPACIONAL</v>
      </c>
      <c r="E2525" s="22" t="str">
        <f>IFERROR(VLOOKUP(B2525,Colaboradores!A:D,4,),"")</f>
        <v>FISIOTERAPEUTA</v>
      </c>
      <c r="F2525" s="54" t="s">
        <v>88</v>
      </c>
      <c r="G2525" s="24" t="str">
        <f>IFERROR(VLOOKUP(F2525,Procedimentos!A:C,2,),"")</f>
        <v>PLANO ANUAL COMISSÃO BIOSSEGURANÇA</v>
      </c>
      <c r="K2525" s="25" t="str">
        <f t="shared" si="80"/>
        <v/>
      </c>
    </row>
    <row r="2526" spans="2:11" ht="15" customHeight="1">
      <c r="B2526" s="38">
        <v>13778</v>
      </c>
      <c r="C2526" s="22" t="str">
        <f>IFERROR(VLOOKUP(B2526,Colaboradores!A:D,2,),"")</f>
        <v>LAIS FERREIRA CAMPOS MINEIRO</v>
      </c>
      <c r="D2526" s="22" t="str">
        <f>IFERROR(VLOOKUP(B2526,Colaboradores!A:D,3,),"")</f>
        <v>SAÚDE OCUPACIONAL</v>
      </c>
      <c r="E2526" s="22" t="str">
        <f>IFERROR(VLOOKUP(B2526,Colaboradores!A:D,4,),"")</f>
        <v>FISIOTERAPEUTA</v>
      </c>
      <c r="F2526" s="54" t="s">
        <v>89</v>
      </c>
      <c r="G2526" s="24" t="str">
        <f>IFERROR(VLOOKUP(F2526,Procedimentos!A:C,2,),"")</f>
        <v>PLANO ANUAL DA COMISSÃO DE REVISÃO DE PRONTUÁRIO</v>
      </c>
      <c r="K2526" s="25" t="str">
        <f t="shared" si="80"/>
        <v/>
      </c>
    </row>
    <row r="2527" spans="2:11" ht="15" customHeight="1">
      <c r="B2527" s="38">
        <v>13778</v>
      </c>
      <c r="C2527" s="22" t="str">
        <f>IFERROR(VLOOKUP(B2527,Colaboradores!A:D,2,),"")</f>
        <v>LAIS FERREIRA CAMPOS MINEIRO</v>
      </c>
      <c r="D2527" s="22" t="str">
        <f>IFERROR(VLOOKUP(B2527,Colaboradores!A:D,3,),"")</f>
        <v>SAÚDE OCUPACIONAL</v>
      </c>
      <c r="E2527" s="22" t="str">
        <f>IFERROR(VLOOKUP(B2527,Colaboradores!A:D,4,),"")</f>
        <v>FISIOTERAPEUTA</v>
      </c>
      <c r="F2527" s="54" t="s">
        <v>90</v>
      </c>
      <c r="G2527" s="24" t="str">
        <f>IFERROR(VLOOKUP(F2527,Procedimentos!A:C,2,),"")</f>
        <v>PROCEDIMENTO DE ATENDIMENTO DA NUTRIÇÃO</v>
      </c>
      <c r="K2527" s="25" t="str">
        <f t="shared" si="80"/>
        <v/>
      </c>
    </row>
    <row r="2528" spans="2:11" ht="15" customHeight="1">
      <c r="B2528" s="38">
        <v>13778</v>
      </c>
      <c r="C2528" s="22" t="str">
        <f>IFERROR(VLOOKUP(B2528,Colaboradores!A:D,2,),"")</f>
        <v>LAIS FERREIRA CAMPOS MINEIRO</v>
      </c>
      <c r="D2528" s="22" t="str">
        <f>IFERROR(VLOOKUP(B2528,Colaboradores!A:D,3,),"")</f>
        <v>SAÚDE OCUPACIONAL</v>
      </c>
      <c r="E2528" s="22" t="str">
        <f>IFERROR(VLOOKUP(B2528,Colaboradores!A:D,4,),"")</f>
        <v>FISIOTERAPEUTA</v>
      </c>
      <c r="F2528" s="54" t="s">
        <v>91</v>
      </c>
      <c r="G2528" s="24" t="str">
        <f>IFERROR(VLOOKUP(F2528,Procedimentos!A:C,2,),"")</f>
        <v>PROCEDIMENTO PARA ATENDIMENTO SOCIAL</v>
      </c>
      <c r="K2528" s="25" t="str">
        <f t="shared" si="80"/>
        <v/>
      </c>
    </row>
    <row r="2529" spans="2:11" ht="15" customHeight="1">
      <c r="B2529" s="38">
        <v>13778</v>
      </c>
      <c r="C2529" s="22" t="str">
        <f>IFERROR(VLOOKUP(B2529,Colaboradores!A:D,2,),"")</f>
        <v>LAIS FERREIRA CAMPOS MINEIRO</v>
      </c>
      <c r="D2529" s="22" t="str">
        <f>IFERROR(VLOOKUP(B2529,Colaboradores!A:D,3,),"")</f>
        <v>SAÚDE OCUPACIONAL</v>
      </c>
      <c r="E2529" s="22" t="str">
        <f>IFERROR(VLOOKUP(B2529,Colaboradores!A:D,4,),"")</f>
        <v>FISIOTERAPEUTA</v>
      </c>
      <c r="F2529" s="54" t="s">
        <v>92</v>
      </c>
      <c r="G2529" s="24" t="str">
        <f>IFERROR(VLOOKUP(F2529,Procedimentos!A:C,2,),"")</f>
        <v>PROCEDIMENTO PARA GESTÃO DE PRONTUÁRIO</v>
      </c>
      <c r="K2529" s="25" t="str">
        <f t="shared" si="80"/>
        <v/>
      </c>
    </row>
    <row r="2530" spans="2:11" ht="15" customHeight="1">
      <c r="B2530" s="38">
        <v>13778</v>
      </c>
      <c r="C2530" s="22" t="str">
        <f>IFERROR(VLOOKUP(B2530,Colaboradores!A:D,2,),"")</f>
        <v>LAIS FERREIRA CAMPOS MINEIRO</v>
      </c>
      <c r="D2530" s="22" t="str">
        <f>IFERROR(VLOOKUP(B2530,Colaboradores!A:D,3,),"")</f>
        <v>SAÚDE OCUPACIONAL</v>
      </c>
      <c r="E2530" s="22" t="str">
        <f>IFERROR(VLOOKUP(B2530,Colaboradores!A:D,4,),"")</f>
        <v>FISIOTERAPEUTA</v>
      </c>
      <c r="F2530" s="54" t="s">
        <v>93</v>
      </c>
      <c r="G2530" s="24" t="str">
        <f>IFERROR(VLOOKUP(F2530,Procedimentos!A:C,2,),"")</f>
        <v>ATENDIMENTO PSICOLÓGICO EM FOLLOW UP NO ESPAÇO CUIDAR</v>
      </c>
      <c r="K2530" s="25" t="str">
        <f t="shared" si="80"/>
        <v/>
      </c>
    </row>
    <row r="2531" spans="2:11" ht="15" customHeight="1">
      <c r="B2531" s="38">
        <v>7147</v>
      </c>
      <c r="C2531" s="22" t="str">
        <f>IFERROR(VLOOKUP(B2531,Colaboradores!A:D,2,),"")</f>
        <v>MAIARA MONTEIRO MARQUES CASTELO BRANCO</v>
      </c>
      <c r="D2531" s="22" t="str">
        <f>IFERROR(VLOOKUP(B2531,Colaboradores!A:D,3,),"")</f>
        <v>SAÚDE OCUPACIONAL</v>
      </c>
      <c r="E2531" s="22" t="str">
        <f>IFERROR(VLOOKUP(B2531,Colaboradores!A:D,4,),"")</f>
        <v>PSICÓLOGA</v>
      </c>
      <c r="F2531" s="54" t="s">
        <v>80</v>
      </c>
      <c r="G2531" s="24" t="str">
        <f>IFERROR(VLOOKUP(F2531,Procedimentos!A:C,2,),"")</f>
        <v>ATENDIMENTO FISIOTERÁPICO NO ESPAÇO CUIDARH</v>
      </c>
      <c r="K2531" s="25" t="str">
        <f t="shared" si="80"/>
        <v/>
      </c>
    </row>
    <row r="2532" spans="2:11" ht="15" customHeight="1">
      <c r="B2532" s="38">
        <v>7147</v>
      </c>
      <c r="C2532" s="22" t="str">
        <f>IFERROR(VLOOKUP(B2532,Colaboradores!A:D,2,),"")</f>
        <v>MAIARA MONTEIRO MARQUES CASTELO BRANCO</v>
      </c>
      <c r="D2532" s="22" t="str">
        <f>IFERROR(VLOOKUP(B2532,Colaboradores!A:D,3,),"")</f>
        <v>SAÚDE OCUPACIONAL</v>
      </c>
      <c r="E2532" s="22" t="str">
        <f>IFERROR(VLOOKUP(B2532,Colaboradores!A:D,4,),"")</f>
        <v>PSICÓLOGA</v>
      </c>
      <c r="F2532" s="54" t="s">
        <v>85</v>
      </c>
      <c r="G2532" s="24" t="str">
        <f>IFERROR(VLOOKUP(F2532,Procedimentos!A:C,2,),"")</f>
        <v>PLANO DE CONTIGÊNCIA ESPAÇO CUIDAR</v>
      </c>
      <c r="K2532" s="25" t="str">
        <f t="shared" si="80"/>
        <v/>
      </c>
    </row>
    <row r="2533" spans="2:11" ht="15" customHeight="1">
      <c r="B2533" s="38">
        <v>7147</v>
      </c>
      <c r="C2533" s="22" t="str">
        <f>IFERROR(VLOOKUP(B2533,Colaboradores!A:D,2,),"")</f>
        <v>MAIARA MONTEIRO MARQUES CASTELO BRANCO</v>
      </c>
      <c r="D2533" s="22" t="str">
        <f>IFERROR(VLOOKUP(B2533,Colaboradores!A:D,3,),"")</f>
        <v>SAÚDE OCUPACIONAL</v>
      </c>
      <c r="E2533" s="22" t="str">
        <f>IFERROR(VLOOKUP(B2533,Colaboradores!A:D,4,),"")</f>
        <v>PSICÓLOGA</v>
      </c>
      <c r="F2533" s="54" t="s">
        <v>86</v>
      </c>
      <c r="G2533" s="24" t="str">
        <f>IFERROR(VLOOKUP(F2533,Procedimentos!A:C,2,),"")</f>
        <v>PROGRAMA DE CONTROLE DE INFECÇÃO RELACIONADA À ASSISTÊNCIA À SAÚDE – CCIRAS - ASSISTÊNCIA AMBULATORIAL</v>
      </c>
      <c r="K2533" s="25" t="str">
        <f t="shared" si="80"/>
        <v/>
      </c>
    </row>
    <row r="2534" spans="2:11" ht="15" customHeight="1">
      <c r="B2534" s="38">
        <v>7147</v>
      </c>
      <c r="C2534" s="22" t="str">
        <f>IFERROR(VLOOKUP(B2534,Colaboradores!A:D,2,),"")</f>
        <v>MAIARA MONTEIRO MARQUES CASTELO BRANCO</v>
      </c>
      <c r="D2534" s="22" t="str">
        <f>IFERROR(VLOOKUP(B2534,Colaboradores!A:D,3,),"")</f>
        <v>SAÚDE OCUPACIONAL</v>
      </c>
      <c r="E2534" s="22" t="str">
        <f>IFERROR(VLOOKUP(B2534,Colaboradores!A:D,4,),"")</f>
        <v>PSICÓLOGA</v>
      </c>
      <c r="F2534" s="54" t="s">
        <v>87</v>
      </c>
      <c r="G2534" s="24" t="str">
        <f>IFERROR(VLOOKUP(F2534,Procedimentos!A:C,2,),"")</f>
        <v>PLANO ANUAL DE SEGURANÇA DO PACIENTE - NSP</v>
      </c>
      <c r="K2534" s="25" t="str">
        <f t="shared" si="80"/>
        <v/>
      </c>
    </row>
    <row r="2535" spans="2:11" ht="15" customHeight="1">
      <c r="B2535" s="38">
        <v>7147</v>
      </c>
      <c r="C2535" s="22" t="str">
        <f>IFERROR(VLOOKUP(B2535,Colaboradores!A:D,2,),"")</f>
        <v>MAIARA MONTEIRO MARQUES CASTELO BRANCO</v>
      </c>
      <c r="D2535" s="22" t="str">
        <f>IFERROR(VLOOKUP(B2535,Colaboradores!A:D,3,),"")</f>
        <v>SAÚDE OCUPACIONAL</v>
      </c>
      <c r="E2535" s="22" t="str">
        <f>IFERROR(VLOOKUP(B2535,Colaboradores!A:D,4,),"")</f>
        <v>PSICÓLOGA</v>
      </c>
      <c r="F2535" s="54" t="s">
        <v>88</v>
      </c>
      <c r="G2535" s="24" t="str">
        <f>IFERROR(VLOOKUP(F2535,Procedimentos!A:C,2,),"")</f>
        <v>PLANO ANUAL COMISSÃO BIOSSEGURANÇA</v>
      </c>
      <c r="K2535" s="25" t="str">
        <f t="shared" si="80"/>
        <v/>
      </c>
    </row>
    <row r="2536" spans="2:11" ht="15" customHeight="1">
      <c r="B2536" s="38">
        <v>7147</v>
      </c>
      <c r="C2536" s="22" t="str">
        <f>IFERROR(VLOOKUP(B2536,Colaboradores!A:D,2,),"")</f>
        <v>MAIARA MONTEIRO MARQUES CASTELO BRANCO</v>
      </c>
      <c r="D2536" s="22" t="str">
        <f>IFERROR(VLOOKUP(B2536,Colaboradores!A:D,3,),"")</f>
        <v>SAÚDE OCUPACIONAL</v>
      </c>
      <c r="E2536" s="22" t="str">
        <f>IFERROR(VLOOKUP(B2536,Colaboradores!A:D,4,),"")</f>
        <v>PSICÓLOGA</v>
      </c>
      <c r="F2536" s="54" t="s">
        <v>89</v>
      </c>
      <c r="G2536" s="24" t="str">
        <f>IFERROR(VLOOKUP(F2536,Procedimentos!A:C,2,),"")</f>
        <v>PLANO ANUAL DA COMISSÃO DE REVISÃO DE PRONTUÁRIO</v>
      </c>
      <c r="K2536" s="25" t="str">
        <f t="shared" si="80"/>
        <v/>
      </c>
    </row>
    <row r="2537" spans="2:11" ht="15" customHeight="1">
      <c r="B2537" s="38">
        <v>7147</v>
      </c>
      <c r="C2537" s="22" t="str">
        <f>IFERROR(VLOOKUP(B2537,Colaboradores!A:D,2,),"")</f>
        <v>MAIARA MONTEIRO MARQUES CASTELO BRANCO</v>
      </c>
      <c r="D2537" s="22" t="str">
        <f>IFERROR(VLOOKUP(B2537,Colaboradores!A:D,3,),"")</f>
        <v>SAÚDE OCUPACIONAL</v>
      </c>
      <c r="E2537" s="22" t="str">
        <f>IFERROR(VLOOKUP(B2537,Colaboradores!A:D,4,),"")</f>
        <v>PSICÓLOGA</v>
      </c>
      <c r="F2537" s="54" t="s">
        <v>90</v>
      </c>
      <c r="G2537" s="24" t="str">
        <f>IFERROR(VLOOKUP(F2537,Procedimentos!A:C,2,),"")</f>
        <v>PROCEDIMENTO DE ATENDIMENTO DA NUTRIÇÃO</v>
      </c>
      <c r="K2537" s="25" t="str">
        <f t="shared" si="80"/>
        <v/>
      </c>
    </row>
    <row r="2538" spans="2:11" ht="15" customHeight="1">
      <c r="B2538" s="38">
        <v>7147</v>
      </c>
      <c r="C2538" s="22" t="str">
        <f>IFERROR(VLOOKUP(B2538,Colaboradores!A:D,2,),"")</f>
        <v>MAIARA MONTEIRO MARQUES CASTELO BRANCO</v>
      </c>
      <c r="D2538" s="22" t="str">
        <f>IFERROR(VLOOKUP(B2538,Colaboradores!A:D,3,),"")</f>
        <v>SAÚDE OCUPACIONAL</v>
      </c>
      <c r="E2538" s="22" t="str">
        <f>IFERROR(VLOOKUP(B2538,Colaboradores!A:D,4,),"")</f>
        <v>PSICÓLOGA</v>
      </c>
      <c r="F2538" s="54" t="s">
        <v>91</v>
      </c>
      <c r="G2538" s="24" t="str">
        <f>IFERROR(VLOOKUP(F2538,Procedimentos!A:C,2,),"")</f>
        <v>PROCEDIMENTO PARA ATENDIMENTO SOCIAL</v>
      </c>
      <c r="K2538" s="25" t="str">
        <f t="shared" si="80"/>
        <v/>
      </c>
    </row>
    <row r="2539" spans="2:11" ht="15" customHeight="1">
      <c r="B2539" s="38">
        <v>7147</v>
      </c>
      <c r="C2539" s="22" t="str">
        <f>IFERROR(VLOOKUP(B2539,Colaboradores!A:D,2,),"")</f>
        <v>MAIARA MONTEIRO MARQUES CASTELO BRANCO</v>
      </c>
      <c r="D2539" s="22" t="str">
        <f>IFERROR(VLOOKUP(B2539,Colaboradores!A:D,3,),"")</f>
        <v>SAÚDE OCUPACIONAL</v>
      </c>
      <c r="E2539" s="22" t="str">
        <f>IFERROR(VLOOKUP(B2539,Colaboradores!A:D,4,),"")</f>
        <v>PSICÓLOGA</v>
      </c>
      <c r="F2539" s="54" t="s">
        <v>92</v>
      </c>
      <c r="G2539" s="24" t="str">
        <f>IFERROR(VLOOKUP(F2539,Procedimentos!A:C,2,),"")</f>
        <v>PROCEDIMENTO PARA GESTÃO DE PRONTUÁRIO</v>
      </c>
      <c r="K2539" s="25" t="str">
        <f t="shared" si="80"/>
        <v/>
      </c>
    </row>
    <row r="2540" spans="2:11" ht="15" customHeight="1">
      <c r="B2540" s="38">
        <v>7147</v>
      </c>
      <c r="C2540" s="22" t="str">
        <f>IFERROR(VLOOKUP(B2540,Colaboradores!A:D,2,),"")</f>
        <v>MAIARA MONTEIRO MARQUES CASTELO BRANCO</v>
      </c>
      <c r="D2540" s="22" t="str">
        <f>IFERROR(VLOOKUP(B2540,Colaboradores!A:D,3,),"")</f>
        <v>SAÚDE OCUPACIONAL</v>
      </c>
      <c r="E2540" s="22" t="str">
        <f>IFERROR(VLOOKUP(B2540,Colaboradores!A:D,4,),"")</f>
        <v>PSICÓLOGA</v>
      </c>
      <c r="F2540" s="54" t="s">
        <v>93</v>
      </c>
      <c r="G2540" s="24" t="str">
        <f>IFERROR(VLOOKUP(F2540,Procedimentos!A:C,2,),"")</f>
        <v>ATENDIMENTO PSICOLÓGICO EM FOLLOW UP NO ESPAÇO CUIDAR</v>
      </c>
      <c r="H2540" s="22" t="s">
        <v>7</v>
      </c>
      <c r="K2540" s="25" t="str">
        <f t="shared" si="80"/>
        <v/>
      </c>
    </row>
    <row r="2541" spans="2:11" ht="15" customHeight="1">
      <c r="B2541" s="38">
        <v>15462</v>
      </c>
      <c r="C2541" s="22" t="str">
        <f>IFERROR(VLOOKUP(B2541,Colaboradores!A:D,2,),"")</f>
        <v>BIANCA ALINE SANTOS DA SILVA DO NASCIMENTO</v>
      </c>
      <c r="D2541" s="22" t="str">
        <f>IFERROR(VLOOKUP(B2541,Colaboradores!A:D,3,),"")</f>
        <v>SAÚDE OCUPACIONAL</v>
      </c>
      <c r="E2541" s="22" t="str">
        <f>IFERROR(VLOOKUP(B2541,Colaboradores!A:D,4,),"")</f>
        <v>ENFERMEIRA DO TRABALHO</v>
      </c>
      <c r="F2541" s="54" t="s">
        <v>19</v>
      </c>
      <c r="G2541" s="24" t="str">
        <f>IFERROR(VLOOKUP(F2541,Procedimentos!A:C,2,),"")</f>
        <v>DIRETRIZES PARA DOCUMENTOS NORMATIVOS</v>
      </c>
      <c r="K2541" s="25" t="str">
        <f t="shared" si="80"/>
        <v/>
      </c>
    </row>
    <row r="2542" spans="2:11" ht="15" customHeight="1">
      <c r="B2542" s="38">
        <v>15462</v>
      </c>
      <c r="C2542" s="22" t="str">
        <f>IFERROR(VLOOKUP(B2542,Colaboradores!A:D,2,),"")</f>
        <v>BIANCA ALINE SANTOS DA SILVA DO NASCIMENTO</v>
      </c>
      <c r="D2542" s="22" t="str">
        <f>IFERROR(VLOOKUP(B2542,Colaboradores!A:D,3,),"")</f>
        <v>SAÚDE OCUPACIONAL</v>
      </c>
      <c r="E2542" s="22" t="str">
        <f>IFERROR(VLOOKUP(B2542,Colaboradores!A:D,4,),"")</f>
        <v>ENFERMEIRA DO TRABALHO</v>
      </c>
      <c r="F2542" s="54" t="s">
        <v>24</v>
      </c>
      <c r="G2542" s="24" t="str">
        <f>IFERROR(VLOOKUP(F2542,Procedimentos!A:C,2,),"")</f>
        <v>DIRETRIZES  PARA PROGRAMA 5S</v>
      </c>
      <c r="K2542" s="25" t="str">
        <f t="shared" si="80"/>
        <v/>
      </c>
    </row>
    <row r="2543" spans="2:11" ht="15" customHeight="1">
      <c r="B2543" s="38">
        <v>15462</v>
      </c>
      <c r="C2543" s="22" t="str">
        <f>IFERROR(VLOOKUP(B2543,Colaboradores!A:D,2,),"")</f>
        <v>BIANCA ALINE SANTOS DA SILVA DO NASCIMENTO</v>
      </c>
      <c r="D2543" s="22" t="str">
        <f>IFERROR(VLOOKUP(B2543,Colaboradores!A:D,3,),"")</f>
        <v>SAÚDE OCUPACIONAL</v>
      </c>
      <c r="E2543" s="22" t="str">
        <f>IFERROR(VLOOKUP(B2543,Colaboradores!A:D,4,),"")</f>
        <v>ENFERMEIRA DO TRABALHO</v>
      </c>
      <c r="F2543" s="54" t="s">
        <v>25</v>
      </c>
      <c r="G2543" s="24" t="str">
        <f>IFERROR(VLOOKUP(F2543,Procedimentos!A:C,2,),"")</f>
        <v>GARANTIA DA QUALIDADE</v>
      </c>
      <c r="K2543" s="25" t="str">
        <f t="shared" si="80"/>
        <v/>
      </c>
    </row>
    <row r="2544" spans="2:11" ht="15" customHeight="1">
      <c r="B2544" s="38">
        <v>15462</v>
      </c>
      <c r="C2544" s="22" t="str">
        <f>IFERROR(VLOOKUP(B2544,Colaboradores!A:D,2,),"")</f>
        <v>BIANCA ALINE SANTOS DA SILVA DO NASCIMENTO</v>
      </c>
      <c r="D2544" s="22" t="str">
        <f>IFERROR(VLOOKUP(B2544,Colaboradores!A:D,3,),"")</f>
        <v>SAÚDE OCUPACIONAL</v>
      </c>
      <c r="E2544" s="22" t="str">
        <f>IFERROR(VLOOKUP(B2544,Colaboradores!A:D,4,),"")</f>
        <v>ENFERMEIRA DO TRABALHO</v>
      </c>
      <c r="F2544" s="54" t="s">
        <v>26</v>
      </c>
      <c r="G2544" s="24" t="str">
        <f>IFERROR(VLOOKUP(F2544,Procedimentos!A:C,2,),"")</f>
        <v>RESPONSABILIDADES E AUTORIDADES DO SGQ</v>
      </c>
      <c r="K2544" s="25" t="str">
        <f t="shared" si="80"/>
        <v/>
      </c>
    </row>
    <row r="2545" spans="2:11" ht="15" customHeight="1">
      <c r="B2545" s="38">
        <v>15462</v>
      </c>
      <c r="C2545" s="22" t="str">
        <f>IFERROR(VLOOKUP(B2545,Colaboradores!A:D,2,),"")</f>
        <v>BIANCA ALINE SANTOS DA SILVA DO NASCIMENTO</v>
      </c>
      <c r="D2545" s="22" t="str">
        <f>IFERROR(VLOOKUP(B2545,Colaboradores!A:D,3,),"")</f>
        <v>SAÚDE OCUPACIONAL</v>
      </c>
      <c r="E2545" s="22" t="str">
        <f>IFERROR(VLOOKUP(B2545,Colaboradores!A:D,4,),"")</f>
        <v>ENFERMEIRA DO TRABALHO</v>
      </c>
      <c r="F2545" s="54" t="s">
        <v>41</v>
      </c>
      <c r="G2545" s="24" t="str">
        <f>IFERROR(VLOOKUP(F2545,Procedimentos!A:C,2,),"")</f>
        <v>DIRETRIZES PARA COMUNICAÇÃO E INVESTIGAÇÃO DE ACIDENTES</v>
      </c>
      <c r="K2545" s="25" t="str">
        <f t="shared" si="80"/>
        <v/>
      </c>
    </row>
    <row r="2546" spans="2:11" ht="15" customHeight="1">
      <c r="B2546" s="38">
        <v>15462</v>
      </c>
      <c r="C2546" s="22" t="str">
        <f>IFERROR(VLOOKUP(B2546,Colaboradores!A:D,2,),"")</f>
        <v>BIANCA ALINE SANTOS DA SILVA DO NASCIMENTO</v>
      </c>
      <c r="D2546" s="22" t="str">
        <f>IFERROR(VLOOKUP(B2546,Colaboradores!A:D,3,),"")</f>
        <v>SAÚDE OCUPACIONAL</v>
      </c>
      <c r="E2546" s="22" t="str">
        <f>IFERROR(VLOOKUP(B2546,Colaboradores!A:D,4,),"")</f>
        <v>ENFERMEIRA DO TRABALHO</v>
      </c>
      <c r="F2546" s="54" t="s">
        <v>43</v>
      </c>
      <c r="G2546" s="24" t="str">
        <f>IFERROR(VLOOKUP(F2546,Procedimentos!A:C,2,),"")</f>
        <v>DIÁLOGO DE SAÚDE E SEGURANÇA - DSS</v>
      </c>
      <c r="K2546" s="25" t="str">
        <f t="shared" si="80"/>
        <v/>
      </c>
    </row>
    <row r="2547" spans="2:11" ht="15" customHeight="1">
      <c r="B2547" s="38">
        <v>15462</v>
      </c>
      <c r="C2547" s="22" t="str">
        <f>IFERROR(VLOOKUP(B2547,Colaboradores!A:D,2,),"")</f>
        <v>BIANCA ALINE SANTOS DA SILVA DO NASCIMENTO</v>
      </c>
      <c r="D2547" s="22" t="str">
        <f>IFERROR(VLOOKUP(B2547,Colaboradores!A:D,3,),"")</f>
        <v>SAÚDE OCUPACIONAL</v>
      </c>
      <c r="E2547" s="22" t="str">
        <f>IFERROR(VLOOKUP(B2547,Colaboradores!A:D,4,),"")</f>
        <v>ENFERMEIRA DO TRABALHO</v>
      </c>
      <c r="F2547" s="54" t="s">
        <v>44</v>
      </c>
      <c r="G2547" s="24" t="str">
        <f>IFERROR(VLOOKUP(F2547,Procedimentos!A:C,2,),"")</f>
        <v>DIRETRIZES PARA GESTÃO DE EQUIPAMENTOS DE PROTEÇÃO INDIVIDUAL - EPI'S</v>
      </c>
      <c r="K2547" s="25" t="str">
        <f t="shared" si="80"/>
        <v/>
      </c>
    </row>
    <row r="2548" spans="2:11" ht="15" customHeight="1">
      <c r="B2548" s="38">
        <v>15462</v>
      </c>
      <c r="C2548" s="22" t="str">
        <f>IFERROR(VLOOKUP(B2548,Colaboradores!A:D,2,),"")</f>
        <v>BIANCA ALINE SANTOS DA SILVA DO NASCIMENTO</v>
      </c>
      <c r="D2548" s="22" t="str">
        <f>IFERROR(VLOOKUP(B2548,Colaboradores!A:D,3,),"")</f>
        <v>SAÚDE OCUPACIONAL</v>
      </c>
      <c r="E2548" s="22" t="str">
        <f>IFERROR(VLOOKUP(B2548,Colaboradores!A:D,4,),"")</f>
        <v>ENFERMEIRA DO TRABALHO</v>
      </c>
      <c r="F2548" s="54" t="s">
        <v>45</v>
      </c>
      <c r="G2548" s="24" t="str">
        <f>IFERROR(VLOOKUP(F2548,Procedimentos!A:C,2,),"")</f>
        <v>CONSTITUIÇÃO INTERNA DE PREVENÇÃO DE ACIDENTES E DE ASSÉDIOS - CIPA</v>
      </c>
      <c r="K2548" s="25" t="str">
        <f t="shared" si="80"/>
        <v/>
      </c>
    </row>
    <row r="2549" spans="2:11" ht="15" customHeight="1">
      <c r="B2549" s="38">
        <v>15462</v>
      </c>
      <c r="C2549" s="22" t="str">
        <f>IFERROR(VLOOKUP(B2549,Colaboradores!A:D,2,),"")</f>
        <v>BIANCA ALINE SANTOS DA SILVA DO NASCIMENTO</v>
      </c>
      <c r="D2549" s="22" t="str">
        <f>IFERROR(VLOOKUP(B2549,Colaboradores!A:D,3,),"")</f>
        <v>SAÚDE OCUPACIONAL</v>
      </c>
      <c r="E2549" s="22" t="str">
        <f>IFERROR(VLOOKUP(B2549,Colaboradores!A:D,4,),"")</f>
        <v>ENFERMEIRA DO TRABALHO</v>
      </c>
      <c r="F2549" s="54" t="s">
        <v>29</v>
      </c>
      <c r="G2549" s="24" t="str">
        <f>IFERROR(VLOOKUP(F2549,Procedimentos!A:C,2,),"")</f>
        <v>COLETA SELETIVA DESSMA</v>
      </c>
      <c r="K2549" s="25" t="str">
        <f t="shared" si="80"/>
        <v/>
      </c>
    </row>
    <row r="2550" spans="2:11" ht="15" customHeight="1">
      <c r="B2550" s="38">
        <v>15462</v>
      </c>
      <c r="C2550" s="22" t="str">
        <f>IFERROR(VLOOKUP(B2550,Colaboradores!A:D,2,),"")</f>
        <v>BIANCA ALINE SANTOS DA SILVA DO NASCIMENTO</v>
      </c>
      <c r="D2550" s="22" t="str">
        <f>IFERROR(VLOOKUP(B2550,Colaboradores!A:D,3,),"")</f>
        <v>SAÚDE OCUPACIONAL</v>
      </c>
      <c r="E2550" s="22" t="str">
        <f>IFERROR(VLOOKUP(B2550,Colaboradores!A:D,4,),"")</f>
        <v>ENFERMEIRA DO TRABALHO</v>
      </c>
      <c r="F2550" s="54" t="s">
        <v>32</v>
      </c>
      <c r="G2550" s="24" t="str">
        <f>IFERROR(VLOOKUP(F2550,Procedimentos!A:C,2,),"")</f>
        <v>GESTÃO DE LEVANTAMENTO DE ASPECTOS E IMPACTOS AMBIENTAIS</v>
      </c>
      <c r="K2550" s="25" t="str">
        <f t="shared" si="80"/>
        <v/>
      </c>
    </row>
    <row r="2551" spans="2:11" ht="15" customHeight="1">
      <c r="B2551" s="38">
        <v>15462</v>
      </c>
      <c r="C2551" s="22" t="str">
        <f>IFERROR(VLOOKUP(B2551,Colaboradores!A:D,2,),"")</f>
        <v>BIANCA ALINE SANTOS DA SILVA DO NASCIMENTO</v>
      </c>
      <c r="D2551" s="22" t="str">
        <f>IFERROR(VLOOKUP(B2551,Colaboradores!A:D,3,),"")</f>
        <v>SAÚDE OCUPACIONAL</v>
      </c>
      <c r="E2551" s="22" t="str">
        <f>IFERROR(VLOOKUP(B2551,Colaboradores!A:D,4,),"")</f>
        <v>ENFERMEIRA DO TRABALHO</v>
      </c>
      <c r="F2551" s="54" t="s">
        <v>31</v>
      </c>
      <c r="G2551" s="24" t="str">
        <f>IFERROR(VLOOKUP(F2551,Procedimentos!A:C,2,),"")</f>
        <v>GESTÃO DE COMUNICAÇÃO, CLASSIFICAÇÃO E INVESTIGAÇÃO DE OCORRÊNCIAS AMBIENTAIS</v>
      </c>
      <c r="K2551" s="25" t="str">
        <f t="shared" si="80"/>
        <v/>
      </c>
    </row>
    <row r="2552" spans="2:11" ht="15" customHeight="1">
      <c r="B2552" s="38">
        <v>15462</v>
      </c>
      <c r="C2552" s="22" t="str">
        <f>IFERROR(VLOOKUP(B2552,Colaboradores!A:D,2,),"")</f>
        <v>BIANCA ALINE SANTOS DA SILVA DO NASCIMENTO</v>
      </c>
      <c r="D2552" s="22" t="str">
        <f>IFERROR(VLOOKUP(B2552,Colaboradores!A:D,3,),"")</f>
        <v>SAÚDE OCUPACIONAL</v>
      </c>
      <c r="E2552" s="22" t="str">
        <f>IFERROR(VLOOKUP(B2552,Colaboradores!A:D,4,),"")</f>
        <v>ENFERMEIRA DO TRABALHO</v>
      </c>
      <c r="F2552" s="54" t="s">
        <v>49</v>
      </c>
      <c r="G2552" s="24" t="str">
        <f>IFERROR(VLOOKUP(F2552,Procedimentos!A:C,2,),"")</f>
        <v>DIRETRIZES PARA REALIZAÇÃO DE EXAMES OCUPACIONAIS</v>
      </c>
      <c r="K2552" s="25" t="str">
        <f t="shared" si="80"/>
        <v/>
      </c>
    </row>
    <row r="2553" spans="2:11" ht="15" customHeight="1">
      <c r="B2553" s="38">
        <v>15462</v>
      </c>
      <c r="C2553" s="22" t="str">
        <f>IFERROR(VLOOKUP(B2553,Colaboradores!A:D,2,),"")</f>
        <v>BIANCA ALINE SANTOS DA SILVA DO NASCIMENTO</v>
      </c>
      <c r="D2553" s="22" t="str">
        <f>IFERROR(VLOOKUP(B2553,Colaboradores!A:D,3,),"")</f>
        <v>SAÚDE OCUPACIONAL</v>
      </c>
      <c r="E2553" s="22" t="str">
        <f>IFERROR(VLOOKUP(B2553,Colaboradores!A:D,4,),"")</f>
        <v>ENFERMEIRA DO TRABALHO</v>
      </c>
      <c r="F2553" s="54" t="s">
        <v>51</v>
      </c>
      <c r="G2553" s="24" t="str">
        <f>IFERROR(VLOOKUP(F2553,Procedimentos!A:C,2,),"")</f>
        <v>DIRETRIZES PARA ENTREGA DE ATESTADOS MÉDICOS E ODONTOLÓGICOS</v>
      </c>
      <c r="K2553" s="25" t="str">
        <f t="shared" si="80"/>
        <v/>
      </c>
    </row>
    <row r="2554" spans="2:11" ht="15" customHeight="1">
      <c r="B2554" s="38">
        <v>15462</v>
      </c>
      <c r="C2554" s="22" t="str">
        <f>IFERROR(VLOOKUP(B2554,Colaboradores!A:D,2,),"")</f>
        <v>BIANCA ALINE SANTOS DA SILVA DO NASCIMENTO</v>
      </c>
      <c r="D2554" s="22" t="str">
        <f>IFERROR(VLOOKUP(B2554,Colaboradores!A:D,3,),"")</f>
        <v>SAÚDE OCUPACIONAL</v>
      </c>
      <c r="E2554" s="22" t="str">
        <f>IFERROR(VLOOKUP(B2554,Colaboradores!A:D,4,),"")</f>
        <v>ENFERMEIRA DO TRABALHO</v>
      </c>
      <c r="F2554" s="54" t="s">
        <v>52</v>
      </c>
      <c r="G2554" s="24" t="str">
        <f>IFERROR(VLOOKUP(F2554,Procedimentos!A:C,2,),"")</f>
        <v>DIRETRIZES E ACOMPANHAMENTO  DE ACIDENTE COM MATERIAL BIOLOGICO</v>
      </c>
      <c r="K2554" s="25" t="str">
        <f t="shared" si="80"/>
        <v/>
      </c>
    </row>
    <row r="2555" spans="2:11" ht="15" customHeight="1">
      <c r="B2555" s="38">
        <v>15462</v>
      </c>
      <c r="C2555" s="22" t="str">
        <f>IFERROR(VLOOKUP(B2555,Colaboradores!A:D,2,),"")</f>
        <v>BIANCA ALINE SANTOS DA SILVA DO NASCIMENTO</v>
      </c>
      <c r="D2555" s="22" t="str">
        <f>IFERROR(VLOOKUP(B2555,Colaboradores!A:D,3,),"")</f>
        <v>SAÚDE OCUPACIONAL</v>
      </c>
      <c r="E2555" s="22" t="str">
        <f>IFERROR(VLOOKUP(B2555,Colaboradores!A:D,4,),"")</f>
        <v>ENFERMEIRA DO TRABALHO</v>
      </c>
      <c r="F2555" s="54" t="s">
        <v>53</v>
      </c>
      <c r="G2555" s="24" t="str">
        <f>IFERROR(VLOOKUP(F2555,Procedimentos!A:C,2,),"")</f>
        <v>DIRETRIZES PARA MONITORAMENTO DE GESTANTE</v>
      </c>
      <c r="K2555" s="25" t="str">
        <f t="shared" si="80"/>
        <v/>
      </c>
    </row>
    <row r="2556" spans="2:11" ht="15" customHeight="1">
      <c r="B2556" s="38">
        <v>15462</v>
      </c>
      <c r="C2556" s="22" t="str">
        <f>IFERROR(VLOOKUP(B2556,Colaboradores!A:D,2,),"")</f>
        <v>BIANCA ALINE SANTOS DA SILVA DO NASCIMENTO</v>
      </c>
      <c r="D2556" s="22" t="str">
        <f>IFERROR(VLOOKUP(B2556,Colaboradores!A:D,3,),"")</f>
        <v>SAÚDE OCUPACIONAL</v>
      </c>
      <c r="E2556" s="22" t="str">
        <f>IFERROR(VLOOKUP(B2556,Colaboradores!A:D,4,),"")</f>
        <v>ENFERMEIRA DO TRABALHO</v>
      </c>
      <c r="F2556" s="54" t="s">
        <v>54</v>
      </c>
      <c r="G2556" s="24" t="str">
        <f>IFERROR(VLOOKUP(F2556,Procedimentos!A:C,2,),"")</f>
        <v>DIRETRIZES DE IMUNIZAÇÃO OCUPACIONAL</v>
      </c>
      <c r="K2556" s="25" t="str">
        <f t="shared" si="80"/>
        <v/>
      </c>
    </row>
    <row r="2557" spans="2:11" ht="15" customHeight="1">
      <c r="B2557" s="38">
        <v>15462</v>
      </c>
      <c r="C2557" s="22" t="str">
        <f>IFERROR(VLOOKUP(B2557,Colaboradores!A:D,2,),"")</f>
        <v>BIANCA ALINE SANTOS DA SILVA DO NASCIMENTO</v>
      </c>
      <c r="D2557" s="22" t="str">
        <f>IFERROR(VLOOKUP(B2557,Colaboradores!A:D,3,),"")</f>
        <v>SAÚDE OCUPACIONAL</v>
      </c>
      <c r="E2557" s="22" t="str">
        <f>IFERROR(VLOOKUP(B2557,Colaboradores!A:D,4,),"")</f>
        <v>ENFERMEIRA DO TRABALHO</v>
      </c>
      <c r="F2557" s="54" t="s">
        <v>55</v>
      </c>
      <c r="G2557" s="24" t="str">
        <f>IFERROR(VLOOKUP(F2557,Procedimentos!A:C,2,),"")</f>
        <v>DIRETRIZES PARA ACOMPANHAMENTO DE AFASTADOS</v>
      </c>
      <c r="K2557" s="25" t="str">
        <f t="shared" si="80"/>
        <v/>
      </c>
    </row>
    <row r="2558" spans="2:11" ht="15" customHeight="1">
      <c r="B2558" s="38">
        <v>15462</v>
      </c>
      <c r="C2558" s="22" t="str">
        <f>IFERROR(VLOOKUP(B2558,Colaboradores!A:D,2,),"")</f>
        <v>BIANCA ALINE SANTOS DA SILVA DO NASCIMENTO</v>
      </c>
      <c r="D2558" s="22" t="str">
        <f>IFERROR(VLOOKUP(B2558,Colaboradores!A:D,3,),"")</f>
        <v>SAÚDE OCUPACIONAL</v>
      </c>
      <c r="E2558" s="22" t="str">
        <f>IFERROR(VLOOKUP(B2558,Colaboradores!A:D,4,),"")</f>
        <v>ENFERMEIRA DO TRABALHO</v>
      </c>
      <c r="F2558" s="54" t="s">
        <v>33</v>
      </c>
      <c r="G2558" s="24" t="str">
        <f>IFERROR(VLOOKUP(F2558,Procedimentos!A:C,2,),"")</f>
        <v>GESTÃO DE INSPEÇÕES AMBIENTAIS</v>
      </c>
      <c r="K2558" s="25" t="str">
        <f t="shared" si="80"/>
        <v/>
      </c>
    </row>
    <row r="2559" spans="2:11" ht="15" customHeight="1">
      <c r="B2559" s="38">
        <v>15462</v>
      </c>
      <c r="C2559" s="22" t="str">
        <f>IFERROR(VLOOKUP(B2559,Colaboradores!A:D,2,),"")</f>
        <v>BIANCA ALINE SANTOS DA SILVA DO NASCIMENTO</v>
      </c>
      <c r="D2559" s="22" t="str">
        <f>IFERROR(VLOOKUP(B2559,Colaboradores!A:D,3,),"")</f>
        <v>SAÚDE OCUPACIONAL</v>
      </c>
      <c r="E2559" s="22" t="str">
        <f>IFERROR(VLOOKUP(B2559,Colaboradores!A:D,4,),"")</f>
        <v>ENFERMEIRA DO TRABALHO</v>
      </c>
      <c r="F2559" s="54" t="s">
        <v>73</v>
      </c>
      <c r="G2559" s="24" t="str">
        <f>IFERROR(VLOOKUP(F2559,Procedimentos!A:C,2,),"")</f>
        <v>AQUISIÇÃO DE BENS E SERVIÇOS E AVALIAÇÃO PROVEDORES EXTERNOS</v>
      </c>
      <c r="K2559" s="25" t="str">
        <f t="shared" si="80"/>
        <v/>
      </c>
    </row>
    <row r="2560" spans="2:11" ht="15" customHeight="1">
      <c r="B2560" s="38">
        <v>15462</v>
      </c>
      <c r="C2560" s="22" t="str">
        <f>IFERROR(VLOOKUP(B2560,Colaboradores!A:D,2,),"")</f>
        <v>BIANCA ALINE SANTOS DA SILVA DO NASCIMENTO</v>
      </c>
      <c r="D2560" s="22" t="str">
        <f>IFERROR(VLOOKUP(B2560,Colaboradores!A:D,3,),"")</f>
        <v>SAÚDE OCUPACIONAL</v>
      </c>
      <c r="E2560" s="22" t="str">
        <f>IFERROR(VLOOKUP(B2560,Colaboradores!A:D,4,),"")</f>
        <v>ENFERMEIRA DO TRABALHO</v>
      </c>
      <c r="F2560" s="54" t="s">
        <v>85</v>
      </c>
      <c r="G2560" s="24" t="str">
        <f>IFERROR(VLOOKUP(F2560,Procedimentos!A:C,2,),"")</f>
        <v>PLANO DE CONTIGÊNCIA ESPAÇO CUIDAR</v>
      </c>
      <c r="K2560" s="25" t="str">
        <f t="shared" si="80"/>
        <v/>
      </c>
    </row>
    <row r="2561" spans="2:11" ht="15" customHeight="1">
      <c r="B2561" s="38">
        <v>15462</v>
      </c>
      <c r="C2561" s="22" t="str">
        <f>IFERROR(VLOOKUP(B2561,Colaboradores!A:D,2,),"")</f>
        <v>BIANCA ALINE SANTOS DA SILVA DO NASCIMENTO</v>
      </c>
      <c r="D2561" s="22" t="str">
        <f>IFERROR(VLOOKUP(B2561,Colaboradores!A:D,3,),"")</f>
        <v>SAÚDE OCUPACIONAL</v>
      </c>
      <c r="E2561" s="22" t="str">
        <f>IFERROR(VLOOKUP(B2561,Colaboradores!A:D,4,),"")</f>
        <v>ENFERMEIRA DO TRABALHO</v>
      </c>
      <c r="F2561" s="54" t="s">
        <v>86</v>
      </c>
      <c r="G2561" s="24" t="str">
        <f>IFERROR(VLOOKUP(F2561,Procedimentos!A:C,2,),"")</f>
        <v>PROGRAMA DE CONTROLE DE INFECÇÃO RELACIONADA À ASSISTÊNCIA À SAÚDE – CCIRAS - ASSISTÊNCIA AMBULATORIAL</v>
      </c>
      <c r="K2561" s="25" t="str">
        <f t="shared" si="80"/>
        <v/>
      </c>
    </row>
    <row r="2562" spans="2:11" ht="15" customHeight="1">
      <c r="B2562" s="38">
        <v>15462</v>
      </c>
      <c r="C2562" s="22" t="str">
        <f>IFERROR(VLOOKUP(B2562,Colaboradores!A:D,2,),"")</f>
        <v>BIANCA ALINE SANTOS DA SILVA DO NASCIMENTO</v>
      </c>
      <c r="D2562" s="22" t="str">
        <f>IFERROR(VLOOKUP(B2562,Colaboradores!A:D,3,),"")</f>
        <v>SAÚDE OCUPACIONAL</v>
      </c>
      <c r="E2562" s="22" t="str">
        <f>IFERROR(VLOOKUP(B2562,Colaboradores!A:D,4,),"")</f>
        <v>ENFERMEIRA DO TRABALHO</v>
      </c>
      <c r="F2562" s="54" t="s">
        <v>87</v>
      </c>
      <c r="G2562" s="24" t="str">
        <f>IFERROR(VLOOKUP(F2562,Procedimentos!A:C,2,),"")</f>
        <v>PLANO ANUAL DE SEGURANÇA DO PACIENTE - NSP</v>
      </c>
      <c r="K2562" s="25" t="str">
        <f t="shared" si="80"/>
        <v/>
      </c>
    </row>
    <row r="2563" spans="2:11" ht="15" customHeight="1">
      <c r="B2563" s="38">
        <v>15462</v>
      </c>
      <c r="C2563" s="22" t="str">
        <f>IFERROR(VLOOKUP(B2563,Colaboradores!A:D,2,),"")</f>
        <v>BIANCA ALINE SANTOS DA SILVA DO NASCIMENTO</v>
      </c>
      <c r="D2563" s="22" t="str">
        <f>IFERROR(VLOOKUP(B2563,Colaboradores!A:D,3,),"")</f>
        <v>SAÚDE OCUPACIONAL</v>
      </c>
      <c r="E2563" s="22" t="str">
        <f>IFERROR(VLOOKUP(B2563,Colaboradores!A:D,4,),"")</f>
        <v>ENFERMEIRA DO TRABALHO</v>
      </c>
      <c r="F2563" s="54" t="s">
        <v>88</v>
      </c>
      <c r="G2563" s="24" t="str">
        <f>IFERROR(VLOOKUP(F2563,Procedimentos!A:C,2,),"")</f>
        <v>PLANO ANUAL COMISSÃO BIOSSEGURANÇA</v>
      </c>
      <c r="K2563" s="25" t="str">
        <f t="shared" ref="K2563:K2626" si="81">IF(AND(I2563&lt;&gt;"",J2563&lt;&gt;""),DATE(YEAR(I2563),MONTH(I2563)+J2563,DAY(I2563)),"")</f>
        <v/>
      </c>
    </row>
    <row r="2564" spans="2:11" ht="15" customHeight="1">
      <c r="B2564" s="38">
        <v>15462</v>
      </c>
      <c r="C2564" s="22" t="str">
        <f>IFERROR(VLOOKUP(B2564,Colaboradores!A:D,2,),"")</f>
        <v>BIANCA ALINE SANTOS DA SILVA DO NASCIMENTO</v>
      </c>
      <c r="D2564" s="22" t="str">
        <f>IFERROR(VLOOKUP(B2564,Colaboradores!A:D,3,),"")</f>
        <v>SAÚDE OCUPACIONAL</v>
      </c>
      <c r="E2564" s="22" t="str">
        <f>IFERROR(VLOOKUP(B2564,Colaboradores!A:D,4,),"")</f>
        <v>ENFERMEIRA DO TRABALHO</v>
      </c>
      <c r="F2564" s="54" t="s">
        <v>89</v>
      </c>
      <c r="G2564" s="24" t="str">
        <f>IFERROR(VLOOKUP(F2564,Procedimentos!A:C,2,),"")</f>
        <v>PLANO ANUAL DA COMISSÃO DE REVISÃO DE PRONTUÁRIO</v>
      </c>
      <c r="K2564" s="25" t="str">
        <f t="shared" si="81"/>
        <v/>
      </c>
    </row>
    <row r="2565" spans="2:11" ht="15" customHeight="1">
      <c r="B2565" s="38">
        <v>15462</v>
      </c>
      <c r="C2565" s="22" t="str">
        <f>IFERROR(VLOOKUP(B2565,Colaboradores!A:D,2,),"")</f>
        <v>BIANCA ALINE SANTOS DA SILVA DO NASCIMENTO</v>
      </c>
      <c r="D2565" s="22" t="str">
        <f>IFERROR(VLOOKUP(B2565,Colaboradores!A:D,3,),"")</f>
        <v>SAÚDE OCUPACIONAL</v>
      </c>
      <c r="E2565" s="22" t="str">
        <f>IFERROR(VLOOKUP(B2565,Colaboradores!A:D,4,),"")</f>
        <v>ENFERMEIRA DO TRABALHO</v>
      </c>
      <c r="F2565" s="54" t="s">
        <v>90</v>
      </c>
      <c r="G2565" s="24" t="str">
        <f>IFERROR(VLOOKUP(F2565,Procedimentos!A:C,2,),"")</f>
        <v>PROCEDIMENTO DE ATENDIMENTO DA NUTRIÇÃO</v>
      </c>
      <c r="K2565" s="25" t="str">
        <f t="shared" si="81"/>
        <v/>
      </c>
    </row>
    <row r="2566" spans="2:11" ht="15" customHeight="1">
      <c r="B2566" s="38">
        <v>15462</v>
      </c>
      <c r="C2566" s="22" t="str">
        <f>IFERROR(VLOOKUP(B2566,Colaboradores!A:D,2,),"")</f>
        <v>BIANCA ALINE SANTOS DA SILVA DO NASCIMENTO</v>
      </c>
      <c r="D2566" s="22" t="str">
        <f>IFERROR(VLOOKUP(B2566,Colaboradores!A:D,3,),"")</f>
        <v>SAÚDE OCUPACIONAL</v>
      </c>
      <c r="E2566" s="22" t="str">
        <f>IFERROR(VLOOKUP(B2566,Colaboradores!A:D,4,),"")</f>
        <v>ENFERMEIRA DO TRABALHO</v>
      </c>
      <c r="F2566" s="54" t="s">
        <v>91</v>
      </c>
      <c r="G2566" s="24" t="str">
        <f>IFERROR(VLOOKUP(F2566,Procedimentos!A:C,2,),"")</f>
        <v>PROCEDIMENTO PARA ATENDIMENTO SOCIAL</v>
      </c>
      <c r="K2566" s="25" t="str">
        <f t="shared" si="81"/>
        <v/>
      </c>
    </row>
    <row r="2567" spans="2:11" ht="15" customHeight="1">
      <c r="B2567" s="38">
        <v>15462</v>
      </c>
      <c r="C2567" s="22" t="str">
        <f>IFERROR(VLOOKUP(B2567,Colaboradores!A:D,2,),"")</f>
        <v>BIANCA ALINE SANTOS DA SILVA DO NASCIMENTO</v>
      </c>
      <c r="D2567" s="22" t="str">
        <f>IFERROR(VLOOKUP(B2567,Colaboradores!A:D,3,),"")</f>
        <v>SAÚDE OCUPACIONAL</v>
      </c>
      <c r="E2567" s="22" t="str">
        <f>IFERROR(VLOOKUP(B2567,Colaboradores!A:D,4,),"")</f>
        <v>ENFERMEIRA DO TRABALHO</v>
      </c>
      <c r="F2567" s="54" t="s">
        <v>92</v>
      </c>
      <c r="G2567" s="24" t="str">
        <f>IFERROR(VLOOKUP(F2567,Procedimentos!A:C,2,),"")</f>
        <v>PROCEDIMENTO PARA GESTÃO DE PRONTUÁRIO</v>
      </c>
      <c r="K2567" s="25" t="str">
        <f t="shared" si="81"/>
        <v/>
      </c>
    </row>
    <row r="2568" spans="2:11" ht="15" customHeight="1">
      <c r="B2568" s="38">
        <v>15462</v>
      </c>
      <c r="C2568" s="22" t="str">
        <f>IFERROR(VLOOKUP(B2568,Colaboradores!A:D,2,),"")</f>
        <v>BIANCA ALINE SANTOS DA SILVA DO NASCIMENTO</v>
      </c>
      <c r="D2568" s="22" t="str">
        <f>IFERROR(VLOOKUP(B2568,Colaboradores!A:D,3,),"")</f>
        <v>SAÚDE OCUPACIONAL</v>
      </c>
      <c r="E2568" s="22" t="str">
        <f>IFERROR(VLOOKUP(B2568,Colaboradores!A:D,4,),"")</f>
        <v>ENFERMEIRA DO TRABALHO</v>
      </c>
      <c r="F2568" s="54" t="s">
        <v>93</v>
      </c>
      <c r="G2568" s="24" t="str">
        <f>IFERROR(VLOOKUP(F2568,Procedimentos!A:C,2,),"")</f>
        <v>ATENDIMENTO PSICOLÓGICO EM FOLLOW UP NO ESPAÇO CUIDAR</v>
      </c>
      <c r="K2568" s="25" t="str">
        <f t="shared" si="81"/>
        <v/>
      </c>
    </row>
    <row r="2569" spans="2:11" ht="15" customHeight="1">
      <c r="B2569" s="38">
        <v>15462</v>
      </c>
      <c r="C2569" s="22" t="str">
        <f>IFERROR(VLOOKUP(B2569,Colaboradores!A:D,2,),"")</f>
        <v>BIANCA ALINE SANTOS DA SILVA DO NASCIMENTO</v>
      </c>
      <c r="D2569" s="22" t="str">
        <f>IFERROR(VLOOKUP(B2569,Colaboradores!A:D,3,),"")</f>
        <v>SAÚDE OCUPACIONAL</v>
      </c>
      <c r="E2569" s="22" t="str">
        <f>IFERROR(VLOOKUP(B2569,Colaboradores!A:D,4,),"")</f>
        <v>ENFERMEIRA DO TRABALHO</v>
      </c>
      <c r="F2569" s="54" t="s">
        <v>84</v>
      </c>
      <c r="G2569" s="24" t="str">
        <f>IFERROR(VLOOKUP(F2569,Procedimentos!A:C,2,),"")</f>
        <v>NOR - 0001 - NORMAS DE BIOSSEGURANÇA</v>
      </c>
      <c r="K2569" s="25" t="str">
        <f t="shared" si="81"/>
        <v/>
      </c>
    </row>
    <row r="2570" spans="2:11" ht="15" customHeight="1">
      <c r="B2570" s="38">
        <v>3109</v>
      </c>
      <c r="C2570" s="22" t="str">
        <f>IFERROR(VLOOKUP(B2570,Colaboradores!A:D,2,),"")</f>
        <v>BRUNO ARRUDA DE AMORIM OLIVEIRA</v>
      </c>
      <c r="D2570" s="22" t="str">
        <f>IFERROR(VLOOKUP(B2570,Colaboradores!A:D,3,),"")</f>
        <v>SAÚDE OCUPACIONAL</v>
      </c>
      <c r="E2570" s="22" t="str">
        <f>IFERROR(VLOOKUP(B2570,Colaboradores!A:D,4,),"")</f>
        <v>MÉDICO DO TRABALHO</v>
      </c>
      <c r="F2570" s="54" t="s">
        <v>84</v>
      </c>
      <c r="G2570" s="24" t="str">
        <f>IFERROR(VLOOKUP(F2570,Procedimentos!A:C,2,),"")</f>
        <v>NOR - 0001 - NORMAS DE BIOSSEGURANÇA</v>
      </c>
      <c r="K2570" s="25" t="str">
        <f t="shared" si="81"/>
        <v/>
      </c>
    </row>
    <row r="2571" spans="2:11" ht="15" customHeight="1">
      <c r="B2571" s="38">
        <v>7590</v>
      </c>
      <c r="C2571" s="22" t="str">
        <f>IFERROR(VLOOKUP(B2571,Colaboradores!A:D,2,),"")</f>
        <v>FABIOLA SOUSA MOURA BORGES</v>
      </c>
      <c r="D2571" s="22" t="str">
        <f>IFERROR(VLOOKUP(B2571,Colaboradores!A:D,3,),"")</f>
        <v>SAÚDE OCUPACIONAL</v>
      </c>
      <c r="E2571" s="22" t="str">
        <f>IFERROR(VLOOKUP(B2571,Colaboradores!A:D,4,),"")</f>
        <v>GERENTE DE SAÚDE OCUPACIONAL</v>
      </c>
      <c r="F2571" s="54" t="s">
        <v>84</v>
      </c>
      <c r="G2571" s="24" t="str">
        <f>IFERROR(VLOOKUP(F2571,Procedimentos!A:C,2,),"")</f>
        <v>NOR - 0001 - NORMAS DE BIOSSEGURANÇA</v>
      </c>
      <c r="H2571" s="22" t="s">
        <v>7</v>
      </c>
      <c r="K2571" s="25" t="str">
        <f t="shared" si="81"/>
        <v/>
      </c>
    </row>
    <row r="2572" spans="2:11" ht="15" customHeight="1">
      <c r="B2572" s="38">
        <v>1866</v>
      </c>
      <c r="C2572" s="22" t="str">
        <f>IFERROR(VLOOKUP(B2572,Colaboradores!A:D,2,),"")</f>
        <v>FLAVIA AROUCHE GAMA</v>
      </c>
      <c r="D2572" s="22" t="str">
        <f>IFERROR(VLOOKUP(B2572,Colaboradores!A:D,3,),"")</f>
        <v>SAÚDE OCUPACIONAL</v>
      </c>
      <c r="E2572" s="22" t="str">
        <f>IFERROR(VLOOKUP(B2572,Colaboradores!A:D,4,),"")</f>
        <v>MÉDICO DO TRABALHO</v>
      </c>
      <c r="F2572" s="54" t="s">
        <v>84</v>
      </c>
      <c r="G2572" s="24" t="str">
        <f>IFERROR(VLOOKUP(F2572,Procedimentos!A:C,2,),"")</f>
        <v>NOR - 0001 - NORMAS DE BIOSSEGURANÇA</v>
      </c>
      <c r="K2572" s="25" t="str">
        <f t="shared" si="81"/>
        <v/>
      </c>
    </row>
    <row r="2573" spans="2:11" ht="15" customHeight="1">
      <c r="B2573" s="38">
        <v>14508</v>
      </c>
      <c r="C2573" s="22" t="str">
        <f>IFERROR(VLOOKUP(B2573,Colaboradores!A:D,2,),"")</f>
        <v>FYAMA SANTOS SILVA</v>
      </c>
      <c r="D2573" s="22" t="str">
        <f>IFERROR(VLOOKUP(B2573,Colaboradores!A:D,3,),"")</f>
        <v>SAÚDE OCUPACIONAL</v>
      </c>
      <c r="E2573" s="22" t="str">
        <f>IFERROR(VLOOKUP(B2573,Colaboradores!A:D,4,),"")</f>
        <v>ASSISTENTE ADMINISTRATIVO</v>
      </c>
      <c r="F2573" s="54" t="s">
        <v>84</v>
      </c>
      <c r="G2573" s="24" t="str">
        <f>IFERROR(VLOOKUP(F2573,Procedimentos!A:C,2,),"")</f>
        <v>NOR - 0001 - NORMAS DE BIOSSEGURANÇA</v>
      </c>
      <c r="K2573" s="25" t="str">
        <f t="shared" si="81"/>
        <v/>
      </c>
    </row>
    <row r="2574" spans="2:11" ht="15" customHeight="1">
      <c r="B2574" s="38">
        <v>14866</v>
      </c>
      <c r="C2574" s="22" t="str">
        <f>IFERROR(VLOOKUP(B2574,Colaboradores!A:D,2,),"")</f>
        <v>GERUSA LOURDES CHAVES ALVES DA SILVA</v>
      </c>
      <c r="D2574" s="22" t="str">
        <f>IFERROR(VLOOKUP(B2574,Colaboradores!A:D,3,),"")</f>
        <v>SAÚDE OCUPACIONAL</v>
      </c>
      <c r="E2574" s="22" t="str">
        <f>IFERROR(VLOOKUP(B2574,Colaboradores!A:D,4,),"")</f>
        <v>ASSESSOR CLINICO(A)</v>
      </c>
      <c r="F2574" s="54" t="s">
        <v>84</v>
      </c>
      <c r="G2574" s="24" t="str">
        <f>IFERROR(VLOOKUP(F2574,Procedimentos!A:C,2,),"")</f>
        <v>NOR - 0001 - NORMAS DE BIOSSEGURANÇA</v>
      </c>
      <c r="K2574" s="25" t="str">
        <f t="shared" si="81"/>
        <v/>
      </c>
    </row>
    <row r="2575" spans="2:11" ht="15" customHeight="1">
      <c r="B2575" s="38">
        <v>15059</v>
      </c>
      <c r="C2575" s="22" t="str">
        <f>IFERROR(VLOOKUP(B2575,Colaboradores!A:D,2,),"")</f>
        <v>GUILHERME LEÃO DOS SANTOS</v>
      </c>
      <c r="D2575" s="22" t="str">
        <f>IFERROR(VLOOKUP(B2575,Colaboradores!A:D,3,),"")</f>
        <v>SAÚDE OCUPACIONAL</v>
      </c>
      <c r="E2575" s="22" t="str">
        <f>IFERROR(VLOOKUP(B2575,Colaboradores!A:D,4,),"")</f>
        <v>ASSISTENTE ADMINISTRATIVO</v>
      </c>
      <c r="F2575" s="54" t="s">
        <v>84</v>
      </c>
      <c r="G2575" s="24" t="str">
        <f>IFERROR(VLOOKUP(F2575,Procedimentos!A:C,2,),"")</f>
        <v>NOR - 0001 - NORMAS DE BIOSSEGURANÇA</v>
      </c>
      <c r="K2575" s="25" t="str">
        <f t="shared" si="81"/>
        <v/>
      </c>
    </row>
    <row r="2576" spans="2:11" ht="15" customHeight="1">
      <c r="B2576" s="38">
        <v>13778</v>
      </c>
      <c r="C2576" s="22" t="str">
        <f>IFERROR(VLOOKUP(B2576,Colaboradores!A:D,2,),"")</f>
        <v>LAIS FERREIRA CAMPOS MINEIRO</v>
      </c>
      <c r="D2576" s="22" t="str">
        <f>IFERROR(VLOOKUP(B2576,Colaboradores!A:D,3,),"")</f>
        <v>SAÚDE OCUPACIONAL</v>
      </c>
      <c r="E2576" s="22" t="str">
        <f>IFERROR(VLOOKUP(B2576,Colaboradores!A:D,4,),"")</f>
        <v>FISIOTERAPEUTA</v>
      </c>
      <c r="F2576" s="54" t="s">
        <v>84</v>
      </c>
      <c r="G2576" s="24" t="str">
        <f>IFERROR(VLOOKUP(F2576,Procedimentos!A:C,2,),"")</f>
        <v>NOR - 0001 - NORMAS DE BIOSSEGURANÇA</v>
      </c>
      <c r="K2576" s="25" t="str">
        <f t="shared" si="81"/>
        <v/>
      </c>
    </row>
    <row r="2577" spans="2:11" ht="15" customHeight="1">
      <c r="B2577" s="38">
        <v>7147</v>
      </c>
      <c r="C2577" s="22" t="str">
        <f>IFERROR(VLOOKUP(B2577,Colaboradores!A:D,2,),"")</f>
        <v>MAIARA MONTEIRO MARQUES CASTELO BRANCO</v>
      </c>
      <c r="D2577" s="22" t="str">
        <f>IFERROR(VLOOKUP(B2577,Colaboradores!A:D,3,),"")</f>
        <v>SAÚDE OCUPACIONAL</v>
      </c>
      <c r="E2577" s="22" t="str">
        <f>IFERROR(VLOOKUP(B2577,Colaboradores!A:D,4,),"")</f>
        <v>PSICÓLOGA</v>
      </c>
      <c r="F2577" s="54" t="s">
        <v>84</v>
      </c>
      <c r="G2577" s="24" t="str">
        <f>IFERROR(VLOOKUP(F2577,Procedimentos!A:C,2,),"")</f>
        <v>NOR - 0001 - NORMAS DE BIOSSEGURANÇA</v>
      </c>
      <c r="K2577" s="25" t="str">
        <f t="shared" si="81"/>
        <v/>
      </c>
    </row>
    <row r="2578" spans="2:11" ht="15" customHeight="1">
      <c r="B2578" s="38">
        <v>7601</v>
      </c>
      <c r="C2578" s="22" t="str">
        <f>IFERROR(VLOOKUP(B2578,Colaboradores!A:D,2,),"")</f>
        <v>RAYANE BEZERRA DE JESUS</v>
      </c>
      <c r="D2578" s="22" t="str">
        <f>IFERROR(VLOOKUP(B2578,Colaboradores!A:D,3,),"")</f>
        <v>SAÚDE OCUPACIONAL</v>
      </c>
      <c r="E2578" s="22" t="str">
        <f>IFERROR(VLOOKUP(B2578,Colaboradores!A:D,4,),"")</f>
        <v>TÉCNICO DE ENFERMAGEM DO TRABALHO</v>
      </c>
      <c r="F2578" s="54" t="s">
        <v>84</v>
      </c>
      <c r="G2578" s="24" t="str">
        <f>IFERROR(VLOOKUP(F2578,Procedimentos!A:C,2,),"")</f>
        <v>NOR - 0001 - NORMAS DE BIOSSEGURANÇA</v>
      </c>
      <c r="K2578" s="25" t="str">
        <f t="shared" si="81"/>
        <v/>
      </c>
    </row>
    <row r="2579" spans="2:11" ht="15" customHeight="1">
      <c r="B2579" s="38">
        <v>14083</v>
      </c>
      <c r="C2579" s="22" t="str">
        <f>IFERROR(VLOOKUP(B2579,Colaboradores!A:D,2,),"")</f>
        <v>TAHYNAN FREITAS SILVA COSTA</v>
      </c>
      <c r="D2579" s="22" t="str">
        <f>IFERROR(VLOOKUP(B2579,Colaboradores!A:D,3,),"")</f>
        <v>SAÚDE OCUPACIONAL</v>
      </c>
      <c r="E2579" s="22" t="str">
        <f>IFERROR(VLOOKUP(B2579,Colaboradores!A:D,4,),"")</f>
        <v>TÉCNICO DE ENFERMAGEM DO TRABALHO</v>
      </c>
      <c r="F2579" s="54" t="s">
        <v>84</v>
      </c>
      <c r="G2579" s="24" t="str">
        <f>IFERROR(VLOOKUP(F2579,Procedimentos!A:C,2,),"")</f>
        <v>NOR - 0001 - NORMAS DE BIOSSEGURANÇA</v>
      </c>
      <c r="K2579" s="25" t="str">
        <f t="shared" si="81"/>
        <v/>
      </c>
    </row>
    <row r="2580" spans="2:11" ht="15" customHeight="1">
      <c r="B2580" s="38">
        <v>15462</v>
      </c>
      <c r="C2580" s="22" t="str">
        <f>IFERROR(VLOOKUP(B2580,Colaboradores!A:D,2,),"")</f>
        <v>BIANCA ALINE SANTOS DA SILVA DO NASCIMENTO</v>
      </c>
      <c r="D2580" s="22" t="str">
        <f>IFERROR(VLOOKUP(B2580,Colaboradores!A:D,3,),"")</f>
        <v>SAÚDE OCUPACIONAL</v>
      </c>
      <c r="E2580" s="22" t="str">
        <f>IFERROR(VLOOKUP(B2580,Colaboradores!A:D,4,),"")</f>
        <v>ENFERMEIRA DO TRABALHO</v>
      </c>
      <c r="F2580" s="54" t="s">
        <v>83</v>
      </c>
      <c r="G2580" s="24" t="str">
        <f>IFERROR(VLOOKUP(F2580,Procedimentos!A:C,2,),"")</f>
        <v>POL 0004 - POLÍTICA DE QUALIDADE ASSISTENCIAL</v>
      </c>
      <c r="K2580" s="25" t="str">
        <f t="shared" si="81"/>
        <v/>
      </c>
    </row>
    <row r="2581" spans="2:11" ht="15" customHeight="1">
      <c r="B2581" s="38">
        <v>3109</v>
      </c>
      <c r="C2581" s="22" t="str">
        <f>IFERROR(VLOOKUP(B2581,Colaboradores!A:D,2,),"")</f>
        <v>BRUNO ARRUDA DE AMORIM OLIVEIRA</v>
      </c>
      <c r="D2581" s="22" t="str">
        <f>IFERROR(VLOOKUP(B2581,Colaboradores!A:D,3,),"")</f>
        <v>SAÚDE OCUPACIONAL</v>
      </c>
      <c r="E2581" s="22" t="str">
        <f>IFERROR(VLOOKUP(B2581,Colaboradores!A:D,4,),"")</f>
        <v>MÉDICO DO TRABALHO</v>
      </c>
      <c r="F2581" s="54" t="s">
        <v>83</v>
      </c>
      <c r="G2581" s="24" t="str">
        <f>IFERROR(VLOOKUP(F2581,Procedimentos!A:C,2,),"")</f>
        <v>POL 0004 - POLÍTICA DE QUALIDADE ASSISTENCIAL</v>
      </c>
      <c r="K2581" s="25" t="str">
        <f t="shared" si="81"/>
        <v/>
      </c>
    </row>
    <row r="2582" spans="2:11" ht="15" customHeight="1">
      <c r="B2582" s="38">
        <v>7590</v>
      </c>
      <c r="C2582" s="22" t="str">
        <f>IFERROR(VLOOKUP(B2582,Colaboradores!A:D,2,),"")</f>
        <v>FABIOLA SOUSA MOURA BORGES</v>
      </c>
      <c r="D2582" s="22" t="str">
        <f>IFERROR(VLOOKUP(B2582,Colaboradores!A:D,3,),"")</f>
        <v>SAÚDE OCUPACIONAL</v>
      </c>
      <c r="E2582" s="22" t="str">
        <f>IFERROR(VLOOKUP(B2582,Colaboradores!A:D,4,),"")</f>
        <v>GERENTE DE SAÚDE OCUPACIONAL</v>
      </c>
      <c r="F2582" s="54" t="s">
        <v>83</v>
      </c>
      <c r="G2582" s="24" t="str">
        <f>IFERROR(VLOOKUP(F2582,Procedimentos!A:C,2,),"")</f>
        <v>POL 0004 - POLÍTICA DE QUALIDADE ASSISTENCIAL</v>
      </c>
      <c r="H2582" s="22" t="s">
        <v>7</v>
      </c>
      <c r="K2582" s="25" t="str">
        <f t="shared" si="81"/>
        <v/>
      </c>
    </row>
    <row r="2583" spans="2:11" ht="15" customHeight="1">
      <c r="B2583" s="38">
        <v>1866</v>
      </c>
      <c r="C2583" s="22" t="str">
        <f>IFERROR(VLOOKUP(B2583,Colaboradores!A:D,2,),"")</f>
        <v>FLAVIA AROUCHE GAMA</v>
      </c>
      <c r="D2583" s="22" t="str">
        <f>IFERROR(VLOOKUP(B2583,Colaboradores!A:D,3,),"")</f>
        <v>SAÚDE OCUPACIONAL</v>
      </c>
      <c r="E2583" s="22" t="str">
        <f>IFERROR(VLOOKUP(B2583,Colaboradores!A:D,4,),"")</f>
        <v>MÉDICO DO TRABALHO</v>
      </c>
      <c r="F2583" s="54" t="s">
        <v>83</v>
      </c>
      <c r="G2583" s="24" t="str">
        <f>IFERROR(VLOOKUP(F2583,Procedimentos!A:C,2,),"")</f>
        <v>POL 0004 - POLÍTICA DE QUALIDADE ASSISTENCIAL</v>
      </c>
      <c r="K2583" s="25" t="str">
        <f t="shared" si="81"/>
        <v/>
      </c>
    </row>
    <row r="2584" spans="2:11" ht="15" customHeight="1">
      <c r="B2584" s="38">
        <v>14508</v>
      </c>
      <c r="C2584" s="22" t="str">
        <f>IFERROR(VLOOKUP(B2584,Colaboradores!A:D,2,),"")</f>
        <v>FYAMA SANTOS SILVA</v>
      </c>
      <c r="D2584" s="22" t="str">
        <f>IFERROR(VLOOKUP(B2584,Colaboradores!A:D,3,),"")</f>
        <v>SAÚDE OCUPACIONAL</v>
      </c>
      <c r="E2584" s="22" t="str">
        <f>IFERROR(VLOOKUP(B2584,Colaboradores!A:D,4,),"")</f>
        <v>ASSISTENTE ADMINISTRATIVO</v>
      </c>
      <c r="F2584" s="54" t="s">
        <v>83</v>
      </c>
      <c r="G2584" s="24" t="str">
        <f>IFERROR(VLOOKUP(F2584,Procedimentos!A:C,2,),"")</f>
        <v>POL 0004 - POLÍTICA DE QUALIDADE ASSISTENCIAL</v>
      </c>
      <c r="K2584" s="25" t="str">
        <f t="shared" si="81"/>
        <v/>
      </c>
    </row>
    <row r="2585" spans="2:11" ht="15" customHeight="1">
      <c r="B2585" s="38">
        <v>14866</v>
      </c>
      <c r="C2585" s="22" t="str">
        <f>IFERROR(VLOOKUP(B2585,Colaboradores!A:D,2,),"")</f>
        <v>GERUSA LOURDES CHAVES ALVES DA SILVA</v>
      </c>
      <c r="D2585" s="22" t="str">
        <f>IFERROR(VLOOKUP(B2585,Colaboradores!A:D,3,),"")</f>
        <v>SAÚDE OCUPACIONAL</v>
      </c>
      <c r="E2585" s="22" t="str">
        <f>IFERROR(VLOOKUP(B2585,Colaboradores!A:D,4,),"")</f>
        <v>ASSESSOR CLINICO(A)</v>
      </c>
      <c r="F2585" s="54" t="s">
        <v>83</v>
      </c>
      <c r="G2585" s="24" t="str">
        <f>IFERROR(VLOOKUP(F2585,Procedimentos!A:C,2,),"")</f>
        <v>POL 0004 - POLÍTICA DE QUALIDADE ASSISTENCIAL</v>
      </c>
      <c r="K2585" s="25" t="str">
        <f t="shared" si="81"/>
        <v/>
      </c>
    </row>
    <row r="2586" spans="2:11" ht="15" customHeight="1">
      <c r="B2586" s="38">
        <v>15059</v>
      </c>
      <c r="C2586" s="22" t="str">
        <f>IFERROR(VLOOKUP(B2586,Colaboradores!A:D,2,),"")</f>
        <v>GUILHERME LEÃO DOS SANTOS</v>
      </c>
      <c r="D2586" s="22" t="str">
        <f>IFERROR(VLOOKUP(B2586,Colaboradores!A:D,3,),"")</f>
        <v>SAÚDE OCUPACIONAL</v>
      </c>
      <c r="E2586" s="22" t="str">
        <f>IFERROR(VLOOKUP(B2586,Colaboradores!A:D,4,),"")</f>
        <v>ASSISTENTE ADMINISTRATIVO</v>
      </c>
      <c r="F2586" s="54" t="s">
        <v>83</v>
      </c>
      <c r="G2586" s="24" t="str">
        <f>IFERROR(VLOOKUP(F2586,Procedimentos!A:C,2,),"")</f>
        <v>POL 0004 - POLÍTICA DE QUALIDADE ASSISTENCIAL</v>
      </c>
      <c r="K2586" s="25" t="str">
        <f t="shared" si="81"/>
        <v/>
      </c>
    </row>
    <row r="2587" spans="2:11" ht="15" customHeight="1">
      <c r="B2587" s="38">
        <v>13778</v>
      </c>
      <c r="C2587" s="22" t="str">
        <f>IFERROR(VLOOKUP(B2587,Colaboradores!A:D,2,),"")</f>
        <v>LAIS FERREIRA CAMPOS MINEIRO</v>
      </c>
      <c r="D2587" s="22" t="str">
        <f>IFERROR(VLOOKUP(B2587,Colaboradores!A:D,3,),"")</f>
        <v>SAÚDE OCUPACIONAL</v>
      </c>
      <c r="E2587" s="22" t="str">
        <f>IFERROR(VLOOKUP(B2587,Colaboradores!A:D,4,),"")</f>
        <v>FISIOTERAPEUTA</v>
      </c>
      <c r="F2587" s="54" t="s">
        <v>83</v>
      </c>
      <c r="G2587" s="24" t="str">
        <f>IFERROR(VLOOKUP(F2587,Procedimentos!A:C,2,),"")</f>
        <v>POL 0004 - POLÍTICA DE QUALIDADE ASSISTENCIAL</v>
      </c>
      <c r="K2587" s="25" t="str">
        <f t="shared" si="81"/>
        <v/>
      </c>
    </row>
    <row r="2588" spans="2:11" ht="15" customHeight="1">
      <c r="B2588" s="38">
        <v>7147</v>
      </c>
      <c r="C2588" s="22" t="str">
        <f>IFERROR(VLOOKUP(B2588,Colaboradores!A:D,2,),"")</f>
        <v>MAIARA MONTEIRO MARQUES CASTELO BRANCO</v>
      </c>
      <c r="D2588" s="22" t="str">
        <f>IFERROR(VLOOKUP(B2588,Colaboradores!A:D,3,),"")</f>
        <v>SAÚDE OCUPACIONAL</v>
      </c>
      <c r="E2588" s="22" t="str">
        <f>IFERROR(VLOOKUP(B2588,Colaboradores!A:D,4,),"")</f>
        <v>PSICÓLOGA</v>
      </c>
      <c r="F2588" s="54" t="s">
        <v>83</v>
      </c>
      <c r="G2588" s="24" t="str">
        <f>IFERROR(VLOOKUP(F2588,Procedimentos!A:C,2,),"")</f>
        <v>POL 0004 - POLÍTICA DE QUALIDADE ASSISTENCIAL</v>
      </c>
      <c r="K2588" s="25" t="str">
        <f t="shared" si="81"/>
        <v/>
      </c>
    </row>
    <row r="2589" spans="2:11" ht="15" customHeight="1">
      <c r="B2589" s="38">
        <v>7601</v>
      </c>
      <c r="C2589" s="22" t="str">
        <f>IFERROR(VLOOKUP(B2589,Colaboradores!A:D,2,),"")</f>
        <v>RAYANE BEZERRA DE JESUS</v>
      </c>
      <c r="D2589" s="22" t="str">
        <f>IFERROR(VLOOKUP(B2589,Colaboradores!A:D,3,),"")</f>
        <v>SAÚDE OCUPACIONAL</v>
      </c>
      <c r="E2589" s="22" t="str">
        <f>IFERROR(VLOOKUP(B2589,Colaboradores!A:D,4,),"")</f>
        <v>TÉCNICO DE ENFERMAGEM DO TRABALHO</v>
      </c>
      <c r="F2589" s="54" t="s">
        <v>83</v>
      </c>
      <c r="G2589" s="24" t="str">
        <f>IFERROR(VLOOKUP(F2589,Procedimentos!A:C,2,),"")</f>
        <v>POL 0004 - POLÍTICA DE QUALIDADE ASSISTENCIAL</v>
      </c>
      <c r="K2589" s="25" t="str">
        <f t="shared" si="81"/>
        <v/>
      </c>
    </row>
    <row r="2590" spans="2:11" ht="15" customHeight="1">
      <c r="B2590" s="38">
        <v>14083</v>
      </c>
      <c r="C2590" s="22" t="str">
        <f>IFERROR(VLOOKUP(B2590,Colaboradores!A:D,2,),"")</f>
        <v>TAHYNAN FREITAS SILVA COSTA</v>
      </c>
      <c r="D2590" s="22" t="str">
        <f>IFERROR(VLOOKUP(B2590,Colaboradores!A:D,3,),"")</f>
        <v>SAÚDE OCUPACIONAL</v>
      </c>
      <c r="E2590" s="22" t="str">
        <f>IFERROR(VLOOKUP(B2590,Colaboradores!A:D,4,),"")</f>
        <v>TÉCNICO DE ENFERMAGEM DO TRABALHO</v>
      </c>
      <c r="F2590" s="54" t="s">
        <v>83</v>
      </c>
      <c r="G2590" s="24" t="str">
        <f>IFERROR(VLOOKUP(F2590,Procedimentos!A:C,2,),"")</f>
        <v>POL 0004 - POLÍTICA DE QUALIDADE ASSISTENCIAL</v>
      </c>
      <c r="K2590" s="25" t="str">
        <f t="shared" si="81"/>
        <v/>
      </c>
    </row>
    <row r="2591" spans="2:11" ht="15" customHeight="1">
      <c r="B2591" s="38">
        <v>15462</v>
      </c>
      <c r="C2591" s="22" t="str">
        <f>IFERROR(VLOOKUP(B2591,Colaboradores!A:D,2,),"")</f>
        <v>BIANCA ALINE SANTOS DA SILVA DO NASCIMENTO</v>
      </c>
      <c r="D2591" s="22" t="str">
        <f>IFERROR(VLOOKUP(B2591,Colaboradores!A:D,3,),"")</f>
        <v>SAÚDE OCUPACIONAL</v>
      </c>
      <c r="E2591" s="22" t="str">
        <f>IFERROR(VLOOKUP(B2591,Colaboradores!A:D,4,),"")</f>
        <v>ENFERMEIRA DO TRABALHO</v>
      </c>
      <c r="F2591" s="54" t="s">
        <v>58</v>
      </c>
      <c r="G2591" s="24" t="str">
        <f>IFERROR(VLOOKUP(F2591,Procedimentos!A:C,2,),"")</f>
        <v>POLÍTICA DE QUALIDADE DA DIRETORIA</v>
      </c>
      <c r="K2591" s="25" t="str">
        <f t="shared" si="81"/>
        <v/>
      </c>
    </row>
    <row r="2592" spans="2:11" ht="15" customHeight="1">
      <c r="B2592" s="38">
        <v>15462</v>
      </c>
      <c r="C2592" s="22" t="str">
        <f>IFERROR(VLOOKUP(B2592,Colaboradores!A:D,2,),"")</f>
        <v>BIANCA ALINE SANTOS DA SILVA DO NASCIMENTO</v>
      </c>
      <c r="D2592" s="22" t="str">
        <f>IFERROR(VLOOKUP(B2592,Colaboradores!A:D,3,),"")</f>
        <v>SAÚDE OCUPACIONAL</v>
      </c>
      <c r="E2592" s="22" t="str">
        <f>IFERROR(VLOOKUP(B2592,Colaboradores!A:D,4,),"")</f>
        <v>ENFERMEIRA DO TRABALHO</v>
      </c>
      <c r="F2592" s="54" t="s">
        <v>48</v>
      </c>
      <c r="G2592" s="24" t="str">
        <f>IFERROR(VLOOKUP(F2592,Procedimentos!A:C,2,),"")</f>
        <v>POLÍTICA MEIO AMBIENTE EMSERH</v>
      </c>
      <c r="K2592" s="25" t="str">
        <f t="shared" si="81"/>
        <v/>
      </c>
    </row>
    <row r="2593" spans="2:11" ht="15" customHeight="1">
      <c r="B2593" s="38">
        <v>15462</v>
      </c>
      <c r="C2593" s="22" t="str">
        <f>IFERROR(VLOOKUP(B2593,Colaboradores!A:D,2,),"")</f>
        <v>BIANCA ALINE SANTOS DA SILVA DO NASCIMENTO</v>
      </c>
      <c r="D2593" s="22" t="str">
        <f>IFERROR(VLOOKUP(B2593,Colaboradores!A:D,3,),"")</f>
        <v>SAÚDE OCUPACIONAL</v>
      </c>
      <c r="E2593" s="22" t="str">
        <f>IFERROR(VLOOKUP(B2593,Colaboradores!A:D,4,),"")</f>
        <v>ENFERMEIRA DO TRABALHO</v>
      </c>
      <c r="F2593" s="54" t="s">
        <v>46</v>
      </c>
      <c r="G2593" s="24" t="str">
        <f>IFERROR(VLOOKUP(F2593,Procedimentos!A:C,2,),"")</f>
        <v>POLÍTICA DE SAÚDE E SEGURANÇA DO TRABALHO EMSERH</v>
      </c>
      <c r="K2593" s="25" t="str">
        <f t="shared" si="81"/>
        <v/>
      </c>
    </row>
    <row r="2594" spans="2:11" ht="15" customHeight="1">
      <c r="B2594" s="38">
        <v>7590</v>
      </c>
      <c r="C2594" s="22" t="str">
        <f>IFERROR(VLOOKUP(B2594,Colaboradores!A:D,2,),"")</f>
        <v>FABIOLA SOUSA MOURA BORGES</v>
      </c>
      <c r="D2594" s="22" t="str">
        <f>IFERROR(VLOOKUP(B2594,Colaboradores!A:D,3,),"")</f>
        <v>SAÚDE OCUPACIONAL</v>
      </c>
      <c r="E2594" s="22" t="str">
        <f>IFERROR(VLOOKUP(B2594,Colaboradores!A:D,4,),"")</f>
        <v>GERENTE DE SAÚDE OCUPACIONAL</v>
      </c>
      <c r="F2594" s="54" t="s">
        <v>49</v>
      </c>
      <c r="G2594" s="24" t="str">
        <f>IFERROR(VLOOKUP(F2594,Procedimentos!A:C,2,),"")</f>
        <v>DIRETRIZES PARA REALIZAÇÃO DE EXAMES OCUPACIONAIS</v>
      </c>
      <c r="H2594" s="22" t="s">
        <v>7</v>
      </c>
      <c r="K2594" s="25" t="str">
        <f t="shared" si="81"/>
        <v/>
      </c>
    </row>
    <row r="2595" spans="2:11" ht="15" customHeight="1">
      <c r="B2595" s="38">
        <v>7590</v>
      </c>
      <c r="C2595" s="22" t="str">
        <f>IFERROR(VLOOKUP(B2595,Colaboradores!A:D,2,),"")</f>
        <v>FABIOLA SOUSA MOURA BORGES</v>
      </c>
      <c r="D2595" s="22" t="str">
        <f>IFERROR(VLOOKUP(B2595,Colaboradores!A:D,3,),"")</f>
        <v>SAÚDE OCUPACIONAL</v>
      </c>
      <c r="E2595" s="22" t="str">
        <f>IFERROR(VLOOKUP(B2595,Colaboradores!A:D,4,),"")</f>
        <v>GERENTE DE SAÚDE OCUPACIONAL</v>
      </c>
      <c r="F2595" s="54" t="s">
        <v>51</v>
      </c>
      <c r="G2595" s="24" t="str">
        <f>IFERROR(VLOOKUP(F2595,Procedimentos!A:C,2,),"")</f>
        <v>DIRETRIZES PARA ENTREGA DE ATESTADOS MÉDICOS E ODONTOLÓGICOS</v>
      </c>
      <c r="H2595" s="22" t="s">
        <v>7</v>
      </c>
      <c r="K2595" s="25" t="str">
        <f t="shared" si="81"/>
        <v/>
      </c>
    </row>
    <row r="2596" spans="2:11" ht="15" customHeight="1">
      <c r="B2596" s="38">
        <v>7590</v>
      </c>
      <c r="C2596" s="22" t="str">
        <f>IFERROR(VLOOKUP(B2596,Colaboradores!A:D,2,),"")</f>
        <v>FABIOLA SOUSA MOURA BORGES</v>
      </c>
      <c r="D2596" s="22" t="str">
        <f>IFERROR(VLOOKUP(B2596,Colaboradores!A:D,3,),"")</f>
        <v>SAÚDE OCUPACIONAL</v>
      </c>
      <c r="E2596" s="22" t="str">
        <f>IFERROR(VLOOKUP(B2596,Colaboradores!A:D,4,),"")</f>
        <v>GERENTE DE SAÚDE OCUPACIONAL</v>
      </c>
      <c r="F2596" s="54" t="s">
        <v>52</v>
      </c>
      <c r="G2596" s="24" t="str">
        <f>IFERROR(VLOOKUP(F2596,Procedimentos!A:C,2,),"")</f>
        <v>DIRETRIZES E ACOMPANHAMENTO  DE ACIDENTE COM MATERIAL BIOLOGICO</v>
      </c>
      <c r="H2596" s="22" t="s">
        <v>7</v>
      </c>
      <c r="K2596" s="25" t="str">
        <f t="shared" si="81"/>
        <v/>
      </c>
    </row>
    <row r="2597" spans="2:11" ht="15" customHeight="1">
      <c r="B2597" s="38">
        <v>7590</v>
      </c>
      <c r="C2597" s="22" t="str">
        <f>IFERROR(VLOOKUP(B2597,Colaboradores!A:D,2,),"")</f>
        <v>FABIOLA SOUSA MOURA BORGES</v>
      </c>
      <c r="D2597" s="22" t="str">
        <f>IFERROR(VLOOKUP(B2597,Colaboradores!A:D,3,),"")</f>
        <v>SAÚDE OCUPACIONAL</v>
      </c>
      <c r="E2597" s="22" t="str">
        <f>IFERROR(VLOOKUP(B2597,Colaboradores!A:D,4,),"")</f>
        <v>GERENTE DE SAÚDE OCUPACIONAL</v>
      </c>
      <c r="F2597" s="54" t="s">
        <v>53</v>
      </c>
      <c r="G2597" s="24" t="str">
        <f>IFERROR(VLOOKUP(F2597,Procedimentos!A:C,2,),"")</f>
        <v>DIRETRIZES PARA MONITORAMENTO DE GESTANTE</v>
      </c>
      <c r="H2597" s="22" t="s">
        <v>7</v>
      </c>
      <c r="K2597" s="25" t="str">
        <f t="shared" si="81"/>
        <v/>
      </c>
    </row>
    <row r="2598" spans="2:11" ht="15" customHeight="1">
      <c r="B2598" s="38">
        <v>7590</v>
      </c>
      <c r="C2598" s="22" t="str">
        <f>IFERROR(VLOOKUP(B2598,Colaboradores!A:D,2,),"")</f>
        <v>FABIOLA SOUSA MOURA BORGES</v>
      </c>
      <c r="D2598" s="22" t="str">
        <f>IFERROR(VLOOKUP(B2598,Colaboradores!A:D,3,),"")</f>
        <v>SAÚDE OCUPACIONAL</v>
      </c>
      <c r="E2598" s="22" t="str">
        <f>IFERROR(VLOOKUP(B2598,Colaboradores!A:D,4,),"")</f>
        <v>GERENTE DE SAÚDE OCUPACIONAL</v>
      </c>
      <c r="F2598" s="54" t="s">
        <v>54</v>
      </c>
      <c r="G2598" s="24" t="str">
        <f>IFERROR(VLOOKUP(F2598,Procedimentos!A:C,2,),"")</f>
        <v>DIRETRIZES DE IMUNIZAÇÃO OCUPACIONAL</v>
      </c>
      <c r="H2598" s="22" t="s">
        <v>7</v>
      </c>
      <c r="K2598" s="25" t="str">
        <f t="shared" si="81"/>
        <v/>
      </c>
    </row>
    <row r="2599" spans="2:11" ht="15" customHeight="1">
      <c r="B2599" s="38">
        <v>7590</v>
      </c>
      <c r="C2599" s="22" t="str">
        <f>IFERROR(VLOOKUP(B2599,Colaboradores!A:D,2,),"")</f>
        <v>FABIOLA SOUSA MOURA BORGES</v>
      </c>
      <c r="D2599" s="22" t="str">
        <f>IFERROR(VLOOKUP(B2599,Colaboradores!A:D,3,),"")</f>
        <v>SAÚDE OCUPACIONAL</v>
      </c>
      <c r="E2599" s="22" t="str">
        <f>IFERROR(VLOOKUP(B2599,Colaboradores!A:D,4,),"")</f>
        <v>GERENTE DE SAÚDE OCUPACIONAL</v>
      </c>
      <c r="F2599" s="54" t="s">
        <v>55</v>
      </c>
      <c r="G2599" s="24" t="str">
        <f>IFERROR(VLOOKUP(F2599,Procedimentos!A:C,2,),"")</f>
        <v>DIRETRIZES PARA ACOMPANHAMENTO DE AFASTADOS</v>
      </c>
      <c r="H2599" s="22" t="s">
        <v>7</v>
      </c>
      <c r="K2599" s="25" t="str">
        <f t="shared" si="81"/>
        <v/>
      </c>
    </row>
    <row r="2600" spans="2:11" ht="15" customHeight="1">
      <c r="G2600" s="24" t="str">
        <f>IFERROR(VLOOKUP(F2600,Procedimentos!A:C,2,),"")</f>
        <v/>
      </c>
      <c r="K2600" s="25" t="str">
        <f t="shared" si="81"/>
        <v/>
      </c>
    </row>
    <row r="2601" spans="2:11" ht="15" customHeight="1">
      <c r="G2601" s="24" t="str">
        <f>IFERROR(VLOOKUP(F2601,Procedimentos!A:C,2,),"")</f>
        <v/>
      </c>
      <c r="K2601" s="25" t="str">
        <f t="shared" si="81"/>
        <v/>
      </c>
    </row>
    <row r="2602" spans="2:11" ht="15" customHeight="1">
      <c r="G2602" s="24" t="str">
        <f>IFERROR(VLOOKUP(F2602,Procedimentos!A:C,2,),"")</f>
        <v/>
      </c>
      <c r="K2602" s="25" t="str">
        <f t="shared" si="81"/>
        <v/>
      </c>
    </row>
    <row r="2603" spans="2:11" ht="15" customHeight="1">
      <c r="G2603" s="24" t="str">
        <f>IFERROR(VLOOKUP(F2603,Procedimentos!A:C,2,),"")</f>
        <v/>
      </c>
      <c r="K2603" s="25" t="str">
        <f t="shared" si="81"/>
        <v/>
      </c>
    </row>
    <row r="2604" spans="2:11" ht="15" customHeight="1">
      <c r="G2604" s="24" t="str">
        <f>IFERROR(VLOOKUP(F2604,Procedimentos!A:C,2,),"")</f>
        <v/>
      </c>
      <c r="K2604" s="25" t="str">
        <f t="shared" si="81"/>
        <v/>
      </c>
    </row>
    <row r="2605" spans="2:11" ht="15" customHeight="1">
      <c r="G2605" s="24" t="str">
        <f>IFERROR(VLOOKUP(F2605,Procedimentos!A:C,2,),"")</f>
        <v/>
      </c>
      <c r="K2605" s="25" t="str">
        <f t="shared" si="81"/>
        <v/>
      </c>
    </row>
    <row r="2606" spans="2:11" ht="15" customHeight="1">
      <c r="G2606" s="24" t="str">
        <f>IFERROR(VLOOKUP(F2606,Procedimentos!A:C,2,),"")</f>
        <v/>
      </c>
      <c r="K2606" s="25" t="str">
        <f t="shared" si="81"/>
        <v/>
      </c>
    </row>
    <row r="2607" spans="2:11" ht="15" customHeight="1">
      <c r="G2607" s="24" t="str">
        <f>IFERROR(VLOOKUP(F2607,Procedimentos!A:C,2,),"")</f>
        <v/>
      </c>
      <c r="K2607" s="25" t="str">
        <f t="shared" si="81"/>
        <v/>
      </c>
    </row>
    <row r="2608" spans="2:11" ht="15" customHeight="1">
      <c r="G2608" s="24" t="str">
        <f>IFERROR(VLOOKUP(F2608,Procedimentos!A:C,2,),"")</f>
        <v/>
      </c>
      <c r="K2608" s="25" t="str">
        <f t="shared" si="81"/>
        <v/>
      </c>
    </row>
    <row r="2609" spans="7:11" ht="15" customHeight="1">
      <c r="G2609" s="24" t="str">
        <f>IFERROR(VLOOKUP(F2609,Procedimentos!A:C,2,),"")</f>
        <v/>
      </c>
      <c r="K2609" s="25" t="str">
        <f t="shared" si="81"/>
        <v/>
      </c>
    </row>
    <row r="2610" spans="7:11" ht="15" customHeight="1">
      <c r="G2610" s="24" t="str">
        <f>IFERROR(VLOOKUP(F2610,Procedimentos!A:C,2,),"")</f>
        <v/>
      </c>
      <c r="K2610" s="25" t="str">
        <f t="shared" si="81"/>
        <v/>
      </c>
    </row>
    <row r="2611" spans="7:11" ht="15" customHeight="1">
      <c r="G2611" s="24" t="str">
        <f>IFERROR(VLOOKUP(F2611,Procedimentos!A:C,2,),"")</f>
        <v/>
      </c>
      <c r="K2611" s="25" t="str">
        <f t="shared" si="81"/>
        <v/>
      </c>
    </row>
    <row r="2612" spans="7:11" ht="15" customHeight="1">
      <c r="G2612" s="24" t="str">
        <f>IFERROR(VLOOKUP(F2612,Procedimentos!A:C,2,),"")</f>
        <v/>
      </c>
      <c r="K2612" s="25" t="str">
        <f t="shared" si="81"/>
        <v/>
      </c>
    </row>
    <row r="2613" spans="7:11" ht="15" customHeight="1">
      <c r="G2613" s="24" t="str">
        <f>IFERROR(VLOOKUP(F2613,Procedimentos!A:C,2,),"")</f>
        <v/>
      </c>
      <c r="K2613" s="25" t="str">
        <f t="shared" si="81"/>
        <v/>
      </c>
    </row>
    <row r="2614" spans="7:11" ht="15" customHeight="1">
      <c r="G2614" s="24" t="str">
        <f>IFERROR(VLOOKUP(F2614,Procedimentos!A:C,2,),"")</f>
        <v/>
      </c>
      <c r="K2614" s="25" t="str">
        <f t="shared" si="81"/>
        <v/>
      </c>
    </row>
    <row r="2615" spans="7:11" ht="15" customHeight="1">
      <c r="G2615" s="24" t="str">
        <f>IFERROR(VLOOKUP(F2615,Procedimentos!A:C,2,),"")</f>
        <v/>
      </c>
      <c r="K2615" s="25" t="str">
        <f t="shared" si="81"/>
        <v/>
      </c>
    </row>
    <row r="2616" spans="7:11" ht="15" customHeight="1">
      <c r="G2616" s="24" t="str">
        <f>IFERROR(VLOOKUP(F2616,Procedimentos!A:C,2,),"")</f>
        <v/>
      </c>
      <c r="K2616" s="25" t="str">
        <f t="shared" si="81"/>
        <v/>
      </c>
    </row>
    <row r="2617" spans="7:11" ht="15" customHeight="1">
      <c r="G2617" s="24" t="str">
        <f>IFERROR(VLOOKUP(F2617,Procedimentos!A:C,2,),"")</f>
        <v/>
      </c>
      <c r="K2617" s="25" t="str">
        <f t="shared" si="81"/>
        <v/>
      </c>
    </row>
    <row r="2618" spans="7:11" ht="15" customHeight="1">
      <c r="G2618" s="24" t="str">
        <f>IFERROR(VLOOKUP(F2618,Procedimentos!A:C,2,),"")</f>
        <v/>
      </c>
      <c r="K2618" s="25" t="str">
        <f t="shared" si="81"/>
        <v/>
      </c>
    </row>
    <row r="2619" spans="7:11" ht="15" customHeight="1">
      <c r="G2619" s="24" t="str">
        <f>IFERROR(VLOOKUP(F2619,Procedimentos!A:C,2,),"")</f>
        <v/>
      </c>
      <c r="K2619" s="25" t="str">
        <f t="shared" si="81"/>
        <v/>
      </c>
    </row>
    <row r="2620" spans="7:11" ht="15" customHeight="1">
      <c r="G2620" s="24" t="str">
        <f>IFERROR(VLOOKUP(F2620,Procedimentos!A:C,2,),"")</f>
        <v/>
      </c>
      <c r="K2620" s="25" t="str">
        <f t="shared" si="81"/>
        <v/>
      </c>
    </row>
    <row r="2621" spans="7:11" ht="15" customHeight="1">
      <c r="G2621" s="24" t="str">
        <f>IFERROR(VLOOKUP(F2621,Procedimentos!A:C,2,),"")</f>
        <v/>
      </c>
      <c r="K2621" s="25" t="str">
        <f t="shared" si="81"/>
        <v/>
      </c>
    </row>
    <row r="2622" spans="7:11" ht="15" customHeight="1">
      <c r="G2622" s="24" t="str">
        <f>IFERROR(VLOOKUP(F2622,Procedimentos!A:C,2,),"")</f>
        <v/>
      </c>
      <c r="K2622" s="25" t="str">
        <f t="shared" si="81"/>
        <v/>
      </c>
    </row>
    <row r="2623" spans="7:11" ht="15" customHeight="1">
      <c r="G2623" s="24" t="str">
        <f>IFERROR(VLOOKUP(F2623,Procedimentos!A:C,2,),"")</f>
        <v/>
      </c>
      <c r="K2623" s="25" t="str">
        <f t="shared" si="81"/>
        <v/>
      </c>
    </row>
    <row r="2624" spans="7:11" ht="15" customHeight="1">
      <c r="G2624" s="24" t="str">
        <f>IFERROR(VLOOKUP(F2624,Procedimentos!A:C,2,),"")</f>
        <v/>
      </c>
      <c r="K2624" s="25" t="str">
        <f t="shared" si="81"/>
        <v/>
      </c>
    </row>
    <row r="2625" spans="7:11" ht="15" customHeight="1">
      <c r="G2625" s="24" t="str">
        <f>IFERROR(VLOOKUP(F2625,Procedimentos!A:C,2,),"")</f>
        <v/>
      </c>
      <c r="K2625" s="25" t="str">
        <f t="shared" si="81"/>
        <v/>
      </c>
    </row>
    <row r="2626" spans="7:11" ht="15" customHeight="1">
      <c r="G2626" s="24" t="str">
        <f>IFERROR(VLOOKUP(F2626,Procedimentos!A:C,2,),"")</f>
        <v/>
      </c>
      <c r="K2626" s="25" t="str">
        <f t="shared" si="81"/>
        <v/>
      </c>
    </row>
    <row r="2627" spans="7:11" ht="15" customHeight="1">
      <c r="G2627" s="24" t="str">
        <f>IFERROR(VLOOKUP(F2627,Procedimentos!A:C,2,),"")</f>
        <v/>
      </c>
      <c r="K2627" s="25" t="str">
        <f t="shared" ref="K2627:K2690" si="82">IF(AND(I2627&lt;&gt;"",J2627&lt;&gt;""),DATE(YEAR(I2627),MONTH(I2627)+J2627,DAY(I2627)),"")</f>
        <v/>
      </c>
    </row>
    <row r="2628" spans="7:11" ht="15" customHeight="1">
      <c r="G2628" s="24" t="str">
        <f>IFERROR(VLOOKUP(F2628,Procedimentos!A:C,2,),"")</f>
        <v/>
      </c>
      <c r="K2628" s="25" t="str">
        <f t="shared" si="82"/>
        <v/>
      </c>
    </row>
    <row r="2629" spans="7:11" ht="15" customHeight="1">
      <c r="G2629" s="24" t="str">
        <f>IFERROR(VLOOKUP(F2629,Procedimentos!A:C,2,),"")</f>
        <v/>
      </c>
      <c r="K2629" s="25" t="str">
        <f t="shared" si="82"/>
        <v/>
      </c>
    </row>
    <row r="2630" spans="7:11" ht="15" customHeight="1">
      <c r="G2630" s="24" t="str">
        <f>IFERROR(VLOOKUP(F2630,Procedimentos!A:C,2,),"")</f>
        <v/>
      </c>
      <c r="K2630" s="25" t="str">
        <f t="shared" si="82"/>
        <v/>
      </c>
    </row>
    <row r="2631" spans="7:11" ht="15" customHeight="1">
      <c r="G2631" s="24" t="str">
        <f>IFERROR(VLOOKUP(F2631,Procedimentos!A:C,2,),"")</f>
        <v/>
      </c>
      <c r="K2631" s="25" t="str">
        <f t="shared" si="82"/>
        <v/>
      </c>
    </row>
    <row r="2632" spans="7:11" ht="15" customHeight="1">
      <c r="G2632" s="24" t="str">
        <f>IFERROR(VLOOKUP(F2632,Procedimentos!A:C,2,),"")</f>
        <v/>
      </c>
      <c r="K2632" s="25" t="str">
        <f t="shared" si="82"/>
        <v/>
      </c>
    </row>
    <row r="2633" spans="7:11" ht="15" customHeight="1">
      <c r="G2633" s="24" t="str">
        <f>IFERROR(VLOOKUP(F2633,Procedimentos!A:C,2,),"")</f>
        <v/>
      </c>
      <c r="K2633" s="25" t="str">
        <f t="shared" si="82"/>
        <v/>
      </c>
    </row>
    <row r="2634" spans="7:11" ht="15" customHeight="1">
      <c r="G2634" s="24" t="str">
        <f>IFERROR(VLOOKUP(F2634,Procedimentos!A:C,2,),"")</f>
        <v/>
      </c>
      <c r="K2634" s="25" t="str">
        <f t="shared" si="82"/>
        <v/>
      </c>
    </row>
    <row r="2635" spans="7:11" ht="15" customHeight="1">
      <c r="G2635" s="24" t="str">
        <f>IFERROR(VLOOKUP(F2635,Procedimentos!A:C,2,),"")</f>
        <v/>
      </c>
      <c r="K2635" s="25" t="str">
        <f t="shared" si="82"/>
        <v/>
      </c>
    </row>
    <row r="2636" spans="7:11" ht="15" customHeight="1">
      <c r="G2636" s="24" t="str">
        <f>IFERROR(VLOOKUP(F2636,Procedimentos!A:C,2,),"")</f>
        <v/>
      </c>
      <c r="K2636" s="25" t="str">
        <f t="shared" si="82"/>
        <v/>
      </c>
    </row>
    <row r="2637" spans="7:11" ht="15" customHeight="1">
      <c r="G2637" s="24" t="str">
        <f>IFERROR(VLOOKUP(F2637,Procedimentos!A:C,2,),"")</f>
        <v/>
      </c>
      <c r="K2637" s="25" t="str">
        <f t="shared" si="82"/>
        <v/>
      </c>
    </row>
    <row r="2638" spans="7:11" ht="15" customHeight="1">
      <c r="G2638" s="24" t="str">
        <f>IFERROR(VLOOKUP(F2638,Procedimentos!A:C,2,),"")</f>
        <v/>
      </c>
      <c r="K2638" s="25" t="str">
        <f t="shared" si="82"/>
        <v/>
      </c>
    </row>
    <row r="2639" spans="7:11" ht="15" customHeight="1">
      <c r="G2639" s="24" t="str">
        <f>IFERROR(VLOOKUP(F2639,Procedimentos!A:C,2,),"")</f>
        <v/>
      </c>
      <c r="K2639" s="25" t="str">
        <f t="shared" si="82"/>
        <v/>
      </c>
    </row>
    <row r="2640" spans="7:11" ht="15" customHeight="1">
      <c r="G2640" s="24" t="str">
        <f>IFERROR(VLOOKUP(F2640,Procedimentos!A:C,2,),"")</f>
        <v/>
      </c>
      <c r="K2640" s="25" t="str">
        <f t="shared" si="82"/>
        <v/>
      </c>
    </row>
    <row r="2641" spans="7:11" ht="15" customHeight="1">
      <c r="G2641" s="24" t="str">
        <f>IFERROR(VLOOKUP(F2641,Procedimentos!A:C,2,),"")</f>
        <v/>
      </c>
      <c r="K2641" s="25" t="str">
        <f t="shared" si="82"/>
        <v/>
      </c>
    </row>
    <row r="2642" spans="7:11" ht="15" customHeight="1">
      <c r="G2642" s="24" t="str">
        <f>IFERROR(VLOOKUP(F2642,Procedimentos!A:C,2,),"")</f>
        <v/>
      </c>
      <c r="K2642" s="25" t="str">
        <f t="shared" si="82"/>
        <v/>
      </c>
    </row>
    <row r="2643" spans="7:11" ht="15" customHeight="1">
      <c r="G2643" s="24" t="str">
        <f>IFERROR(VLOOKUP(F2643,Procedimentos!A:C,2,),"")</f>
        <v/>
      </c>
      <c r="K2643" s="25" t="str">
        <f t="shared" si="82"/>
        <v/>
      </c>
    </row>
    <row r="2644" spans="7:11" ht="15" customHeight="1">
      <c r="G2644" s="24" t="str">
        <f>IFERROR(VLOOKUP(F2644,Procedimentos!A:C,2,),"")</f>
        <v/>
      </c>
      <c r="K2644" s="25" t="str">
        <f t="shared" si="82"/>
        <v/>
      </c>
    </row>
    <row r="2645" spans="7:11" ht="15" customHeight="1">
      <c r="G2645" s="24" t="str">
        <f>IFERROR(VLOOKUP(F2645,Procedimentos!A:C,2,),"")</f>
        <v/>
      </c>
      <c r="K2645" s="25" t="str">
        <f t="shared" si="82"/>
        <v/>
      </c>
    </row>
    <row r="2646" spans="7:11" ht="15" customHeight="1">
      <c r="G2646" s="24" t="str">
        <f>IFERROR(VLOOKUP(F2646,Procedimentos!A:C,2,),"")</f>
        <v/>
      </c>
      <c r="K2646" s="25" t="str">
        <f t="shared" si="82"/>
        <v/>
      </c>
    </row>
    <row r="2647" spans="7:11" ht="15" customHeight="1">
      <c r="G2647" s="24" t="str">
        <f>IFERROR(VLOOKUP(F2647,Procedimentos!A:C,2,),"")</f>
        <v/>
      </c>
      <c r="K2647" s="25" t="str">
        <f t="shared" si="82"/>
        <v/>
      </c>
    </row>
    <row r="2648" spans="7:11" ht="15" customHeight="1">
      <c r="G2648" s="24" t="str">
        <f>IFERROR(VLOOKUP(F2648,Procedimentos!A:C,2,),"")</f>
        <v/>
      </c>
      <c r="K2648" s="25" t="str">
        <f t="shared" si="82"/>
        <v/>
      </c>
    </row>
    <row r="2649" spans="7:11" ht="15" customHeight="1">
      <c r="G2649" s="24" t="str">
        <f>IFERROR(VLOOKUP(F2649,Procedimentos!A:C,2,),"")</f>
        <v/>
      </c>
      <c r="K2649" s="25" t="str">
        <f t="shared" si="82"/>
        <v/>
      </c>
    </row>
    <row r="2650" spans="7:11" ht="15" customHeight="1">
      <c r="G2650" s="24" t="str">
        <f>IFERROR(VLOOKUP(F2650,Procedimentos!A:C,2,),"")</f>
        <v/>
      </c>
      <c r="K2650" s="25" t="str">
        <f t="shared" si="82"/>
        <v/>
      </c>
    </row>
    <row r="2651" spans="7:11" ht="15" customHeight="1">
      <c r="G2651" s="24" t="str">
        <f>IFERROR(VLOOKUP(F2651,Procedimentos!A:C,2,),"")</f>
        <v/>
      </c>
      <c r="K2651" s="25" t="str">
        <f t="shared" si="82"/>
        <v/>
      </c>
    </row>
    <row r="2652" spans="7:11" ht="15" customHeight="1">
      <c r="G2652" s="24" t="str">
        <f>IFERROR(VLOOKUP(F2652,Procedimentos!A:C,2,),"")</f>
        <v/>
      </c>
      <c r="K2652" s="25" t="str">
        <f t="shared" si="82"/>
        <v/>
      </c>
    </row>
    <row r="2653" spans="7:11" ht="15" customHeight="1">
      <c r="G2653" s="24" t="str">
        <f>IFERROR(VLOOKUP(F2653,Procedimentos!A:C,2,),"")</f>
        <v/>
      </c>
      <c r="K2653" s="25" t="str">
        <f t="shared" si="82"/>
        <v/>
      </c>
    </row>
    <row r="2654" spans="7:11" ht="15" customHeight="1">
      <c r="G2654" s="24" t="str">
        <f>IFERROR(VLOOKUP(F2654,Procedimentos!A:C,2,),"")</f>
        <v/>
      </c>
      <c r="K2654" s="25" t="str">
        <f t="shared" si="82"/>
        <v/>
      </c>
    </row>
    <row r="2655" spans="7:11" ht="15" customHeight="1">
      <c r="G2655" s="24" t="str">
        <f>IFERROR(VLOOKUP(F2655,Procedimentos!A:C,2,),"")</f>
        <v/>
      </c>
      <c r="K2655" s="25" t="str">
        <f t="shared" si="82"/>
        <v/>
      </c>
    </row>
    <row r="2656" spans="7:11" ht="15" customHeight="1">
      <c r="G2656" s="24" t="str">
        <f>IFERROR(VLOOKUP(F2656,Procedimentos!A:C,2,),"")</f>
        <v/>
      </c>
      <c r="K2656" s="25" t="str">
        <f t="shared" si="82"/>
        <v/>
      </c>
    </row>
    <row r="2657" spans="7:11" ht="15" customHeight="1">
      <c r="G2657" s="24" t="str">
        <f>IFERROR(VLOOKUP(F2657,Procedimentos!A:C,2,),"")</f>
        <v/>
      </c>
      <c r="K2657" s="25" t="str">
        <f t="shared" si="82"/>
        <v/>
      </c>
    </row>
    <row r="2658" spans="7:11" ht="15" customHeight="1">
      <c r="G2658" s="24" t="str">
        <f>IFERROR(VLOOKUP(F2658,Procedimentos!A:C,2,),"")</f>
        <v/>
      </c>
      <c r="K2658" s="25" t="str">
        <f t="shared" si="82"/>
        <v/>
      </c>
    </row>
    <row r="2659" spans="7:11" ht="15" customHeight="1">
      <c r="G2659" s="24" t="str">
        <f>IFERROR(VLOOKUP(F2659,Procedimentos!A:C,2,),"")</f>
        <v/>
      </c>
      <c r="K2659" s="25" t="str">
        <f t="shared" si="82"/>
        <v/>
      </c>
    </row>
    <row r="2660" spans="7:11" ht="15" customHeight="1">
      <c r="G2660" s="24" t="str">
        <f>IFERROR(VLOOKUP(F2660,Procedimentos!A:C,2,),"")</f>
        <v/>
      </c>
      <c r="K2660" s="25" t="str">
        <f t="shared" si="82"/>
        <v/>
      </c>
    </row>
    <row r="2661" spans="7:11" ht="15" customHeight="1">
      <c r="G2661" s="24" t="str">
        <f>IFERROR(VLOOKUP(F2661,Procedimentos!A:C,2,),"")</f>
        <v/>
      </c>
      <c r="K2661" s="25" t="str">
        <f t="shared" si="82"/>
        <v/>
      </c>
    </row>
    <row r="2662" spans="7:11" ht="15" customHeight="1">
      <c r="G2662" s="24" t="str">
        <f>IFERROR(VLOOKUP(F2662,Procedimentos!A:C,2,),"")</f>
        <v/>
      </c>
      <c r="K2662" s="25" t="str">
        <f t="shared" si="82"/>
        <v/>
      </c>
    </row>
    <row r="2663" spans="7:11" ht="15" customHeight="1">
      <c r="G2663" s="24" t="str">
        <f>IFERROR(VLOOKUP(F2663,Procedimentos!A:C,2,),"")</f>
        <v/>
      </c>
      <c r="K2663" s="25" t="str">
        <f t="shared" si="82"/>
        <v/>
      </c>
    </row>
    <row r="2664" spans="7:11" ht="15" customHeight="1">
      <c r="G2664" s="24" t="str">
        <f>IFERROR(VLOOKUP(F2664,Procedimentos!A:C,2,),"")</f>
        <v/>
      </c>
      <c r="K2664" s="25" t="str">
        <f t="shared" si="82"/>
        <v/>
      </c>
    </row>
    <row r="2665" spans="7:11" ht="15" customHeight="1">
      <c r="G2665" s="24" t="str">
        <f>IFERROR(VLOOKUP(F2665,Procedimentos!A:C,2,),"")</f>
        <v/>
      </c>
      <c r="K2665" s="25" t="str">
        <f t="shared" si="82"/>
        <v/>
      </c>
    </row>
    <row r="2666" spans="7:11" ht="15" customHeight="1">
      <c r="G2666" s="24" t="str">
        <f>IFERROR(VLOOKUP(F2666,Procedimentos!A:C,2,),"")</f>
        <v/>
      </c>
      <c r="K2666" s="25" t="str">
        <f t="shared" si="82"/>
        <v/>
      </c>
    </row>
    <row r="2667" spans="7:11" ht="15" customHeight="1">
      <c r="G2667" s="24" t="str">
        <f>IFERROR(VLOOKUP(F2667,Procedimentos!A:C,2,),"")</f>
        <v/>
      </c>
      <c r="K2667" s="25" t="str">
        <f t="shared" si="82"/>
        <v/>
      </c>
    </row>
    <row r="2668" spans="7:11" ht="15" customHeight="1">
      <c r="G2668" s="24" t="str">
        <f>IFERROR(VLOOKUP(F2668,Procedimentos!A:C,2,),"")</f>
        <v/>
      </c>
      <c r="K2668" s="25" t="str">
        <f t="shared" si="82"/>
        <v/>
      </c>
    </row>
    <row r="2669" spans="7:11" ht="15" customHeight="1">
      <c r="G2669" s="24" t="str">
        <f>IFERROR(VLOOKUP(F2669,Procedimentos!A:C,2,),"")</f>
        <v/>
      </c>
      <c r="K2669" s="25" t="str">
        <f t="shared" si="82"/>
        <v/>
      </c>
    </row>
    <row r="2670" spans="7:11" ht="15" customHeight="1">
      <c r="G2670" s="24" t="str">
        <f>IFERROR(VLOOKUP(F2670,Procedimentos!A:C,2,),"")</f>
        <v/>
      </c>
      <c r="K2670" s="25" t="str">
        <f t="shared" si="82"/>
        <v/>
      </c>
    </row>
    <row r="2671" spans="7:11" ht="15" customHeight="1">
      <c r="G2671" s="24" t="str">
        <f>IFERROR(VLOOKUP(F2671,Procedimentos!A:C,2,),"")</f>
        <v/>
      </c>
      <c r="K2671" s="25" t="str">
        <f t="shared" si="82"/>
        <v/>
      </c>
    </row>
    <row r="2672" spans="7:11" ht="15" customHeight="1">
      <c r="G2672" s="24" t="str">
        <f>IFERROR(VLOOKUP(F2672,Procedimentos!A:C,2,),"")</f>
        <v/>
      </c>
      <c r="K2672" s="25" t="str">
        <f t="shared" si="82"/>
        <v/>
      </c>
    </row>
    <row r="2673" spans="7:11" ht="15" customHeight="1">
      <c r="G2673" s="24" t="str">
        <f>IFERROR(VLOOKUP(F2673,Procedimentos!A:C,2,),"")</f>
        <v/>
      </c>
      <c r="K2673" s="25" t="str">
        <f t="shared" si="82"/>
        <v/>
      </c>
    </row>
    <row r="2674" spans="7:11" ht="15" customHeight="1">
      <c r="G2674" s="24" t="str">
        <f>IFERROR(VLOOKUP(F2674,Procedimentos!A:C,2,),"")</f>
        <v/>
      </c>
      <c r="K2674" s="25" t="str">
        <f t="shared" si="82"/>
        <v/>
      </c>
    </row>
    <row r="2675" spans="7:11" ht="15" customHeight="1">
      <c r="G2675" s="24" t="str">
        <f>IFERROR(VLOOKUP(F2675,Procedimentos!A:C,2,),"")</f>
        <v/>
      </c>
      <c r="K2675" s="25" t="str">
        <f t="shared" si="82"/>
        <v/>
      </c>
    </row>
    <row r="2676" spans="7:11" ht="15" customHeight="1">
      <c r="G2676" s="24" t="str">
        <f>IFERROR(VLOOKUP(F2676,Procedimentos!A:C,2,),"")</f>
        <v/>
      </c>
      <c r="K2676" s="25" t="str">
        <f t="shared" si="82"/>
        <v/>
      </c>
    </row>
    <row r="2677" spans="7:11" ht="15" customHeight="1">
      <c r="G2677" s="24" t="str">
        <f>IFERROR(VLOOKUP(F2677,Procedimentos!A:C,2,),"")</f>
        <v/>
      </c>
      <c r="K2677" s="25" t="str">
        <f t="shared" si="82"/>
        <v/>
      </c>
    </row>
    <row r="2678" spans="7:11" ht="15" customHeight="1">
      <c r="G2678" s="24" t="str">
        <f>IFERROR(VLOOKUP(F2678,Procedimentos!A:C,2,),"")</f>
        <v/>
      </c>
      <c r="K2678" s="25" t="str">
        <f t="shared" si="82"/>
        <v/>
      </c>
    </row>
    <row r="2679" spans="7:11" ht="15" customHeight="1">
      <c r="G2679" s="24" t="str">
        <f>IFERROR(VLOOKUP(F2679,Procedimentos!A:C,2,),"")</f>
        <v/>
      </c>
      <c r="K2679" s="25" t="str">
        <f t="shared" si="82"/>
        <v/>
      </c>
    </row>
    <row r="2680" spans="7:11" ht="15" customHeight="1">
      <c r="G2680" s="24" t="str">
        <f>IFERROR(VLOOKUP(F2680,Procedimentos!A:C,2,),"")</f>
        <v/>
      </c>
      <c r="K2680" s="25" t="str">
        <f t="shared" si="82"/>
        <v/>
      </c>
    </row>
    <row r="2681" spans="7:11" ht="15" customHeight="1">
      <c r="G2681" s="24" t="str">
        <f>IFERROR(VLOOKUP(F2681,Procedimentos!A:C,2,),"")</f>
        <v/>
      </c>
      <c r="K2681" s="25" t="str">
        <f t="shared" si="82"/>
        <v/>
      </c>
    </row>
    <row r="2682" spans="7:11" ht="15" customHeight="1">
      <c r="G2682" s="24" t="str">
        <f>IFERROR(VLOOKUP(F2682,Procedimentos!A:C,2,),"")</f>
        <v/>
      </c>
      <c r="K2682" s="25" t="str">
        <f t="shared" si="82"/>
        <v/>
      </c>
    </row>
    <row r="2683" spans="7:11" ht="15" customHeight="1">
      <c r="G2683" s="24" t="str">
        <f>IFERROR(VLOOKUP(F2683,Procedimentos!A:C,2,),"")</f>
        <v/>
      </c>
      <c r="K2683" s="25" t="str">
        <f t="shared" si="82"/>
        <v/>
      </c>
    </row>
    <row r="2684" spans="7:11" ht="15" customHeight="1">
      <c r="G2684" s="24" t="str">
        <f>IFERROR(VLOOKUP(F2684,Procedimentos!A:C,2,),"")</f>
        <v/>
      </c>
      <c r="K2684" s="25" t="str">
        <f t="shared" si="82"/>
        <v/>
      </c>
    </row>
    <row r="2685" spans="7:11" ht="15" customHeight="1">
      <c r="G2685" s="24" t="str">
        <f>IFERROR(VLOOKUP(F2685,Procedimentos!A:C,2,),"")</f>
        <v/>
      </c>
      <c r="K2685" s="25" t="str">
        <f t="shared" si="82"/>
        <v/>
      </c>
    </row>
    <row r="2686" spans="7:11" ht="15" customHeight="1">
      <c r="G2686" s="24" t="str">
        <f>IFERROR(VLOOKUP(F2686,Procedimentos!A:C,2,),"")</f>
        <v/>
      </c>
      <c r="K2686" s="25" t="str">
        <f t="shared" si="82"/>
        <v/>
      </c>
    </row>
    <row r="2687" spans="7:11" ht="15" customHeight="1">
      <c r="G2687" s="24" t="str">
        <f>IFERROR(VLOOKUP(F2687,Procedimentos!A:C,2,),"")</f>
        <v/>
      </c>
      <c r="K2687" s="25" t="str">
        <f t="shared" si="82"/>
        <v/>
      </c>
    </row>
    <row r="2688" spans="7:11" ht="15" customHeight="1">
      <c r="G2688" s="24" t="str">
        <f>IFERROR(VLOOKUP(F2688,Procedimentos!A:C,2,),"")</f>
        <v/>
      </c>
      <c r="K2688" s="25" t="str">
        <f t="shared" si="82"/>
        <v/>
      </c>
    </row>
    <row r="2689" spans="7:11" ht="15" customHeight="1">
      <c r="G2689" s="24" t="str">
        <f>IFERROR(VLOOKUP(F2689,Procedimentos!A:C,2,),"")</f>
        <v/>
      </c>
      <c r="K2689" s="25" t="str">
        <f t="shared" si="82"/>
        <v/>
      </c>
    </row>
    <row r="2690" spans="7:11" ht="15" customHeight="1">
      <c r="G2690" s="24" t="str">
        <f>IFERROR(VLOOKUP(F2690,Procedimentos!A:C,2,),"")</f>
        <v/>
      </c>
      <c r="K2690" s="25" t="str">
        <f t="shared" si="82"/>
        <v/>
      </c>
    </row>
    <row r="2691" spans="7:11" ht="15" customHeight="1">
      <c r="G2691" s="24" t="str">
        <f>IFERROR(VLOOKUP(F2691,Procedimentos!A:C,2,),"")</f>
        <v/>
      </c>
      <c r="K2691" s="25" t="str">
        <f t="shared" ref="K2691:K2741" si="83">IF(AND(I2691&lt;&gt;"",J2691&lt;&gt;""),DATE(YEAR(I2691),MONTH(I2691)+J2691,DAY(I2691)),"")</f>
        <v/>
      </c>
    </row>
    <row r="2692" spans="7:11" ht="15" customHeight="1">
      <c r="G2692" s="24" t="str">
        <f>IFERROR(VLOOKUP(F2692,Procedimentos!A:C,2,),"")</f>
        <v/>
      </c>
      <c r="K2692" s="25" t="str">
        <f t="shared" si="83"/>
        <v/>
      </c>
    </row>
    <row r="2693" spans="7:11" ht="15" customHeight="1">
      <c r="G2693" s="24" t="str">
        <f>IFERROR(VLOOKUP(F2693,Procedimentos!A:C,2,),"")</f>
        <v/>
      </c>
      <c r="K2693" s="25" t="str">
        <f t="shared" si="83"/>
        <v/>
      </c>
    </row>
    <row r="2694" spans="7:11" ht="15" customHeight="1">
      <c r="G2694" s="24" t="str">
        <f>IFERROR(VLOOKUP(F2694,Procedimentos!A:C,2,),"")</f>
        <v/>
      </c>
      <c r="K2694" s="25" t="str">
        <f t="shared" si="83"/>
        <v/>
      </c>
    </row>
    <row r="2695" spans="7:11" ht="15" customHeight="1">
      <c r="G2695" s="24" t="str">
        <f>IFERROR(VLOOKUP(F2695,Procedimentos!A:C,2,),"")</f>
        <v/>
      </c>
      <c r="K2695" s="25" t="str">
        <f t="shared" si="83"/>
        <v/>
      </c>
    </row>
    <row r="2696" spans="7:11" ht="15" customHeight="1">
      <c r="G2696" s="24" t="str">
        <f>IFERROR(VLOOKUP(F2696,Procedimentos!A:C,2,),"")</f>
        <v/>
      </c>
      <c r="K2696" s="25" t="str">
        <f t="shared" si="83"/>
        <v/>
      </c>
    </row>
    <row r="2697" spans="7:11" ht="15" customHeight="1">
      <c r="G2697" s="24" t="str">
        <f>IFERROR(VLOOKUP(F2697,Procedimentos!A:C,2,),"")</f>
        <v/>
      </c>
      <c r="K2697" s="25" t="str">
        <f t="shared" si="83"/>
        <v/>
      </c>
    </row>
    <row r="2698" spans="7:11" ht="15" customHeight="1">
      <c r="G2698" s="24" t="str">
        <f>IFERROR(VLOOKUP(F2698,Procedimentos!A:C,2,),"")</f>
        <v/>
      </c>
      <c r="K2698" s="25" t="str">
        <f t="shared" si="83"/>
        <v/>
      </c>
    </row>
    <row r="2699" spans="7:11" ht="15" customHeight="1">
      <c r="G2699" s="24" t="str">
        <f>IFERROR(VLOOKUP(F2699,Procedimentos!A:C,2,),"")</f>
        <v/>
      </c>
      <c r="K2699" s="25" t="str">
        <f t="shared" si="83"/>
        <v/>
      </c>
    </row>
    <row r="2700" spans="7:11" ht="15" customHeight="1">
      <c r="G2700" s="24" t="str">
        <f>IFERROR(VLOOKUP(F2700,Procedimentos!A:C,2,),"")</f>
        <v/>
      </c>
      <c r="K2700" s="25" t="str">
        <f t="shared" si="83"/>
        <v/>
      </c>
    </row>
    <row r="2701" spans="7:11" ht="15" customHeight="1">
      <c r="G2701" s="24" t="str">
        <f>IFERROR(VLOOKUP(F2701,Procedimentos!A:C,2,),"")</f>
        <v/>
      </c>
      <c r="K2701" s="25" t="str">
        <f t="shared" si="83"/>
        <v/>
      </c>
    </row>
    <row r="2702" spans="7:11" ht="15" customHeight="1">
      <c r="G2702" s="24" t="str">
        <f>IFERROR(VLOOKUP(F2702,Procedimentos!A:C,2,),"")</f>
        <v/>
      </c>
      <c r="K2702" s="25" t="str">
        <f t="shared" si="83"/>
        <v/>
      </c>
    </row>
    <row r="2703" spans="7:11" ht="15" customHeight="1">
      <c r="G2703" s="24" t="str">
        <f>IFERROR(VLOOKUP(F2703,Procedimentos!A:C,2,),"")</f>
        <v/>
      </c>
      <c r="K2703" s="25" t="str">
        <f t="shared" si="83"/>
        <v/>
      </c>
    </row>
    <row r="2704" spans="7:11" ht="15" customHeight="1">
      <c r="G2704" s="24" t="str">
        <f>IFERROR(VLOOKUP(F2704,Procedimentos!A:C,2,),"")</f>
        <v/>
      </c>
      <c r="K2704" s="25" t="str">
        <f t="shared" si="83"/>
        <v/>
      </c>
    </row>
    <row r="2705" spans="7:11" ht="15" customHeight="1">
      <c r="G2705" s="24" t="str">
        <f>IFERROR(VLOOKUP(F2705,Procedimentos!A:C,2,),"")</f>
        <v/>
      </c>
      <c r="K2705" s="25" t="str">
        <f t="shared" si="83"/>
        <v/>
      </c>
    </row>
    <row r="2706" spans="7:11" ht="15" customHeight="1">
      <c r="G2706" s="24" t="str">
        <f>IFERROR(VLOOKUP(F2706,Procedimentos!A:C,2,),"")</f>
        <v/>
      </c>
      <c r="K2706" s="25" t="str">
        <f t="shared" si="83"/>
        <v/>
      </c>
    </row>
    <row r="2707" spans="7:11" ht="15" customHeight="1">
      <c r="G2707" s="24" t="str">
        <f>IFERROR(VLOOKUP(F2707,Procedimentos!A:C,2,),"")</f>
        <v/>
      </c>
      <c r="K2707" s="25" t="str">
        <f t="shared" si="83"/>
        <v/>
      </c>
    </row>
    <row r="2708" spans="7:11" ht="15" customHeight="1">
      <c r="G2708" s="24" t="str">
        <f>IFERROR(VLOOKUP(F2708,Procedimentos!A:C,2,),"")</f>
        <v/>
      </c>
      <c r="K2708" s="25" t="str">
        <f t="shared" si="83"/>
        <v/>
      </c>
    </row>
    <row r="2709" spans="7:11" ht="15" customHeight="1">
      <c r="G2709" s="24" t="str">
        <f>IFERROR(VLOOKUP(F2709,Procedimentos!A:C,2,),"")</f>
        <v/>
      </c>
      <c r="K2709" s="25" t="str">
        <f t="shared" si="83"/>
        <v/>
      </c>
    </row>
    <row r="2710" spans="7:11" ht="15" customHeight="1">
      <c r="G2710" s="24" t="str">
        <f>IFERROR(VLOOKUP(F2710,Procedimentos!A:C,2,),"")</f>
        <v/>
      </c>
      <c r="K2710" s="25" t="str">
        <f t="shared" si="83"/>
        <v/>
      </c>
    </row>
    <row r="2711" spans="7:11" ht="15" customHeight="1">
      <c r="G2711" s="24" t="str">
        <f>IFERROR(VLOOKUP(F2711,Procedimentos!A:C,2,),"")</f>
        <v/>
      </c>
      <c r="K2711" s="25" t="str">
        <f t="shared" si="83"/>
        <v/>
      </c>
    </row>
    <row r="2712" spans="7:11" ht="15" customHeight="1">
      <c r="G2712" s="24" t="str">
        <f>IFERROR(VLOOKUP(F2712,Procedimentos!A:C,2,),"")</f>
        <v/>
      </c>
      <c r="K2712" s="25" t="str">
        <f t="shared" si="83"/>
        <v/>
      </c>
    </row>
    <row r="2713" spans="7:11" ht="15" customHeight="1">
      <c r="G2713" s="24" t="str">
        <f>IFERROR(VLOOKUP(F2713,Procedimentos!A:C,2,),"")</f>
        <v/>
      </c>
      <c r="K2713" s="25" t="str">
        <f t="shared" si="83"/>
        <v/>
      </c>
    </row>
    <row r="2714" spans="7:11" ht="15" customHeight="1">
      <c r="G2714" s="24" t="str">
        <f>IFERROR(VLOOKUP(F2714,Procedimentos!A:C,2,),"")</f>
        <v/>
      </c>
      <c r="K2714" s="25" t="str">
        <f t="shared" si="83"/>
        <v/>
      </c>
    </row>
    <row r="2715" spans="7:11" ht="15" customHeight="1">
      <c r="G2715" s="24" t="str">
        <f>IFERROR(VLOOKUP(F2715,Procedimentos!A:C,2,),"")</f>
        <v/>
      </c>
      <c r="K2715" s="25" t="str">
        <f t="shared" si="83"/>
        <v/>
      </c>
    </row>
    <row r="2716" spans="7:11" ht="15" customHeight="1">
      <c r="G2716" s="24" t="str">
        <f>IFERROR(VLOOKUP(F2716,Procedimentos!A:C,2,),"")</f>
        <v/>
      </c>
      <c r="K2716" s="25" t="str">
        <f t="shared" si="83"/>
        <v/>
      </c>
    </row>
    <row r="2717" spans="7:11" ht="15" customHeight="1">
      <c r="G2717" s="24" t="str">
        <f>IFERROR(VLOOKUP(F2717,Procedimentos!A:C,2,),"")</f>
        <v/>
      </c>
      <c r="K2717" s="25" t="str">
        <f t="shared" si="83"/>
        <v/>
      </c>
    </row>
    <row r="2718" spans="7:11" ht="15" customHeight="1">
      <c r="G2718" s="24" t="str">
        <f>IFERROR(VLOOKUP(F2718,Procedimentos!A:C,2,),"")</f>
        <v/>
      </c>
      <c r="K2718" s="25" t="str">
        <f t="shared" si="83"/>
        <v/>
      </c>
    </row>
    <row r="2719" spans="7:11" ht="15" customHeight="1">
      <c r="G2719" s="24" t="str">
        <f>IFERROR(VLOOKUP(F2719,Procedimentos!A:C,2,),"")</f>
        <v/>
      </c>
      <c r="K2719" s="25" t="str">
        <f t="shared" si="83"/>
        <v/>
      </c>
    </row>
    <row r="2720" spans="7:11" ht="15" customHeight="1">
      <c r="G2720" s="24" t="str">
        <f>IFERROR(VLOOKUP(F2720,Procedimentos!A:C,2,),"")</f>
        <v/>
      </c>
      <c r="K2720" s="25" t="str">
        <f t="shared" si="83"/>
        <v/>
      </c>
    </row>
    <row r="2721" spans="7:11" ht="15" customHeight="1">
      <c r="G2721" s="24" t="str">
        <f>IFERROR(VLOOKUP(F2721,Procedimentos!A:C,2,),"")</f>
        <v/>
      </c>
      <c r="K2721" s="25" t="str">
        <f t="shared" si="83"/>
        <v/>
      </c>
    </row>
    <row r="2722" spans="7:11" ht="15" customHeight="1">
      <c r="G2722" s="24" t="str">
        <f>IFERROR(VLOOKUP(F2722,Procedimentos!A:C,2,),"")</f>
        <v/>
      </c>
      <c r="K2722" s="25" t="str">
        <f t="shared" si="83"/>
        <v/>
      </c>
    </row>
    <row r="2723" spans="7:11" ht="15" customHeight="1">
      <c r="G2723" s="24" t="str">
        <f>IFERROR(VLOOKUP(F2723,Procedimentos!A:C,2,),"")</f>
        <v/>
      </c>
      <c r="K2723" s="25" t="str">
        <f t="shared" si="83"/>
        <v/>
      </c>
    </row>
    <row r="2724" spans="7:11" ht="15" customHeight="1">
      <c r="G2724" s="24" t="str">
        <f>IFERROR(VLOOKUP(F2724,Procedimentos!A:C,2,),"")</f>
        <v/>
      </c>
      <c r="K2724" s="25" t="str">
        <f t="shared" si="83"/>
        <v/>
      </c>
    </row>
    <row r="2725" spans="7:11" ht="15" customHeight="1">
      <c r="G2725" s="24" t="str">
        <f>IFERROR(VLOOKUP(F2725,Procedimentos!A:C,2,),"")</f>
        <v/>
      </c>
      <c r="K2725" s="25" t="str">
        <f t="shared" si="83"/>
        <v/>
      </c>
    </row>
    <row r="2726" spans="7:11" ht="15" customHeight="1">
      <c r="G2726" s="24" t="str">
        <f>IFERROR(VLOOKUP(F2726,Procedimentos!A:C,2,),"")</f>
        <v/>
      </c>
      <c r="K2726" s="25" t="str">
        <f t="shared" si="83"/>
        <v/>
      </c>
    </row>
    <row r="2727" spans="7:11" ht="15" customHeight="1">
      <c r="G2727" s="24" t="str">
        <f>IFERROR(VLOOKUP(F2727,Procedimentos!A:C,2,),"")</f>
        <v/>
      </c>
      <c r="K2727" s="25" t="str">
        <f t="shared" si="83"/>
        <v/>
      </c>
    </row>
    <row r="2728" spans="7:11" ht="15" customHeight="1">
      <c r="G2728" s="24" t="str">
        <f>IFERROR(VLOOKUP(F2728,Procedimentos!A:C,2,),"")</f>
        <v/>
      </c>
      <c r="K2728" s="25" t="str">
        <f t="shared" si="83"/>
        <v/>
      </c>
    </row>
    <row r="2729" spans="7:11" ht="15" customHeight="1">
      <c r="G2729" s="24" t="str">
        <f>IFERROR(VLOOKUP(F2729,Procedimentos!A:C,2,),"")</f>
        <v/>
      </c>
      <c r="K2729" s="25" t="str">
        <f t="shared" si="83"/>
        <v/>
      </c>
    </row>
    <row r="2730" spans="7:11" ht="15" customHeight="1">
      <c r="G2730" s="24" t="str">
        <f>IFERROR(VLOOKUP(F2730,Procedimentos!A:C,2,),"")</f>
        <v/>
      </c>
      <c r="K2730" s="25" t="str">
        <f t="shared" si="83"/>
        <v/>
      </c>
    </row>
    <row r="2731" spans="7:11" ht="15" customHeight="1">
      <c r="G2731" s="24" t="str">
        <f>IFERROR(VLOOKUP(F2731,Procedimentos!A:C,2,),"")</f>
        <v/>
      </c>
      <c r="K2731" s="25" t="str">
        <f t="shared" si="83"/>
        <v/>
      </c>
    </row>
    <row r="2732" spans="7:11" ht="15" customHeight="1">
      <c r="K2732" s="25" t="str">
        <f t="shared" si="83"/>
        <v/>
      </c>
    </row>
    <row r="2733" spans="7:11" ht="15" customHeight="1">
      <c r="K2733" s="25" t="str">
        <f t="shared" si="83"/>
        <v/>
      </c>
    </row>
    <row r="2734" spans="7:11" ht="15" customHeight="1">
      <c r="K2734" s="25" t="str">
        <f t="shared" si="83"/>
        <v/>
      </c>
    </row>
    <row r="2735" spans="7:11" ht="15" customHeight="1">
      <c r="K2735" s="25" t="str">
        <f t="shared" si="83"/>
        <v/>
      </c>
    </row>
    <row r="2736" spans="7:11" ht="15" customHeight="1">
      <c r="K2736" s="25" t="str">
        <f t="shared" si="83"/>
        <v/>
      </c>
    </row>
    <row r="2737" spans="8:11" ht="15" customHeight="1">
      <c r="K2737" s="25" t="str">
        <f t="shared" si="83"/>
        <v/>
      </c>
    </row>
    <row r="2738" spans="8:11" ht="15" customHeight="1">
      <c r="K2738" s="25" t="str">
        <f t="shared" si="83"/>
        <v/>
      </c>
    </row>
    <row r="2739" spans="8:11" ht="15" customHeight="1">
      <c r="K2739" s="25" t="str">
        <f t="shared" si="83"/>
        <v/>
      </c>
    </row>
    <row r="2740" spans="8:11" ht="15" customHeight="1">
      <c r="K2740" s="25" t="str">
        <f t="shared" si="83"/>
        <v/>
      </c>
    </row>
    <row r="2741" spans="8:11" ht="15" customHeight="1">
      <c r="K2741" s="25" t="str">
        <f t="shared" si="83"/>
        <v/>
      </c>
    </row>
    <row r="2742" spans="8:11" ht="15" customHeight="1">
      <c r="H2742" s="22"/>
    </row>
  </sheetData>
  <autoFilter ref="A1:T2741" xr:uid="{00000000-0009-0000-0000-000000000000}"/>
  <conditionalFormatting sqref="L2:N1938">
    <cfRule type="cellIs" dxfId="5" priority="4" operator="equal">
      <formula>"A vencer"</formula>
    </cfRule>
    <cfRule type="cellIs" dxfId="4" priority="5" operator="equal">
      <formula>"Vencido"</formula>
    </cfRule>
    <cfRule type="cellIs" dxfId="3" priority="6" operator="equal">
      <formula>"Em dia"</formula>
    </cfRule>
  </conditionalFormatting>
  <conditionalFormatting sqref="O1:O1938">
    <cfRule type="cellIs" dxfId="2" priority="1" operator="equal">
      <formula>"Aguardando"</formula>
    </cfRule>
    <cfRule type="cellIs" dxfId="1" priority="2" operator="equal">
      <formula>"não"</formula>
    </cfRule>
    <cfRule type="cellIs" dxfId="0" priority="3" operator="equal">
      <formula>"Sim"</formula>
    </cfRule>
  </conditionalFormatting>
  <pageMargins left="0.7" right="0.7" top="0.75" bottom="0.75" header="0" footer="0"/>
  <pageSetup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ErrorMessage="1" xr:uid="{00000000-0002-0000-0000-000000000000}">
          <x14:formula1>
            <xm:f>'Lista suspensa'!$C$2:$C$4</xm:f>
          </x14:formula1>
          <xm:sqref>N1:N1938</xm:sqref>
        </x14:dataValidation>
        <x14:dataValidation type="list" allowBlank="1" showErrorMessage="1" xr:uid="{00000000-0002-0000-0000-000001000000}">
          <x14:formula1>
            <xm:f>'Lista suspensa'!$D$2:$D$5</xm:f>
          </x14:formula1>
          <xm:sqref>S1:S1938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D979"/>
  <sheetViews>
    <sheetView showGridLines="0" workbookViewId="0">
      <selection activeCell="K52" sqref="K52"/>
    </sheetView>
  </sheetViews>
  <sheetFormatPr defaultColWidth="14.44140625" defaultRowHeight="15" customHeight="1"/>
  <cols>
    <col min="1" max="1" width="14.44140625" customWidth="1"/>
    <col min="2" max="2" width="50.109375" customWidth="1"/>
    <col min="3" max="3" width="33.33203125" customWidth="1"/>
    <col min="4" max="4" width="40.6640625" customWidth="1"/>
    <col min="5" max="26" width="8.6640625" customWidth="1"/>
  </cols>
  <sheetData>
    <row r="1" spans="1:4" ht="14.25" customHeight="1">
      <c r="A1" s="17" t="s">
        <v>1</v>
      </c>
      <c r="B1" s="17" t="s">
        <v>2</v>
      </c>
      <c r="C1" s="17" t="s">
        <v>119</v>
      </c>
      <c r="D1" s="17" t="s">
        <v>4</v>
      </c>
    </row>
    <row r="2" spans="1:4" ht="14.25" customHeight="1">
      <c r="A2" s="1">
        <v>15134</v>
      </c>
      <c r="B2" s="1" t="s">
        <v>120</v>
      </c>
      <c r="C2" s="1" t="s">
        <v>121</v>
      </c>
      <c r="D2" s="1" t="s">
        <v>122</v>
      </c>
    </row>
    <row r="3" spans="1:4" ht="14.25" customHeight="1">
      <c r="A3" s="1">
        <v>13584</v>
      </c>
      <c r="B3" s="1" t="s">
        <v>123</v>
      </c>
      <c r="C3" s="1" t="s">
        <v>124</v>
      </c>
      <c r="D3" s="1" t="s">
        <v>125</v>
      </c>
    </row>
    <row r="4" spans="1:4" ht="14.25" customHeight="1">
      <c r="A4" s="1">
        <v>15295</v>
      </c>
      <c r="B4" s="1" t="s">
        <v>126</v>
      </c>
      <c r="C4" s="1" t="s">
        <v>47</v>
      </c>
      <c r="D4" s="1" t="s">
        <v>127</v>
      </c>
    </row>
    <row r="5" spans="1:4" ht="14.25" customHeight="1">
      <c r="A5" s="1">
        <v>12330</v>
      </c>
      <c r="B5" s="1" t="s">
        <v>128</v>
      </c>
      <c r="C5" s="1" t="s">
        <v>47</v>
      </c>
      <c r="D5" s="1" t="s">
        <v>129</v>
      </c>
    </row>
    <row r="6" spans="1:4" ht="14.25" customHeight="1">
      <c r="A6" s="1">
        <v>3109</v>
      </c>
      <c r="B6" s="1" t="s">
        <v>130</v>
      </c>
      <c r="C6" s="1" t="s">
        <v>47</v>
      </c>
      <c r="D6" s="1" t="s">
        <v>131</v>
      </c>
    </row>
    <row r="7" spans="1:4" ht="14.25" customHeight="1">
      <c r="A7" s="1">
        <v>14767</v>
      </c>
      <c r="B7" s="1" t="s">
        <v>132</v>
      </c>
      <c r="C7" s="1" t="s">
        <v>133</v>
      </c>
      <c r="D7" s="1" t="s">
        <v>134</v>
      </c>
    </row>
    <row r="8" spans="1:4" ht="14.25" customHeight="1">
      <c r="A8" s="1">
        <v>13810</v>
      </c>
      <c r="B8" s="1" t="s">
        <v>135</v>
      </c>
      <c r="C8" s="1" t="s">
        <v>136</v>
      </c>
      <c r="D8" s="1" t="s">
        <v>137</v>
      </c>
    </row>
    <row r="9" spans="1:4" ht="14.25" customHeight="1">
      <c r="A9" s="1">
        <v>14565</v>
      </c>
      <c r="B9" s="1" t="s">
        <v>138</v>
      </c>
      <c r="C9" s="1" t="s">
        <v>139</v>
      </c>
      <c r="D9" s="1" t="s">
        <v>140</v>
      </c>
    </row>
    <row r="10" spans="1:4" ht="14.25" customHeight="1">
      <c r="A10" s="1">
        <v>11149</v>
      </c>
      <c r="B10" s="1" t="s">
        <v>141</v>
      </c>
      <c r="C10" s="1" t="s">
        <v>142</v>
      </c>
      <c r="D10" s="1" t="s">
        <v>143</v>
      </c>
    </row>
    <row r="11" spans="1:4" ht="14.25" customHeight="1">
      <c r="A11" s="1"/>
      <c r="B11" s="1"/>
      <c r="C11" s="1" t="s">
        <v>144</v>
      </c>
      <c r="D11" s="1" t="s">
        <v>145</v>
      </c>
    </row>
    <row r="12" spans="1:4" ht="14.25" customHeight="1">
      <c r="A12" s="1">
        <v>15023</v>
      </c>
      <c r="B12" s="1" t="s">
        <v>146</v>
      </c>
      <c r="C12" s="1" t="s">
        <v>147</v>
      </c>
      <c r="D12" s="1" t="s">
        <v>148</v>
      </c>
    </row>
    <row r="13" spans="1:4" ht="14.25" customHeight="1">
      <c r="A13" s="1">
        <v>14824</v>
      </c>
      <c r="B13" s="1" t="s">
        <v>149</v>
      </c>
      <c r="C13" s="1" t="s">
        <v>142</v>
      </c>
      <c r="D13" s="1" t="s">
        <v>148</v>
      </c>
    </row>
    <row r="14" spans="1:4" ht="14.25" customHeight="1">
      <c r="A14" s="1">
        <v>15498</v>
      </c>
      <c r="B14" s="1" t="s">
        <v>150</v>
      </c>
      <c r="C14" s="1" t="s">
        <v>139</v>
      </c>
      <c r="D14" s="1" t="s">
        <v>140</v>
      </c>
    </row>
    <row r="15" spans="1:4" ht="14.25" customHeight="1">
      <c r="A15" s="1">
        <v>12486</v>
      </c>
      <c r="B15" s="1" t="s">
        <v>151</v>
      </c>
      <c r="C15" s="1" t="s">
        <v>144</v>
      </c>
      <c r="D15" s="1" t="s">
        <v>145</v>
      </c>
    </row>
    <row r="16" spans="1:4" ht="14.25" customHeight="1">
      <c r="A16" s="1">
        <v>13794</v>
      </c>
      <c r="B16" s="1" t="s">
        <v>152</v>
      </c>
      <c r="C16" s="1" t="s">
        <v>124</v>
      </c>
      <c r="D16" s="1" t="s">
        <v>131</v>
      </c>
    </row>
    <row r="17" spans="1:4" ht="14.25" customHeight="1">
      <c r="A17" s="1">
        <v>13964</v>
      </c>
      <c r="B17" s="1" t="s">
        <v>153</v>
      </c>
      <c r="C17" s="1" t="s">
        <v>133</v>
      </c>
      <c r="D17" s="1" t="s">
        <v>154</v>
      </c>
    </row>
    <row r="18" spans="1:4" ht="14.25" customHeight="1">
      <c r="A18" s="1">
        <v>7590</v>
      </c>
      <c r="B18" s="1" t="s">
        <v>155</v>
      </c>
      <c r="C18" s="1" t="s">
        <v>47</v>
      </c>
      <c r="D18" s="1" t="s">
        <v>156</v>
      </c>
    </row>
    <row r="19" spans="1:4" ht="14.25" customHeight="1">
      <c r="A19" s="1">
        <v>15492</v>
      </c>
      <c r="B19" s="1" t="s">
        <v>157</v>
      </c>
      <c r="C19" s="1" t="s">
        <v>139</v>
      </c>
      <c r="D19" s="1" t="s">
        <v>158</v>
      </c>
    </row>
    <row r="20" spans="1:4" ht="14.25" customHeight="1">
      <c r="A20" s="1">
        <v>7340</v>
      </c>
      <c r="B20" s="1" t="s">
        <v>159</v>
      </c>
      <c r="C20" s="1" t="s">
        <v>142</v>
      </c>
      <c r="D20" s="1" t="s">
        <v>160</v>
      </c>
    </row>
    <row r="21" spans="1:4" ht="14.25" customHeight="1">
      <c r="A21" s="1">
        <v>1866</v>
      </c>
      <c r="B21" s="1" t="s">
        <v>161</v>
      </c>
      <c r="C21" s="1" t="s">
        <v>47</v>
      </c>
      <c r="D21" s="1" t="s">
        <v>131</v>
      </c>
    </row>
    <row r="22" spans="1:4" ht="14.25" customHeight="1">
      <c r="A22" s="1">
        <v>14508</v>
      </c>
      <c r="B22" s="1" t="s">
        <v>162</v>
      </c>
      <c r="C22" s="1" t="s">
        <v>47</v>
      </c>
      <c r="D22" s="1" t="s">
        <v>148</v>
      </c>
    </row>
    <row r="23" spans="1:4" ht="14.25" customHeight="1">
      <c r="A23" s="1">
        <v>14866</v>
      </c>
      <c r="B23" s="1" t="s">
        <v>163</v>
      </c>
      <c r="C23" s="1" t="s">
        <v>47</v>
      </c>
      <c r="D23" s="1" t="s">
        <v>164</v>
      </c>
    </row>
    <row r="24" spans="1:4" ht="14.25" customHeight="1">
      <c r="A24" s="1">
        <v>15059</v>
      </c>
      <c r="B24" s="1" t="s">
        <v>165</v>
      </c>
      <c r="C24" s="1" t="s">
        <v>47</v>
      </c>
      <c r="D24" s="1" t="s">
        <v>148</v>
      </c>
    </row>
    <row r="25" spans="1:4" ht="14.25" customHeight="1">
      <c r="A25" s="1">
        <v>12555</v>
      </c>
      <c r="B25" s="1" t="s">
        <v>166</v>
      </c>
      <c r="C25" s="1" t="s">
        <v>142</v>
      </c>
      <c r="D25" s="1" t="s">
        <v>143</v>
      </c>
    </row>
    <row r="26" spans="1:4" ht="14.25" customHeight="1">
      <c r="A26" s="1">
        <v>14525</v>
      </c>
      <c r="B26" s="1" t="s">
        <v>167</v>
      </c>
      <c r="C26" s="1" t="s">
        <v>147</v>
      </c>
      <c r="D26" s="1" t="s">
        <v>168</v>
      </c>
    </row>
    <row r="27" spans="1:4" ht="14.25" customHeight="1">
      <c r="A27" s="1">
        <v>14013</v>
      </c>
      <c r="B27" s="1" t="s">
        <v>169</v>
      </c>
      <c r="C27" s="1" t="s">
        <v>144</v>
      </c>
      <c r="D27" s="1" t="s">
        <v>148</v>
      </c>
    </row>
    <row r="28" spans="1:4" ht="14.25" customHeight="1">
      <c r="A28" s="1">
        <v>12684</v>
      </c>
      <c r="B28" s="1" t="s">
        <v>170</v>
      </c>
      <c r="C28" s="1" t="s">
        <v>144</v>
      </c>
      <c r="D28" s="1" t="s">
        <v>171</v>
      </c>
    </row>
    <row r="29" spans="1:4" ht="14.25" customHeight="1">
      <c r="A29" s="1">
        <v>14356</v>
      </c>
      <c r="B29" s="1" t="s">
        <v>172</v>
      </c>
      <c r="C29" s="1" t="s">
        <v>124</v>
      </c>
      <c r="D29" s="1" t="s">
        <v>148</v>
      </c>
    </row>
    <row r="30" spans="1:4" ht="14.25" customHeight="1">
      <c r="A30" s="1">
        <v>14357</v>
      </c>
      <c r="B30" s="1" t="s">
        <v>173</v>
      </c>
      <c r="C30" s="1" t="s">
        <v>124</v>
      </c>
      <c r="D30" s="1" t="s">
        <v>154</v>
      </c>
    </row>
    <row r="31" spans="1:4" ht="14.25" customHeight="1">
      <c r="A31" s="1">
        <v>13524</v>
      </c>
      <c r="B31" s="1" t="s">
        <v>174</v>
      </c>
      <c r="C31" s="1" t="s">
        <v>139</v>
      </c>
      <c r="D31" s="1" t="s">
        <v>175</v>
      </c>
    </row>
    <row r="32" spans="1:4" ht="14.25" customHeight="1">
      <c r="A32" s="1">
        <v>15100</v>
      </c>
      <c r="B32" s="1" t="s">
        <v>176</v>
      </c>
      <c r="C32" s="1" t="s">
        <v>133</v>
      </c>
      <c r="D32" s="1" t="s">
        <v>125</v>
      </c>
    </row>
    <row r="33" spans="1:4" ht="14.25" customHeight="1">
      <c r="A33" s="1">
        <v>12451</v>
      </c>
      <c r="B33" s="1" t="s">
        <v>177</v>
      </c>
      <c r="C33" s="1" t="s">
        <v>136</v>
      </c>
      <c r="D33" s="1" t="s">
        <v>178</v>
      </c>
    </row>
    <row r="34" spans="1:4" ht="14.25" customHeight="1">
      <c r="A34" s="1">
        <v>13750</v>
      </c>
      <c r="B34" s="1" t="s">
        <v>179</v>
      </c>
      <c r="C34" s="1" t="s">
        <v>147</v>
      </c>
      <c r="D34" s="1" t="s">
        <v>180</v>
      </c>
    </row>
    <row r="35" spans="1:4" ht="14.25" customHeight="1">
      <c r="A35" s="1">
        <v>14354</v>
      </c>
      <c r="B35" s="1" t="s">
        <v>181</v>
      </c>
      <c r="C35" s="1" t="s">
        <v>121</v>
      </c>
      <c r="D35" s="1" t="s">
        <v>140</v>
      </c>
    </row>
    <row r="36" spans="1:4" ht="14.25" customHeight="1">
      <c r="A36" s="1">
        <v>12712</v>
      </c>
      <c r="B36" s="1" t="s">
        <v>182</v>
      </c>
      <c r="C36" s="1" t="s">
        <v>147</v>
      </c>
      <c r="D36" s="1" t="s">
        <v>168</v>
      </c>
    </row>
    <row r="37" spans="1:4" ht="14.25" customHeight="1">
      <c r="A37" s="1">
        <v>13822</v>
      </c>
      <c r="B37" s="1" t="s">
        <v>56</v>
      </c>
      <c r="C37" s="1" t="s">
        <v>121</v>
      </c>
      <c r="D37" s="1" t="s">
        <v>125</v>
      </c>
    </row>
    <row r="38" spans="1:4" ht="14.25" customHeight="1">
      <c r="A38" s="1">
        <v>12748</v>
      </c>
      <c r="B38" s="1" t="s">
        <v>183</v>
      </c>
      <c r="C38" s="1" t="s">
        <v>142</v>
      </c>
      <c r="D38" s="1" t="s">
        <v>148</v>
      </c>
    </row>
    <row r="39" spans="1:4" ht="14.25" customHeight="1">
      <c r="A39" s="1">
        <v>13787</v>
      </c>
      <c r="B39" s="1" t="s">
        <v>184</v>
      </c>
      <c r="C39" s="1" t="s">
        <v>147</v>
      </c>
      <c r="D39" s="1" t="s">
        <v>168</v>
      </c>
    </row>
    <row r="40" spans="1:4" ht="14.25" customHeight="1">
      <c r="A40" s="1">
        <v>13778</v>
      </c>
      <c r="B40" s="1" t="s">
        <v>185</v>
      </c>
      <c r="C40" s="1" t="s">
        <v>47</v>
      </c>
      <c r="D40" s="1" t="s">
        <v>186</v>
      </c>
    </row>
    <row r="41" spans="1:4" ht="14.25" customHeight="1">
      <c r="A41" s="1">
        <v>14321</v>
      </c>
      <c r="B41" s="1" t="s">
        <v>187</v>
      </c>
      <c r="C41" s="1" t="s">
        <v>133</v>
      </c>
      <c r="D41" s="1" t="s">
        <v>148</v>
      </c>
    </row>
    <row r="42" spans="1:4" ht="14.25" customHeight="1">
      <c r="A42" s="1">
        <v>14420</v>
      </c>
      <c r="B42" s="1" t="s">
        <v>188</v>
      </c>
      <c r="C42" s="1" t="s">
        <v>124</v>
      </c>
      <c r="D42" s="1" t="s">
        <v>148</v>
      </c>
    </row>
    <row r="43" spans="1:4" ht="14.25" customHeight="1">
      <c r="A43" s="1">
        <v>14700</v>
      </c>
      <c r="B43" s="1" t="s">
        <v>189</v>
      </c>
      <c r="C43" s="1" t="s">
        <v>121</v>
      </c>
      <c r="D43" s="1" t="s">
        <v>131</v>
      </c>
    </row>
    <row r="44" spans="1:4" ht="14.25" customHeight="1">
      <c r="A44" s="1">
        <v>12671</v>
      </c>
      <c r="B44" s="1" t="s">
        <v>190</v>
      </c>
      <c r="C44" s="1" t="s">
        <v>136</v>
      </c>
      <c r="D44" s="1" t="s">
        <v>191</v>
      </c>
    </row>
    <row r="45" spans="1:4" ht="14.25" customHeight="1">
      <c r="A45" s="1">
        <v>12685</v>
      </c>
      <c r="B45" s="1" t="s">
        <v>192</v>
      </c>
      <c r="C45" s="1" t="s">
        <v>147</v>
      </c>
      <c r="D45" s="1" t="s">
        <v>193</v>
      </c>
    </row>
    <row r="46" spans="1:4" ht="14.25" customHeight="1">
      <c r="A46" s="1">
        <v>13741</v>
      </c>
      <c r="B46" s="1" t="s">
        <v>40</v>
      </c>
      <c r="C46" s="1" t="s">
        <v>144</v>
      </c>
      <c r="D46" s="1" t="s">
        <v>145</v>
      </c>
    </row>
    <row r="47" spans="1:4" ht="14.25" customHeight="1">
      <c r="A47" s="1">
        <v>2740</v>
      </c>
      <c r="B47" s="1" t="s">
        <v>194</v>
      </c>
      <c r="C47" s="1" t="s">
        <v>139</v>
      </c>
      <c r="D47" s="1" t="s">
        <v>140</v>
      </c>
    </row>
    <row r="48" spans="1:4" ht="14.25" customHeight="1">
      <c r="A48" s="1">
        <v>7580</v>
      </c>
      <c r="B48" s="1" t="s">
        <v>195</v>
      </c>
      <c r="C48" s="1" t="s">
        <v>139</v>
      </c>
      <c r="D48" s="1" t="s">
        <v>140</v>
      </c>
    </row>
    <row r="49" spans="1:4" ht="14.25" customHeight="1">
      <c r="A49" s="1">
        <v>7147</v>
      </c>
      <c r="B49" s="1" t="s">
        <v>196</v>
      </c>
      <c r="C49" s="1" t="s">
        <v>47</v>
      </c>
      <c r="D49" s="55" t="s">
        <v>353</v>
      </c>
    </row>
    <row r="50" spans="1:4" ht="14.25" customHeight="1">
      <c r="A50" s="1">
        <v>15042</v>
      </c>
      <c r="B50" s="1" t="s">
        <v>197</v>
      </c>
      <c r="C50" s="1" t="s">
        <v>133</v>
      </c>
      <c r="D50" s="1" t="s">
        <v>198</v>
      </c>
    </row>
    <row r="51" spans="1:4" ht="14.25" customHeight="1">
      <c r="A51" s="1">
        <v>15412</v>
      </c>
      <c r="B51" s="1" t="s">
        <v>199</v>
      </c>
      <c r="C51" s="1" t="s">
        <v>121</v>
      </c>
      <c r="D51" s="1" t="s">
        <v>148</v>
      </c>
    </row>
    <row r="52" spans="1:4" ht="14.25" customHeight="1">
      <c r="A52" s="1">
        <v>14815</v>
      </c>
      <c r="B52" s="1" t="s">
        <v>200</v>
      </c>
      <c r="C52" s="1" t="s">
        <v>124</v>
      </c>
      <c r="D52" s="1" t="s">
        <v>201</v>
      </c>
    </row>
    <row r="53" spans="1:4" ht="14.25" customHeight="1">
      <c r="A53" s="1">
        <v>15011</v>
      </c>
      <c r="B53" s="1" t="s">
        <v>202</v>
      </c>
      <c r="C53" s="1" t="s">
        <v>147</v>
      </c>
      <c r="D53" s="1" t="s">
        <v>203</v>
      </c>
    </row>
    <row r="54" spans="1:4" ht="14.25" customHeight="1">
      <c r="A54" s="1">
        <v>13766</v>
      </c>
      <c r="B54" s="1" t="s">
        <v>204</v>
      </c>
      <c r="C54" s="1" t="s">
        <v>142</v>
      </c>
      <c r="D54" s="1" t="s">
        <v>143</v>
      </c>
    </row>
    <row r="55" spans="1:4" ht="14.25" customHeight="1">
      <c r="A55" s="1">
        <v>7601</v>
      </c>
      <c r="B55" s="1" t="s">
        <v>50</v>
      </c>
      <c r="C55" s="1" t="s">
        <v>47</v>
      </c>
      <c r="D55" s="1" t="s">
        <v>205</v>
      </c>
    </row>
    <row r="56" spans="1:4" ht="14.25" customHeight="1">
      <c r="A56" s="1">
        <v>15656</v>
      </c>
      <c r="B56" s="1" t="s">
        <v>206</v>
      </c>
      <c r="C56" s="1" t="s">
        <v>147</v>
      </c>
      <c r="D56" s="1" t="s">
        <v>168</v>
      </c>
    </row>
    <row r="57" spans="1:4" ht="14.25" customHeight="1">
      <c r="A57" s="1">
        <v>14721</v>
      </c>
      <c r="B57" s="1" t="s">
        <v>207</v>
      </c>
      <c r="C57" s="1" t="s">
        <v>124</v>
      </c>
      <c r="D57" s="1" t="s">
        <v>140</v>
      </c>
    </row>
    <row r="58" spans="1:4" ht="14.25" customHeight="1">
      <c r="A58" s="1">
        <v>14785</v>
      </c>
      <c r="B58" s="1" t="s">
        <v>208</v>
      </c>
      <c r="C58" s="1" t="s">
        <v>121</v>
      </c>
      <c r="D58" s="1" t="s">
        <v>201</v>
      </c>
    </row>
    <row r="59" spans="1:4" ht="14.25" customHeight="1">
      <c r="A59" s="1">
        <v>14499</v>
      </c>
      <c r="B59" s="1" t="s">
        <v>209</v>
      </c>
      <c r="C59" s="1" t="s">
        <v>47</v>
      </c>
      <c r="D59" s="55" t="s">
        <v>353</v>
      </c>
    </row>
    <row r="60" spans="1:4" ht="14.25" customHeight="1">
      <c r="A60" s="1">
        <v>14083</v>
      </c>
      <c r="B60" s="1" t="s">
        <v>210</v>
      </c>
      <c r="C60" s="1" t="s">
        <v>47</v>
      </c>
      <c r="D60" s="1" t="s">
        <v>205</v>
      </c>
    </row>
    <row r="61" spans="1:4" ht="14.25" customHeight="1">
      <c r="A61" s="1">
        <v>13727</v>
      </c>
      <c r="B61" s="1" t="s">
        <v>211</v>
      </c>
      <c r="C61" s="1" t="s">
        <v>139</v>
      </c>
      <c r="D61" s="1" t="s">
        <v>212</v>
      </c>
    </row>
    <row r="62" spans="1:4" ht="14.25" customHeight="1">
      <c r="A62" s="1">
        <v>14246</v>
      </c>
      <c r="B62" s="1" t="s">
        <v>30</v>
      </c>
      <c r="C62" s="1" t="s">
        <v>144</v>
      </c>
      <c r="D62" s="1" t="s">
        <v>213</v>
      </c>
    </row>
    <row r="63" spans="1:4" ht="14.25" customHeight="1">
      <c r="A63" s="1">
        <v>14526</v>
      </c>
      <c r="B63" s="1" t="s">
        <v>214</v>
      </c>
      <c r="C63" s="1" t="s">
        <v>144</v>
      </c>
      <c r="D63" s="1" t="s">
        <v>145</v>
      </c>
    </row>
    <row r="64" spans="1:4" ht="14.25" customHeight="1">
      <c r="A64" s="1">
        <v>15068</v>
      </c>
      <c r="B64" s="1" t="s">
        <v>215</v>
      </c>
      <c r="C64" s="1" t="s">
        <v>147</v>
      </c>
      <c r="D64" s="1" t="s">
        <v>216</v>
      </c>
    </row>
    <row r="65" spans="1:4" ht="14.25" customHeight="1">
      <c r="A65" s="1">
        <v>15386</v>
      </c>
      <c r="B65" s="1" t="s">
        <v>217</v>
      </c>
      <c r="C65" s="1" t="s">
        <v>136</v>
      </c>
      <c r="D65" s="1" t="s">
        <v>148</v>
      </c>
    </row>
    <row r="66" spans="1:4" ht="14.25" customHeight="1">
      <c r="A66" s="1">
        <v>15541</v>
      </c>
      <c r="B66" s="1" t="s">
        <v>218</v>
      </c>
      <c r="C66" s="1" t="s">
        <v>47</v>
      </c>
      <c r="D66" s="1" t="s">
        <v>219</v>
      </c>
    </row>
    <row r="67" spans="1:4" ht="14.25" customHeight="1">
      <c r="A67" s="1">
        <v>24306</v>
      </c>
      <c r="B67" s="1" t="s">
        <v>220</v>
      </c>
      <c r="C67" s="1" t="s">
        <v>47</v>
      </c>
      <c r="D67" s="1" t="s">
        <v>221</v>
      </c>
    </row>
    <row r="68" spans="1:4" ht="14.25" customHeight="1">
      <c r="A68" s="1">
        <v>15462</v>
      </c>
      <c r="B68" s="1" t="s">
        <v>222</v>
      </c>
      <c r="C68" s="1" t="s">
        <v>47</v>
      </c>
      <c r="D68" s="1" t="s">
        <v>122</v>
      </c>
    </row>
    <row r="69" spans="1:4" ht="14.25" customHeight="1">
      <c r="A69" s="1">
        <v>9058</v>
      </c>
      <c r="B69" s="1" t="s">
        <v>223</v>
      </c>
      <c r="C69" s="1" t="s">
        <v>47</v>
      </c>
      <c r="D69" s="1" t="s">
        <v>224</v>
      </c>
    </row>
    <row r="70" spans="1:4" ht="14.25" customHeight="1">
      <c r="A70" s="1">
        <v>8111</v>
      </c>
      <c r="B70" s="1" t="s">
        <v>225</v>
      </c>
      <c r="C70" s="1" t="s">
        <v>47</v>
      </c>
      <c r="D70" s="1" t="s">
        <v>226</v>
      </c>
    </row>
    <row r="71" spans="1:4" ht="14.25" customHeight="1">
      <c r="A71" s="1">
        <v>13594</v>
      </c>
      <c r="B71" s="1" t="s">
        <v>227</v>
      </c>
      <c r="C71" s="1" t="s">
        <v>47</v>
      </c>
      <c r="D71" s="1" t="s">
        <v>228</v>
      </c>
    </row>
    <row r="72" spans="1:4" ht="14.25" customHeight="1">
      <c r="A72" s="1">
        <v>12463</v>
      </c>
      <c r="B72" s="1" t="s">
        <v>229</v>
      </c>
      <c r="C72" s="1" t="s">
        <v>47</v>
      </c>
      <c r="D72" s="1" t="s">
        <v>224</v>
      </c>
    </row>
    <row r="73" spans="1:4" ht="14.25" customHeight="1">
      <c r="A73" s="1"/>
      <c r="B73" s="1" t="s">
        <v>230</v>
      </c>
      <c r="C73" s="1" t="s">
        <v>47</v>
      </c>
      <c r="D73" s="1" t="s">
        <v>231</v>
      </c>
    </row>
    <row r="74" spans="1:4" ht="14.25" customHeight="1">
      <c r="A74" s="1">
        <v>13100</v>
      </c>
      <c r="B74" s="1" t="s">
        <v>232</v>
      </c>
      <c r="C74" s="1" t="s">
        <v>47</v>
      </c>
      <c r="D74" s="1" t="s">
        <v>219</v>
      </c>
    </row>
    <row r="75" spans="1:4" ht="14.25" customHeight="1">
      <c r="A75" s="1">
        <v>14974</v>
      </c>
      <c r="B75" s="1" t="s">
        <v>233</v>
      </c>
      <c r="C75" s="1" t="s">
        <v>47</v>
      </c>
      <c r="D75" s="1" t="s">
        <v>234</v>
      </c>
    </row>
    <row r="76" spans="1:4" ht="14.25" customHeight="1">
      <c r="A76" s="1">
        <v>14990</v>
      </c>
      <c r="B76" s="1" t="s">
        <v>235</v>
      </c>
      <c r="C76" s="1" t="s">
        <v>47</v>
      </c>
      <c r="D76" s="1" t="s">
        <v>234</v>
      </c>
    </row>
    <row r="77" spans="1:4" ht="14.25" customHeight="1">
      <c r="A77" s="1">
        <v>14972</v>
      </c>
      <c r="B77" s="1" t="s">
        <v>236</v>
      </c>
      <c r="C77" s="1" t="s">
        <v>47</v>
      </c>
      <c r="D77" s="1" t="s">
        <v>234</v>
      </c>
    </row>
    <row r="78" spans="1:4" ht="14.25" customHeight="1">
      <c r="A78" s="1">
        <v>14962</v>
      </c>
      <c r="B78" s="1" t="s">
        <v>237</v>
      </c>
      <c r="C78" s="1" t="s">
        <v>47</v>
      </c>
      <c r="D78" s="1" t="s">
        <v>234</v>
      </c>
    </row>
    <row r="79" spans="1:4" ht="14.25" customHeight="1">
      <c r="A79" s="1"/>
      <c r="B79" s="1"/>
      <c r="C79" s="1"/>
      <c r="D79" s="1"/>
    </row>
    <row r="80" spans="1:4" ht="14.25" customHeight="1">
      <c r="A80" s="1"/>
      <c r="B80" s="1"/>
      <c r="C80" s="1"/>
      <c r="D80" s="1"/>
    </row>
    <row r="81" spans="1:4" ht="14.25" customHeight="1">
      <c r="A81" s="1"/>
      <c r="B81" s="1"/>
      <c r="C81" s="1"/>
      <c r="D81" s="1"/>
    </row>
    <row r="82" spans="1:4" ht="14.25" customHeight="1">
      <c r="A82" s="1"/>
      <c r="B82" s="1"/>
      <c r="C82" s="1"/>
      <c r="D82" s="1"/>
    </row>
    <row r="83" spans="1:4" ht="14.25" customHeight="1">
      <c r="A83" s="1"/>
      <c r="B83" s="1"/>
      <c r="C83" s="1"/>
      <c r="D83" s="1"/>
    </row>
    <row r="84" spans="1:4" ht="14.25" customHeight="1">
      <c r="A84" s="1"/>
      <c r="B84" s="1"/>
      <c r="C84" s="1"/>
      <c r="D84" s="1"/>
    </row>
    <row r="85" spans="1:4" ht="14.25" customHeight="1">
      <c r="A85" s="1"/>
      <c r="B85" s="1"/>
      <c r="C85" s="1"/>
      <c r="D85" s="1"/>
    </row>
    <row r="86" spans="1:4" ht="14.25" customHeight="1">
      <c r="A86" s="1"/>
      <c r="B86" s="1"/>
      <c r="C86" s="1"/>
      <c r="D86" s="1"/>
    </row>
    <row r="87" spans="1:4" ht="14.25" customHeight="1">
      <c r="A87" s="1"/>
      <c r="B87" s="1"/>
      <c r="C87" s="1"/>
      <c r="D87" s="1"/>
    </row>
    <row r="88" spans="1:4" ht="14.25" customHeight="1">
      <c r="A88" s="1"/>
      <c r="B88" s="1"/>
      <c r="C88" s="1"/>
      <c r="D88" s="1"/>
    </row>
    <row r="89" spans="1:4" ht="14.25" customHeight="1">
      <c r="A89" s="1"/>
      <c r="B89" s="1"/>
      <c r="C89" s="1"/>
      <c r="D89" s="1"/>
    </row>
    <row r="90" spans="1:4" ht="14.25" customHeight="1">
      <c r="A90" s="1"/>
      <c r="B90" s="1"/>
      <c r="C90" s="1"/>
      <c r="D90" s="1"/>
    </row>
    <row r="91" spans="1:4" ht="14.25" customHeight="1">
      <c r="A91" s="1"/>
      <c r="B91" s="1"/>
      <c r="C91" s="1"/>
      <c r="D91" s="1"/>
    </row>
    <row r="92" spans="1:4" ht="14.25" customHeight="1">
      <c r="A92" s="1"/>
      <c r="B92" s="1"/>
      <c r="C92" s="1"/>
      <c r="D92" s="1"/>
    </row>
    <row r="93" spans="1:4" ht="14.25" customHeight="1">
      <c r="A93" s="1"/>
      <c r="B93" s="1"/>
      <c r="C93" s="1"/>
      <c r="D93" s="1"/>
    </row>
    <row r="94" spans="1:4" ht="14.25" customHeight="1">
      <c r="A94" s="1"/>
      <c r="B94" s="1"/>
      <c r="C94" s="1"/>
      <c r="D94" s="1"/>
    </row>
    <row r="95" spans="1:4" ht="14.25" customHeight="1">
      <c r="A95" s="1"/>
      <c r="B95" s="1"/>
      <c r="C95" s="1"/>
      <c r="D95" s="1"/>
    </row>
    <row r="96" spans="1:4" ht="14.25" customHeight="1">
      <c r="A96" s="1"/>
      <c r="B96" s="1"/>
      <c r="C96" s="1"/>
      <c r="D96" s="1"/>
    </row>
    <row r="97" spans="1:4" ht="14.25" customHeight="1">
      <c r="A97" s="1"/>
      <c r="B97" s="1"/>
      <c r="C97" s="1"/>
      <c r="D97" s="1"/>
    </row>
    <row r="98" spans="1:4" ht="14.25" customHeight="1">
      <c r="A98" s="1"/>
      <c r="B98" s="1"/>
      <c r="C98" s="1"/>
      <c r="D98" s="1"/>
    </row>
    <row r="99" spans="1:4" ht="14.25" customHeight="1">
      <c r="A99" s="1"/>
      <c r="B99" s="1"/>
      <c r="C99" s="1"/>
      <c r="D99" s="1"/>
    </row>
    <row r="100" spans="1:4" ht="14.25" customHeight="1">
      <c r="A100" s="1"/>
      <c r="B100" s="1"/>
      <c r="C100" s="1"/>
      <c r="D100" s="1"/>
    </row>
    <row r="101" spans="1:4" ht="14.25" customHeight="1">
      <c r="A101" s="1"/>
      <c r="B101" s="1"/>
      <c r="C101" s="1"/>
      <c r="D101" s="1"/>
    </row>
    <row r="102" spans="1:4" ht="14.25" customHeight="1">
      <c r="A102" s="1"/>
      <c r="B102" s="1"/>
      <c r="C102" s="1"/>
      <c r="D102" s="1"/>
    </row>
    <row r="103" spans="1:4" ht="14.25" customHeight="1">
      <c r="A103" s="1"/>
      <c r="B103" s="1"/>
      <c r="C103" s="1"/>
      <c r="D103" s="1"/>
    </row>
    <row r="104" spans="1:4" ht="14.25" customHeight="1">
      <c r="A104" s="1"/>
      <c r="B104" s="1"/>
      <c r="C104" s="1"/>
      <c r="D104" s="1"/>
    </row>
    <row r="105" spans="1:4" ht="14.25" customHeight="1">
      <c r="A105" s="1"/>
      <c r="B105" s="1"/>
      <c r="C105" s="1"/>
      <c r="D105" s="1"/>
    </row>
    <row r="106" spans="1:4" ht="14.25" customHeight="1">
      <c r="A106" s="1"/>
      <c r="B106" s="1"/>
      <c r="C106" s="1"/>
      <c r="D106" s="1"/>
    </row>
    <row r="107" spans="1:4" ht="14.25" customHeight="1">
      <c r="A107" s="1"/>
      <c r="B107" s="1"/>
      <c r="C107" s="1"/>
      <c r="D107" s="1"/>
    </row>
    <row r="108" spans="1:4" ht="14.25" customHeight="1">
      <c r="A108" s="1"/>
      <c r="B108" s="1"/>
      <c r="C108" s="1"/>
      <c r="D108" s="1"/>
    </row>
    <row r="109" spans="1:4" ht="14.25" customHeight="1">
      <c r="A109" s="1"/>
      <c r="B109" s="1"/>
      <c r="C109" s="1"/>
      <c r="D109" s="1"/>
    </row>
    <row r="110" spans="1:4" ht="14.25" customHeight="1">
      <c r="A110" s="1"/>
      <c r="B110" s="1"/>
      <c r="C110" s="1"/>
      <c r="D110" s="1"/>
    </row>
    <row r="111" spans="1:4" ht="14.25" customHeight="1">
      <c r="A111" s="1"/>
      <c r="B111" s="1"/>
      <c r="C111" s="1"/>
      <c r="D111" s="1"/>
    </row>
    <row r="112" spans="1:4" ht="14.25" customHeight="1">
      <c r="A112" s="1"/>
      <c r="B112" s="1"/>
      <c r="C112" s="1"/>
      <c r="D112" s="1"/>
    </row>
    <row r="113" spans="1:4" ht="14.25" customHeight="1">
      <c r="A113" s="1"/>
      <c r="B113" s="1"/>
      <c r="C113" s="1"/>
      <c r="D113" s="1"/>
    </row>
    <row r="114" spans="1:4" ht="14.25" customHeight="1">
      <c r="A114" s="1"/>
      <c r="B114" s="1"/>
      <c r="C114" s="1"/>
      <c r="D114" s="1"/>
    </row>
    <row r="115" spans="1:4" ht="14.25" customHeight="1">
      <c r="A115" s="1"/>
      <c r="B115" s="1"/>
      <c r="C115" s="1"/>
      <c r="D115" s="1"/>
    </row>
    <row r="116" spans="1:4" ht="14.25" customHeight="1">
      <c r="A116" s="1"/>
      <c r="B116" s="1"/>
      <c r="C116" s="1"/>
      <c r="D116" s="1"/>
    </row>
    <row r="117" spans="1:4" ht="14.25" customHeight="1">
      <c r="A117" s="1"/>
      <c r="B117" s="1"/>
      <c r="C117" s="1"/>
      <c r="D117" s="1"/>
    </row>
    <row r="118" spans="1:4" ht="14.25" customHeight="1">
      <c r="A118" s="1"/>
      <c r="B118" s="1"/>
      <c r="C118" s="1"/>
      <c r="D118" s="1"/>
    </row>
    <row r="119" spans="1:4" ht="14.25" customHeight="1">
      <c r="A119" s="1"/>
      <c r="B119" s="1"/>
      <c r="C119" s="1"/>
      <c r="D119" s="1"/>
    </row>
    <row r="120" spans="1:4" ht="14.25" customHeight="1">
      <c r="A120" s="1"/>
      <c r="B120" s="1"/>
      <c r="C120" s="1"/>
      <c r="D120" s="1"/>
    </row>
    <row r="121" spans="1:4" ht="14.25" customHeight="1">
      <c r="A121" s="1"/>
      <c r="B121" s="1"/>
      <c r="C121" s="1"/>
      <c r="D121" s="1"/>
    </row>
    <row r="122" spans="1:4" ht="14.25" customHeight="1">
      <c r="A122" s="1"/>
      <c r="B122" s="1"/>
      <c r="C122" s="1"/>
      <c r="D122" s="1"/>
    </row>
    <row r="123" spans="1:4" ht="14.25" customHeight="1">
      <c r="A123" s="1"/>
      <c r="B123" s="1"/>
      <c r="C123" s="1"/>
      <c r="D123" s="1"/>
    </row>
    <row r="124" spans="1:4" ht="14.25" customHeight="1">
      <c r="A124" s="1"/>
      <c r="B124" s="1"/>
      <c r="C124" s="1"/>
      <c r="D124" s="1"/>
    </row>
    <row r="125" spans="1:4" ht="14.25" customHeight="1">
      <c r="A125" s="1"/>
      <c r="B125" s="1"/>
      <c r="C125" s="1"/>
      <c r="D125" s="1"/>
    </row>
    <row r="126" spans="1:4" ht="14.25" customHeight="1">
      <c r="A126" s="1"/>
      <c r="B126" s="1"/>
      <c r="C126" s="1"/>
      <c r="D126" s="1"/>
    </row>
    <row r="127" spans="1:4" ht="14.25" customHeight="1">
      <c r="A127" s="1"/>
      <c r="B127" s="1"/>
      <c r="C127" s="1"/>
      <c r="D127" s="1"/>
    </row>
    <row r="128" spans="1:4" ht="14.25" customHeight="1">
      <c r="A128" s="1"/>
      <c r="B128" s="1"/>
      <c r="C128" s="1"/>
      <c r="D128" s="1"/>
    </row>
    <row r="129" spans="1:4" ht="14.25" customHeight="1">
      <c r="A129" s="1"/>
      <c r="B129" s="1"/>
      <c r="C129" s="1"/>
      <c r="D129" s="1"/>
    </row>
    <row r="130" spans="1:4" ht="14.25" customHeight="1">
      <c r="A130" s="1"/>
      <c r="B130" s="1"/>
      <c r="C130" s="1"/>
      <c r="D130" s="1"/>
    </row>
    <row r="131" spans="1:4" ht="14.25" customHeight="1">
      <c r="A131" s="1"/>
      <c r="B131" s="1"/>
      <c r="C131" s="1"/>
      <c r="D131" s="1"/>
    </row>
    <row r="132" spans="1:4" ht="14.25" customHeight="1">
      <c r="A132" s="1"/>
      <c r="B132" s="1"/>
      <c r="C132" s="1"/>
      <c r="D132" s="1"/>
    </row>
    <row r="133" spans="1:4" ht="14.25" customHeight="1">
      <c r="A133" s="1"/>
      <c r="B133" s="1"/>
      <c r="C133" s="1"/>
      <c r="D133" s="1"/>
    </row>
    <row r="134" spans="1:4" ht="14.25" customHeight="1">
      <c r="A134" s="1"/>
      <c r="B134" s="1"/>
      <c r="C134" s="1"/>
      <c r="D134" s="1"/>
    </row>
    <row r="135" spans="1:4" ht="14.25" customHeight="1">
      <c r="A135" s="1"/>
      <c r="B135" s="1"/>
      <c r="C135" s="1"/>
      <c r="D135" s="1"/>
    </row>
    <row r="136" spans="1:4" ht="14.25" customHeight="1">
      <c r="A136" s="1"/>
      <c r="B136" s="1"/>
      <c r="C136" s="1"/>
      <c r="D136" s="1"/>
    </row>
    <row r="137" spans="1:4" ht="14.25" customHeight="1">
      <c r="A137" s="1"/>
      <c r="B137" s="1"/>
      <c r="C137" s="1"/>
      <c r="D137" s="1"/>
    </row>
    <row r="138" spans="1:4" ht="14.25" customHeight="1">
      <c r="A138" s="1"/>
      <c r="B138" s="1"/>
      <c r="C138" s="1"/>
      <c r="D138" s="1"/>
    </row>
    <row r="139" spans="1:4" ht="14.25" customHeight="1">
      <c r="A139" s="1"/>
      <c r="B139" s="1"/>
      <c r="C139" s="1"/>
      <c r="D139" s="1"/>
    </row>
    <row r="140" spans="1:4" ht="14.25" customHeight="1">
      <c r="A140" s="1"/>
      <c r="B140" s="1"/>
      <c r="C140" s="1"/>
      <c r="D140" s="1"/>
    </row>
    <row r="141" spans="1:4" ht="14.25" customHeight="1">
      <c r="A141" s="1"/>
      <c r="B141" s="1"/>
      <c r="C141" s="1"/>
      <c r="D141" s="1"/>
    </row>
    <row r="142" spans="1:4" ht="14.25" customHeight="1">
      <c r="A142" s="1"/>
      <c r="B142" s="1"/>
      <c r="C142" s="1"/>
      <c r="D142" s="1"/>
    </row>
    <row r="143" spans="1:4" ht="14.25" customHeight="1">
      <c r="A143" s="1"/>
      <c r="B143" s="1"/>
      <c r="C143" s="1"/>
      <c r="D143" s="1"/>
    </row>
    <row r="144" spans="1:4" ht="14.25" customHeight="1">
      <c r="A144" s="1"/>
      <c r="B144" s="1"/>
      <c r="C144" s="1"/>
      <c r="D144" s="1"/>
    </row>
    <row r="145" spans="1:4" ht="14.25" customHeight="1">
      <c r="A145" s="1"/>
      <c r="B145" s="1"/>
      <c r="C145" s="1"/>
      <c r="D145" s="1"/>
    </row>
    <row r="146" spans="1:4" ht="14.25" customHeight="1">
      <c r="A146" s="1"/>
      <c r="B146" s="1"/>
      <c r="C146" s="1"/>
      <c r="D146" s="1"/>
    </row>
    <row r="147" spans="1:4" ht="14.25" customHeight="1">
      <c r="A147" s="1"/>
      <c r="B147" s="1"/>
      <c r="C147" s="1"/>
      <c r="D147" s="1"/>
    </row>
    <row r="148" spans="1:4" ht="14.25" customHeight="1">
      <c r="A148" s="1"/>
      <c r="B148" s="1"/>
      <c r="C148" s="1"/>
      <c r="D148" s="1"/>
    </row>
    <row r="149" spans="1:4" ht="14.25" customHeight="1">
      <c r="A149" s="1"/>
      <c r="B149" s="1"/>
      <c r="C149" s="1"/>
      <c r="D149" s="1"/>
    </row>
    <row r="150" spans="1:4" ht="14.25" customHeight="1">
      <c r="A150" s="1"/>
      <c r="B150" s="1"/>
      <c r="C150" s="1"/>
      <c r="D150" s="1"/>
    </row>
    <row r="151" spans="1:4" ht="14.25" customHeight="1">
      <c r="A151" s="1"/>
      <c r="B151" s="1"/>
      <c r="C151" s="1"/>
      <c r="D151" s="1"/>
    </row>
    <row r="152" spans="1:4" ht="14.25" customHeight="1">
      <c r="A152" s="1"/>
      <c r="B152" s="1"/>
      <c r="C152" s="1"/>
      <c r="D152" s="1"/>
    </row>
    <row r="153" spans="1:4" ht="14.25" customHeight="1">
      <c r="A153" s="1"/>
      <c r="B153" s="1"/>
      <c r="C153" s="1"/>
      <c r="D153" s="1"/>
    </row>
    <row r="154" spans="1:4" ht="14.25" customHeight="1">
      <c r="A154" s="1"/>
      <c r="B154" s="1"/>
      <c r="C154" s="1"/>
      <c r="D154" s="1"/>
    </row>
    <row r="155" spans="1:4" ht="14.25" customHeight="1">
      <c r="A155" s="1"/>
      <c r="B155" s="1"/>
      <c r="C155" s="1"/>
      <c r="D155" s="1"/>
    </row>
    <row r="156" spans="1:4" ht="14.25" customHeight="1">
      <c r="A156" s="1"/>
      <c r="B156" s="1"/>
      <c r="C156" s="1"/>
      <c r="D156" s="1"/>
    </row>
    <row r="157" spans="1:4" ht="14.25" customHeight="1">
      <c r="A157" s="1"/>
      <c r="B157" s="1"/>
      <c r="C157" s="1"/>
      <c r="D157" s="1"/>
    </row>
    <row r="158" spans="1:4" ht="14.25" customHeight="1">
      <c r="A158" s="1"/>
      <c r="B158" s="1"/>
      <c r="C158" s="1"/>
      <c r="D158" s="1"/>
    </row>
    <row r="159" spans="1:4" ht="14.25" customHeight="1">
      <c r="A159" s="1"/>
      <c r="B159" s="1"/>
      <c r="C159" s="1"/>
      <c r="D159" s="1"/>
    </row>
    <row r="160" spans="1:4" ht="14.25" customHeight="1">
      <c r="A160" s="1"/>
      <c r="B160" s="1"/>
      <c r="C160" s="1"/>
      <c r="D160" s="1"/>
    </row>
    <row r="161" spans="1:4" ht="14.25" customHeight="1">
      <c r="A161" s="1"/>
      <c r="B161" s="1"/>
      <c r="C161" s="1"/>
      <c r="D161" s="1"/>
    </row>
    <row r="162" spans="1:4" ht="14.25" customHeight="1">
      <c r="A162" s="1"/>
      <c r="B162" s="1"/>
      <c r="C162" s="1"/>
      <c r="D162" s="1"/>
    </row>
    <row r="163" spans="1:4" ht="14.25" customHeight="1">
      <c r="A163" s="1"/>
      <c r="B163" s="1"/>
      <c r="C163" s="1"/>
      <c r="D163" s="1"/>
    </row>
    <row r="164" spans="1:4" ht="14.25" customHeight="1">
      <c r="A164" s="1"/>
      <c r="B164" s="1"/>
      <c r="C164" s="1"/>
      <c r="D164" s="1"/>
    </row>
    <row r="165" spans="1:4" ht="14.25" customHeight="1">
      <c r="A165" s="1"/>
      <c r="B165" s="1"/>
      <c r="C165" s="1"/>
      <c r="D165" s="1"/>
    </row>
    <row r="166" spans="1:4" ht="14.25" customHeight="1">
      <c r="A166" s="1"/>
      <c r="B166" s="1"/>
      <c r="C166" s="1"/>
      <c r="D166" s="1"/>
    </row>
    <row r="167" spans="1:4" ht="14.25" customHeight="1">
      <c r="A167" s="1"/>
      <c r="B167" s="1"/>
      <c r="C167" s="1"/>
      <c r="D167" s="1"/>
    </row>
    <row r="168" spans="1:4" ht="14.25" customHeight="1">
      <c r="A168" s="1"/>
      <c r="B168" s="1"/>
      <c r="C168" s="1"/>
      <c r="D168" s="1"/>
    </row>
    <row r="169" spans="1:4" ht="14.25" customHeight="1">
      <c r="A169" s="1"/>
      <c r="B169" s="1"/>
      <c r="C169" s="1"/>
      <c r="D169" s="1"/>
    </row>
    <row r="170" spans="1:4" ht="14.25" customHeight="1">
      <c r="A170" s="1"/>
      <c r="B170" s="1"/>
      <c r="C170" s="1"/>
      <c r="D170" s="1"/>
    </row>
    <row r="171" spans="1:4" ht="14.25" customHeight="1">
      <c r="A171" s="1"/>
      <c r="B171" s="1"/>
      <c r="C171" s="1"/>
      <c r="D171" s="1"/>
    </row>
    <row r="172" spans="1:4" ht="14.25" customHeight="1">
      <c r="A172" s="1"/>
      <c r="B172" s="1"/>
      <c r="C172" s="1"/>
      <c r="D172" s="1"/>
    </row>
    <row r="173" spans="1:4" ht="14.25" customHeight="1">
      <c r="A173" s="1"/>
      <c r="B173" s="1"/>
      <c r="C173" s="1"/>
      <c r="D173" s="1"/>
    </row>
    <row r="174" spans="1:4" ht="14.25" customHeight="1">
      <c r="A174" s="1"/>
      <c r="B174" s="1"/>
      <c r="C174" s="1"/>
      <c r="D174" s="1"/>
    </row>
    <row r="175" spans="1:4" ht="14.25" customHeight="1">
      <c r="A175" s="1"/>
      <c r="B175" s="1"/>
      <c r="C175" s="1"/>
      <c r="D175" s="1"/>
    </row>
    <row r="176" spans="1:4" ht="14.25" customHeight="1">
      <c r="A176" s="1"/>
      <c r="B176" s="1"/>
      <c r="C176" s="1"/>
      <c r="D176" s="1"/>
    </row>
    <row r="177" spans="1:4" ht="14.25" customHeight="1">
      <c r="A177" s="1"/>
      <c r="B177" s="1"/>
      <c r="C177" s="1"/>
      <c r="D177" s="1"/>
    </row>
    <row r="178" spans="1:4" ht="14.25" customHeight="1">
      <c r="A178" s="1"/>
      <c r="B178" s="1"/>
      <c r="C178" s="1"/>
      <c r="D178" s="1"/>
    </row>
    <row r="179" spans="1:4" ht="14.25" customHeight="1">
      <c r="A179" s="1"/>
      <c r="B179" s="1"/>
      <c r="C179" s="1"/>
      <c r="D179" s="1"/>
    </row>
    <row r="180" spans="1:4" ht="14.25" customHeight="1">
      <c r="A180" s="1"/>
      <c r="B180" s="1"/>
      <c r="C180" s="1"/>
      <c r="D180" s="1"/>
    </row>
    <row r="181" spans="1:4" ht="14.25" customHeight="1">
      <c r="A181" s="1"/>
      <c r="B181" s="1"/>
      <c r="C181" s="1"/>
      <c r="D181" s="1"/>
    </row>
    <row r="182" spans="1:4" ht="14.25" customHeight="1">
      <c r="A182" s="1"/>
      <c r="B182" s="1"/>
      <c r="C182" s="1"/>
      <c r="D182" s="1"/>
    </row>
    <row r="183" spans="1:4" ht="14.25" customHeight="1">
      <c r="A183" s="1"/>
      <c r="B183" s="1"/>
      <c r="C183" s="1"/>
      <c r="D183" s="1"/>
    </row>
    <row r="184" spans="1:4" ht="14.25" customHeight="1">
      <c r="A184" s="1"/>
      <c r="B184" s="1"/>
      <c r="C184" s="1"/>
      <c r="D184" s="1"/>
    </row>
    <row r="185" spans="1:4" ht="14.25" customHeight="1">
      <c r="A185" s="1"/>
      <c r="B185" s="1"/>
      <c r="C185" s="1"/>
      <c r="D185" s="1"/>
    </row>
    <row r="186" spans="1:4" ht="14.25" customHeight="1">
      <c r="A186" s="1"/>
      <c r="B186" s="1"/>
      <c r="C186" s="1"/>
      <c r="D186" s="1"/>
    </row>
    <row r="187" spans="1:4" ht="14.25" customHeight="1">
      <c r="A187" s="1"/>
      <c r="B187" s="1"/>
      <c r="C187" s="1"/>
      <c r="D187" s="1"/>
    </row>
    <row r="188" spans="1:4" ht="14.25" customHeight="1">
      <c r="A188" s="1"/>
      <c r="B188" s="1"/>
      <c r="C188" s="1"/>
      <c r="D188" s="1"/>
    </row>
    <row r="189" spans="1:4" ht="14.25" customHeight="1">
      <c r="A189" s="1"/>
      <c r="B189" s="1"/>
      <c r="C189" s="1"/>
      <c r="D189" s="1"/>
    </row>
    <row r="190" spans="1:4" ht="14.25" customHeight="1">
      <c r="A190" s="1"/>
      <c r="B190" s="1"/>
      <c r="C190" s="1"/>
      <c r="D190" s="1"/>
    </row>
    <row r="191" spans="1:4" ht="14.25" customHeight="1">
      <c r="A191" s="1"/>
      <c r="B191" s="1"/>
      <c r="C191" s="1"/>
      <c r="D191" s="1"/>
    </row>
    <row r="192" spans="1:4" ht="14.25" customHeight="1">
      <c r="A192" s="1"/>
      <c r="B192" s="1"/>
      <c r="C192" s="1"/>
      <c r="D192" s="1"/>
    </row>
    <row r="193" spans="1:4" ht="14.25" customHeight="1">
      <c r="A193" s="1"/>
      <c r="B193" s="1"/>
      <c r="C193" s="1"/>
      <c r="D193" s="1"/>
    </row>
    <row r="194" spans="1:4" ht="14.25" customHeight="1">
      <c r="A194" s="1"/>
      <c r="B194" s="1"/>
      <c r="C194" s="1"/>
      <c r="D194" s="1"/>
    </row>
    <row r="195" spans="1:4" ht="14.25" customHeight="1">
      <c r="A195" s="1"/>
      <c r="B195" s="1"/>
      <c r="C195" s="1"/>
      <c r="D195" s="1"/>
    </row>
    <row r="196" spans="1:4" ht="14.25" customHeight="1">
      <c r="A196" s="1"/>
      <c r="B196" s="1"/>
      <c r="C196" s="1"/>
      <c r="D196" s="1"/>
    </row>
    <row r="197" spans="1:4" ht="14.25" customHeight="1">
      <c r="A197" s="1"/>
      <c r="B197" s="1"/>
      <c r="C197" s="1"/>
      <c r="D197" s="1"/>
    </row>
    <row r="198" spans="1:4" ht="14.25" customHeight="1">
      <c r="A198" s="1"/>
      <c r="B198" s="1"/>
      <c r="C198" s="1"/>
      <c r="D198" s="1"/>
    </row>
    <row r="199" spans="1:4" ht="14.25" customHeight="1">
      <c r="A199" s="1"/>
      <c r="B199" s="1"/>
      <c r="C199" s="1"/>
      <c r="D199" s="1"/>
    </row>
    <row r="200" spans="1:4" ht="14.25" customHeight="1">
      <c r="A200" s="1"/>
      <c r="B200" s="1"/>
      <c r="C200" s="1"/>
      <c r="D200" s="1"/>
    </row>
    <row r="201" spans="1:4" ht="14.25" customHeight="1">
      <c r="A201" s="1"/>
      <c r="B201" s="1"/>
      <c r="C201" s="1"/>
      <c r="D201" s="1"/>
    </row>
    <row r="202" spans="1:4" ht="14.25" customHeight="1">
      <c r="A202" s="1"/>
      <c r="B202" s="1"/>
      <c r="C202" s="1"/>
      <c r="D202" s="1"/>
    </row>
    <row r="203" spans="1:4" ht="14.25" customHeight="1">
      <c r="A203" s="1"/>
      <c r="B203" s="1"/>
      <c r="C203" s="1"/>
      <c r="D203" s="1"/>
    </row>
    <row r="204" spans="1:4" ht="14.25" customHeight="1">
      <c r="A204" s="1"/>
      <c r="B204" s="1"/>
      <c r="C204" s="1"/>
      <c r="D204" s="1"/>
    </row>
    <row r="205" spans="1:4" ht="14.25" customHeight="1">
      <c r="A205" s="1"/>
      <c r="B205" s="1"/>
      <c r="C205" s="1"/>
      <c r="D205" s="1"/>
    </row>
    <row r="206" spans="1:4" ht="14.25" customHeight="1">
      <c r="A206" s="1"/>
      <c r="B206" s="1"/>
      <c r="C206" s="1"/>
      <c r="D206" s="1"/>
    </row>
    <row r="207" spans="1:4" ht="14.25" customHeight="1">
      <c r="A207" s="1"/>
      <c r="B207" s="1"/>
      <c r="C207" s="1"/>
      <c r="D207" s="1"/>
    </row>
    <row r="208" spans="1:4" ht="14.25" customHeight="1">
      <c r="A208" s="1"/>
      <c r="B208" s="1"/>
      <c r="C208" s="1"/>
      <c r="D208" s="1"/>
    </row>
    <row r="209" spans="1:4" ht="14.25" customHeight="1">
      <c r="A209" s="1"/>
      <c r="B209" s="1"/>
      <c r="C209" s="1"/>
      <c r="D209" s="1"/>
    </row>
    <row r="210" spans="1:4" ht="14.25" customHeight="1">
      <c r="A210" s="1"/>
      <c r="B210" s="1"/>
      <c r="C210" s="1"/>
      <c r="D210" s="1"/>
    </row>
    <row r="211" spans="1:4" ht="14.25" customHeight="1">
      <c r="A211" s="1"/>
      <c r="B211" s="1"/>
      <c r="C211" s="1"/>
      <c r="D211" s="1"/>
    </row>
    <row r="212" spans="1:4" ht="14.25" customHeight="1">
      <c r="A212" s="1"/>
      <c r="B212" s="1"/>
      <c r="C212" s="1"/>
      <c r="D212" s="1"/>
    </row>
    <row r="213" spans="1:4" ht="14.25" customHeight="1">
      <c r="A213" s="1"/>
      <c r="B213" s="1"/>
      <c r="C213" s="1"/>
      <c r="D213" s="1"/>
    </row>
    <row r="214" spans="1:4" ht="14.25" customHeight="1">
      <c r="A214" s="1"/>
      <c r="B214" s="1"/>
      <c r="C214" s="1"/>
      <c r="D214" s="1"/>
    </row>
    <row r="215" spans="1:4" ht="14.25" customHeight="1">
      <c r="A215" s="1"/>
      <c r="B215" s="1"/>
      <c r="C215" s="1"/>
      <c r="D215" s="1"/>
    </row>
    <row r="216" spans="1:4" ht="14.25" customHeight="1">
      <c r="A216" s="1"/>
      <c r="B216" s="1"/>
      <c r="C216" s="1"/>
      <c r="D216" s="1"/>
    </row>
    <row r="217" spans="1:4" ht="14.25" customHeight="1">
      <c r="A217" s="1"/>
      <c r="B217" s="1"/>
      <c r="C217" s="1"/>
      <c r="D217" s="1"/>
    </row>
    <row r="218" spans="1:4" ht="14.25" customHeight="1">
      <c r="A218" s="1"/>
      <c r="B218" s="1"/>
      <c r="C218" s="1"/>
      <c r="D218" s="1"/>
    </row>
    <row r="219" spans="1:4" ht="14.25" customHeight="1">
      <c r="A219" s="1"/>
      <c r="B219" s="1"/>
      <c r="C219" s="1"/>
      <c r="D219" s="1"/>
    </row>
    <row r="220" spans="1:4" ht="14.25" customHeight="1">
      <c r="A220" s="1"/>
      <c r="B220" s="1"/>
      <c r="C220" s="1"/>
      <c r="D220" s="1"/>
    </row>
    <row r="221" spans="1:4" ht="14.25" customHeight="1">
      <c r="A221" s="1"/>
      <c r="B221" s="1"/>
      <c r="C221" s="1"/>
      <c r="D221" s="1"/>
    </row>
    <row r="222" spans="1:4" ht="14.25" customHeight="1">
      <c r="A222" s="1"/>
      <c r="B222" s="1"/>
      <c r="C222" s="1"/>
      <c r="D222" s="1"/>
    </row>
    <row r="223" spans="1:4" ht="14.25" customHeight="1">
      <c r="A223" s="1"/>
      <c r="B223" s="1"/>
      <c r="C223" s="1"/>
      <c r="D223" s="1"/>
    </row>
    <row r="224" spans="1:4" ht="14.25" customHeight="1">
      <c r="A224" s="1"/>
      <c r="B224" s="1"/>
      <c r="C224" s="1"/>
      <c r="D224" s="1"/>
    </row>
    <row r="225" spans="1:4" ht="14.25" customHeight="1">
      <c r="A225" s="1"/>
      <c r="B225" s="1"/>
      <c r="C225" s="1"/>
      <c r="D225" s="1"/>
    </row>
    <row r="226" spans="1:4" ht="14.25" customHeight="1">
      <c r="A226" s="1"/>
      <c r="B226" s="1"/>
      <c r="C226" s="1"/>
      <c r="D226" s="1"/>
    </row>
    <row r="227" spans="1:4" ht="14.25" customHeight="1">
      <c r="A227" s="1"/>
      <c r="B227" s="1"/>
      <c r="C227" s="1"/>
      <c r="D227" s="1"/>
    </row>
    <row r="228" spans="1:4" ht="14.25" customHeight="1">
      <c r="A228" s="1"/>
      <c r="B228" s="1"/>
      <c r="C228" s="1"/>
      <c r="D228" s="1"/>
    </row>
    <row r="229" spans="1:4" ht="14.25" customHeight="1">
      <c r="A229" s="1"/>
      <c r="B229" s="1"/>
      <c r="C229" s="1"/>
      <c r="D229" s="1"/>
    </row>
    <row r="230" spans="1:4" ht="14.25" customHeight="1">
      <c r="A230" s="1"/>
      <c r="B230" s="1"/>
      <c r="C230" s="1"/>
      <c r="D230" s="1"/>
    </row>
    <row r="231" spans="1:4" ht="14.25" customHeight="1">
      <c r="A231" s="1"/>
      <c r="B231" s="1"/>
      <c r="C231" s="1"/>
      <c r="D231" s="1"/>
    </row>
    <row r="232" spans="1:4" ht="14.25" customHeight="1">
      <c r="A232" s="1"/>
      <c r="B232" s="1"/>
      <c r="C232" s="1"/>
      <c r="D232" s="1"/>
    </row>
    <row r="233" spans="1:4" ht="14.25" customHeight="1">
      <c r="A233" s="1"/>
      <c r="B233" s="1"/>
      <c r="C233" s="1"/>
      <c r="D233" s="1"/>
    </row>
    <row r="234" spans="1:4" ht="14.25" customHeight="1">
      <c r="A234" s="1"/>
      <c r="B234" s="1"/>
      <c r="C234" s="1"/>
      <c r="D234" s="1"/>
    </row>
    <row r="235" spans="1:4" ht="14.25" customHeight="1">
      <c r="A235" s="1"/>
      <c r="B235" s="1"/>
      <c r="C235" s="1"/>
      <c r="D235" s="1"/>
    </row>
    <row r="236" spans="1:4" ht="14.25" customHeight="1">
      <c r="A236" s="1"/>
      <c r="B236" s="1"/>
      <c r="C236" s="1"/>
      <c r="D236" s="1"/>
    </row>
    <row r="237" spans="1:4" ht="14.25" customHeight="1">
      <c r="A237" s="1"/>
      <c r="B237" s="1"/>
      <c r="C237" s="1"/>
      <c r="D237" s="1"/>
    </row>
    <row r="238" spans="1:4" ht="14.25" customHeight="1">
      <c r="A238" s="1"/>
      <c r="B238" s="1"/>
      <c r="C238" s="1"/>
      <c r="D238" s="1"/>
    </row>
    <row r="239" spans="1:4" ht="14.25" customHeight="1">
      <c r="A239" s="1"/>
      <c r="B239" s="1"/>
      <c r="C239" s="1"/>
      <c r="D239" s="1"/>
    </row>
    <row r="240" spans="1:4" ht="14.25" customHeight="1">
      <c r="A240" s="1"/>
      <c r="B240" s="1"/>
      <c r="C240" s="1"/>
      <c r="D240" s="1"/>
    </row>
    <row r="241" spans="1:4" ht="14.25" customHeight="1">
      <c r="A241" s="1"/>
      <c r="B241" s="1"/>
      <c r="C241" s="1"/>
      <c r="D241" s="1"/>
    </row>
    <row r="242" spans="1:4" ht="14.25" customHeight="1">
      <c r="A242" s="1"/>
      <c r="B242" s="1"/>
      <c r="C242" s="1"/>
      <c r="D242" s="1"/>
    </row>
    <row r="243" spans="1:4" ht="14.25" customHeight="1">
      <c r="A243" s="1"/>
      <c r="B243" s="1"/>
      <c r="C243" s="1"/>
      <c r="D243" s="1"/>
    </row>
    <row r="244" spans="1:4" ht="14.25" customHeight="1">
      <c r="A244" s="1"/>
      <c r="B244" s="1"/>
      <c r="C244" s="1"/>
      <c r="D244" s="1"/>
    </row>
    <row r="245" spans="1:4" ht="14.25" customHeight="1">
      <c r="A245" s="1"/>
      <c r="B245" s="1"/>
      <c r="C245" s="1"/>
      <c r="D245" s="1"/>
    </row>
    <row r="246" spans="1:4" ht="14.25" customHeight="1">
      <c r="A246" s="1"/>
      <c r="B246" s="1"/>
      <c r="C246" s="1"/>
      <c r="D246" s="1"/>
    </row>
    <row r="247" spans="1:4" ht="14.25" customHeight="1">
      <c r="A247" s="1"/>
      <c r="B247" s="1"/>
      <c r="C247" s="1"/>
      <c r="D247" s="1"/>
    </row>
    <row r="248" spans="1:4" ht="14.25" customHeight="1">
      <c r="A248" s="1"/>
      <c r="B248" s="1"/>
      <c r="C248" s="1"/>
      <c r="D248" s="1"/>
    </row>
    <row r="249" spans="1:4" ht="14.25" customHeight="1">
      <c r="A249" s="1"/>
      <c r="B249" s="1"/>
      <c r="C249" s="1"/>
      <c r="D249" s="1"/>
    </row>
    <row r="250" spans="1:4" ht="14.25" customHeight="1">
      <c r="A250" s="1"/>
      <c r="B250" s="1"/>
      <c r="C250" s="1"/>
      <c r="D250" s="1"/>
    </row>
    <row r="251" spans="1:4" ht="14.25" customHeight="1">
      <c r="A251" s="1"/>
      <c r="B251" s="1"/>
      <c r="C251" s="1"/>
      <c r="D251" s="1"/>
    </row>
    <row r="252" spans="1:4" ht="14.25" customHeight="1">
      <c r="A252" s="1"/>
      <c r="B252" s="1"/>
      <c r="C252" s="1"/>
      <c r="D252" s="1"/>
    </row>
    <row r="253" spans="1:4" ht="14.25" customHeight="1">
      <c r="A253" s="1"/>
      <c r="B253" s="1"/>
      <c r="C253" s="1"/>
      <c r="D253" s="1"/>
    </row>
    <row r="254" spans="1:4" ht="14.25" customHeight="1">
      <c r="A254" s="1"/>
      <c r="B254" s="1"/>
      <c r="C254" s="1"/>
      <c r="D254" s="1"/>
    </row>
    <row r="255" spans="1:4" ht="14.25" customHeight="1">
      <c r="A255" s="1"/>
      <c r="B255" s="1"/>
      <c r="C255" s="1"/>
      <c r="D255" s="1"/>
    </row>
    <row r="256" spans="1:4" ht="14.25" customHeight="1">
      <c r="A256" s="1"/>
      <c r="B256" s="1"/>
      <c r="C256" s="1"/>
      <c r="D256" s="1"/>
    </row>
    <row r="257" spans="1:4" ht="14.25" customHeight="1">
      <c r="A257" s="1"/>
      <c r="B257" s="1"/>
      <c r="C257" s="1"/>
      <c r="D257" s="1"/>
    </row>
    <row r="258" spans="1:4" ht="14.25" customHeight="1">
      <c r="A258" s="1"/>
      <c r="B258" s="1"/>
      <c r="C258" s="1"/>
      <c r="D258" s="1"/>
    </row>
    <row r="259" spans="1:4" ht="14.25" customHeight="1">
      <c r="A259" s="1"/>
      <c r="B259" s="1"/>
      <c r="C259" s="1"/>
      <c r="D259" s="1"/>
    </row>
    <row r="260" spans="1:4" ht="14.25" customHeight="1">
      <c r="A260" s="1"/>
      <c r="B260" s="1"/>
      <c r="C260" s="1"/>
      <c r="D260" s="1"/>
    </row>
    <row r="261" spans="1:4" ht="14.25" customHeight="1">
      <c r="A261" s="1"/>
      <c r="B261" s="1"/>
      <c r="C261" s="1"/>
      <c r="D261" s="1"/>
    </row>
    <row r="262" spans="1:4" ht="14.25" customHeight="1">
      <c r="A262" s="1"/>
      <c r="B262" s="1"/>
      <c r="C262" s="1"/>
      <c r="D262" s="1"/>
    </row>
    <row r="263" spans="1:4" ht="14.25" customHeight="1">
      <c r="A263" s="1"/>
      <c r="B263" s="1"/>
      <c r="C263" s="1"/>
      <c r="D263" s="1"/>
    </row>
    <row r="264" spans="1:4" ht="14.25" customHeight="1">
      <c r="A264" s="1"/>
      <c r="B264" s="1"/>
      <c r="C264" s="1"/>
      <c r="D264" s="1"/>
    </row>
    <row r="265" spans="1:4" ht="14.25" customHeight="1">
      <c r="A265" s="1"/>
      <c r="B265" s="1"/>
      <c r="C265" s="1"/>
      <c r="D265" s="1"/>
    </row>
    <row r="266" spans="1:4" ht="14.25" customHeight="1">
      <c r="A266" s="1"/>
      <c r="B266" s="1"/>
      <c r="C266" s="1"/>
      <c r="D266" s="1"/>
    </row>
    <row r="267" spans="1:4" ht="14.25" customHeight="1">
      <c r="A267" s="1"/>
      <c r="B267" s="1"/>
      <c r="C267" s="1"/>
      <c r="D267" s="1"/>
    </row>
    <row r="268" spans="1:4" ht="14.25" customHeight="1">
      <c r="A268" s="1"/>
      <c r="B268" s="1"/>
      <c r="C268" s="1"/>
      <c r="D268" s="1"/>
    </row>
    <row r="269" spans="1:4" ht="14.25" customHeight="1">
      <c r="A269" s="1"/>
      <c r="B269" s="1"/>
      <c r="C269" s="1"/>
      <c r="D269" s="1"/>
    </row>
    <row r="270" spans="1:4" ht="14.25" customHeight="1">
      <c r="A270" s="1"/>
      <c r="B270" s="1"/>
      <c r="C270" s="1"/>
      <c r="D270" s="1"/>
    </row>
    <row r="271" spans="1:4" ht="14.25" customHeight="1">
      <c r="A271" s="1"/>
      <c r="B271" s="1"/>
      <c r="C271" s="1"/>
      <c r="D271" s="1"/>
    </row>
    <row r="272" spans="1:4" ht="14.25" customHeight="1">
      <c r="A272" s="1"/>
      <c r="B272" s="1"/>
      <c r="C272" s="1"/>
      <c r="D272" s="1"/>
    </row>
    <row r="273" spans="1:4" ht="14.25" customHeight="1">
      <c r="A273" s="1"/>
      <c r="B273" s="1"/>
      <c r="C273" s="1"/>
      <c r="D273" s="1"/>
    </row>
    <row r="274" spans="1:4" ht="14.25" customHeight="1">
      <c r="A274" s="1"/>
      <c r="B274" s="1"/>
      <c r="C274" s="1"/>
      <c r="D274" s="1"/>
    </row>
    <row r="275" spans="1:4" ht="14.25" customHeight="1">
      <c r="A275" s="1"/>
      <c r="B275" s="1"/>
      <c r="C275" s="1"/>
      <c r="D275" s="1"/>
    </row>
    <row r="276" spans="1:4" ht="14.25" customHeight="1">
      <c r="A276" s="1"/>
      <c r="B276" s="1"/>
      <c r="C276" s="1"/>
      <c r="D276" s="1"/>
    </row>
    <row r="277" spans="1:4" ht="14.25" customHeight="1">
      <c r="A277" s="1"/>
      <c r="B277" s="1"/>
      <c r="C277" s="1"/>
      <c r="D277" s="1"/>
    </row>
    <row r="278" spans="1:4" ht="14.25" customHeight="1">
      <c r="A278" s="1"/>
      <c r="B278" s="1"/>
      <c r="C278" s="1"/>
      <c r="D278" s="1"/>
    </row>
    <row r="279" spans="1:4" ht="14.25" customHeight="1">
      <c r="A279" s="1"/>
      <c r="B279" s="1"/>
      <c r="C279" s="1"/>
      <c r="D279" s="1"/>
    </row>
    <row r="280" spans="1:4" ht="14.25" customHeight="1">
      <c r="A280" s="1"/>
      <c r="B280" s="1"/>
      <c r="C280" s="1"/>
      <c r="D280" s="1"/>
    </row>
    <row r="281" spans="1:4" ht="14.25" customHeight="1">
      <c r="A281" s="1"/>
      <c r="B281" s="1"/>
      <c r="C281" s="1"/>
      <c r="D281" s="1"/>
    </row>
    <row r="282" spans="1:4" ht="14.25" customHeight="1">
      <c r="A282" s="1"/>
      <c r="B282" s="1"/>
      <c r="C282" s="1"/>
      <c r="D282" s="1"/>
    </row>
    <row r="283" spans="1:4" ht="14.25" customHeight="1">
      <c r="A283" s="1"/>
      <c r="B283" s="1"/>
      <c r="C283" s="1"/>
      <c r="D283" s="1"/>
    </row>
    <row r="284" spans="1:4" ht="14.25" customHeight="1">
      <c r="A284" s="1"/>
      <c r="B284" s="1"/>
      <c r="C284" s="1"/>
      <c r="D284" s="1"/>
    </row>
    <row r="285" spans="1:4" ht="14.25" customHeight="1">
      <c r="A285" s="1"/>
      <c r="B285" s="1"/>
      <c r="C285" s="1"/>
      <c r="D285" s="1"/>
    </row>
    <row r="286" spans="1:4" ht="14.25" customHeight="1">
      <c r="A286" s="1"/>
      <c r="B286" s="1"/>
      <c r="C286" s="1"/>
      <c r="D286" s="1"/>
    </row>
    <row r="287" spans="1:4" ht="14.25" customHeight="1">
      <c r="A287" s="1"/>
      <c r="B287" s="1"/>
      <c r="C287" s="1"/>
      <c r="D287" s="1"/>
    </row>
    <row r="288" spans="1:4" ht="14.25" customHeight="1">
      <c r="A288" s="1"/>
      <c r="B288" s="1"/>
      <c r="C288" s="1"/>
      <c r="D288" s="1"/>
    </row>
    <row r="289" spans="1:4" ht="14.25" customHeight="1">
      <c r="A289" s="1"/>
      <c r="B289" s="1"/>
      <c r="C289" s="1"/>
      <c r="D289" s="1"/>
    </row>
    <row r="290" spans="1:4" ht="14.25" customHeight="1">
      <c r="A290" s="1"/>
      <c r="B290" s="1"/>
      <c r="C290" s="1"/>
      <c r="D290" s="1"/>
    </row>
    <row r="291" spans="1:4" ht="14.25" customHeight="1">
      <c r="A291" s="1"/>
      <c r="B291" s="1"/>
      <c r="C291" s="1"/>
      <c r="D291" s="1"/>
    </row>
    <row r="292" spans="1:4" ht="14.25" customHeight="1">
      <c r="A292" s="1"/>
      <c r="B292" s="1"/>
      <c r="C292" s="1"/>
      <c r="D292" s="1"/>
    </row>
    <row r="293" spans="1:4" ht="14.25" customHeight="1">
      <c r="A293" s="1"/>
      <c r="B293" s="1"/>
      <c r="C293" s="1"/>
      <c r="D293" s="1"/>
    </row>
    <row r="294" spans="1:4" ht="14.25" customHeight="1">
      <c r="A294" s="1"/>
      <c r="B294" s="1"/>
      <c r="C294" s="1"/>
      <c r="D294" s="1"/>
    </row>
    <row r="295" spans="1:4" ht="14.25" customHeight="1">
      <c r="A295" s="1"/>
      <c r="B295" s="1"/>
      <c r="C295" s="1"/>
      <c r="D295" s="1"/>
    </row>
    <row r="296" spans="1:4" ht="14.25" customHeight="1">
      <c r="A296" s="1"/>
      <c r="B296" s="1"/>
      <c r="C296" s="1"/>
      <c r="D296" s="1"/>
    </row>
    <row r="297" spans="1:4" ht="14.25" customHeight="1">
      <c r="A297" s="1"/>
      <c r="B297" s="1"/>
      <c r="C297" s="1"/>
      <c r="D297" s="1"/>
    </row>
    <row r="298" spans="1:4" ht="14.25" customHeight="1">
      <c r="A298" s="1"/>
      <c r="B298" s="1"/>
      <c r="C298" s="1"/>
      <c r="D298" s="1"/>
    </row>
    <row r="299" spans="1:4" ht="14.25" customHeight="1">
      <c r="A299" s="1"/>
      <c r="B299" s="1"/>
      <c r="C299" s="1"/>
      <c r="D299" s="1"/>
    </row>
    <row r="300" spans="1:4" ht="14.25" customHeight="1">
      <c r="A300" s="1"/>
      <c r="B300" s="1"/>
      <c r="C300" s="1"/>
      <c r="D300" s="1"/>
    </row>
    <row r="301" spans="1:4" ht="14.25" customHeight="1">
      <c r="A301" s="1"/>
      <c r="B301" s="1"/>
      <c r="C301" s="1"/>
      <c r="D301" s="1"/>
    </row>
    <row r="302" spans="1:4" ht="14.25" customHeight="1">
      <c r="A302" s="1"/>
      <c r="B302" s="1"/>
      <c r="C302" s="1"/>
      <c r="D302" s="1"/>
    </row>
    <row r="303" spans="1:4" ht="14.25" customHeight="1">
      <c r="A303" s="1"/>
      <c r="B303" s="1"/>
      <c r="C303" s="1"/>
      <c r="D303" s="1"/>
    </row>
    <row r="304" spans="1:4" ht="14.25" customHeight="1">
      <c r="A304" s="1"/>
      <c r="B304" s="1"/>
      <c r="C304" s="1"/>
      <c r="D304" s="1"/>
    </row>
    <row r="305" spans="1:4" ht="14.25" customHeight="1">
      <c r="A305" s="1"/>
      <c r="B305" s="1"/>
      <c r="C305" s="1"/>
      <c r="D305" s="1"/>
    </row>
    <row r="306" spans="1:4" ht="14.25" customHeight="1">
      <c r="A306" s="1"/>
      <c r="B306" s="1"/>
      <c r="C306" s="1"/>
      <c r="D306" s="1"/>
    </row>
    <row r="307" spans="1:4" ht="14.25" customHeight="1">
      <c r="A307" s="1"/>
      <c r="B307" s="1"/>
      <c r="C307" s="1"/>
      <c r="D307" s="1"/>
    </row>
    <row r="308" spans="1:4" ht="14.25" customHeight="1">
      <c r="A308" s="1"/>
      <c r="B308" s="1"/>
      <c r="C308" s="1"/>
      <c r="D308" s="1"/>
    </row>
    <row r="309" spans="1:4" ht="14.25" customHeight="1">
      <c r="A309" s="1"/>
      <c r="B309" s="1"/>
      <c r="C309" s="1"/>
      <c r="D309" s="1"/>
    </row>
    <row r="310" spans="1:4" ht="14.25" customHeight="1">
      <c r="A310" s="1"/>
      <c r="B310" s="1"/>
      <c r="C310" s="1"/>
      <c r="D310" s="1"/>
    </row>
    <row r="311" spans="1:4" ht="14.25" customHeight="1">
      <c r="A311" s="1"/>
      <c r="B311" s="1"/>
      <c r="C311" s="1"/>
      <c r="D311" s="1"/>
    </row>
    <row r="312" spans="1:4" ht="14.25" customHeight="1">
      <c r="A312" s="1"/>
      <c r="B312" s="1"/>
      <c r="C312" s="1"/>
      <c r="D312" s="1"/>
    </row>
    <row r="313" spans="1:4" ht="14.25" customHeight="1">
      <c r="A313" s="1"/>
      <c r="B313" s="1"/>
      <c r="C313" s="1"/>
      <c r="D313" s="1"/>
    </row>
    <row r="314" spans="1:4" ht="14.25" customHeight="1">
      <c r="A314" s="1"/>
      <c r="B314" s="1"/>
      <c r="C314" s="1"/>
      <c r="D314" s="1"/>
    </row>
    <row r="315" spans="1:4" ht="14.25" customHeight="1">
      <c r="A315" s="1"/>
      <c r="B315" s="1"/>
      <c r="C315" s="1"/>
      <c r="D315" s="1"/>
    </row>
    <row r="316" spans="1:4" ht="14.25" customHeight="1">
      <c r="A316" s="1"/>
      <c r="B316" s="1"/>
      <c r="C316" s="1"/>
      <c r="D316" s="1"/>
    </row>
    <row r="317" spans="1:4" ht="14.25" customHeight="1">
      <c r="A317" s="1"/>
      <c r="B317" s="1"/>
      <c r="C317" s="1"/>
      <c r="D317" s="1"/>
    </row>
    <row r="318" spans="1:4" ht="14.25" customHeight="1">
      <c r="A318" s="1"/>
      <c r="B318" s="1"/>
      <c r="C318" s="1"/>
      <c r="D318" s="1"/>
    </row>
    <row r="319" spans="1:4" ht="14.25" customHeight="1">
      <c r="A319" s="1"/>
      <c r="B319" s="1"/>
      <c r="C319" s="1"/>
      <c r="D319" s="1"/>
    </row>
    <row r="320" spans="1:4" ht="14.25" customHeight="1">
      <c r="A320" s="1"/>
      <c r="B320" s="1"/>
      <c r="C320" s="1"/>
      <c r="D320" s="1"/>
    </row>
    <row r="321" spans="1:4" ht="14.25" customHeight="1">
      <c r="A321" s="1"/>
      <c r="B321" s="1"/>
      <c r="C321" s="1"/>
      <c r="D321" s="1"/>
    </row>
    <row r="322" spans="1:4" ht="14.25" customHeight="1">
      <c r="A322" s="1"/>
      <c r="B322" s="1"/>
      <c r="C322" s="1"/>
      <c r="D322" s="1"/>
    </row>
    <row r="323" spans="1:4" ht="14.25" customHeight="1">
      <c r="A323" s="1"/>
      <c r="B323" s="1"/>
      <c r="C323" s="1"/>
      <c r="D323" s="1"/>
    </row>
    <row r="324" spans="1:4" ht="14.25" customHeight="1">
      <c r="A324" s="1"/>
      <c r="B324" s="1"/>
      <c r="C324" s="1"/>
      <c r="D324" s="1"/>
    </row>
    <row r="325" spans="1:4" ht="14.25" customHeight="1">
      <c r="A325" s="1"/>
      <c r="B325" s="1"/>
      <c r="C325" s="1"/>
      <c r="D325" s="1"/>
    </row>
    <row r="326" spans="1:4" ht="14.25" customHeight="1">
      <c r="A326" s="1"/>
      <c r="B326" s="1"/>
      <c r="C326" s="1"/>
      <c r="D326" s="1"/>
    </row>
    <row r="327" spans="1:4" ht="14.25" customHeight="1">
      <c r="A327" s="1"/>
      <c r="B327" s="1"/>
      <c r="C327" s="1"/>
      <c r="D327" s="1"/>
    </row>
    <row r="328" spans="1:4" ht="14.25" customHeight="1">
      <c r="A328" s="1"/>
      <c r="B328" s="1"/>
      <c r="C328" s="1"/>
      <c r="D328" s="1"/>
    </row>
    <row r="329" spans="1:4" ht="14.25" customHeight="1">
      <c r="A329" s="1"/>
      <c r="B329" s="1"/>
      <c r="C329" s="1"/>
      <c r="D329" s="1"/>
    </row>
    <row r="330" spans="1:4" ht="14.25" customHeight="1">
      <c r="A330" s="1"/>
      <c r="B330" s="1"/>
      <c r="C330" s="1"/>
      <c r="D330" s="1"/>
    </row>
    <row r="331" spans="1:4" ht="14.25" customHeight="1">
      <c r="A331" s="1"/>
      <c r="B331" s="1"/>
      <c r="C331" s="1"/>
      <c r="D331" s="1"/>
    </row>
    <row r="332" spans="1:4" ht="14.25" customHeight="1">
      <c r="A332" s="1"/>
      <c r="B332" s="1"/>
      <c r="C332" s="1"/>
      <c r="D332" s="1"/>
    </row>
    <row r="333" spans="1:4" ht="14.25" customHeight="1">
      <c r="A333" s="1"/>
      <c r="B333" s="1"/>
      <c r="C333" s="1"/>
      <c r="D333" s="1"/>
    </row>
    <row r="334" spans="1:4" ht="14.25" customHeight="1">
      <c r="A334" s="1"/>
      <c r="B334" s="1"/>
      <c r="C334" s="1"/>
      <c r="D334" s="1"/>
    </row>
    <row r="335" spans="1:4" ht="14.25" customHeight="1">
      <c r="A335" s="1"/>
      <c r="B335" s="1"/>
      <c r="C335" s="1"/>
      <c r="D335" s="1"/>
    </row>
    <row r="336" spans="1:4" ht="14.25" customHeight="1">
      <c r="A336" s="1"/>
      <c r="B336" s="1"/>
      <c r="C336" s="1"/>
      <c r="D336" s="1"/>
    </row>
    <row r="337" spans="1:4" ht="14.25" customHeight="1">
      <c r="A337" s="1"/>
      <c r="B337" s="1"/>
      <c r="C337" s="1"/>
      <c r="D337" s="1"/>
    </row>
    <row r="338" spans="1:4" ht="14.25" customHeight="1">
      <c r="A338" s="1"/>
      <c r="B338" s="1"/>
      <c r="C338" s="1"/>
      <c r="D338" s="1"/>
    </row>
    <row r="339" spans="1:4" ht="14.25" customHeight="1">
      <c r="A339" s="1"/>
      <c r="B339" s="1"/>
      <c r="C339" s="1"/>
      <c r="D339" s="1"/>
    </row>
    <row r="340" spans="1:4" ht="14.25" customHeight="1">
      <c r="A340" s="1"/>
      <c r="B340" s="1"/>
      <c r="C340" s="1"/>
      <c r="D340" s="1"/>
    </row>
    <row r="341" spans="1:4" ht="14.25" customHeight="1">
      <c r="A341" s="1"/>
      <c r="B341" s="1"/>
      <c r="C341" s="1"/>
      <c r="D341" s="1"/>
    </row>
    <row r="342" spans="1:4" ht="14.25" customHeight="1">
      <c r="A342" s="1"/>
      <c r="B342" s="1"/>
      <c r="C342" s="1"/>
      <c r="D342" s="1"/>
    </row>
    <row r="343" spans="1:4" ht="14.25" customHeight="1">
      <c r="A343" s="1"/>
      <c r="B343" s="1"/>
      <c r="C343" s="1"/>
      <c r="D343" s="1"/>
    </row>
    <row r="344" spans="1:4" ht="14.25" customHeight="1">
      <c r="A344" s="1"/>
      <c r="B344" s="1"/>
      <c r="C344" s="1"/>
      <c r="D344" s="1"/>
    </row>
    <row r="345" spans="1:4" ht="14.25" customHeight="1">
      <c r="A345" s="1"/>
      <c r="B345" s="1"/>
      <c r="C345" s="1"/>
      <c r="D345" s="1"/>
    </row>
    <row r="346" spans="1:4" ht="14.25" customHeight="1">
      <c r="A346" s="1"/>
      <c r="B346" s="1"/>
      <c r="C346" s="1"/>
      <c r="D346" s="1"/>
    </row>
    <row r="347" spans="1:4" ht="14.25" customHeight="1">
      <c r="A347" s="1"/>
      <c r="B347" s="1"/>
      <c r="C347" s="1"/>
      <c r="D347" s="1"/>
    </row>
    <row r="348" spans="1:4" ht="14.25" customHeight="1">
      <c r="A348" s="1"/>
      <c r="B348" s="1"/>
      <c r="C348" s="1"/>
      <c r="D348" s="1"/>
    </row>
    <row r="349" spans="1:4" ht="14.25" customHeight="1">
      <c r="A349" s="1"/>
      <c r="B349" s="1"/>
      <c r="C349" s="1"/>
      <c r="D349" s="1"/>
    </row>
    <row r="350" spans="1:4" ht="14.25" customHeight="1">
      <c r="A350" s="1"/>
      <c r="B350" s="1"/>
      <c r="C350" s="1"/>
      <c r="D350" s="1"/>
    </row>
    <row r="351" spans="1:4" ht="14.25" customHeight="1">
      <c r="A351" s="1"/>
      <c r="B351" s="1"/>
      <c r="C351" s="1"/>
      <c r="D351" s="1"/>
    </row>
    <row r="352" spans="1:4" ht="14.25" customHeight="1">
      <c r="A352" s="1"/>
      <c r="B352" s="1"/>
      <c r="C352" s="1"/>
      <c r="D352" s="1"/>
    </row>
    <row r="353" spans="1:4" ht="14.25" customHeight="1">
      <c r="A353" s="1"/>
      <c r="B353" s="1"/>
      <c r="C353" s="1"/>
      <c r="D353" s="1"/>
    </row>
    <row r="354" spans="1:4" ht="14.25" customHeight="1">
      <c r="A354" s="1"/>
      <c r="B354" s="1"/>
      <c r="C354" s="1"/>
      <c r="D354" s="1"/>
    </row>
    <row r="355" spans="1:4" ht="14.25" customHeight="1">
      <c r="A355" s="1"/>
      <c r="B355" s="1"/>
      <c r="C355" s="1"/>
      <c r="D355" s="1"/>
    </row>
    <row r="356" spans="1:4" ht="14.25" customHeight="1">
      <c r="A356" s="1"/>
      <c r="B356" s="1"/>
      <c r="C356" s="1"/>
      <c r="D356" s="1"/>
    </row>
    <row r="357" spans="1:4" ht="14.25" customHeight="1">
      <c r="A357" s="1"/>
      <c r="B357" s="1"/>
      <c r="C357" s="1"/>
      <c r="D357" s="1"/>
    </row>
    <row r="358" spans="1:4" ht="14.25" customHeight="1">
      <c r="A358" s="1"/>
      <c r="B358" s="1"/>
      <c r="C358" s="1"/>
      <c r="D358" s="1"/>
    </row>
    <row r="359" spans="1:4" ht="14.25" customHeight="1">
      <c r="A359" s="1"/>
      <c r="B359" s="1"/>
      <c r="C359" s="1"/>
      <c r="D359" s="1"/>
    </row>
    <row r="360" spans="1:4" ht="14.25" customHeight="1">
      <c r="A360" s="1"/>
      <c r="B360" s="1"/>
      <c r="C360" s="1"/>
      <c r="D360" s="1"/>
    </row>
    <row r="361" spans="1:4" ht="14.25" customHeight="1">
      <c r="A361" s="1"/>
      <c r="B361" s="1"/>
      <c r="C361" s="1"/>
      <c r="D361" s="1"/>
    </row>
    <row r="362" spans="1:4" ht="14.25" customHeight="1">
      <c r="A362" s="1"/>
      <c r="B362" s="1"/>
      <c r="C362" s="1"/>
      <c r="D362" s="1"/>
    </row>
    <row r="363" spans="1:4" ht="14.25" customHeight="1">
      <c r="A363" s="1"/>
      <c r="B363" s="1"/>
      <c r="C363" s="1"/>
      <c r="D363" s="1"/>
    </row>
    <row r="364" spans="1:4" ht="14.25" customHeight="1">
      <c r="A364" s="1"/>
      <c r="B364" s="1"/>
      <c r="C364" s="1"/>
      <c r="D364" s="1"/>
    </row>
    <row r="365" spans="1:4" ht="14.25" customHeight="1">
      <c r="A365" s="1"/>
      <c r="B365" s="1"/>
      <c r="C365" s="1"/>
      <c r="D365" s="1"/>
    </row>
    <row r="366" spans="1:4" ht="14.25" customHeight="1">
      <c r="A366" s="1"/>
      <c r="B366" s="1"/>
      <c r="C366" s="1"/>
      <c r="D366" s="1"/>
    </row>
    <row r="367" spans="1:4" ht="14.25" customHeight="1">
      <c r="A367" s="1"/>
      <c r="B367" s="1"/>
      <c r="C367" s="1"/>
      <c r="D367" s="1"/>
    </row>
    <row r="368" spans="1:4" ht="14.25" customHeight="1">
      <c r="A368" s="1"/>
      <c r="B368" s="1"/>
      <c r="C368" s="1"/>
      <c r="D368" s="1"/>
    </row>
    <row r="369" spans="1:4" ht="14.25" customHeight="1">
      <c r="A369" s="1"/>
      <c r="B369" s="1"/>
      <c r="C369" s="1"/>
      <c r="D369" s="1"/>
    </row>
    <row r="370" spans="1:4" ht="14.25" customHeight="1">
      <c r="A370" s="1"/>
      <c r="B370" s="1"/>
      <c r="C370" s="1"/>
      <c r="D370" s="1"/>
    </row>
    <row r="371" spans="1:4" ht="14.25" customHeight="1">
      <c r="A371" s="1"/>
      <c r="B371" s="1"/>
      <c r="C371" s="1"/>
      <c r="D371" s="1"/>
    </row>
    <row r="372" spans="1:4" ht="14.25" customHeight="1">
      <c r="A372" s="1"/>
      <c r="B372" s="1"/>
      <c r="C372" s="1"/>
      <c r="D372" s="1"/>
    </row>
    <row r="373" spans="1:4" ht="14.25" customHeight="1">
      <c r="A373" s="1"/>
      <c r="B373" s="1"/>
      <c r="C373" s="1"/>
      <c r="D373" s="1"/>
    </row>
    <row r="374" spans="1:4" ht="14.25" customHeight="1">
      <c r="A374" s="1"/>
      <c r="B374" s="1"/>
      <c r="C374" s="1"/>
      <c r="D374" s="1"/>
    </row>
    <row r="375" spans="1:4" ht="14.25" customHeight="1">
      <c r="A375" s="1"/>
      <c r="B375" s="1"/>
      <c r="C375" s="1"/>
      <c r="D375" s="1"/>
    </row>
    <row r="376" spans="1:4" ht="14.25" customHeight="1">
      <c r="A376" s="1"/>
      <c r="B376" s="1"/>
      <c r="C376" s="1"/>
      <c r="D376" s="1"/>
    </row>
    <row r="377" spans="1:4" ht="14.25" customHeight="1">
      <c r="A377" s="1"/>
      <c r="B377" s="1"/>
      <c r="C377" s="1"/>
      <c r="D377" s="1"/>
    </row>
    <row r="378" spans="1:4" ht="14.25" customHeight="1">
      <c r="A378" s="1"/>
      <c r="B378" s="1"/>
      <c r="C378" s="1"/>
      <c r="D378" s="1"/>
    </row>
    <row r="379" spans="1:4" ht="14.25" customHeight="1">
      <c r="A379" s="1"/>
      <c r="B379" s="1"/>
      <c r="C379" s="1"/>
      <c r="D379" s="1"/>
    </row>
    <row r="380" spans="1:4" ht="14.25" customHeight="1">
      <c r="A380" s="1"/>
      <c r="B380" s="1"/>
      <c r="C380" s="1"/>
      <c r="D380" s="1"/>
    </row>
    <row r="381" spans="1:4" ht="14.25" customHeight="1">
      <c r="A381" s="1"/>
      <c r="B381" s="1"/>
      <c r="C381" s="1"/>
      <c r="D381" s="1"/>
    </row>
    <row r="382" spans="1:4" ht="14.25" customHeight="1">
      <c r="A382" s="1"/>
      <c r="B382" s="1"/>
      <c r="C382" s="1"/>
      <c r="D382" s="1"/>
    </row>
    <row r="383" spans="1:4" ht="14.25" customHeight="1">
      <c r="A383" s="1"/>
      <c r="B383" s="1"/>
      <c r="C383" s="1"/>
      <c r="D383" s="1"/>
    </row>
    <row r="384" spans="1:4" ht="14.25" customHeight="1">
      <c r="A384" s="1"/>
      <c r="B384" s="1"/>
      <c r="C384" s="1"/>
      <c r="D384" s="1"/>
    </row>
    <row r="385" spans="1:4" ht="14.25" customHeight="1">
      <c r="A385" s="1"/>
      <c r="B385" s="1"/>
      <c r="C385" s="1"/>
      <c r="D385" s="1"/>
    </row>
    <row r="386" spans="1:4" ht="14.25" customHeight="1">
      <c r="A386" s="1"/>
      <c r="B386" s="1"/>
      <c r="C386" s="1"/>
      <c r="D386" s="1"/>
    </row>
    <row r="387" spans="1:4" ht="14.25" customHeight="1">
      <c r="A387" s="1"/>
      <c r="B387" s="1"/>
      <c r="C387" s="1"/>
      <c r="D387" s="1"/>
    </row>
    <row r="388" spans="1:4" ht="14.25" customHeight="1">
      <c r="A388" s="1"/>
      <c r="B388" s="1"/>
      <c r="C388" s="1"/>
      <c r="D388" s="1"/>
    </row>
    <row r="389" spans="1:4" ht="14.25" customHeight="1">
      <c r="A389" s="1"/>
      <c r="B389" s="1"/>
      <c r="C389" s="1"/>
      <c r="D389" s="1"/>
    </row>
    <row r="390" spans="1:4" ht="14.25" customHeight="1">
      <c r="A390" s="1"/>
      <c r="B390" s="1"/>
      <c r="C390" s="1"/>
      <c r="D390" s="1"/>
    </row>
    <row r="391" spans="1:4" ht="14.25" customHeight="1">
      <c r="A391" s="1"/>
      <c r="B391" s="1"/>
      <c r="C391" s="1"/>
      <c r="D391" s="1"/>
    </row>
    <row r="392" spans="1:4" ht="14.25" customHeight="1">
      <c r="A392" s="1"/>
      <c r="B392" s="1"/>
      <c r="C392" s="1"/>
      <c r="D392" s="1"/>
    </row>
    <row r="393" spans="1:4" ht="14.25" customHeight="1">
      <c r="A393" s="1"/>
      <c r="B393" s="1"/>
      <c r="C393" s="1"/>
      <c r="D393" s="1"/>
    </row>
    <row r="394" spans="1:4" ht="14.25" customHeight="1">
      <c r="A394" s="1"/>
      <c r="B394" s="1"/>
      <c r="C394" s="1"/>
      <c r="D394" s="1"/>
    </row>
    <row r="395" spans="1:4" ht="14.25" customHeight="1">
      <c r="A395" s="1"/>
      <c r="B395" s="1"/>
      <c r="C395" s="1"/>
      <c r="D395" s="1"/>
    </row>
    <row r="396" spans="1:4" ht="14.25" customHeight="1">
      <c r="A396" s="1"/>
      <c r="B396" s="1"/>
      <c r="C396" s="1"/>
      <c r="D396" s="1"/>
    </row>
    <row r="397" spans="1:4" ht="14.25" customHeight="1">
      <c r="A397" s="1"/>
      <c r="B397" s="1"/>
      <c r="C397" s="1"/>
      <c r="D397" s="1"/>
    </row>
    <row r="398" spans="1:4" ht="14.25" customHeight="1">
      <c r="A398" s="1"/>
      <c r="B398" s="1"/>
      <c r="C398" s="1"/>
      <c r="D398" s="1"/>
    </row>
    <row r="399" spans="1:4" ht="14.25" customHeight="1">
      <c r="A399" s="1"/>
      <c r="B399" s="1"/>
      <c r="C399" s="1"/>
      <c r="D399" s="1"/>
    </row>
    <row r="400" spans="1:4" ht="14.25" customHeight="1">
      <c r="A400" s="1"/>
      <c r="B400" s="1"/>
      <c r="C400" s="1"/>
      <c r="D400" s="1"/>
    </row>
    <row r="401" spans="1:4" ht="14.25" customHeight="1">
      <c r="A401" s="1"/>
      <c r="B401" s="1"/>
      <c r="C401" s="1"/>
      <c r="D401" s="1"/>
    </row>
    <row r="402" spans="1:4" ht="14.25" customHeight="1">
      <c r="A402" s="1"/>
      <c r="B402" s="1"/>
      <c r="C402" s="1"/>
      <c r="D402" s="1"/>
    </row>
    <row r="403" spans="1:4" ht="14.25" customHeight="1">
      <c r="A403" s="1"/>
      <c r="B403" s="1"/>
      <c r="C403" s="1"/>
      <c r="D403" s="1"/>
    </row>
    <row r="404" spans="1:4" ht="14.25" customHeight="1">
      <c r="A404" s="1"/>
      <c r="B404" s="1"/>
      <c r="C404" s="1"/>
      <c r="D404" s="1"/>
    </row>
    <row r="405" spans="1:4" ht="14.25" customHeight="1">
      <c r="A405" s="1"/>
      <c r="B405" s="1"/>
      <c r="C405" s="1"/>
      <c r="D405" s="1"/>
    </row>
    <row r="406" spans="1:4" ht="14.25" customHeight="1">
      <c r="A406" s="1"/>
      <c r="B406" s="1"/>
      <c r="C406" s="1"/>
      <c r="D406" s="1"/>
    </row>
    <row r="407" spans="1:4" ht="14.25" customHeight="1">
      <c r="A407" s="1"/>
      <c r="B407" s="1"/>
      <c r="C407" s="1"/>
      <c r="D407" s="1"/>
    </row>
    <row r="408" spans="1:4" ht="14.25" customHeight="1">
      <c r="A408" s="1"/>
      <c r="B408" s="1"/>
      <c r="C408" s="1"/>
      <c r="D408" s="1"/>
    </row>
    <row r="409" spans="1:4" ht="14.25" customHeight="1">
      <c r="A409" s="1"/>
      <c r="B409" s="1"/>
      <c r="C409" s="1"/>
      <c r="D409" s="1"/>
    </row>
    <row r="410" spans="1:4" ht="14.25" customHeight="1">
      <c r="A410" s="1"/>
      <c r="B410" s="1"/>
      <c r="C410" s="1"/>
      <c r="D410" s="1"/>
    </row>
    <row r="411" spans="1:4" ht="14.25" customHeight="1">
      <c r="A411" s="1"/>
      <c r="B411" s="1"/>
      <c r="C411" s="1"/>
      <c r="D411" s="1"/>
    </row>
    <row r="412" spans="1:4" ht="14.25" customHeight="1">
      <c r="A412" s="1"/>
      <c r="B412" s="1"/>
      <c r="C412" s="1"/>
      <c r="D412" s="1"/>
    </row>
    <row r="413" spans="1:4" ht="14.25" customHeight="1">
      <c r="A413" s="1"/>
      <c r="B413" s="1"/>
      <c r="C413" s="1"/>
      <c r="D413" s="1"/>
    </row>
    <row r="414" spans="1:4" ht="14.25" customHeight="1">
      <c r="A414" s="1"/>
      <c r="B414" s="1"/>
      <c r="C414" s="1"/>
      <c r="D414" s="1"/>
    </row>
    <row r="415" spans="1:4" ht="14.25" customHeight="1">
      <c r="A415" s="1"/>
      <c r="B415" s="1"/>
      <c r="C415" s="1"/>
      <c r="D415" s="1"/>
    </row>
    <row r="416" spans="1:4" ht="14.25" customHeight="1">
      <c r="A416" s="1"/>
      <c r="B416" s="1"/>
      <c r="C416" s="1"/>
      <c r="D416" s="1"/>
    </row>
    <row r="417" spans="1:4" ht="14.25" customHeight="1">
      <c r="A417" s="1"/>
      <c r="B417" s="1"/>
      <c r="C417" s="1"/>
      <c r="D417" s="1"/>
    </row>
    <row r="418" spans="1:4" ht="14.25" customHeight="1">
      <c r="A418" s="1"/>
      <c r="B418" s="1"/>
      <c r="C418" s="1"/>
      <c r="D418" s="1"/>
    </row>
    <row r="419" spans="1:4" ht="14.25" customHeight="1">
      <c r="A419" s="1"/>
      <c r="B419" s="1"/>
      <c r="C419" s="1"/>
      <c r="D419" s="1"/>
    </row>
    <row r="420" spans="1:4" ht="14.25" customHeight="1">
      <c r="A420" s="1"/>
      <c r="B420" s="1"/>
      <c r="C420" s="1"/>
      <c r="D420" s="1"/>
    </row>
    <row r="421" spans="1:4" ht="14.25" customHeight="1">
      <c r="A421" s="1"/>
      <c r="B421" s="1"/>
      <c r="C421" s="1"/>
      <c r="D421" s="1"/>
    </row>
    <row r="422" spans="1:4" ht="14.25" customHeight="1">
      <c r="A422" s="1"/>
      <c r="B422" s="1"/>
      <c r="C422" s="1"/>
      <c r="D422" s="1"/>
    </row>
    <row r="423" spans="1:4" ht="14.25" customHeight="1">
      <c r="A423" s="1"/>
      <c r="B423" s="1"/>
      <c r="C423" s="1"/>
      <c r="D423" s="1"/>
    </row>
    <row r="424" spans="1:4" ht="14.25" customHeight="1">
      <c r="A424" s="1"/>
      <c r="B424" s="1"/>
      <c r="C424" s="1"/>
      <c r="D424" s="1"/>
    </row>
    <row r="425" spans="1:4" ht="14.25" customHeight="1">
      <c r="A425" s="1"/>
      <c r="B425" s="1"/>
      <c r="C425" s="1"/>
      <c r="D425" s="1"/>
    </row>
    <row r="426" spans="1:4" ht="14.25" customHeight="1">
      <c r="A426" s="1"/>
      <c r="B426" s="1"/>
      <c r="C426" s="1"/>
      <c r="D426" s="1"/>
    </row>
    <row r="427" spans="1:4" ht="14.25" customHeight="1">
      <c r="A427" s="1"/>
      <c r="B427" s="1"/>
      <c r="C427" s="1"/>
      <c r="D427" s="1"/>
    </row>
    <row r="428" spans="1:4" ht="14.25" customHeight="1">
      <c r="A428" s="1"/>
      <c r="B428" s="1"/>
      <c r="C428" s="1"/>
      <c r="D428" s="1"/>
    </row>
    <row r="429" spans="1:4" ht="14.25" customHeight="1">
      <c r="A429" s="1"/>
      <c r="B429" s="1"/>
      <c r="C429" s="1"/>
      <c r="D429" s="1"/>
    </row>
    <row r="430" spans="1:4" ht="14.25" customHeight="1">
      <c r="A430" s="1"/>
      <c r="B430" s="1"/>
      <c r="C430" s="1"/>
      <c r="D430" s="1"/>
    </row>
    <row r="431" spans="1:4" ht="14.25" customHeight="1">
      <c r="A431" s="1"/>
      <c r="B431" s="1"/>
      <c r="C431" s="1"/>
      <c r="D431" s="1"/>
    </row>
    <row r="432" spans="1:4" ht="14.25" customHeight="1">
      <c r="A432" s="1"/>
      <c r="B432" s="1"/>
      <c r="C432" s="1"/>
      <c r="D432" s="1"/>
    </row>
    <row r="433" spans="1:4" ht="14.25" customHeight="1">
      <c r="A433" s="1"/>
      <c r="B433" s="1"/>
      <c r="C433" s="1"/>
      <c r="D433" s="1"/>
    </row>
    <row r="434" spans="1:4" ht="14.25" customHeight="1">
      <c r="A434" s="1"/>
      <c r="B434" s="1"/>
      <c r="C434" s="1"/>
      <c r="D434" s="1"/>
    </row>
    <row r="435" spans="1:4" ht="14.25" customHeight="1">
      <c r="A435" s="1"/>
      <c r="B435" s="1"/>
      <c r="C435" s="1"/>
      <c r="D435" s="1"/>
    </row>
    <row r="436" spans="1:4" ht="14.25" customHeight="1">
      <c r="A436" s="1"/>
      <c r="B436" s="1"/>
      <c r="C436" s="1"/>
      <c r="D436" s="1"/>
    </row>
    <row r="437" spans="1:4" ht="14.25" customHeight="1">
      <c r="A437" s="1"/>
      <c r="B437" s="1"/>
      <c r="C437" s="1"/>
      <c r="D437" s="1"/>
    </row>
    <row r="438" spans="1:4" ht="14.25" customHeight="1">
      <c r="A438" s="1"/>
      <c r="B438" s="1"/>
      <c r="C438" s="1"/>
      <c r="D438" s="1"/>
    </row>
    <row r="439" spans="1:4" ht="14.25" customHeight="1">
      <c r="A439" s="1"/>
      <c r="B439" s="1"/>
      <c r="C439" s="1"/>
      <c r="D439" s="1"/>
    </row>
    <row r="440" spans="1:4" ht="14.25" customHeight="1">
      <c r="A440" s="1"/>
      <c r="B440" s="1"/>
      <c r="C440" s="1"/>
      <c r="D440" s="1"/>
    </row>
    <row r="441" spans="1:4" ht="14.25" customHeight="1">
      <c r="A441" s="1"/>
      <c r="B441" s="1"/>
      <c r="C441" s="1"/>
      <c r="D441" s="1"/>
    </row>
    <row r="442" spans="1:4" ht="14.25" customHeight="1">
      <c r="A442" s="1"/>
      <c r="B442" s="1"/>
      <c r="C442" s="1"/>
      <c r="D442" s="1"/>
    </row>
    <row r="443" spans="1:4" ht="14.25" customHeight="1">
      <c r="A443" s="1"/>
      <c r="B443" s="1"/>
      <c r="C443" s="1"/>
      <c r="D443" s="1"/>
    </row>
    <row r="444" spans="1:4" ht="14.25" customHeight="1">
      <c r="A444" s="1"/>
      <c r="B444" s="1"/>
      <c r="C444" s="1"/>
      <c r="D444" s="1"/>
    </row>
    <row r="445" spans="1:4" ht="14.25" customHeight="1">
      <c r="A445" s="1"/>
      <c r="B445" s="1"/>
      <c r="C445" s="1"/>
      <c r="D445" s="1"/>
    </row>
    <row r="446" spans="1:4" ht="14.25" customHeight="1">
      <c r="A446" s="1"/>
      <c r="B446" s="1"/>
      <c r="C446" s="1"/>
      <c r="D446" s="1"/>
    </row>
    <row r="447" spans="1:4" ht="14.25" customHeight="1">
      <c r="A447" s="1"/>
      <c r="B447" s="1"/>
      <c r="C447" s="1"/>
      <c r="D447" s="1"/>
    </row>
    <row r="448" spans="1:4" ht="14.25" customHeight="1">
      <c r="A448" s="1"/>
      <c r="B448" s="1"/>
      <c r="C448" s="1"/>
      <c r="D448" s="1"/>
    </row>
    <row r="449" spans="1:4" ht="14.25" customHeight="1">
      <c r="A449" s="1"/>
      <c r="B449" s="1"/>
      <c r="C449" s="1"/>
      <c r="D449" s="1"/>
    </row>
    <row r="450" spans="1:4" ht="14.25" customHeight="1">
      <c r="A450" s="1"/>
      <c r="B450" s="1"/>
      <c r="C450" s="1"/>
      <c r="D450" s="1"/>
    </row>
    <row r="451" spans="1:4" ht="14.25" customHeight="1">
      <c r="A451" s="1"/>
      <c r="B451" s="1"/>
      <c r="C451" s="1"/>
      <c r="D451" s="1"/>
    </row>
    <row r="452" spans="1:4" ht="14.25" customHeight="1">
      <c r="A452" s="1"/>
      <c r="B452" s="1"/>
      <c r="C452" s="1"/>
      <c r="D452" s="1"/>
    </row>
    <row r="453" spans="1:4" ht="14.25" customHeight="1">
      <c r="A453" s="1"/>
      <c r="B453" s="1"/>
      <c r="C453" s="1"/>
      <c r="D453" s="1"/>
    </row>
    <row r="454" spans="1:4" ht="14.25" customHeight="1">
      <c r="A454" s="1"/>
      <c r="B454" s="1"/>
      <c r="C454" s="1"/>
      <c r="D454" s="1"/>
    </row>
    <row r="455" spans="1:4" ht="14.25" customHeight="1">
      <c r="A455" s="1"/>
      <c r="B455" s="1"/>
      <c r="C455" s="1"/>
      <c r="D455" s="1"/>
    </row>
    <row r="456" spans="1:4" ht="14.25" customHeight="1">
      <c r="A456" s="1"/>
      <c r="B456" s="1"/>
      <c r="C456" s="1"/>
      <c r="D456" s="1"/>
    </row>
    <row r="457" spans="1:4" ht="14.25" customHeight="1">
      <c r="A457" s="1"/>
      <c r="B457" s="1"/>
      <c r="C457" s="1"/>
      <c r="D457" s="1"/>
    </row>
    <row r="458" spans="1:4" ht="14.25" customHeight="1">
      <c r="A458" s="1"/>
      <c r="B458" s="1"/>
      <c r="C458" s="1"/>
      <c r="D458" s="1"/>
    </row>
    <row r="459" spans="1:4" ht="14.25" customHeight="1">
      <c r="A459" s="1"/>
      <c r="B459" s="1"/>
      <c r="C459" s="1"/>
      <c r="D459" s="1"/>
    </row>
    <row r="460" spans="1:4" ht="14.25" customHeight="1">
      <c r="A460" s="1"/>
      <c r="B460" s="1"/>
      <c r="C460" s="1"/>
      <c r="D460" s="1"/>
    </row>
    <row r="461" spans="1:4" ht="14.25" customHeight="1">
      <c r="A461" s="1"/>
      <c r="B461" s="1"/>
      <c r="C461" s="1"/>
      <c r="D461" s="1"/>
    </row>
    <row r="462" spans="1:4" ht="14.25" customHeight="1">
      <c r="A462" s="1"/>
      <c r="B462" s="1"/>
      <c r="C462" s="1"/>
      <c r="D462" s="1"/>
    </row>
    <row r="463" spans="1:4" ht="14.25" customHeight="1">
      <c r="A463" s="1"/>
      <c r="B463" s="1"/>
      <c r="C463" s="1"/>
      <c r="D463" s="1"/>
    </row>
    <row r="464" spans="1:4" ht="14.25" customHeight="1">
      <c r="A464" s="1"/>
      <c r="B464" s="1"/>
      <c r="C464" s="1"/>
      <c r="D464" s="1"/>
    </row>
    <row r="465" spans="1:4" ht="14.25" customHeight="1">
      <c r="A465" s="1"/>
      <c r="B465" s="1"/>
      <c r="C465" s="1"/>
      <c r="D465" s="1"/>
    </row>
    <row r="466" spans="1:4" ht="14.25" customHeight="1">
      <c r="A466" s="1"/>
      <c r="B466" s="1"/>
      <c r="C466" s="1"/>
      <c r="D466" s="1"/>
    </row>
    <row r="467" spans="1:4" ht="14.25" customHeight="1">
      <c r="A467" s="1"/>
      <c r="B467" s="1"/>
      <c r="C467" s="1"/>
      <c r="D467" s="1"/>
    </row>
    <row r="468" spans="1:4" ht="14.25" customHeight="1">
      <c r="A468" s="1"/>
      <c r="B468" s="1"/>
      <c r="C468" s="1"/>
      <c r="D468" s="1"/>
    </row>
    <row r="469" spans="1:4" ht="14.25" customHeight="1">
      <c r="A469" s="1"/>
      <c r="B469" s="1"/>
      <c r="C469" s="1"/>
      <c r="D469" s="1"/>
    </row>
    <row r="470" spans="1:4" ht="14.25" customHeight="1">
      <c r="A470" s="1"/>
      <c r="B470" s="1"/>
      <c r="C470" s="1"/>
      <c r="D470" s="1"/>
    </row>
    <row r="471" spans="1:4" ht="14.25" customHeight="1">
      <c r="A471" s="1"/>
      <c r="B471" s="1"/>
      <c r="C471" s="1"/>
      <c r="D471" s="1"/>
    </row>
    <row r="472" spans="1:4" ht="14.25" customHeight="1">
      <c r="A472" s="1"/>
      <c r="B472" s="1"/>
      <c r="C472" s="1"/>
      <c r="D472" s="1"/>
    </row>
    <row r="473" spans="1:4" ht="14.25" customHeight="1">
      <c r="A473" s="1"/>
      <c r="B473" s="1"/>
      <c r="C473" s="1"/>
      <c r="D473" s="1"/>
    </row>
    <row r="474" spans="1:4" ht="14.25" customHeight="1">
      <c r="A474" s="1"/>
      <c r="B474" s="1"/>
      <c r="C474" s="1"/>
      <c r="D474" s="1"/>
    </row>
    <row r="475" spans="1:4" ht="14.25" customHeight="1">
      <c r="A475" s="1"/>
      <c r="B475" s="1"/>
      <c r="C475" s="1"/>
      <c r="D475" s="1"/>
    </row>
    <row r="476" spans="1:4" ht="14.25" customHeight="1">
      <c r="A476" s="1"/>
      <c r="B476" s="1"/>
      <c r="C476" s="1"/>
      <c r="D476" s="1"/>
    </row>
    <row r="477" spans="1:4" ht="14.25" customHeight="1">
      <c r="A477" s="1"/>
      <c r="B477" s="1"/>
      <c r="C477" s="1"/>
      <c r="D477" s="1"/>
    </row>
    <row r="478" spans="1:4" ht="14.25" customHeight="1">
      <c r="A478" s="1"/>
      <c r="B478" s="1"/>
      <c r="C478" s="1"/>
      <c r="D478" s="1"/>
    </row>
    <row r="479" spans="1:4" ht="14.25" customHeight="1">
      <c r="A479" s="1"/>
      <c r="B479" s="1"/>
      <c r="C479" s="1"/>
      <c r="D479" s="1"/>
    </row>
    <row r="480" spans="1:4" ht="14.25" customHeight="1">
      <c r="A480" s="1"/>
      <c r="B480" s="1"/>
      <c r="C480" s="1"/>
      <c r="D480" s="1"/>
    </row>
    <row r="481" spans="1:4" ht="14.25" customHeight="1">
      <c r="A481" s="1"/>
      <c r="B481" s="1"/>
      <c r="C481" s="1"/>
      <c r="D481" s="1"/>
    </row>
    <row r="482" spans="1:4" ht="14.25" customHeight="1">
      <c r="A482" s="1"/>
      <c r="B482" s="1"/>
      <c r="C482" s="1"/>
      <c r="D482" s="1"/>
    </row>
    <row r="483" spans="1:4" ht="14.25" customHeight="1">
      <c r="A483" s="1"/>
      <c r="B483" s="1"/>
      <c r="C483" s="1"/>
      <c r="D483" s="1"/>
    </row>
    <row r="484" spans="1:4" ht="14.25" customHeight="1">
      <c r="A484" s="1"/>
      <c r="B484" s="1"/>
      <c r="C484" s="1"/>
      <c r="D484" s="1"/>
    </row>
    <row r="485" spans="1:4" ht="14.25" customHeight="1">
      <c r="A485" s="1"/>
      <c r="B485" s="1"/>
      <c r="C485" s="1"/>
      <c r="D485" s="1"/>
    </row>
    <row r="486" spans="1:4" ht="14.25" customHeight="1">
      <c r="A486" s="1"/>
      <c r="B486" s="1"/>
      <c r="C486" s="1"/>
      <c r="D486" s="1"/>
    </row>
    <row r="487" spans="1:4" ht="14.25" customHeight="1">
      <c r="A487" s="1"/>
      <c r="B487" s="1"/>
      <c r="C487" s="1"/>
      <c r="D487" s="1"/>
    </row>
    <row r="488" spans="1:4" ht="14.25" customHeight="1">
      <c r="A488" s="1"/>
      <c r="B488" s="1"/>
      <c r="C488" s="1"/>
      <c r="D488" s="1"/>
    </row>
    <row r="489" spans="1:4" ht="14.25" customHeight="1">
      <c r="A489" s="1"/>
      <c r="B489" s="1"/>
      <c r="C489" s="1"/>
      <c r="D489" s="1"/>
    </row>
    <row r="490" spans="1:4" ht="14.25" customHeight="1">
      <c r="A490" s="1"/>
      <c r="B490" s="1"/>
      <c r="C490" s="1"/>
      <c r="D490" s="1"/>
    </row>
    <row r="491" spans="1:4" ht="14.25" customHeight="1">
      <c r="A491" s="1"/>
      <c r="B491" s="1"/>
      <c r="C491" s="1"/>
      <c r="D491" s="1"/>
    </row>
    <row r="492" spans="1:4" ht="14.25" customHeight="1">
      <c r="A492" s="1"/>
      <c r="B492" s="1"/>
      <c r="C492" s="1"/>
      <c r="D492" s="1"/>
    </row>
    <row r="493" spans="1:4" ht="14.25" customHeight="1">
      <c r="A493" s="1"/>
      <c r="B493" s="1"/>
      <c r="C493" s="1"/>
      <c r="D493" s="1"/>
    </row>
    <row r="494" spans="1:4" ht="14.25" customHeight="1">
      <c r="A494" s="1"/>
      <c r="B494" s="1"/>
      <c r="C494" s="1"/>
      <c r="D494" s="1"/>
    </row>
    <row r="495" spans="1:4" ht="14.25" customHeight="1">
      <c r="A495" s="1"/>
      <c r="B495" s="1"/>
      <c r="C495" s="1"/>
      <c r="D495" s="1"/>
    </row>
    <row r="496" spans="1:4" ht="14.25" customHeight="1">
      <c r="A496" s="1"/>
      <c r="B496" s="1"/>
      <c r="C496" s="1"/>
      <c r="D496" s="1"/>
    </row>
    <row r="497" spans="1:4" ht="14.25" customHeight="1">
      <c r="A497" s="1"/>
      <c r="B497" s="1"/>
      <c r="C497" s="1"/>
      <c r="D497" s="1"/>
    </row>
    <row r="498" spans="1:4" ht="14.25" customHeight="1">
      <c r="A498" s="1"/>
      <c r="B498" s="1"/>
      <c r="C498" s="1"/>
      <c r="D498" s="1"/>
    </row>
    <row r="499" spans="1:4" ht="14.25" customHeight="1">
      <c r="A499" s="1"/>
      <c r="B499" s="1"/>
      <c r="C499" s="1"/>
      <c r="D499" s="1"/>
    </row>
    <row r="500" spans="1:4" ht="14.25" customHeight="1">
      <c r="A500" s="1"/>
      <c r="B500" s="1"/>
      <c r="C500" s="1"/>
      <c r="D500" s="1"/>
    </row>
    <row r="501" spans="1:4" ht="14.25" customHeight="1">
      <c r="A501" s="1"/>
      <c r="B501" s="1"/>
      <c r="C501" s="1"/>
      <c r="D501" s="1"/>
    </row>
    <row r="502" spans="1:4" ht="14.25" customHeight="1">
      <c r="A502" s="1"/>
      <c r="B502" s="1"/>
      <c r="C502" s="1"/>
      <c r="D502" s="1"/>
    </row>
    <row r="503" spans="1:4" ht="14.25" customHeight="1">
      <c r="A503" s="1"/>
      <c r="B503" s="1"/>
      <c r="C503" s="1"/>
      <c r="D503" s="1"/>
    </row>
    <row r="504" spans="1:4" ht="14.25" customHeight="1">
      <c r="A504" s="1"/>
      <c r="B504" s="1"/>
      <c r="C504" s="1"/>
      <c r="D504" s="1"/>
    </row>
    <row r="505" spans="1:4" ht="14.25" customHeight="1">
      <c r="A505" s="1"/>
      <c r="B505" s="1"/>
      <c r="C505" s="1"/>
      <c r="D505" s="1"/>
    </row>
    <row r="506" spans="1:4" ht="14.25" customHeight="1">
      <c r="A506" s="1"/>
      <c r="B506" s="1"/>
      <c r="C506" s="1"/>
      <c r="D506" s="1"/>
    </row>
    <row r="507" spans="1:4" ht="14.25" customHeight="1">
      <c r="A507" s="1"/>
      <c r="B507" s="1"/>
      <c r="C507" s="1"/>
      <c r="D507" s="1"/>
    </row>
    <row r="508" spans="1:4" ht="14.25" customHeight="1">
      <c r="A508" s="1"/>
      <c r="B508" s="1"/>
      <c r="C508" s="1"/>
      <c r="D508" s="1"/>
    </row>
    <row r="509" spans="1:4" ht="14.25" customHeight="1">
      <c r="A509" s="1"/>
      <c r="B509" s="1"/>
      <c r="C509" s="1"/>
      <c r="D509" s="1"/>
    </row>
    <row r="510" spans="1:4" ht="14.25" customHeight="1">
      <c r="A510" s="1"/>
      <c r="B510" s="1"/>
      <c r="C510" s="1"/>
      <c r="D510" s="1"/>
    </row>
    <row r="511" spans="1:4" ht="14.25" customHeight="1">
      <c r="A511" s="1"/>
      <c r="B511" s="1"/>
      <c r="C511" s="1"/>
      <c r="D511" s="1"/>
    </row>
    <row r="512" spans="1:4" ht="14.25" customHeight="1">
      <c r="A512" s="1"/>
      <c r="B512" s="1"/>
      <c r="C512" s="1"/>
      <c r="D512" s="1"/>
    </row>
    <row r="513" spans="1:4" ht="14.25" customHeight="1">
      <c r="A513" s="1"/>
      <c r="B513" s="1"/>
      <c r="C513" s="1"/>
      <c r="D513" s="1"/>
    </row>
    <row r="514" spans="1:4" ht="14.25" customHeight="1">
      <c r="A514" s="1"/>
      <c r="B514" s="1"/>
      <c r="C514" s="1"/>
      <c r="D514" s="1"/>
    </row>
    <row r="515" spans="1:4" ht="14.25" customHeight="1">
      <c r="A515" s="1"/>
      <c r="B515" s="1"/>
      <c r="C515" s="1"/>
      <c r="D515" s="1"/>
    </row>
    <row r="516" spans="1:4" ht="14.25" customHeight="1">
      <c r="A516" s="1"/>
      <c r="B516" s="1"/>
      <c r="C516" s="1"/>
      <c r="D516" s="1"/>
    </row>
    <row r="517" spans="1:4" ht="14.25" customHeight="1">
      <c r="A517" s="1"/>
      <c r="B517" s="1"/>
      <c r="C517" s="1"/>
      <c r="D517" s="1"/>
    </row>
    <row r="518" spans="1:4" ht="14.25" customHeight="1">
      <c r="A518" s="1"/>
      <c r="B518" s="1"/>
      <c r="C518" s="1"/>
      <c r="D518" s="1"/>
    </row>
    <row r="519" spans="1:4" ht="14.25" customHeight="1">
      <c r="A519" s="1"/>
      <c r="B519" s="1"/>
      <c r="C519" s="1"/>
      <c r="D519" s="1"/>
    </row>
    <row r="520" spans="1:4" ht="14.25" customHeight="1">
      <c r="A520" s="1"/>
      <c r="B520" s="1"/>
      <c r="C520" s="1"/>
      <c r="D520" s="1"/>
    </row>
    <row r="521" spans="1:4" ht="14.25" customHeight="1">
      <c r="A521" s="1"/>
      <c r="B521" s="1"/>
      <c r="C521" s="1"/>
      <c r="D521" s="1"/>
    </row>
    <row r="522" spans="1:4" ht="14.25" customHeight="1">
      <c r="A522" s="1"/>
      <c r="B522" s="1"/>
      <c r="C522" s="1"/>
      <c r="D522" s="1"/>
    </row>
    <row r="523" spans="1:4" ht="14.25" customHeight="1">
      <c r="A523" s="1"/>
      <c r="B523" s="1"/>
      <c r="C523" s="1"/>
      <c r="D523" s="1"/>
    </row>
    <row r="524" spans="1:4" ht="14.25" customHeight="1">
      <c r="A524" s="1"/>
      <c r="B524" s="1"/>
      <c r="C524" s="1"/>
      <c r="D524" s="1"/>
    </row>
    <row r="525" spans="1:4" ht="14.25" customHeight="1">
      <c r="A525" s="1"/>
      <c r="B525" s="1"/>
      <c r="C525" s="1"/>
      <c r="D525" s="1"/>
    </row>
    <row r="526" spans="1:4" ht="14.25" customHeight="1">
      <c r="A526" s="1"/>
      <c r="B526" s="1"/>
      <c r="C526" s="1"/>
      <c r="D526" s="1"/>
    </row>
    <row r="527" spans="1:4" ht="14.25" customHeight="1">
      <c r="A527" s="1"/>
      <c r="B527" s="1"/>
      <c r="C527" s="1"/>
      <c r="D527" s="1"/>
    </row>
    <row r="528" spans="1:4" ht="14.25" customHeight="1">
      <c r="A528" s="1"/>
      <c r="B528" s="1"/>
      <c r="C528" s="1"/>
      <c r="D528" s="1"/>
    </row>
    <row r="529" spans="1:4" ht="14.25" customHeight="1">
      <c r="A529" s="1"/>
      <c r="B529" s="1"/>
      <c r="C529" s="1"/>
      <c r="D529" s="1"/>
    </row>
    <row r="530" spans="1:4" ht="14.25" customHeight="1">
      <c r="A530" s="1"/>
      <c r="B530" s="1"/>
      <c r="C530" s="1"/>
      <c r="D530" s="1"/>
    </row>
    <row r="531" spans="1:4" ht="14.25" customHeight="1">
      <c r="A531" s="1"/>
      <c r="B531" s="1"/>
      <c r="C531" s="1"/>
      <c r="D531" s="1"/>
    </row>
    <row r="532" spans="1:4" ht="14.25" customHeight="1">
      <c r="A532" s="1"/>
      <c r="B532" s="1"/>
      <c r="C532" s="1"/>
      <c r="D532" s="1"/>
    </row>
    <row r="533" spans="1:4" ht="14.25" customHeight="1">
      <c r="A533" s="1"/>
      <c r="B533" s="1"/>
      <c r="C533" s="1"/>
      <c r="D533" s="1"/>
    </row>
    <row r="534" spans="1:4" ht="14.25" customHeight="1">
      <c r="A534" s="1"/>
      <c r="B534" s="1"/>
      <c r="C534" s="1"/>
      <c r="D534" s="1"/>
    </row>
    <row r="535" spans="1:4" ht="14.25" customHeight="1">
      <c r="A535" s="1"/>
      <c r="B535" s="1"/>
      <c r="C535" s="1"/>
      <c r="D535" s="1"/>
    </row>
    <row r="536" spans="1:4" ht="14.25" customHeight="1">
      <c r="A536" s="1"/>
      <c r="B536" s="1"/>
      <c r="C536" s="1"/>
      <c r="D536" s="1"/>
    </row>
    <row r="537" spans="1:4" ht="14.25" customHeight="1">
      <c r="A537" s="1"/>
      <c r="B537" s="1"/>
      <c r="C537" s="1"/>
      <c r="D537" s="1"/>
    </row>
    <row r="538" spans="1:4" ht="14.25" customHeight="1">
      <c r="A538" s="1"/>
      <c r="B538" s="1"/>
      <c r="C538" s="1"/>
      <c r="D538" s="1"/>
    </row>
    <row r="539" spans="1:4" ht="14.25" customHeight="1">
      <c r="A539" s="1"/>
      <c r="B539" s="1"/>
      <c r="C539" s="1"/>
      <c r="D539" s="1"/>
    </row>
    <row r="540" spans="1:4" ht="14.25" customHeight="1">
      <c r="A540" s="1"/>
      <c r="B540" s="1"/>
      <c r="C540" s="1"/>
      <c r="D540" s="1"/>
    </row>
    <row r="541" spans="1:4" ht="14.25" customHeight="1">
      <c r="A541" s="1"/>
      <c r="B541" s="1"/>
      <c r="C541" s="1"/>
      <c r="D541" s="1"/>
    </row>
    <row r="542" spans="1:4" ht="14.25" customHeight="1">
      <c r="A542" s="1"/>
      <c r="B542" s="1"/>
      <c r="C542" s="1"/>
      <c r="D542" s="1"/>
    </row>
    <row r="543" spans="1:4" ht="14.25" customHeight="1">
      <c r="A543" s="1"/>
      <c r="B543" s="1"/>
      <c r="C543" s="1"/>
      <c r="D543" s="1"/>
    </row>
    <row r="544" spans="1:4" ht="14.25" customHeight="1">
      <c r="A544" s="1"/>
      <c r="B544" s="1"/>
      <c r="C544" s="1"/>
      <c r="D544" s="1"/>
    </row>
    <row r="545" spans="1:4" ht="14.25" customHeight="1">
      <c r="A545" s="1"/>
      <c r="B545" s="1"/>
      <c r="C545" s="1"/>
      <c r="D545" s="1"/>
    </row>
    <row r="546" spans="1:4" ht="14.25" customHeight="1">
      <c r="A546" s="1"/>
      <c r="B546" s="1"/>
      <c r="C546" s="1"/>
      <c r="D546" s="1"/>
    </row>
    <row r="547" spans="1:4" ht="14.25" customHeight="1">
      <c r="A547" s="1"/>
      <c r="B547" s="1"/>
      <c r="C547" s="1"/>
      <c r="D547" s="1"/>
    </row>
    <row r="548" spans="1:4" ht="14.25" customHeight="1">
      <c r="A548" s="1"/>
      <c r="B548" s="1"/>
      <c r="C548" s="1"/>
      <c r="D548" s="1"/>
    </row>
    <row r="549" spans="1:4" ht="14.25" customHeight="1">
      <c r="A549" s="1"/>
      <c r="B549" s="1"/>
      <c r="C549" s="1"/>
      <c r="D549" s="1"/>
    </row>
    <row r="550" spans="1:4" ht="14.25" customHeight="1">
      <c r="A550" s="1"/>
      <c r="B550" s="1"/>
      <c r="C550" s="1"/>
      <c r="D550" s="1"/>
    </row>
    <row r="551" spans="1:4" ht="14.25" customHeight="1">
      <c r="A551" s="1"/>
      <c r="B551" s="1"/>
      <c r="C551" s="1"/>
      <c r="D551" s="1"/>
    </row>
    <row r="552" spans="1:4" ht="14.25" customHeight="1">
      <c r="A552" s="1"/>
      <c r="B552" s="1"/>
      <c r="C552" s="1"/>
      <c r="D552" s="1"/>
    </row>
    <row r="553" spans="1:4" ht="14.25" customHeight="1">
      <c r="A553" s="1"/>
      <c r="B553" s="1"/>
      <c r="C553" s="1"/>
      <c r="D553" s="1"/>
    </row>
    <row r="554" spans="1:4" ht="14.25" customHeight="1">
      <c r="A554" s="1"/>
      <c r="B554" s="1"/>
      <c r="C554" s="1"/>
      <c r="D554" s="1"/>
    </row>
    <row r="555" spans="1:4" ht="14.25" customHeight="1">
      <c r="A555" s="1"/>
      <c r="B555" s="1"/>
      <c r="C555" s="1"/>
      <c r="D555" s="1"/>
    </row>
    <row r="556" spans="1:4" ht="14.25" customHeight="1">
      <c r="A556" s="1"/>
      <c r="B556" s="1"/>
      <c r="C556" s="1"/>
      <c r="D556" s="1"/>
    </row>
    <row r="557" spans="1:4" ht="14.25" customHeight="1">
      <c r="A557" s="1"/>
      <c r="B557" s="1"/>
      <c r="C557" s="1"/>
      <c r="D557" s="1"/>
    </row>
    <row r="558" spans="1:4" ht="14.25" customHeight="1">
      <c r="A558" s="1"/>
      <c r="B558" s="1"/>
      <c r="C558" s="1"/>
      <c r="D558" s="1"/>
    </row>
    <row r="559" spans="1:4" ht="14.25" customHeight="1">
      <c r="A559" s="1"/>
      <c r="B559" s="1"/>
      <c r="C559" s="1"/>
      <c r="D559" s="1"/>
    </row>
    <row r="560" spans="1:4" ht="14.25" customHeight="1">
      <c r="A560" s="1"/>
      <c r="B560" s="1"/>
      <c r="C560" s="1"/>
      <c r="D560" s="1"/>
    </row>
    <row r="561" spans="1:4" ht="14.25" customHeight="1">
      <c r="A561" s="1"/>
      <c r="B561" s="1"/>
      <c r="C561" s="1"/>
      <c r="D561" s="1"/>
    </row>
    <row r="562" spans="1:4" ht="14.25" customHeight="1">
      <c r="A562" s="1"/>
      <c r="B562" s="1"/>
      <c r="C562" s="1"/>
      <c r="D562" s="1"/>
    </row>
    <row r="563" spans="1:4" ht="14.25" customHeight="1">
      <c r="A563" s="1"/>
      <c r="B563" s="1"/>
      <c r="C563" s="1"/>
      <c r="D563" s="1"/>
    </row>
    <row r="564" spans="1:4" ht="14.25" customHeight="1">
      <c r="A564" s="1"/>
      <c r="B564" s="1"/>
      <c r="C564" s="1"/>
      <c r="D564" s="1"/>
    </row>
    <row r="565" spans="1:4" ht="14.25" customHeight="1">
      <c r="A565" s="1"/>
      <c r="B565" s="1"/>
      <c r="C565" s="1"/>
      <c r="D565" s="1"/>
    </row>
    <row r="566" spans="1:4" ht="14.25" customHeight="1">
      <c r="A566" s="1"/>
      <c r="B566" s="1"/>
      <c r="C566" s="1"/>
      <c r="D566" s="1"/>
    </row>
    <row r="567" spans="1:4" ht="14.25" customHeight="1">
      <c r="A567" s="1"/>
      <c r="B567" s="1"/>
      <c r="C567" s="1"/>
      <c r="D567" s="1"/>
    </row>
    <row r="568" spans="1:4" ht="14.25" customHeight="1">
      <c r="A568" s="1"/>
      <c r="B568" s="1"/>
      <c r="C568" s="1"/>
      <c r="D568" s="1"/>
    </row>
    <row r="569" spans="1:4" ht="14.25" customHeight="1">
      <c r="A569" s="1"/>
      <c r="B569" s="1"/>
      <c r="C569" s="1"/>
      <c r="D569" s="1"/>
    </row>
    <row r="570" spans="1:4" ht="14.25" customHeight="1">
      <c r="A570" s="1"/>
      <c r="B570" s="1"/>
      <c r="C570" s="1"/>
      <c r="D570" s="1"/>
    </row>
    <row r="571" spans="1:4" ht="14.25" customHeight="1">
      <c r="A571" s="1"/>
      <c r="B571" s="1"/>
      <c r="C571" s="1"/>
      <c r="D571" s="1"/>
    </row>
    <row r="572" spans="1:4" ht="14.25" customHeight="1">
      <c r="A572" s="1"/>
      <c r="B572" s="1"/>
      <c r="C572" s="1"/>
      <c r="D572" s="1"/>
    </row>
    <row r="573" spans="1:4" ht="14.25" customHeight="1">
      <c r="A573" s="1"/>
      <c r="B573" s="1"/>
      <c r="C573" s="1"/>
      <c r="D573" s="1"/>
    </row>
    <row r="574" spans="1:4" ht="14.25" customHeight="1">
      <c r="A574" s="1"/>
      <c r="B574" s="1"/>
      <c r="C574" s="1"/>
      <c r="D574" s="1"/>
    </row>
    <row r="575" spans="1:4" ht="14.25" customHeight="1">
      <c r="A575" s="1"/>
      <c r="B575" s="1"/>
      <c r="C575" s="1"/>
      <c r="D575" s="1"/>
    </row>
    <row r="576" spans="1:4" ht="14.25" customHeight="1">
      <c r="A576" s="1"/>
      <c r="B576" s="1"/>
      <c r="C576" s="1"/>
      <c r="D576" s="1"/>
    </row>
    <row r="577" spans="1:4" ht="14.25" customHeight="1">
      <c r="A577" s="1"/>
      <c r="B577" s="1"/>
      <c r="C577" s="1"/>
      <c r="D577" s="1"/>
    </row>
    <row r="578" spans="1:4" ht="14.25" customHeight="1">
      <c r="A578" s="1"/>
      <c r="B578" s="1"/>
      <c r="C578" s="1"/>
      <c r="D578" s="1"/>
    </row>
    <row r="579" spans="1:4" ht="14.25" customHeight="1">
      <c r="A579" s="1"/>
      <c r="B579" s="1"/>
      <c r="C579" s="1"/>
      <c r="D579" s="1"/>
    </row>
    <row r="580" spans="1:4" ht="14.25" customHeight="1">
      <c r="A580" s="1"/>
      <c r="B580" s="1"/>
      <c r="C580" s="1"/>
      <c r="D580" s="1"/>
    </row>
    <row r="581" spans="1:4" ht="14.25" customHeight="1">
      <c r="A581" s="1"/>
      <c r="B581" s="1"/>
      <c r="C581" s="1"/>
      <c r="D581" s="1"/>
    </row>
    <row r="582" spans="1:4" ht="14.25" customHeight="1">
      <c r="A582" s="1"/>
      <c r="B582" s="1"/>
      <c r="C582" s="1"/>
      <c r="D582" s="1"/>
    </row>
    <row r="583" spans="1:4" ht="14.25" customHeight="1">
      <c r="A583" s="1"/>
      <c r="B583" s="1"/>
      <c r="C583" s="1"/>
      <c r="D583" s="1"/>
    </row>
    <row r="584" spans="1:4" ht="14.25" customHeight="1">
      <c r="A584" s="1"/>
      <c r="B584" s="1"/>
      <c r="C584" s="1"/>
      <c r="D584" s="1"/>
    </row>
    <row r="585" spans="1:4" ht="14.25" customHeight="1">
      <c r="A585" s="1"/>
      <c r="B585" s="1"/>
      <c r="C585" s="1"/>
      <c r="D585" s="1"/>
    </row>
    <row r="586" spans="1:4" ht="14.25" customHeight="1">
      <c r="A586" s="1"/>
      <c r="B586" s="1"/>
      <c r="C586" s="1"/>
      <c r="D586" s="1"/>
    </row>
    <row r="587" spans="1:4" ht="14.25" customHeight="1">
      <c r="A587" s="1"/>
      <c r="B587" s="1"/>
      <c r="C587" s="1"/>
      <c r="D587" s="1"/>
    </row>
    <row r="588" spans="1:4" ht="14.25" customHeight="1">
      <c r="A588" s="1"/>
      <c r="B588" s="1"/>
      <c r="C588" s="1"/>
      <c r="D588" s="1"/>
    </row>
    <row r="589" spans="1:4" ht="14.25" customHeight="1">
      <c r="A589" s="1"/>
      <c r="B589" s="1"/>
      <c r="C589" s="1"/>
      <c r="D589" s="1"/>
    </row>
    <row r="590" spans="1:4" ht="14.25" customHeight="1">
      <c r="A590" s="1"/>
      <c r="B590" s="1"/>
      <c r="C590" s="1"/>
      <c r="D590" s="1"/>
    </row>
    <row r="591" spans="1:4" ht="14.25" customHeight="1">
      <c r="A591" s="1"/>
      <c r="B591" s="1"/>
      <c r="C591" s="1"/>
      <c r="D591" s="1"/>
    </row>
    <row r="592" spans="1:4" ht="14.25" customHeight="1">
      <c r="A592" s="1"/>
      <c r="B592" s="1"/>
      <c r="C592" s="1"/>
      <c r="D592" s="1"/>
    </row>
    <row r="593" spans="1:4" ht="14.25" customHeight="1">
      <c r="A593" s="1"/>
      <c r="B593" s="1"/>
      <c r="C593" s="1"/>
      <c r="D593" s="1"/>
    </row>
    <row r="594" spans="1:4" ht="14.25" customHeight="1">
      <c r="A594" s="1"/>
      <c r="B594" s="1"/>
      <c r="C594" s="1"/>
      <c r="D594" s="1"/>
    </row>
    <row r="595" spans="1:4" ht="14.25" customHeight="1">
      <c r="A595" s="1"/>
      <c r="B595" s="1"/>
      <c r="C595" s="1"/>
      <c r="D595" s="1"/>
    </row>
    <row r="596" spans="1:4" ht="14.25" customHeight="1">
      <c r="A596" s="1"/>
      <c r="B596" s="1"/>
      <c r="C596" s="1"/>
      <c r="D596" s="1"/>
    </row>
    <row r="597" spans="1:4" ht="14.25" customHeight="1">
      <c r="A597" s="1"/>
      <c r="B597" s="1"/>
      <c r="C597" s="1"/>
      <c r="D597" s="1"/>
    </row>
    <row r="598" spans="1:4" ht="14.25" customHeight="1">
      <c r="A598" s="1"/>
      <c r="B598" s="1"/>
      <c r="C598" s="1"/>
      <c r="D598" s="1"/>
    </row>
    <row r="599" spans="1:4" ht="14.25" customHeight="1">
      <c r="A599" s="1"/>
      <c r="B599" s="1"/>
      <c r="C599" s="1"/>
      <c r="D599" s="1"/>
    </row>
    <row r="600" spans="1:4" ht="14.25" customHeight="1">
      <c r="A600" s="1"/>
      <c r="B600" s="1"/>
      <c r="C600" s="1"/>
      <c r="D600" s="1"/>
    </row>
    <row r="601" spans="1:4" ht="14.25" customHeight="1">
      <c r="A601" s="1"/>
      <c r="B601" s="1"/>
      <c r="C601" s="1"/>
      <c r="D601" s="1"/>
    </row>
    <row r="602" spans="1:4" ht="14.25" customHeight="1">
      <c r="A602" s="1"/>
      <c r="B602" s="1"/>
      <c r="C602" s="1"/>
      <c r="D602" s="1"/>
    </row>
    <row r="603" spans="1:4" ht="14.25" customHeight="1">
      <c r="A603" s="1"/>
      <c r="B603" s="1"/>
      <c r="C603" s="1"/>
      <c r="D603" s="1"/>
    </row>
    <row r="604" spans="1:4" ht="14.25" customHeight="1">
      <c r="A604" s="1"/>
      <c r="B604" s="1"/>
      <c r="C604" s="1"/>
      <c r="D604" s="1"/>
    </row>
    <row r="605" spans="1:4" ht="14.25" customHeight="1">
      <c r="A605" s="1"/>
      <c r="B605" s="1"/>
      <c r="C605" s="1"/>
      <c r="D605" s="1"/>
    </row>
    <row r="606" spans="1:4" ht="14.25" customHeight="1">
      <c r="A606" s="1"/>
      <c r="B606" s="1"/>
      <c r="C606" s="1"/>
      <c r="D606" s="1"/>
    </row>
    <row r="607" spans="1:4" ht="14.25" customHeight="1">
      <c r="A607" s="1"/>
      <c r="B607" s="1"/>
      <c r="C607" s="1"/>
      <c r="D607" s="1"/>
    </row>
    <row r="608" spans="1:4" ht="14.25" customHeight="1">
      <c r="A608" s="1"/>
      <c r="B608" s="1"/>
      <c r="C608" s="1"/>
      <c r="D608" s="1"/>
    </row>
    <row r="609" spans="1:4" ht="14.25" customHeight="1">
      <c r="A609" s="1"/>
      <c r="B609" s="1"/>
      <c r="C609" s="1"/>
      <c r="D609" s="1"/>
    </row>
    <row r="610" spans="1:4" ht="14.25" customHeight="1">
      <c r="A610" s="1"/>
      <c r="B610" s="1"/>
      <c r="C610" s="1"/>
      <c r="D610" s="1"/>
    </row>
    <row r="611" spans="1:4" ht="14.25" customHeight="1">
      <c r="A611" s="1"/>
      <c r="B611" s="1"/>
      <c r="C611" s="1"/>
      <c r="D611" s="1"/>
    </row>
    <row r="612" spans="1:4" ht="14.25" customHeight="1">
      <c r="A612" s="1"/>
      <c r="B612" s="1"/>
      <c r="C612" s="1"/>
      <c r="D612" s="1"/>
    </row>
    <row r="613" spans="1:4" ht="14.25" customHeight="1">
      <c r="A613" s="1"/>
      <c r="B613" s="1"/>
      <c r="C613" s="1"/>
      <c r="D613" s="1"/>
    </row>
    <row r="614" spans="1:4" ht="14.25" customHeight="1">
      <c r="A614" s="1"/>
      <c r="B614" s="1"/>
      <c r="C614" s="1"/>
      <c r="D614" s="1"/>
    </row>
    <row r="615" spans="1:4" ht="14.25" customHeight="1">
      <c r="A615" s="1"/>
      <c r="B615" s="1"/>
      <c r="C615" s="1"/>
      <c r="D615" s="1"/>
    </row>
    <row r="616" spans="1:4" ht="14.25" customHeight="1">
      <c r="A616" s="1"/>
      <c r="B616" s="1"/>
      <c r="C616" s="1"/>
      <c r="D616" s="1"/>
    </row>
    <row r="617" spans="1:4" ht="14.25" customHeight="1">
      <c r="A617" s="1"/>
      <c r="B617" s="1"/>
      <c r="C617" s="1"/>
      <c r="D617" s="1"/>
    </row>
    <row r="618" spans="1:4" ht="14.25" customHeight="1">
      <c r="A618" s="1"/>
      <c r="B618" s="1"/>
      <c r="C618" s="1"/>
      <c r="D618" s="1"/>
    </row>
    <row r="619" spans="1:4" ht="14.25" customHeight="1">
      <c r="A619" s="1"/>
      <c r="B619" s="1"/>
      <c r="C619" s="1"/>
      <c r="D619" s="1"/>
    </row>
    <row r="620" spans="1:4" ht="14.25" customHeight="1">
      <c r="A620" s="1"/>
      <c r="B620" s="1"/>
      <c r="C620" s="1"/>
      <c r="D620" s="1"/>
    </row>
    <row r="621" spans="1:4" ht="14.25" customHeight="1">
      <c r="A621" s="1"/>
      <c r="B621" s="1"/>
      <c r="C621" s="1"/>
      <c r="D621" s="1"/>
    </row>
    <row r="622" spans="1:4" ht="14.25" customHeight="1">
      <c r="A622" s="1"/>
      <c r="B622" s="1"/>
      <c r="C622" s="1"/>
      <c r="D622" s="1"/>
    </row>
    <row r="623" spans="1:4" ht="14.25" customHeight="1">
      <c r="A623" s="1"/>
      <c r="B623" s="1"/>
      <c r="C623" s="1"/>
      <c r="D623" s="1"/>
    </row>
    <row r="624" spans="1:4" ht="14.25" customHeight="1">
      <c r="A624" s="1"/>
      <c r="B624" s="1"/>
      <c r="C624" s="1"/>
      <c r="D624" s="1"/>
    </row>
    <row r="625" spans="1:4" ht="14.25" customHeight="1">
      <c r="A625" s="1"/>
      <c r="B625" s="1"/>
      <c r="C625" s="1"/>
      <c r="D625" s="1"/>
    </row>
    <row r="626" spans="1:4" ht="14.25" customHeight="1">
      <c r="A626" s="1"/>
      <c r="B626" s="1"/>
      <c r="C626" s="1"/>
      <c r="D626" s="1"/>
    </row>
    <row r="627" spans="1:4" ht="14.25" customHeight="1">
      <c r="A627" s="1"/>
      <c r="B627" s="1"/>
      <c r="C627" s="1"/>
      <c r="D627" s="1"/>
    </row>
    <row r="628" spans="1:4" ht="14.25" customHeight="1">
      <c r="A628" s="1"/>
      <c r="B628" s="1"/>
      <c r="C628" s="1"/>
      <c r="D628" s="1"/>
    </row>
    <row r="629" spans="1:4" ht="14.25" customHeight="1">
      <c r="A629" s="1"/>
      <c r="B629" s="1"/>
      <c r="C629" s="1"/>
      <c r="D629" s="1"/>
    </row>
    <row r="630" spans="1:4" ht="14.25" customHeight="1">
      <c r="A630" s="1"/>
      <c r="B630" s="1"/>
      <c r="C630" s="1"/>
      <c r="D630" s="1"/>
    </row>
    <row r="631" spans="1:4" ht="14.25" customHeight="1">
      <c r="A631" s="1"/>
      <c r="B631" s="1"/>
      <c r="C631" s="1"/>
      <c r="D631" s="1"/>
    </row>
    <row r="632" spans="1:4" ht="14.25" customHeight="1">
      <c r="A632" s="1"/>
      <c r="B632" s="1"/>
      <c r="C632" s="1"/>
      <c r="D632" s="1"/>
    </row>
    <row r="633" spans="1:4" ht="14.25" customHeight="1">
      <c r="A633" s="1"/>
      <c r="B633" s="1"/>
      <c r="C633" s="1"/>
      <c r="D633" s="1"/>
    </row>
    <row r="634" spans="1:4" ht="14.25" customHeight="1">
      <c r="A634" s="1"/>
      <c r="B634" s="1"/>
      <c r="C634" s="1"/>
      <c r="D634" s="1"/>
    </row>
    <row r="635" spans="1:4" ht="14.25" customHeight="1">
      <c r="A635" s="1"/>
      <c r="B635" s="1"/>
      <c r="C635" s="1"/>
      <c r="D635" s="1"/>
    </row>
    <row r="636" spans="1:4" ht="14.25" customHeight="1">
      <c r="A636" s="1"/>
      <c r="B636" s="1"/>
      <c r="C636" s="1"/>
      <c r="D636" s="1"/>
    </row>
    <row r="637" spans="1:4" ht="14.25" customHeight="1">
      <c r="A637" s="1"/>
      <c r="B637" s="1"/>
      <c r="C637" s="1"/>
      <c r="D637" s="1"/>
    </row>
    <row r="638" spans="1:4" ht="14.25" customHeight="1">
      <c r="A638" s="1"/>
      <c r="B638" s="1"/>
      <c r="C638" s="1"/>
      <c r="D638" s="1"/>
    </row>
    <row r="639" spans="1:4" ht="14.25" customHeight="1">
      <c r="A639" s="1"/>
      <c r="B639" s="1"/>
      <c r="C639" s="1"/>
      <c r="D639" s="1"/>
    </row>
    <row r="640" spans="1:4" ht="14.25" customHeight="1">
      <c r="A640" s="1"/>
      <c r="B640" s="1"/>
      <c r="C640" s="1"/>
      <c r="D640" s="1"/>
    </row>
    <row r="641" spans="1:4" ht="14.25" customHeight="1">
      <c r="A641" s="1"/>
      <c r="B641" s="1"/>
      <c r="C641" s="1"/>
      <c r="D641" s="1"/>
    </row>
    <row r="642" spans="1:4" ht="14.25" customHeight="1">
      <c r="A642" s="1"/>
      <c r="B642" s="1"/>
      <c r="C642" s="1"/>
      <c r="D642" s="1"/>
    </row>
    <row r="643" spans="1:4" ht="14.25" customHeight="1">
      <c r="A643" s="1"/>
      <c r="B643" s="1"/>
      <c r="C643" s="1"/>
      <c r="D643" s="1"/>
    </row>
    <row r="644" spans="1:4" ht="14.25" customHeight="1">
      <c r="A644" s="1"/>
      <c r="B644" s="1"/>
      <c r="C644" s="1"/>
      <c r="D644" s="1"/>
    </row>
    <row r="645" spans="1:4" ht="14.25" customHeight="1">
      <c r="A645" s="1"/>
      <c r="B645" s="1"/>
      <c r="C645" s="1"/>
      <c r="D645" s="1"/>
    </row>
    <row r="646" spans="1:4" ht="14.25" customHeight="1">
      <c r="A646" s="1"/>
      <c r="B646" s="1"/>
      <c r="C646" s="1"/>
      <c r="D646" s="1"/>
    </row>
    <row r="647" spans="1:4" ht="14.25" customHeight="1">
      <c r="A647" s="1"/>
      <c r="B647" s="1"/>
      <c r="C647" s="1"/>
      <c r="D647" s="1"/>
    </row>
    <row r="648" spans="1:4" ht="14.25" customHeight="1">
      <c r="A648" s="1"/>
      <c r="B648" s="1"/>
      <c r="C648" s="1"/>
      <c r="D648" s="1"/>
    </row>
    <row r="649" spans="1:4" ht="14.25" customHeight="1">
      <c r="A649" s="1"/>
      <c r="B649" s="1"/>
      <c r="C649" s="1"/>
      <c r="D649" s="1"/>
    </row>
    <row r="650" spans="1:4" ht="14.25" customHeight="1">
      <c r="A650" s="1"/>
      <c r="B650" s="1"/>
      <c r="C650" s="1"/>
      <c r="D650" s="1"/>
    </row>
    <row r="651" spans="1:4" ht="14.25" customHeight="1">
      <c r="A651" s="1"/>
      <c r="B651" s="1"/>
      <c r="C651" s="1"/>
      <c r="D651" s="1"/>
    </row>
    <row r="652" spans="1:4" ht="14.25" customHeight="1">
      <c r="A652" s="1"/>
      <c r="B652" s="1"/>
      <c r="C652" s="1"/>
      <c r="D652" s="1"/>
    </row>
    <row r="653" spans="1:4" ht="14.25" customHeight="1">
      <c r="A653" s="1"/>
      <c r="B653" s="1"/>
      <c r="C653" s="1"/>
      <c r="D653" s="1"/>
    </row>
    <row r="654" spans="1:4" ht="14.25" customHeight="1">
      <c r="A654" s="1"/>
      <c r="B654" s="1"/>
      <c r="C654" s="1"/>
      <c r="D654" s="1"/>
    </row>
    <row r="655" spans="1:4" ht="14.25" customHeight="1">
      <c r="A655" s="1"/>
      <c r="B655" s="1"/>
      <c r="C655" s="1"/>
      <c r="D655" s="1"/>
    </row>
    <row r="656" spans="1:4" ht="14.25" customHeight="1">
      <c r="A656" s="1"/>
      <c r="B656" s="1"/>
      <c r="C656" s="1"/>
      <c r="D656" s="1"/>
    </row>
    <row r="657" spans="1:4" ht="14.25" customHeight="1">
      <c r="A657" s="1"/>
      <c r="B657" s="1"/>
      <c r="C657" s="1"/>
      <c r="D657" s="1"/>
    </row>
    <row r="658" spans="1:4" ht="14.25" customHeight="1">
      <c r="A658" s="1"/>
      <c r="B658" s="1"/>
      <c r="C658" s="1"/>
      <c r="D658" s="1"/>
    </row>
    <row r="659" spans="1:4" ht="14.25" customHeight="1">
      <c r="A659" s="1"/>
      <c r="B659" s="1"/>
      <c r="C659" s="1"/>
      <c r="D659" s="1"/>
    </row>
    <row r="660" spans="1:4" ht="14.25" customHeight="1">
      <c r="A660" s="1"/>
      <c r="B660" s="1"/>
      <c r="C660" s="1"/>
      <c r="D660" s="1"/>
    </row>
    <row r="661" spans="1:4" ht="14.25" customHeight="1">
      <c r="A661" s="1"/>
      <c r="B661" s="1"/>
      <c r="C661" s="1"/>
      <c r="D661" s="1"/>
    </row>
    <row r="662" spans="1:4" ht="14.25" customHeight="1">
      <c r="A662" s="1"/>
      <c r="B662" s="1"/>
      <c r="C662" s="1"/>
      <c r="D662" s="1"/>
    </row>
    <row r="663" spans="1:4" ht="14.25" customHeight="1">
      <c r="A663" s="1"/>
      <c r="B663" s="1"/>
      <c r="C663" s="1"/>
      <c r="D663" s="1"/>
    </row>
    <row r="664" spans="1:4" ht="14.25" customHeight="1">
      <c r="A664" s="1"/>
      <c r="B664" s="1"/>
      <c r="C664" s="1"/>
      <c r="D664" s="1"/>
    </row>
    <row r="665" spans="1:4" ht="14.25" customHeight="1">
      <c r="A665" s="1"/>
      <c r="B665" s="1"/>
      <c r="C665" s="1"/>
      <c r="D665" s="1"/>
    </row>
    <row r="666" spans="1:4" ht="14.25" customHeight="1">
      <c r="A666" s="1"/>
      <c r="B666" s="1"/>
      <c r="C666" s="1"/>
      <c r="D666" s="1"/>
    </row>
    <row r="667" spans="1:4" ht="14.25" customHeight="1">
      <c r="A667" s="1"/>
      <c r="B667" s="1"/>
      <c r="C667" s="1"/>
      <c r="D667" s="1"/>
    </row>
    <row r="668" spans="1:4" ht="14.25" customHeight="1">
      <c r="A668" s="1"/>
      <c r="B668" s="1"/>
      <c r="C668" s="1"/>
      <c r="D668" s="1"/>
    </row>
    <row r="669" spans="1:4" ht="14.25" customHeight="1">
      <c r="A669" s="1"/>
      <c r="B669" s="1"/>
      <c r="C669" s="1"/>
      <c r="D669" s="1"/>
    </row>
    <row r="670" spans="1:4" ht="14.25" customHeight="1">
      <c r="A670" s="1"/>
      <c r="B670" s="1"/>
      <c r="C670" s="1"/>
      <c r="D670" s="1"/>
    </row>
    <row r="671" spans="1:4" ht="14.25" customHeight="1">
      <c r="A671" s="1"/>
      <c r="B671" s="1"/>
      <c r="C671" s="1"/>
      <c r="D671" s="1"/>
    </row>
    <row r="672" spans="1:4" ht="14.25" customHeight="1">
      <c r="A672" s="1"/>
      <c r="B672" s="1"/>
      <c r="C672" s="1"/>
      <c r="D672" s="1"/>
    </row>
    <row r="673" spans="1:4" ht="14.25" customHeight="1">
      <c r="A673" s="1"/>
      <c r="B673" s="1"/>
      <c r="C673" s="1"/>
      <c r="D673" s="1"/>
    </row>
    <row r="674" spans="1:4" ht="14.25" customHeight="1">
      <c r="A674" s="1"/>
      <c r="B674" s="1"/>
      <c r="C674" s="1"/>
      <c r="D674" s="1"/>
    </row>
    <row r="675" spans="1:4" ht="14.25" customHeight="1">
      <c r="A675" s="1"/>
      <c r="B675" s="1"/>
      <c r="C675" s="1"/>
      <c r="D675" s="1"/>
    </row>
    <row r="676" spans="1:4" ht="14.25" customHeight="1">
      <c r="A676" s="1"/>
      <c r="B676" s="1"/>
      <c r="C676" s="1"/>
      <c r="D676" s="1"/>
    </row>
    <row r="677" spans="1:4" ht="14.25" customHeight="1">
      <c r="A677" s="1"/>
      <c r="B677" s="1"/>
      <c r="C677" s="1"/>
      <c r="D677" s="1"/>
    </row>
    <row r="678" spans="1:4" ht="14.25" customHeight="1">
      <c r="A678" s="1"/>
      <c r="B678" s="1"/>
      <c r="C678" s="1"/>
      <c r="D678" s="1"/>
    </row>
    <row r="679" spans="1:4" ht="14.25" customHeight="1">
      <c r="A679" s="1"/>
      <c r="B679" s="1"/>
      <c r="C679" s="1"/>
      <c r="D679" s="1"/>
    </row>
    <row r="680" spans="1:4" ht="14.25" customHeight="1">
      <c r="A680" s="1"/>
      <c r="B680" s="1"/>
      <c r="C680" s="1"/>
      <c r="D680" s="1"/>
    </row>
    <row r="681" spans="1:4" ht="14.25" customHeight="1">
      <c r="A681" s="1"/>
      <c r="B681" s="1"/>
      <c r="C681" s="1"/>
      <c r="D681" s="1"/>
    </row>
    <row r="682" spans="1:4" ht="14.25" customHeight="1">
      <c r="A682" s="1"/>
      <c r="B682" s="1"/>
      <c r="C682" s="1"/>
      <c r="D682" s="1"/>
    </row>
    <row r="683" spans="1:4" ht="14.25" customHeight="1">
      <c r="A683" s="1"/>
      <c r="B683" s="1"/>
      <c r="C683" s="1"/>
      <c r="D683" s="1"/>
    </row>
    <row r="684" spans="1:4" ht="14.25" customHeight="1">
      <c r="A684" s="1"/>
      <c r="B684" s="1"/>
      <c r="C684" s="1"/>
      <c r="D684" s="1"/>
    </row>
    <row r="685" spans="1:4" ht="14.25" customHeight="1">
      <c r="A685" s="1"/>
      <c r="B685" s="1"/>
      <c r="C685" s="1"/>
      <c r="D685" s="1"/>
    </row>
    <row r="686" spans="1:4" ht="14.25" customHeight="1">
      <c r="A686" s="1"/>
      <c r="B686" s="1"/>
      <c r="C686" s="1"/>
      <c r="D686" s="1"/>
    </row>
    <row r="687" spans="1:4" ht="14.25" customHeight="1">
      <c r="A687" s="1"/>
      <c r="B687" s="1"/>
      <c r="C687" s="1"/>
      <c r="D687" s="1"/>
    </row>
    <row r="688" spans="1:4" ht="14.25" customHeight="1">
      <c r="A688" s="1"/>
      <c r="B688" s="1"/>
      <c r="C688" s="1"/>
      <c r="D688" s="1"/>
    </row>
    <row r="689" spans="1:4" ht="14.25" customHeight="1">
      <c r="A689" s="1"/>
      <c r="B689" s="1"/>
      <c r="C689" s="1"/>
      <c r="D689" s="1"/>
    </row>
    <row r="690" spans="1:4" ht="14.25" customHeight="1">
      <c r="A690" s="1"/>
      <c r="B690" s="1"/>
      <c r="C690" s="1"/>
      <c r="D690" s="1"/>
    </row>
    <row r="691" spans="1:4" ht="14.25" customHeight="1">
      <c r="A691" s="1"/>
      <c r="B691" s="1"/>
      <c r="C691" s="1"/>
      <c r="D691" s="1"/>
    </row>
    <row r="692" spans="1:4" ht="14.25" customHeight="1">
      <c r="A692" s="1"/>
      <c r="B692" s="1"/>
      <c r="C692" s="1"/>
      <c r="D692" s="1"/>
    </row>
    <row r="693" spans="1:4" ht="14.25" customHeight="1">
      <c r="A693" s="1"/>
      <c r="B693" s="1"/>
      <c r="C693" s="1"/>
      <c r="D693" s="1"/>
    </row>
    <row r="694" spans="1:4" ht="14.25" customHeight="1">
      <c r="A694" s="1"/>
      <c r="B694" s="1"/>
      <c r="C694" s="1"/>
      <c r="D694" s="1"/>
    </row>
    <row r="695" spans="1:4" ht="14.25" customHeight="1">
      <c r="A695" s="1"/>
      <c r="B695" s="1"/>
      <c r="C695" s="1"/>
      <c r="D695" s="1"/>
    </row>
    <row r="696" spans="1:4" ht="14.25" customHeight="1">
      <c r="A696" s="1"/>
      <c r="B696" s="1"/>
      <c r="C696" s="1"/>
      <c r="D696" s="1"/>
    </row>
    <row r="697" spans="1:4" ht="14.25" customHeight="1">
      <c r="A697" s="1"/>
      <c r="B697" s="1"/>
      <c r="C697" s="1"/>
      <c r="D697" s="1"/>
    </row>
    <row r="698" spans="1:4" ht="14.25" customHeight="1">
      <c r="A698" s="1"/>
      <c r="B698" s="1"/>
      <c r="C698" s="1"/>
      <c r="D698" s="1"/>
    </row>
    <row r="699" spans="1:4" ht="14.25" customHeight="1">
      <c r="A699" s="1"/>
      <c r="B699" s="1"/>
      <c r="C699" s="1"/>
      <c r="D699" s="1"/>
    </row>
    <row r="700" spans="1:4" ht="14.25" customHeight="1">
      <c r="A700" s="1"/>
      <c r="B700" s="1"/>
      <c r="C700" s="1"/>
      <c r="D700" s="1"/>
    </row>
    <row r="701" spans="1:4" ht="14.25" customHeight="1">
      <c r="A701" s="1"/>
      <c r="B701" s="1"/>
      <c r="C701" s="1"/>
      <c r="D701" s="1"/>
    </row>
    <row r="702" spans="1:4" ht="14.25" customHeight="1">
      <c r="A702" s="1"/>
      <c r="B702" s="1"/>
      <c r="C702" s="1"/>
      <c r="D702" s="1"/>
    </row>
    <row r="703" spans="1:4" ht="14.25" customHeight="1">
      <c r="A703" s="1"/>
      <c r="B703" s="1"/>
      <c r="C703" s="1"/>
      <c r="D703" s="1"/>
    </row>
    <row r="704" spans="1:4" ht="14.25" customHeight="1">
      <c r="A704" s="1"/>
      <c r="B704" s="1"/>
      <c r="C704" s="1"/>
      <c r="D704" s="1"/>
    </row>
    <row r="705" spans="1:4" ht="14.25" customHeight="1">
      <c r="A705" s="1"/>
      <c r="B705" s="1"/>
      <c r="C705" s="1"/>
      <c r="D705" s="1"/>
    </row>
    <row r="706" spans="1:4" ht="14.25" customHeight="1">
      <c r="A706" s="1"/>
      <c r="B706" s="1"/>
      <c r="C706" s="1"/>
      <c r="D706" s="1"/>
    </row>
    <row r="707" spans="1:4" ht="14.25" customHeight="1">
      <c r="A707" s="1"/>
      <c r="B707" s="1"/>
      <c r="C707" s="1"/>
      <c r="D707" s="1"/>
    </row>
    <row r="708" spans="1:4" ht="14.25" customHeight="1">
      <c r="A708" s="1"/>
      <c r="B708" s="1"/>
      <c r="C708" s="1"/>
      <c r="D708" s="1"/>
    </row>
    <row r="709" spans="1:4" ht="14.25" customHeight="1">
      <c r="A709" s="1"/>
      <c r="B709" s="1"/>
      <c r="C709" s="1"/>
      <c r="D709" s="1"/>
    </row>
    <row r="710" spans="1:4" ht="14.25" customHeight="1">
      <c r="A710" s="1"/>
      <c r="B710" s="1"/>
      <c r="C710" s="1"/>
      <c r="D710" s="1"/>
    </row>
    <row r="711" spans="1:4" ht="14.25" customHeight="1">
      <c r="A711" s="1"/>
      <c r="B711" s="1"/>
      <c r="C711" s="1"/>
      <c r="D711" s="1"/>
    </row>
    <row r="712" spans="1:4" ht="14.25" customHeight="1">
      <c r="A712" s="1"/>
      <c r="B712" s="1"/>
      <c r="C712" s="1"/>
      <c r="D712" s="1"/>
    </row>
    <row r="713" spans="1:4" ht="14.25" customHeight="1">
      <c r="A713" s="1"/>
      <c r="B713" s="1"/>
      <c r="C713" s="1"/>
      <c r="D713" s="1"/>
    </row>
    <row r="714" spans="1:4" ht="14.25" customHeight="1">
      <c r="A714" s="1"/>
      <c r="B714" s="1"/>
      <c r="C714" s="1"/>
      <c r="D714" s="1"/>
    </row>
    <row r="715" spans="1:4" ht="14.25" customHeight="1">
      <c r="A715" s="1"/>
      <c r="B715" s="1"/>
      <c r="C715" s="1"/>
      <c r="D715" s="1"/>
    </row>
    <row r="716" spans="1:4" ht="14.25" customHeight="1">
      <c r="A716" s="1"/>
      <c r="B716" s="1"/>
      <c r="C716" s="1"/>
      <c r="D716" s="1"/>
    </row>
    <row r="717" spans="1:4" ht="14.25" customHeight="1">
      <c r="A717" s="1"/>
      <c r="B717" s="1"/>
      <c r="C717" s="1"/>
      <c r="D717" s="1"/>
    </row>
    <row r="718" spans="1:4" ht="14.25" customHeight="1">
      <c r="A718" s="1"/>
      <c r="B718" s="1"/>
      <c r="C718" s="1"/>
      <c r="D718" s="1"/>
    </row>
    <row r="719" spans="1:4" ht="14.25" customHeight="1">
      <c r="A719" s="1"/>
      <c r="B719" s="1"/>
      <c r="C719" s="1"/>
      <c r="D719" s="1"/>
    </row>
    <row r="720" spans="1:4" ht="14.25" customHeight="1">
      <c r="A720" s="1"/>
      <c r="B720" s="1"/>
      <c r="C720" s="1"/>
      <c r="D720" s="1"/>
    </row>
    <row r="721" spans="1:4" ht="14.25" customHeight="1">
      <c r="A721" s="1"/>
      <c r="B721" s="1"/>
      <c r="C721" s="1"/>
      <c r="D721" s="1"/>
    </row>
    <row r="722" spans="1:4" ht="14.25" customHeight="1">
      <c r="A722" s="1"/>
      <c r="B722" s="1"/>
      <c r="C722" s="1"/>
      <c r="D722" s="1"/>
    </row>
    <row r="723" spans="1:4" ht="14.25" customHeight="1">
      <c r="A723" s="1"/>
      <c r="B723" s="1"/>
      <c r="C723" s="1"/>
      <c r="D723" s="1"/>
    </row>
    <row r="724" spans="1:4" ht="14.25" customHeight="1">
      <c r="A724" s="1"/>
      <c r="B724" s="1"/>
      <c r="C724" s="1"/>
      <c r="D724" s="1"/>
    </row>
    <row r="725" spans="1:4" ht="14.25" customHeight="1">
      <c r="A725" s="1"/>
      <c r="B725" s="1"/>
      <c r="C725" s="1"/>
      <c r="D725" s="1"/>
    </row>
    <row r="726" spans="1:4" ht="14.25" customHeight="1">
      <c r="A726" s="1"/>
      <c r="B726" s="1"/>
      <c r="C726" s="1"/>
      <c r="D726" s="1"/>
    </row>
    <row r="727" spans="1:4" ht="14.25" customHeight="1">
      <c r="A727" s="1"/>
      <c r="B727" s="1"/>
      <c r="C727" s="1"/>
      <c r="D727" s="1"/>
    </row>
    <row r="728" spans="1:4" ht="14.25" customHeight="1">
      <c r="A728" s="1"/>
      <c r="B728" s="1"/>
      <c r="C728" s="1"/>
      <c r="D728" s="1"/>
    </row>
    <row r="729" spans="1:4" ht="14.25" customHeight="1">
      <c r="A729" s="1"/>
      <c r="B729" s="1"/>
      <c r="C729" s="1"/>
      <c r="D729" s="1"/>
    </row>
    <row r="730" spans="1:4" ht="14.25" customHeight="1">
      <c r="A730" s="1"/>
      <c r="B730" s="1"/>
      <c r="C730" s="1"/>
      <c r="D730" s="1"/>
    </row>
    <row r="731" spans="1:4" ht="14.25" customHeight="1">
      <c r="A731" s="1"/>
      <c r="B731" s="1"/>
      <c r="C731" s="1"/>
      <c r="D731" s="1"/>
    </row>
    <row r="732" spans="1:4" ht="14.25" customHeight="1">
      <c r="A732" s="1"/>
      <c r="B732" s="1"/>
      <c r="C732" s="1"/>
      <c r="D732" s="1"/>
    </row>
    <row r="733" spans="1:4" ht="14.25" customHeight="1">
      <c r="A733" s="1"/>
      <c r="B733" s="1"/>
      <c r="C733" s="1"/>
      <c r="D733" s="1"/>
    </row>
    <row r="734" spans="1:4" ht="14.25" customHeight="1">
      <c r="A734" s="1"/>
      <c r="B734" s="1"/>
      <c r="C734" s="1"/>
      <c r="D734" s="1"/>
    </row>
    <row r="735" spans="1:4" ht="14.25" customHeight="1">
      <c r="A735" s="1"/>
      <c r="B735" s="1"/>
      <c r="C735" s="1"/>
      <c r="D735" s="1"/>
    </row>
    <row r="736" spans="1:4" ht="14.25" customHeight="1">
      <c r="A736" s="1"/>
      <c r="B736" s="1"/>
      <c r="C736" s="1"/>
      <c r="D736" s="1"/>
    </row>
    <row r="737" spans="1:4" ht="14.25" customHeight="1">
      <c r="A737" s="1"/>
      <c r="B737" s="1"/>
      <c r="C737" s="1"/>
      <c r="D737" s="1"/>
    </row>
    <row r="738" spans="1:4" ht="14.25" customHeight="1">
      <c r="A738" s="1"/>
      <c r="B738" s="1"/>
      <c r="C738" s="1"/>
      <c r="D738" s="1"/>
    </row>
    <row r="739" spans="1:4" ht="14.25" customHeight="1">
      <c r="A739" s="1"/>
      <c r="B739" s="1"/>
      <c r="C739" s="1"/>
      <c r="D739" s="1"/>
    </row>
    <row r="740" spans="1:4" ht="14.25" customHeight="1">
      <c r="A740" s="1"/>
      <c r="B740" s="1"/>
      <c r="C740" s="1"/>
      <c r="D740" s="1"/>
    </row>
    <row r="741" spans="1:4" ht="14.25" customHeight="1">
      <c r="A741" s="1"/>
      <c r="B741" s="1"/>
      <c r="C741" s="1"/>
      <c r="D741" s="1"/>
    </row>
    <row r="742" spans="1:4" ht="14.25" customHeight="1">
      <c r="A742" s="1"/>
      <c r="B742" s="1"/>
      <c r="C742" s="1"/>
      <c r="D742" s="1"/>
    </row>
    <row r="743" spans="1:4" ht="14.25" customHeight="1">
      <c r="A743" s="1"/>
      <c r="B743" s="1"/>
      <c r="C743" s="1"/>
      <c r="D743" s="1"/>
    </row>
    <row r="744" spans="1:4" ht="14.25" customHeight="1">
      <c r="A744" s="1"/>
      <c r="B744" s="1"/>
      <c r="C744" s="1"/>
      <c r="D744" s="1"/>
    </row>
    <row r="745" spans="1:4" ht="14.25" customHeight="1">
      <c r="A745" s="1"/>
      <c r="B745" s="1"/>
      <c r="C745" s="1"/>
      <c r="D745" s="1"/>
    </row>
    <row r="746" spans="1:4" ht="14.25" customHeight="1">
      <c r="A746" s="1"/>
      <c r="B746" s="1"/>
      <c r="C746" s="1"/>
      <c r="D746" s="1"/>
    </row>
    <row r="747" spans="1:4" ht="14.25" customHeight="1">
      <c r="A747" s="1"/>
      <c r="B747" s="1"/>
      <c r="C747" s="1"/>
      <c r="D747" s="1"/>
    </row>
    <row r="748" spans="1:4" ht="14.25" customHeight="1">
      <c r="A748" s="1"/>
      <c r="B748" s="1"/>
      <c r="C748" s="1"/>
      <c r="D748" s="1"/>
    </row>
    <row r="749" spans="1:4" ht="14.25" customHeight="1">
      <c r="A749" s="1"/>
      <c r="B749" s="1"/>
      <c r="C749" s="1"/>
      <c r="D749" s="1"/>
    </row>
    <row r="750" spans="1:4" ht="14.25" customHeight="1">
      <c r="A750" s="1"/>
      <c r="B750" s="1"/>
      <c r="C750" s="1"/>
      <c r="D750" s="1"/>
    </row>
    <row r="751" spans="1:4" ht="14.25" customHeight="1">
      <c r="A751" s="1"/>
      <c r="B751" s="1"/>
      <c r="C751" s="1"/>
      <c r="D751" s="1"/>
    </row>
    <row r="752" spans="1:4" ht="14.25" customHeight="1">
      <c r="A752" s="1"/>
      <c r="B752" s="1"/>
      <c r="C752" s="1"/>
      <c r="D752" s="1"/>
    </row>
    <row r="753" spans="1:4" ht="14.25" customHeight="1">
      <c r="A753" s="1"/>
      <c r="B753" s="1"/>
      <c r="C753" s="1"/>
      <c r="D753" s="1"/>
    </row>
    <row r="754" spans="1:4" ht="14.25" customHeight="1">
      <c r="A754" s="1"/>
      <c r="B754" s="1"/>
      <c r="C754" s="1"/>
      <c r="D754" s="1"/>
    </row>
    <row r="755" spans="1:4" ht="14.25" customHeight="1">
      <c r="A755" s="1"/>
      <c r="B755" s="1"/>
      <c r="C755" s="1"/>
      <c r="D755" s="1"/>
    </row>
    <row r="756" spans="1:4" ht="14.25" customHeight="1">
      <c r="A756" s="1"/>
      <c r="B756" s="1"/>
      <c r="C756" s="1"/>
      <c r="D756" s="1"/>
    </row>
    <row r="757" spans="1:4" ht="14.25" customHeight="1">
      <c r="A757" s="1"/>
      <c r="B757" s="1"/>
      <c r="C757" s="1"/>
      <c r="D757" s="1"/>
    </row>
    <row r="758" spans="1:4" ht="14.25" customHeight="1">
      <c r="A758" s="1"/>
      <c r="B758" s="1"/>
      <c r="C758" s="1"/>
      <c r="D758" s="1"/>
    </row>
    <row r="759" spans="1:4" ht="14.25" customHeight="1">
      <c r="A759" s="1"/>
      <c r="B759" s="1"/>
      <c r="C759" s="1"/>
      <c r="D759" s="1"/>
    </row>
    <row r="760" spans="1:4" ht="14.25" customHeight="1">
      <c r="A760" s="1"/>
      <c r="B760" s="1"/>
      <c r="C760" s="1"/>
      <c r="D760" s="1"/>
    </row>
    <row r="761" spans="1:4" ht="14.25" customHeight="1">
      <c r="A761" s="1"/>
      <c r="B761" s="1"/>
      <c r="C761" s="1"/>
      <c r="D761" s="1"/>
    </row>
    <row r="762" spans="1:4" ht="14.25" customHeight="1">
      <c r="A762" s="1"/>
      <c r="B762" s="1"/>
      <c r="C762" s="1"/>
      <c r="D762" s="1"/>
    </row>
    <row r="763" spans="1:4" ht="14.25" customHeight="1">
      <c r="A763" s="1"/>
      <c r="B763" s="1"/>
      <c r="C763" s="1"/>
      <c r="D763" s="1"/>
    </row>
    <row r="764" spans="1:4" ht="14.25" customHeight="1">
      <c r="A764" s="1"/>
      <c r="B764" s="1"/>
      <c r="C764" s="1"/>
      <c r="D764" s="1"/>
    </row>
    <row r="765" spans="1:4" ht="14.25" customHeight="1">
      <c r="A765" s="1"/>
      <c r="B765" s="1"/>
      <c r="C765" s="1"/>
      <c r="D765" s="1"/>
    </row>
    <row r="766" spans="1:4" ht="14.25" customHeight="1">
      <c r="A766" s="1"/>
      <c r="B766" s="1"/>
      <c r="C766" s="1"/>
      <c r="D766" s="1"/>
    </row>
    <row r="767" spans="1:4" ht="14.25" customHeight="1">
      <c r="A767" s="1"/>
      <c r="B767" s="1"/>
      <c r="C767" s="1"/>
      <c r="D767" s="1"/>
    </row>
    <row r="768" spans="1:4" ht="14.25" customHeight="1">
      <c r="A768" s="1"/>
      <c r="B768" s="1"/>
      <c r="C768" s="1"/>
      <c r="D768" s="1"/>
    </row>
    <row r="769" spans="1:4" ht="14.25" customHeight="1">
      <c r="A769" s="1"/>
      <c r="B769" s="1"/>
      <c r="C769" s="1"/>
      <c r="D769" s="1"/>
    </row>
    <row r="770" spans="1:4" ht="14.25" customHeight="1">
      <c r="A770" s="1"/>
      <c r="B770" s="1"/>
      <c r="C770" s="1"/>
      <c r="D770" s="1"/>
    </row>
    <row r="771" spans="1:4" ht="14.25" customHeight="1">
      <c r="A771" s="1"/>
      <c r="B771" s="1"/>
      <c r="C771" s="1"/>
      <c r="D771" s="1"/>
    </row>
    <row r="772" spans="1:4" ht="14.25" customHeight="1">
      <c r="A772" s="1"/>
      <c r="B772" s="1"/>
      <c r="C772" s="1"/>
      <c r="D772" s="1"/>
    </row>
    <row r="773" spans="1:4" ht="14.25" customHeight="1">
      <c r="A773" s="1"/>
      <c r="B773" s="1"/>
      <c r="C773" s="1"/>
      <c r="D773" s="1"/>
    </row>
    <row r="774" spans="1:4" ht="14.25" customHeight="1">
      <c r="A774" s="1"/>
      <c r="B774" s="1"/>
      <c r="C774" s="1"/>
      <c r="D774" s="1"/>
    </row>
    <row r="775" spans="1:4" ht="14.25" customHeight="1">
      <c r="A775" s="1"/>
      <c r="B775" s="1"/>
      <c r="C775" s="1"/>
      <c r="D775" s="1"/>
    </row>
    <row r="776" spans="1:4" ht="14.25" customHeight="1">
      <c r="A776" s="1"/>
      <c r="B776" s="1"/>
      <c r="C776" s="1"/>
      <c r="D776" s="1"/>
    </row>
    <row r="777" spans="1:4" ht="14.25" customHeight="1">
      <c r="A777" s="1"/>
      <c r="B777" s="1"/>
      <c r="C777" s="1"/>
      <c r="D777" s="1"/>
    </row>
    <row r="778" spans="1:4" ht="14.25" customHeight="1">
      <c r="A778" s="1"/>
      <c r="B778" s="1"/>
      <c r="C778" s="1"/>
      <c r="D778" s="1"/>
    </row>
    <row r="779" spans="1:4" ht="14.25" customHeight="1">
      <c r="A779" s="1"/>
      <c r="B779" s="1"/>
      <c r="C779" s="1"/>
      <c r="D779" s="1"/>
    </row>
    <row r="780" spans="1:4" ht="14.25" customHeight="1">
      <c r="A780" s="1"/>
      <c r="B780" s="1"/>
      <c r="C780" s="1"/>
      <c r="D780" s="1"/>
    </row>
    <row r="781" spans="1:4" ht="14.25" customHeight="1">
      <c r="A781" s="1"/>
      <c r="B781" s="1"/>
      <c r="C781" s="1"/>
      <c r="D781" s="1"/>
    </row>
    <row r="782" spans="1:4" ht="14.25" customHeight="1">
      <c r="A782" s="1"/>
      <c r="B782" s="1"/>
      <c r="C782" s="1"/>
      <c r="D782" s="1"/>
    </row>
    <row r="783" spans="1:4" ht="14.25" customHeight="1">
      <c r="A783" s="1"/>
      <c r="B783" s="1"/>
      <c r="C783" s="1"/>
      <c r="D783" s="1"/>
    </row>
    <row r="784" spans="1:4" ht="14.25" customHeight="1">
      <c r="A784" s="1"/>
      <c r="B784" s="1"/>
      <c r="C784" s="1"/>
      <c r="D784" s="1"/>
    </row>
    <row r="785" spans="1:4" ht="14.25" customHeight="1">
      <c r="A785" s="1"/>
      <c r="B785" s="1"/>
      <c r="C785" s="1"/>
      <c r="D785" s="1"/>
    </row>
    <row r="786" spans="1:4" ht="14.25" customHeight="1">
      <c r="A786" s="1"/>
      <c r="B786" s="1"/>
      <c r="C786" s="1"/>
      <c r="D786" s="1"/>
    </row>
    <row r="787" spans="1:4" ht="14.25" customHeight="1">
      <c r="A787" s="1"/>
      <c r="B787" s="1"/>
      <c r="C787" s="1"/>
      <c r="D787" s="1"/>
    </row>
    <row r="788" spans="1:4" ht="14.25" customHeight="1">
      <c r="A788" s="1"/>
      <c r="B788" s="1"/>
      <c r="C788" s="1"/>
      <c r="D788" s="1"/>
    </row>
    <row r="789" spans="1:4" ht="14.25" customHeight="1">
      <c r="A789" s="1"/>
      <c r="B789" s="1"/>
      <c r="C789" s="1"/>
      <c r="D789" s="1"/>
    </row>
    <row r="790" spans="1:4" ht="14.25" customHeight="1">
      <c r="A790" s="1"/>
      <c r="B790" s="1"/>
      <c r="C790" s="1"/>
      <c r="D790" s="1"/>
    </row>
    <row r="791" spans="1:4" ht="14.25" customHeight="1">
      <c r="A791" s="1"/>
      <c r="B791" s="1"/>
      <c r="C791" s="1"/>
      <c r="D791" s="1"/>
    </row>
    <row r="792" spans="1:4" ht="14.25" customHeight="1">
      <c r="A792" s="1"/>
      <c r="B792" s="1"/>
      <c r="C792" s="1"/>
      <c r="D792" s="1"/>
    </row>
    <row r="793" spans="1:4" ht="14.25" customHeight="1">
      <c r="A793" s="1"/>
      <c r="B793" s="1"/>
      <c r="C793" s="1"/>
      <c r="D793" s="1"/>
    </row>
    <row r="794" spans="1:4" ht="14.25" customHeight="1">
      <c r="A794" s="1"/>
      <c r="B794" s="1"/>
      <c r="C794" s="1"/>
      <c r="D794" s="1"/>
    </row>
    <row r="795" spans="1:4" ht="14.25" customHeight="1">
      <c r="A795" s="1"/>
      <c r="B795" s="1"/>
      <c r="C795" s="1"/>
      <c r="D795" s="1"/>
    </row>
    <row r="796" spans="1:4" ht="14.25" customHeight="1">
      <c r="A796" s="1"/>
      <c r="B796" s="1"/>
      <c r="C796" s="1"/>
      <c r="D796" s="1"/>
    </row>
    <row r="797" spans="1:4" ht="14.25" customHeight="1">
      <c r="A797" s="1"/>
      <c r="B797" s="1"/>
      <c r="C797" s="1"/>
      <c r="D797" s="1"/>
    </row>
    <row r="798" spans="1:4" ht="14.25" customHeight="1">
      <c r="A798" s="1"/>
      <c r="B798" s="1"/>
      <c r="C798" s="1"/>
      <c r="D798" s="1"/>
    </row>
    <row r="799" spans="1:4" ht="14.25" customHeight="1">
      <c r="A799" s="1"/>
      <c r="B799" s="1"/>
      <c r="C799" s="1"/>
      <c r="D799" s="1"/>
    </row>
    <row r="800" spans="1:4" ht="14.25" customHeight="1">
      <c r="A800" s="1"/>
      <c r="B800" s="1"/>
      <c r="C800" s="1"/>
      <c r="D800" s="1"/>
    </row>
    <row r="801" spans="1:4" ht="14.25" customHeight="1">
      <c r="A801" s="1"/>
      <c r="B801" s="1"/>
      <c r="C801" s="1"/>
      <c r="D801" s="1"/>
    </row>
    <row r="802" spans="1:4" ht="14.25" customHeight="1">
      <c r="A802" s="1"/>
      <c r="B802" s="1"/>
      <c r="C802" s="1"/>
      <c r="D802" s="1"/>
    </row>
    <row r="803" spans="1:4" ht="14.25" customHeight="1">
      <c r="A803" s="1"/>
      <c r="B803" s="1"/>
      <c r="C803" s="1"/>
      <c r="D803" s="1"/>
    </row>
    <row r="804" spans="1:4" ht="14.25" customHeight="1">
      <c r="A804" s="1"/>
      <c r="B804" s="1"/>
      <c r="C804" s="1"/>
      <c r="D804" s="1"/>
    </row>
    <row r="805" spans="1:4" ht="14.25" customHeight="1">
      <c r="A805" s="1"/>
      <c r="B805" s="1"/>
      <c r="C805" s="1"/>
      <c r="D805" s="1"/>
    </row>
    <row r="806" spans="1:4" ht="14.25" customHeight="1">
      <c r="A806" s="1"/>
      <c r="B806" s="1"/>
      <c r="C806" s="1"/>
      <c r="D806" s="1"/>
    </row>
    <row r="807" spans="1:4" ht="14.25" customHeight="1">
      <c r="A807" s="1"/>
      <c r="B807" s="1"/>
      <c r="C807" s="1"/>
      <c r="D807" s="1"/>
    </row>
    <row r="808" spans="1:4" ht="14.25" customHeight="1">
      <c r="A808" s="1"/>
      <c r="B808" s="1"/>
      <c r="C808" s="1"/>
      <c r="D808" s="1"/>
    </row>
    <row r="809" spans="1:4" ht="14.25" customHeight="1">
      <c r="A809" s="1"/>
      <c r="B809" s="1"/>
      <c r="C809" s="1"/>
      <c r="D809" s="1"/>
    </row>
    <row r="810" spans="1:4" ht="14.25" customHeight="1">
      <c r="A810" s="1"/>
      <c r="B810" s="1"/>
      <c r="C810" s="1"/>
      <c r="D810" s="1"/>
    </row>
    <row r="811" spans="1:4" ht="14.25" customHeight="1">
      <c r="A811" s="1"/>
      <c r="B811" s="1"/>
      <c r="C811" s="1"/>
      <c r="D811" s="1"/>
    </row>
    <row r="812" spans="1:4" ht="14.25" customHeight="1">
      <c r="A812" s="1"/>
      <c r="B812" s="1"/>
      <c r="C812" s="1"/>
      <c r="D812" s="1"/>
    </row>
    <row r="813" spans="1:4" ht="14.25" customHeight="1">
      <c r="A813" s="1"/>
      <c r="B813" s="1"/>
      <c r="C813" s="1"/>
      <c r="D813" s="1"/>
    </row>
    <row r="814" spans="1:4" ht="14.25" customHeight="1">
      <c r="A814" s="1"/>
      <c r="B814" s="1"/>
      <c r="C814" s="1"/>
      <c r="D814" s="1"/>
    </row>
    <row r="815" spans="1:4" ht="14.25" customHeight="1">
      <c r="A815" s="1"/>
      <c r="B815" s="1"/>
      <c r="C815" s="1"/>
      <c r="D815" s="1"/>
    </row>
    <row r="816" spans="1:4" ht="14.25" customHeight="1">
      <c r="A816" s="1"/>
      <c r="B816" s="1"/>
      <c r="C816" s="1"/>
      <c r="D816" s="1"/>
    </row>
    <row r="817" spans="1:4" ht="14.25" customHeight="1">
      <c r="A817" s="1"/>
      <c r="B817" s="1"/>
      <c r="C817" s="1"/>
      <c r="D817" s="1"/>
    </row>
    <row r="818" spans="1:4" ht="14.25" customHeight="1">
      <c r="A818" s="1"/>
      <c r="B818" s="1"/>
      <c r="C818" s="1"/>
      <c r="D818" s="1"/>
    </row>
    <row r="819" spans="1:4" ht="14.25" customHeight="1">
      <c r="A819" s="1"/>
      <c r="B819" s="1"/>
      <c r="C819" s="1"/>
      <c r="D819" s="1"/>
    </row>
    <row r="820" spans="1:4" ht="14.25" customHeight="1">
      <c r="A820" s="1"/>
      <c r="B820" s="1"/>
      <c r="C820" s="1"/>
      <c r="D820" s="1"/>
    </row>
    <row r="821" spans="1:4" ht="14.25" customHeight="1">
      <c r="A821" s="1"/>
      <c r="B821" s="1"/>
      <c r="C821" s="1"/>
      <c r="D821" s="1"/>
    </row>
    <row r="822" spans="1:4" ht="14.25" customHeight="1">
      <c r="A822" s="1"/>
      <c r="B822" s="1"/>
      <c r="C822" s="1"/>
      <c r="D822" s="1"/>
    </row>
    <row r="823" spans="1:4" ht="14.25" customHeight="1">
      <c r="A823" s="1"/>
      <c r="B823" s="1"/>
      <c r="C823" s="1"/>
      <c r="D823" s="1"/>
    </row>
    <row r="824" spans="1:4" ht="14.25" customHeight="1">
      <c r="A824" s="1"/>
      <c r="B824" s="1"/>
      <c r="C824" s="1"/>
      <c r="D824" s="1"/>
    </row>
    <row r="825" spans="1:4" ht="14.25" customHeight="1">
      <c r="A825" s="1"/>
      <c r="B825" s="1"/>
      <c r="C825" s="1"/>
      <c r="D825" s="1"/>
    </row>
    <row r="826" spans="1:4" ht="14.25" customHeight="1">
      <c r="A826" s="1"/>
      <c r="B826" s="1"/>
      <c r="C826" s="1"/>
      <c r="D826" s="1"/>
    </row>
    <row r="827" spans="1:4" ht="14.25" customHeight="1">
      <c r="A827" s="1"/>
      <c r="B827" s="1"/>
      <c r="C827" s="1"/>
      <c r="D827" s="1"/>
    </row>
    <row r="828" spans="1:4" ht="14.25" customHeight="1">
      <c r="A828" s="1"/>
      <c r="B828" s="1"/>
      <c r="C828" s="1"/>
      <c r="D828" s="1"/>
    </row>
    <row r="829" spans="1:4" ht="14.25" customHeight="1">
      <c r="A829" s="1"/>
      <c r="B829" s="1"/>
      <c r="C829" s="1"/>
      <c r="D829" s="1"/>
    </row>
    <row r="830" spans="1:4" ht="14.25" customHeight="1">
      <c r="A830" s="1"/>
      <c r="B830" s="1"/>
      <c r="C830" s="1"/>
      <c r="D830" s="1"/>
    </row>
    <row r="831" spans="1:4" ht="14.25" customHeight="1">
      <c r="A831" s="1"/>
      <c r="B831" s="1"/>
      <c r="C831" s="1"/>
      <c r="D831" s="1"/>
    </row>
    <row r="832" spans="1:4" ht="14.25" customHeight="1">
      <c r="A832" s="1"/>
      <c r="B832" s="1"/>
      <c r="C832" s="1"/>
      <c r="D832" s="1"/>
    </row>
    <row r="833" spans="1:4" ht="14.25" customHeight="1">
      <c r="A833" s="1"/>
      <c r="B833" s="1"/>
      <c r="C833" s="1"/>
      <c r="D833" s="1"/>
    </row>
    <row r="834" spans="1:4" ht="14.25" customHeight="1">
      <c r="A834" s="1"/>
      <c r="B834" s="1"/>
      <c r="C834" s="1"/>
      <c r="D834" s="1"/>
    </row>
    <row r="835" spans="1:4" ht="14.25" customHeight="1">
      <c r="A835" s="1"/>
      <c r="B835" s="1"/>
      <c r="C835" s="1"/>
      <c r="D835" s="1"/>
    </row>
    <row r="836" spans="1:4" ht="14.25" customHeight="1">
      <c r="A836" s="1"/>
      <c r="B836" s="1"/>
      <c r="C836" s="1"/>
      <c r="D836" s="1"/>
    </row>
    <row r="837" spans="1:4" ht="14.25" customHeight="1">
      <c r="A837" s="1"/>
      <c r="B837" s="1"/>
      <c r="C837" s="1"/>
      <c r="D837" s="1"/>
    </row>
    <row r="838" spans="1:4" ht="14.25" customHeight="1">
      <c r="A838" s="1"/>
      <c r="B838" s="1"/>
      <c r="C838" s="1"/>
      <c r="D838" s="1"/>
    </row>
    <row r="839" spans="1:4" ht="14.25" customHeight="1">
      <c r="A839" s="1"/>
      <c r="B839" s="1"/>
      <c r="C839" s="1"/>
      <c r="D839" s="1"/>
    </row>
    <row r="840" spans="1:4" ht="14.25" customHeight="1">
      <c r="A840" s="1"/>
      <c r="B840" s="1"/>
      <c r="C840" s="1"/>
      <c r="D840" s="1"/>
    </row>
    <row r="841" spans="1:4" ht="14.25" customHeight="1">
      <c r="A841" s="1"/>
      <c r="B841" s="1"/>
      <c r="C841" s="1"/>
      <c r="D841" s="1"/>
    </row>
    <row r="842" spans="1:4" ht="14.25" customHeight="1">
      <c r="A842" s="1"/>
      <c r="B842" s="1"/>
      <c r="C842" s="1"/>
      <c r="D842" s="1"/>
    </row>
    <row r="843" spans="1:4" ht="14.25" customHeight="1">
      <c r="A843" s="1"/>
      <c r="B843" s="1"/>
      <c r="C843" s="1"/>
      <c r="D843" s="1"/>
    </row>
    <row r="844" spans="1:4" ht="14.25" customHeight="1">
      <c r="A844" s="1"/>
      <c r="B844" s="1"/>
      <c r="C844" s="1"/>
      <c r="D844" s="1"/>
    </row>
    <row r="845" spans="1:4" ht="14.25" customHeight="1">
      <c r="A845" s="1"/>
      <c r="B845" s="1"/>
      <c r="C845" s="1"/>
      <c r="D845" s="1"/>
    </row>
    <row r="846" spans="1:4" ht="14.25" customHeight="1">
      <c r="A846" s="1"/>
      <c r="B846" s="1"/>
      <c r="C846" s="1"/>
      <c r="D846" s="1"/>
    </row>
    <row r="847" spans="1:4" ht="14.25" customHeight="1">
      <c r="A847" s="1"/>
      <c r="B847" s="1"/>
      <c r="C847" s="1"/>
      <c r="D847" s="1"/>
    </row>
    <row r="848" spans="1:4" ht="14.25" customHeight="1">
      <c r="A848" s="1"/>
      <c r="B848" s="1"/>
      <c r="C848" s="1"/>
      <c r="D848" s="1"/>
    </row>
    <row r="849" spans="1:4" ht="14.25" customHeight="1">
      <c r="A849" s="1"/>
      <c r="B849" s="1"/>
      <c r="C849" s="1"/>
      <c r="D849" s="1"/>
    </row>
    <row r="850" spans="1:4" ht="14.25" customHeight="1">
      <c r="A850" s="1"/>
      <c r="B850" s="1"/>
      <c r="C850" s="1"/>
      <c r="D850" s="1"/>
    </row>
    <row r="851" spans="1:4" ht="14.25" customHeight="1">
      <c r="A851" s="1"/>
      <c r="B851" s="1"/>
      <c r="C851" s="1"/>
      <c r="D851" s="1"/>
    </row>
    <row r="852" spans="1:4" ht="14.25" customHeight="1">
      <c r="A852" s="1"/>
      <c r="B852" s="1"/>
      <c r="C852" s="1"/>
      <c r="D852" s="1"/>
    </row>
    <row r="853" spans="1:4" ht="14.25" customHeight="1">
      <c r="A853" s="1"/>
      <c r="B853" s="1"/>
      <c r="C853" s="1"/>
      <c r="D853" s="1"/>
    </row>
    <row r="854" spans="1:4" ht="14.25" customHeight="1">
      <c r="A854" s="1"/>
      <c r="B854" s="1"/>
      <c r="C854" s="1"/>
      <c r="D854" s="1"/>
    </row>
    <row r="855" spans="1:4" ht="14.25" customHeight="1">
      <c r="A855" s="1"/>
      <c r="B855" s="1"/>
      <c r="C855" s="1"/>
      <c r="D855" s="1"/>
    </row>
    <row r="856" spans="1:4" ht="14.25" customHeight="1">
      <c r="A856" s="1"/>
      <c r="B856" s="1"/>
      <c r="C856" s="1"/>
      <c r="D856" s="1"/>
    </row>
    <row r="857" spans="1:4" ht="14.25" customHeight="1">
      <c r="A857" s="1"/>
      <c r="B857" s="1"/>
      <c r="C857" s="1"/>
      <c r="D857" s="1"/>
    </row>
    <row r="858" spans="1:4" ht="14.25" customHeight="1">
      <c r="A858" s="1"/>
      <c r="B858" s="1"/>
      <c r="C858" s="1"/>
      <c r="D858" s="1"/>
    </row>
    <row r="859" spans="1:4" ht="14.25" customHeight="1">
      <c r="A859" s="1"/>
      <c r="B859" s="1"/>
      <c r="C859" s="1"/>
      <c r="D859" s="1"/>
    </row>
    <row r="860" spans="1:4" ht="14.25" customHeight="1">
      <c r="A860" s="1"/>
      <c r="B860" s="1"/>
      <c r="C860" s="1"/>
      <c r="D860" s="1"/>
    </row>
    <row r="861" spans="1:4" ht="14.25" customHeight="1">
      <c r="A861" s="1"/>
      <c r="B861" s="1"/>
      <c r="C861" s="1"/>
      <c r="D861" s="1"/>
    </row>
    <row r="862" spans="1:4" ht="14.25" customHeight="1">
      <c r="A862" s="1"/>
      <c r="B862" s="1"/>
      <c r="C862" s="1"/>
      <c r="D862" s="1"/>
    </row>
    <row r="863" spans="1:4" ht="14.25" customHeight="1">
      <c r="A863" s="1"/>
      <c r="B863" s="1"/>
      <c r="C863" s="1"/>
      <c r="D863" s="1"/>
    </row>
    <row r="864" spans="1:4" ht="14.25" customHeight="1">
      <c r="A864" s="1"/>
      <c r="B864" s="1"/>
      <c r="C864" s="1"/>
      <c r="D864" s="1"/>
    </row>
    <row r="865" spans="1:4" ht="14.25" customHeight="1">
      <c r="A865" s="1"/>
      <c r="B865" s="1"/>
      <c r="C865" s="1"/>
      <c r="D865" s="1"/>
    </row>
    <row r="866" spans="1:4" ht="14.25" customHeight="1">
      <c r="A866" s="1"/>
      <c r="B866" s="1"/>
      <c r="C866" s="1"/>
      <c r="D866" s="1"/>
    </row>
    <row r="867" spans="1:4" ht="14.25" customHeight="1">
      <c r="A867" s="1"/>
      <c r="B867" s="1"/>
      <c r="C867" s="1"/>
      <c r="D867" s="1"/>
    </row>
    <row r="868" spans="1:4" ht="14.25" customHeight="1">
      <c r="A868" s="1"/>
      <c r="B868" s="1"/>
      <c r="C868" s="1"/>
      <c r="D868" s="1"/>
    </row>
    <row r="869" spans="1:4" ht="14.25" customHeight="1">
      <c r="A869" s="1"/>
      <c r="B869" s="1"/>
      <c r="C869" s="1"/>
      <c r="D869" s="1"/>
    </row>
    <row r="870" spans="1:4" ht="14.25" customHeight="1">
      <c r="A870" s="1"/>
      <c r="B870" s="1"/>
      <c r="C870" s="1"/>
      <c r="D870" s="1"/>
    </row>
    <row r="871" spans="1:4" ht="14.25" customHeight="1">
      <c r="A871" s="1"/>
      <c r="B871" s="1"/>
      <c r="C871" s="1"/>
      <c r="D871" s="1"/>
    </row>
    <row r="872" spans="1:4" ht="14.25" customHeight="1">
      <c r="A872" s="1"/>
      <c r="B872" s="1"/>
      <c r="C872" s="1"/>
      <c r="D872" s="1"/>
    </row>
    <row r="873" spans="1:4" ht="14.25" customHeight="1">
      <c r="A873" s="1"/>
      <c r="B873" s="1"/>
      <c r="C873" s="1"/>
      <c r="D873" s="1"/>
    </row>
    <row r="874" spans="1:4" ht="14.25" customHeight="1">
      <c r="A874" s="1"/>
      <c r="B874" s="1"/>
      <c r="C874" s="1"/>
      <c r="D874" s="1"/>
    </row>
    <row r="875" spans="1:4" ht="14.25" customHeight="1">
      <c r="A875" s="1"/>
      <c r="B875" s="1"/>
      <c r="C875" s="1"/>
      <c r="D875" s="1"/>
    </row>
    <row r="876" spans="1:4" ht="14.25" customHeight="1">
      <c r="A876" s="1"/>
      <c r="B876" s="1"/>
      <c r="C876" s="1"/>
      <c r="D876" s="1"/>
    </row>
    <row r="877" spans="1:4" ht="14.25" customHeight="1">
      <c r="A877" s="1"/>
      <c r="B877" s="1"/>
      <c r="C877" s="1"/>
      <c r="D877" s="1"/>
    </row>
    <row r="878" spans="1:4" ht="14.25" customHeight="1">
      <c r="A878" s="1"/>
      <c r="B878" s="1"/>
      <c r="C878" s="1"/>
      <c r="D878" s="1"/>
    </row>
    <row r="879" spans="1:4" ht="14.25" customHeight="1">
      <c r="A879" s="1"/>
      <c r="B879" s="1"/>
      <c r="C879" s="1"/>
      <c r="D879" s="1"/>
    </row>
    <row r="880" spans="1:4" ht="14.25" customHeight="1">
      <c r="A880" s="1"/>
      <c r="B880" s="1"/>
      <c r="C880" s="1"/>
      <c r="D880" s="1"/>
    </row>
    <row r="881" spans="1:4" ht="14.25" customHeight="1">
      <c r="A881" s="1"/>
      <c r="B881" s="1"/>
      <c r="C881" s="1"/>
      <c r="D881" s="1"/>
    </row>
    <row r="882" spans="1:4" ht="14.25" customHeight="1">
      <c r="A882" s="1"/>
      <c r="B882" s="1"/>
      <c r="C882" s="1"/>
      <c r="D882" s="1"/>
    </row>
    <row r="883" spans="1:4" ht="14.25" customHeight="1">
      <c r="A883" s="1"/>
      <c r="B883" s="1"/>
      <c r="C883" s="1"/>
      <c r="D883" s="1"/>
    </row>
    <row r="884" spans="1:4" ht="14.25" customHeight="1">
      <c r="A884" s="1"/>
      <c r="B884" s="1"/>
      <c r="C884" s="1"/>
      <c r="D884" s="1"/>
    </row>
    <row r="885" spans="1:4" ht="14.25" customHeight="1">
      <c r="A885" s="1"/>
      <c r="B885" s="1"/>
      <c r="C885" s="1"/>
      <c r="D885" s="1"/>
    </row>
    <row r="886" spans="1:4" ht="14.25" customHeight="1">
      <c r="A886" s="1"/>
      <c r="B886" s="1"/>
      <c r="C886" s="1"/>
      <c r="D886" s="1"/>
    </row>
    <row r="887" spans="1:4" ht="14.25" customHeight="1">
      <c r="A887" s="1"/>
      <c r="B887" s="1"/>
      <c r="C887" s="1"/>
      <c r="D887" s="1"/>
    </row>
    <row r="888" spans="1:4" ht="14.25" customHeight="1">
      <c r="A888" s="1"/>
      <c r="B888" s="1"/>
      <c r="C888" s="1"/>
      <c r="D888" s="1"/>
    </row>
    <row r="889" spans="1:4" ht="14.25" customHeight="1">
      <c r="A889" s="1"/>
      <c r="B889" s="1"/>
      <c r="C889" s="1"/>
      <c r="D889" s="1"/>
    </row>
    <row r="890" spans="1:4" ht="14.25" customHeight="1">
      <c r="A890" s="1"/>
      <c r="B890" s="1"/>
      <c r="C890" s="1"/>
      <c r="D890" s="1"/>
    </row>
    <row r="891" spans="1:4" ht="14.25" customHeight="1">
      <c r="A891" s="1"/>
      <c r="B891" s="1"/>
      <c r="C891" s="1"/>
      <c r="D891" s="1"/>
    </row>
    <row r="892" spans="1:4" ht="14.25" customHeight="1">
      <c r="A892" s="1"/>
      <c r="B892" s="1"/>
      <c r="C892" s="1"/>
      <c r="D892" s="1"/>
    </row>
    <row r="893" spans="1:4" ht="14.25" customHeight="1">
      <c r="A893" s="1"/>
      <c r="B893" s="1"/>
      <c r="C893" s="1"/>
      <c r="D893" s="1"/>
    </row>
    <row r="894" spans="1:4" ht="14.25" customHeight="1">
      <c r="A894" s="1"/>
      <c r="B894" s="1"/>
      <c r="C894" s="1"/>
      <c r="D894" s="1"/>
    </row>
    <row r="895" spans="1:4" ht="14.25" customHeight="1">
      <c r="A895" s="1"/>
      <c r="B895" s="1"/>
      <c r="C895" s="1"/>
      <c r="D895" s="1"/>
    </row>
    <row r="896" spans="1:4" ht="14.25" customHeight="1">
      <c r="A896" s="1"/>
      <c r="B896" s="1"/>
      <c r="C896" s="1"/>
      <c r="D896" s="1"/>
    </row>
    <row r="897" spans="1:4" ht="14.25" customHeight="1">
      <c r="A897" s="1"/>
      <c r="B897" s="1"/>
      <c r="C897" s="1"/>
      <c r="D897" s="1"/>
    </row>
    <row r="898" spans="1:4" ht="14.25" customHeight="1">
      <c r="A898" s="1"/>
      <c r="B898" s="1"/>
      <c r="C898" s="1"/>
      <c r="D898" s="1"/>
    </row>
    <row r="899" spans="1:4" ht="14.25" customHeight="1">
      <c r="A899" s="1"/>
      <c r="B899" s="1"/>
      <c r="C899" s="1"/>
      <c r="D899" s="1"/>
    </row>
    <row r="900" spans="1:4" ht="14.25" customHeight="1">
      <c r="A900" s="1"/>
      <c r="B900" s="1"/>
      <c r="C900" s="1"/>
      <c r="D900" s="1"/>
    </row>
    <row r="901" spans="1:4" ht="14.25" customHeight="1">
      <c r="A901" s="1"/>
      <c r="B901" s="1"/>
      <c r="C901" s="1"/>
      <c r="D901" s="1"/>
    </row>
    <row r="902" spans="1:4" ht="14.25" customHeight="1">
      <c r="A902" s="1"/>
      <c r="B902" s="1"/>
      <c r="C902" s="1"/>
      <c r="D902" s="1"/>
    </row>
    <row r="903" spans="1:4" ht="14.25" customHeight="1">
      <c r="A903" s="1"/>
      <c r="B903" s="1"/>
      <c r="C903" s="1"/>
      <c r="D903" s="1"/>
    </row>
    <row r="904" spans="1:4" ht="14.25" customHeight="1">
      <c r="A904" s="1"/>
      <c r="B904" s="1"/>
      <c r="C904" s="1"/>
      <c r="D904" s="1"/>
    </row>
    <row r="905" spans="1:4" ht="14.25" customHeight="1">
      <c r="A905" s="1"/>
      <c r="B905" s="1"/>
      <c r="C905" s="1"/>
      <c r="D905" s="1"/>
    </row>
    <row r="906" spans="1:4" ht="14.25" customHeight="1">
      <c r="A906" s="1"/>
      <c r="B906" s="1"/>
      <c r="C906" s="1"/>
      <c r="D906" s="1"/>
    </row>
    <row r="907" spans="1:4" ht="14.25" customHeight="1">
      <c r="A907" s="1"/>
      <c r="B907" s="1"/>
      <c r="C907" s="1"/>
      <c r="D907" s="1"/>
    </row>
    <row r="908" spans="1:4" ht="14.25" customHeight="1">
      <c r="A908" s="1"/>
      <c r="B908" s="1"/>
      <c r="C908" s="1"/>
      <c r="D908" s="1"/>
    </row>
    <row r="909" spans="1:4" ht="14.25" customHeight="1">
      <c r="A909" s="1"/>
      <c r="B909" s="1"/>
      <c r="C909" s="1"/>
      <c r="D909" s="1"/>
    </row>
    <row r="910" spans="1:4" ht="14.25" customHeight="1">
      <c r="A910" s="1"/>
      <c r="B910" s="1"/>
      <c r="C910" s="1"/>
      <c r="D910" s="1"/>
    </row>
    <row r="911" spans="1:4" ht="14.25" customHeight="1">
      <c r="A911" s="1"/>
      <c r="B911" s="1"/>
      <c r="C911" s="1"/>
      <c r="D911" s="1"/>
    </row>
    <row r="912" spans="1:4" ht="14.25" customHeight="1">
      <c r="A912" s="1"/>
      <c r="B912" s="1"/>
      <c r="C912" s="1"/>
      <c r="D912" s="1"/>
    </row>
    <row r="913" spans="1:4" ht="14.25" customHeight="1">
      <c r="A913" s="1"/>
      <c r="B913" s="1"/>
      <c r="C913" s="1"/>
      <c r="D913" s="1"/>
    </row>
    <row r="914" spans="1:4" ht="14.25" customHeight="1">
      <c r="A914" s="1"/>
      <c r="B914" s="1"/>
      <c r="C914" s="1"/>
      <c r="D914" s="1"/>
    </row>
    <row r="915" spans="1:4" ht="14.25" customHeight="1">
      <c r="A915" s="1"/>
      <c r="B915" s="1"/>
      <c r="C915" s="1"/>
      <c r="D915" s="1"/>
    </row>
    <row r="916" spans="1:4" ht="14.25" customHeight="1">
      <c r="A916" s="1"/>
      <c r="B916" s="1"/>
      <c r="C916" s="1"/>
      <c r="D916" s="1"/>
    </row>
    <row r="917" spans="1:4" ht="14.25" customHeight="1">
      <c r="A917" s="1"/>
      <c r="B917" s="1"/>
      <c r="C917" s="1"/>
      <c r="D917" s="1"/>
    </row>
    <row r="918" spans="1:4" ht="14.25" customHeight="1">
      <c r="A918" s="1"/>
      <c r="B918" s="1"/>
      <c r="C918" s="1"/>
      <c r="D918" s="1"/>
    </row>
    <row r="919" spans="1:4" ht="14.25" customHeight="1">
      <c r="A919" s="1"/>
      <c r="B919" s="1"/>
      <c r="C919" s="1"/>
      <c r="D919" s="1"/>
    </row>
    <row r="920" spans="1:4" ht="14.25" customHeight="1">
      <c r="A920" s="1"/>
      <c r="B920" s="1"/>
      <c r="C920" s="1"/>
      <c r="D920" s="1"/>
    </row>
    <row r="921" spans="1:4" ht="14.25" customHeight="1">
      <c r="A921" s="1"/>
      <c r="B921" s="1"/>
      <c r="C921" s="1"/>
      <c r="D921" s="1"/>
    </row>
    <row r="922" spans="1:4" ht="14.25" customHeight="1">
      <c r="A922" s="1"/>
      <c r="B922" s="1"/>
      <c r="C922" s="1"/>
      <c r="D922" s="1"/>
    </row>
    <row r="923" spans="1:4" ht="14.25" customHeight="1">
      <c r="A923" s="1"/>
      <c r="B923" s="1"/>
      <c r="C923" s="1"/>
      <c r="D923" s="1"/>
    </row>
    <row r="924" spans="1:4" ht="14.25" customHeight="1">
      <c r="A924" s="1"/>
      <c r="B924" s="1"/>
      <c r="C924" s="1"/>
      <c r="D924" s="1"/>
    </row>
    <row r="925" spans="1:4" ht="14.25" customHeight="1">
      <c r="A925" s="1"/>
      <c r="B925" s="1"/>
      <c r="C925" s="1"/>
      <c r="D925" s="1"/>
    </row>
    <row r="926" spans="1:4" ht="14.25" customHeight="1">
      <c r="A926" s="1"/>
      <c r="B926" s="1"/>
      <c r="C926" s="1"/>
      <c r="D926" s="1"/>
    </row>
    <row r="927" spans="1:4" ht="14.25" customHeight="1">
      <c r="A927" s="1"/>
      <c r="B927" s="1"/>
      <c r="C927" s="1"/>
      <c r="D927" s="1"/>
    </row>
    <row r="928" spans="1:4" ht="14.25" customHeight="1">
      <c r="A928" s="1"/>
      <c r="B928" s="1"/>
      <c r="C928" s="1"/>
      <c r="D928" s="1"/>
    </row>
    <row r="929" spans="1:4" ht="14.25" customHeight="1">
      <c r="A929" s="1"/>
      <c r="B929" s="1"/>
      <c r="C929" s="1"/>
      <c r="D929" s="1"/>
    </row>
    <row r="930" spans="1:4" ht="14.25" customHeight="1">
      <c r="A930" s="1"/>
      <c r="B930" s="1"/>
      <c r="C930" s="1"/>
      <c r="D930" s="1"/>
    </row>
    <row r="931" spans="1:4" ht="14.25" customHeight="1">
      <c r="A931" s="1"/>
      <c r="B931" s="1"/>
      <c r="C931" s="1"/>
      <c r="D931" s="1"/>
    </row>
    <row r="932" spans="1:4" ht="14.25" customHeight="1">
      <c r="A932" s="1"/>
      <c r="B932" s="1"/>
      <c r="C932" s="1"/>
      <c r="D932" s="1"/>
    </row>
    <row r="933" spans="1:4" ht="14.25" customHeight="1">
      <c r="A933" s="1"/>
      <c r="B933" s="1"/>
      <c r="C933" s="1"/>
      <c r="D933" s="1"/>
    </row>
    <row r="934" spans="1:4" ht="14.25" customHeight="1">
      <c r="A934" s="1"/>
      <c r="B934" s="1"/>
      <c r="C934" s="1"/>
      <c r="D934" s="1"/>
    </row>
    <row r="935" spans="1:4" ht="14.25" customHeight="1">
      <c r="A935" s="1"/>
      <c r="B935" s="1"/>
      <c r="C935" s="1"/>
      <c r="D935" s="1"/>
    </row>
    <row r="936" spans="1:4" ht="14.25" customHeight="1">
      <c r="A936" s="1"/>
      <c r="B936" s="1"/>
      <c r="C936" s="1"/>
      <c r="D936" s="1"/>
    </row>
    <row r="937" spans="1:4" ht="14.25" customHeight="1">
      <c r="A937" s="1"/>
      <c r="B937" s="1"/>
      <c r="C937" s="1"/>
      <c r="D937" s="1"/>
    </row>
    <row r="938" spans="1:4" ht="14.25" customHeight="1">
      <c r="A938" s="1"/>
      <c r="B938" s="1"/>
      <c r="C938" s="1"/>
      <c r="D938" s="1"/>
    </row>
    <row r="939" spans="1:4" ht="14.25" customHeight="1">
      <c r="A939" s="1"/>
      <c r="B939" s="1"/>
      <c r="C939" s="1"/>
      <c r="D939" s="1"/>
    </row>
    <row r="940" spans="1:4" ht="14.25" customHeight="1">
      <c r="A940" s="1"/>
      <c r="B940" s="1"/>
      <c r="C940" s="1"/>
      <c r="D940" s="1"/>
    </row>
    <row r="941" spans="1:4" ht="14.25" customHeight="1">
      <c r="A941" s="1"/>
      <c r="B941" s="1"/>
      <c r="C941" s="1"/>
      <c r="D941" s="1"/>
    </row>
    <row r="942" spans="1:4" ht="14.25" customHeight="1">
      <c r="A942" s="1"/>
      <c r="B942" s="1"/>
      <c r="C942" s="1"/>
      <c r="D942" s="1"/>
    </row>
    <row r="943" spans="1:4" ht="14.25" customHeight="1">
      <c r="A943" s="1"/>
      <c r="B943" s="1"/>
      <c r="C943" s="1"/>
      <c r="D943" s="1"/>
    </row>
    <row r="944" spans="1:4" ht="14.25" customHeight="1">
      <c r="A944" s="1"/>
      <c r="B944" s="1"/>
      <c r="C944" s="1"/>
      <c r="D944" s="1"/>
    </row>
    <row r="945" spans="1:4" ht="14.25" customHeight="1">
      <c r="A945" s="1"/>
      <c r="B945" s="1"/>
      <c r="C945" s="1"/>
      <c r="D945" s="1"/>
    </row>
    <row r="946" spans="1:4" ht="14.25" customHeight="1">
      <c r="A946" s="1"/>
      <c r="B946" s="1"/>
      <c r="C946" s="1"/>
      <c r="D946" s="1"/>
    </row>
    <row r="947" spans="1:4" ht="14.25" customHeight="1">
      <c r="A947" s="1"/>
      <c r="B947" s="1"/>
      <c r="C947" s="1"/>
      <c r="D947" s="1"/>
    </row>
    <row r="948" spans="1:4" ht="14.25" customHeight="1">
      <c r="A948" s="1"/>
      <c r="B948" s="1"/>
      <c r="C948" s="1"/>
      <c r="D948" s="1"/>
    </row>
    <row r="949" spans="1:4" ht="14.25" customHeight="1">
      <c r="A949" s="1"/>
      <c r="B949" s="1"/>
      <c r="C949" s="1"/>
      <c r="D949" s="1"/>
    </row>
    <row r="950" spans="1:4" ht="14.25" customHeight="1">
      <c r="A950" s="1"/>
      <c r="B950" s="1"/>
      <c r="C950" s="1"/>
      <c r="D950" s="1"/>
    </row>
    <row r="951" spans="1:4" ht="14.25" customHeight="1">
      <c r="A951" s="1"/>
      <c r="B951" s="1"/>
      <c r="C951" s="1"/>
      <c r="D951" s="1"/>
    </row>
    <row r="952" spans="1:4" ht="14.25" customHeight="1">
      <c r="A952" s="1"/>
      <c r="B952" s="1"/>
      <c r="C952" s="1"/>
      <c r="D952" s="1"/>
    </row>
    <row r="953" spans="1:4" ht="14.25" customHeight="1">
      <c r="A953" s="1"/>
      <c r="B953" s="1"/>
      <c r="C953" s="1"/>
      <c r="D953" s="1"/>
    </row>
    <row r="954" spans="1:4" ht="14.25" customHeight="1">
      <c r="A954" s="1"/>
      <c r="B954" s="1"/>
      <c r="C954" s="1"/>
      <c r="D954" s="1"/>
    </row>
    <row r="955" spans="1:4" ht="14.25" customHeight="1">
      <c r="A955" s="1"/>
      <c r="B955" s="1"/>
      <c r="C955" s="1"/>
      <c r="D955" s="1"/>
    </row>
    <row r="956" spans="1:4" ht="14.25" customHeight="1">
      <c r="A956" s="1"/>
      <c r="B956" s="1"/>
      <c r="C956" s="1"/>
      <c r="D956" s="1"/>
    </row>
    <row r="957" spans="1:4" ht="14.25" customHeight="1">
      <c r="A957" s="1"/>
      <c r="B957" s="1"/>
      <c r="C957" s="1"/>
      <c r="D957" s="1"/>
    </row>
    <row r="958" spans="1:4" ht="14.25" customHeight="1">
      <c r="A958" s="1"/>
      <c r="B958" s="1"/>
      <c r="C958" s="1"/>
      <c r="D958" s="1"/>
    </row>
    <row r="959" spans="1:4" ht="14.25" customHeight="1">
      <c r="A959" s="1"/>
      <c r="B959" s="1"/>
      <c r="C959" s="1"/>
      <c r="D959" s="1"/>
    </row>
    <row r="960" spans="1:4" ht="14.25" customHeight="1">
      <c r="A960" s="1"/>
      <c r="B960" s="1"/>
      <c r="C960" s="1"/>
      <c r="D960" s="1"/>
    </row>
    <row r="961" spans="1:4" ht="14.25" customHeight="1">
      <c r="A961" s="1"/>
      <c r="B961" s="1"/>
      <c r="C961" s="1"/>
      <c r="D961" s="1"/>
    </row>
    <row r="962" spans="1:4" ht="14.25" customHeight="1">
      <c r="A962" s="1"/>
      <c r="B962" s="1"/>
      <c r="C962" s="1"/>
      <c r="D962" s="1"/>
    </row>
    <row r="963" spans="1:4" ht="14.25" customHeight="1">
      <c r="A963" s="1"/>
      <c r="B963" s="1"/>
      <c r="C963" s="1"/>
      <c r="D963" s="1"/>
    </row>
    <row r="964" spans="1:4" ht="14.25" customHeight="1">
      <c r="A964" s="1"/>
      <c r="B964" s="1"/>
      <c r="C964" s="1"/>
      <c r="D964" s="1"/>
    </row>
    <row r="965" spans="1:4" ht="14.25" customHeight="1">
      <c r="A965" s="1"/>
      <c r="B965" s="1"/>
      <c r="C965" s="1"/>
      <c r="D965" s="1"/>
    </row>
    <row r="966" spans="1:4" ht="14.25" customHeight="1">
      <c r="A966" s="1"/>
      <c r="B966" s="1"/>
      <c r="C966" s="1"/>
      <c r="D966" s="1"/>
    </row>
    <row r="967" spans="1:4" ht="14.25" customHeight="1">
      <c r="A967" s="1"/>
      <c r="B967" s="1"/>
      <c r="C967" s="1"/>
      <c r="D967" s="1"/>
    </row>
    <row r="968" spans="1:4" ht="14.25" customHeight="1">
      <c r="A968" s="1"/>
      <c r="B968" s="1"/>
      <c r="C968" s="1"/>
      <c r="D968" s="1"/>
    </row>
    <row r="969" spans="1:4" ht="14.25" customHeight="1">
      <c r="A969" s="1"/>
      <c r="B969" s="1"/>
      <c r="C969" s="1"/>
      <c r="D969" s="1"/>
    </row>
    <row r="970" spans="1:4" ht="14.25" customHeight="1">
      <c r="A970" s="1"/>
      <c r="B970" s="1"/>
      <c r="C970" s="1"/>
      <c r="D970" s="1"/>
    </row>
    <row r="971" spans="1:4" ht="14.25" customHeight="1">
      <c r="A971" s="1"/>
      <c r="B971" s="1"/>
      <c r="C971" s="1"/>
      <c r="D971" s="1"/>
    </row>
    <row r="972" spans="1:4" ht="14.25" customHeight="1">
      <c r="A972" s="1"/>
      <c r="B972" s="1"/>
      <c r="C972" s="1"/>
      <c r="D972" s="1"/>
    </row>
    <row r="973" spans="1:4" ht="14.25" customHeight="1">
      <c r="A973" s="1"/>
      <c r="B973" s="1"/>
      <c r="C973" s="1"/>
      <c r="D973" s="1"/>
    </row>
    <row r="974" spans="1:4" ht="14.25" customHeight="1">
      <c r="A974" s="1"/>
      <c r="B974" s="1"/>
      <c r="C974" s="1"/>
      <c r="D974" s="1"/>
    </row>
    <row r="975" spans="1:4" ht="14.25" customHeight="1">
      <c r="A975" s="1"/>
      <c r="B975" s="1"/>
      <c r="C975" s="1"/>
      <c r="D975" s="1"/>
    </row>
    <row r="976" spans="1:4" ht="14.25" customHeight="1">
      <c r="A976" s="1"/>
      <c r="B976" s="1"/>
      <c r="C976" s="1"/>
      <c r="D976" s="1"/>
    </row>
    <row r="977" spans="1:4" ht="14.25" customHeight="1">
      <c r="A977" s="1"/>
      <c r="B977" s="1"/>
      <c r="C977" s="1"/>
      <c r="D977" s="1"/>
    </row>
    <row r="978" spans="1:4" ht="14.25" customHeight="1">
      <c r="A978" s="1"/>
      <c r="B978" s="1"/>
      <c r="C978" s="1"/>
      <c r="D978" s="1"/>
    </row>
    <row r="979" spans="1:4" ht="14.25" customHeight="1">
      <c r="A979" s="1"/>
      <c r="B979" s="1"/>
      <c r="C979" s="1"/>
      <c r="D979" s="1"/>
    </row>
  </sheetData>
  <autoFilter ref="A1:D7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36C09"/>
  </sheetPr>
  <dimension ref="A1:C1002"/>
  <sheetViews>
    <sheetView showGridLines="0" workbookViewId="0">
      <selection activeCell="B20" sqref="B20"/>
    </sheetView>
  </sheetViews>
  <sheetFormatPr defaultColWidth="14.44140625" defaultRowHeight="15" customHeight="1"/>
  <cols>
    <col min="1" max="1" width="22.33203125" customWidth="1"/>
    <col min="2" max="2" width="79.33203125" customWidth="1"/>
    <col min="3" max="3" width="22.109375" customWidth="1"/>
    <col min="4" max="26" width="8.6640625" customWidth="1"/>
  </cols>
  <sheetData>
    <row r="1" spans="1:3" ht="14.25" customHeight="1">
      <c r="A1" s="13" t="s">
        <v>5</v>
      </c>
      <c r="B1" s="13" t="s">
        <v>238</v>
      </c>
      <c r="C1" s="13" t="s">
        <v>239</v>
      </c>
    </row>
    <row r="2" spans="1:3" ht="14.25" customHeight="1">
      <c r="A2" s="1" t="s">
        <v>66</v>
      </c>
      <c r="B2" s="14" t="s">
        <v>240</v>
      </c>
      <c r="C2" s="1">
        <v>12</v>
      </c>
    </row>
    <row r="3" spans="1:3" ht="14.25" customHeight="1">
      <c r="A3" s="1" t="s">
        <v>241</v>
      </c>
      <c r="B3" s="14" t="s">
        <v>242</v>
      </c>
      <c r="C3" s="1">
        <v>12</v>
      </c>
    </row>
    <row r="4" spans="1:3" ht="14.25" customHeight="1">
      <c r="A4" s="1" t="s">
        <v>243</v>
      </c>
      <c r="B4" s="14" t="s">
        <v>244</v>
      </c>
      <c r="C4" s="1">
        <v>12</v>
      </c>
    </row>
    <row r="5" spans="1:3" ht="14.25" customHeight="1">
      <c r="A5" s="1" t="s">
        <v>58</v>
      </c>
      <c r="B5" s="14" t="s">
        <v>245</v>
      </c>
      <c r="C5" s="1">
        <v>12</v>
      </c>
    </row>
    <row r="6" spans="1:3" ht="14.25" customHeight="1">
      <c r="A6" s="1" t="s">
        <v>19</v>
      </c>
      <c r="B6" s="14" t="s">
        <v>246</v>
      </c>
      <c r="C6" s="1">
        <v>12</v>
      </c>
    </row>
    <row r="7" spans="1:3" ht="14.25" customHeight="1">
      <c r="A7" s="1" t="s">
        <v>24</v>
      </c>
      <c r="B7" s="14" t="s">
        <v>247</v>
      </c>
      <c r="C7" s="1">
        <v>12</v>
      </c>
    </row>
    <row r="8" spans="1:3" ht="14.25" customHeight="1">
      <c r="A8" s="1" t="s">
        <v>67</v>
      </c>
      <c r="B8" s="14" t="s">
        <v>248</v>
      </c>
      <c r="C8" s="1">
        <v>12</v>
      </c>
    </row>
    <row r="9" spans="1:3" ht="14.25" customHeight="1">
      <c r="A9" s="1" t="s">
        <v>25</v>
      </c>
      <c r="B9" s="14" t="s">
        <v>249</v>
      </c>
      <c r="C9" s="1">
        <v>12</v>
      </c>
    </row>
    <row r="10" spans="1:3" ht="14.25" customHeight="1">
      <c r="A10" s="1" t="s">
        <v>68</v>
      </c>
      <c r="B10" s="14" t="s">
        <v>250</v>
      </c>
      <c r="C10" s="1">
        <v>12</v>
      </c>
    </row>
    <row r="11" spans="1:3" ht="14.25" customHeight="1">
      <c r="A11" s="1" t="s">
        <v>26</v>
      </c>
      <c r="B11" s="14" t="s">
        <v>251</v>
      </c>
      <c r="C11" s="1">
        <v>12</v>
      </c>
    </row>
    <row r="12" spans="1:3" ht="14.25" customHeight="1">
      <c r="A12" s="1" t="s">
        <v>69</v>
      </c>
      <c r="B12" s="14" t="s">
        <v>252</v>
      </c>
      <c r="C12" s="1">
        <v>12</v>
      </c>
    </row>
    <row r="13" spans="1:3" ht="14.25" customHeight="1">
      <c r="A13" s="1" t="s">
        <v>64</v>
      </c>
      <c r="B13" s="14" t="s">
        <v>253</v>
      </c>
      <c r="C13" s="1">
        <v>12</v>
      </c>
    </row>
    <row r="14" spans="1:3" ht="14.25" customHeight="1">
      <c r="A14" s="1" t="s">
        <v>73</v>
      </c>
      <c r="B14" s="14" t="s">
        <v>254</v>
      </c>
      <c r="C14" s="1">
        <v>12</v>
      </c>
    </row>
    <row r="15" spans="1:3" ht="14.25" customHeight="1">
      <c r="A15" s="1" t="s">
        <v>74</v>
      </c>
      <c r="B15" s="14" t="s">
        <v>255</v>
      </c>
      <c r="C15" s="1">
        <v>12</v>
      </c>
    </row>
    <row r="16" spans="1:3" ht="14.25" customHeight="1">
      <c r="A16" s="1" t="s">
        <v>75</v>
      </c>
      <c r="B16" s="14" t="s">
        <v>256</v>
      </c>
      <c r="C16" s="1">
        <v>12</v>
      </c>
    </row>
    <row r="17" spans="1:3" ht="14.25" customHeight="1">
      <c r="A17" s="1" t="s">
        <v>76</v>
      </c>
      <c r="B17" s="14" t="s">
        <v>257</v>
      </c>
      <c r="C17" s="1">
        <v>12</v>
      </c>
    </row>
    <row r="18" spans="1:3" ht="14.25" customHeight="1">
      <c r="A18" s="1" t="s">
        <v>77</v>
      </c>
      <c r="B18" s="14" t="s">
        <v>258</v>
      </c>
      <c r="C18" s="1">
        <v>12</v>
      </c>
    </row>
    <row r="19" spans="1:3" ht="14.25" customHeight="1">
      <c r="A19" s="1" t="s">
        <v>78</v>
      </c>
      <c r="B19" s="14" t="s">
        <v>259</v>
      </c>
      <c r="C19" s="1">
        <v>12</v>
      </c>
    </row>
    <row r="20" spans="1:3" ht="14.25" customHeight="1">
      <c r="A20" s="1" t="s">
        <v>79</v>
      </c>
      <c r="B20" s="14" t="s">
        <v>260</v>
      </c>
      <c r="C20" s="1">
        <v>12</v>
      </c>
    </row>
    <row r="21" spans="1:3" ht="14.25" customHeight="1">
      <c r="A21" s="1" t="s">
        <v>48</v>
      </c>
      <c r="B21" s="14" t="s">
        <v>261</v>
      </c>
      <c r="C21" s="1">
        <v>12</v>
      </c>
    </row>
    <row r="22" spans="1:3" ht="14.25" customHeight="1">
      <c r="A22" s="1" t="s">
        <v>29</v>
      </c>
      <c r="B22" s="14" t="s">
        <v>262</v>
      </c>
      <c r="C22" s="1">
        <v>12</v>
      </c>
    </row>
    <row r="23" spans="1:3" ht="14.25" customHeight="1">
      <c r="A23" s="1" t="s">
        <v>36</v>
      </c>
      <c r="B23" s="14" t="s">
        <v>263</v>
      </c>
      <c r="C23" s="1">
        <v>12</v>
      </c>
    </row>
    <row r="24" spans="1:3" ht="14.25" customHeight="1">
      <c r="A24" s="1" t="s">
        <v>32</v>
      </c>
      <c r="B24" s="14" t="s">
        <v>264</v>
      </c>
      <c r="C24" s="1">
        <v>12</v>
      </c>
    </row>
    <row r="25" spans="1:3" ht="14.25" customHeight="1">
      <c r="A25" s="1" t="s">
        <v>31</v>
      </c>
      <c r="B25" s="14" t="s">
        <v>265</v>
      </c>
      <c r="C25" s="1">
        <v>12</v>
      </c>
    </row>
    <row r="26" spans="1:3" ht="14.25" customHeight="1">
      <c r="A26" s="1" t="s">
        <v>33</v>
      </c>
      <c r="B26" s="14" t="s">
        <v>266</v>
      </c>
      <c r="C26" s="1">
        <v>12</v>
      </c>
    </row>
    <row r="27" spans="1:3" ht="14.25" customHeight="1">
      <c r="A27" s="1" t="s">
        <v>39</v>
      </c>
      <c r="B27" s="14" t="s">
        <v>267</v>
      </c>
      <c r="C27" s="1">
        <v>12</v>
      </c>
    </row>
    <row r="28" spans="1:3" ht="14.25" customHeight="1">
      <c r="A28" s="1" t="s">
        <v>34</v>
      </c>
      <c r="B28" s="14" t="s">
        <v>268</v>
      </c>
      <c r="C28" s="1">
        <v>12</v>
      </c>
    </row>
    <row r="29" spans="1:3" ht="14.25" customHeight="1">
      <c r="A29" s="1" t="s">
        <v>38</v>
      </c>
      <c r="B29" s="14" t="s">
        <v>269</v>
      </c>
      <c r="C29" s="1">
        <v>12</v>
      </c>
    </row>
    <row r="30" spans="1:3" ht="14.25" customHeight="1">
      <c r="A30" s="1" t="s">
        <v>37</v>
      </c>
      <c r="B30" s="14" t="s">
        <v>270</v>
      </c>
      <c r="C30" s="1">
        <v>12</v>
      </c>
    </row>
    <row r="31" spans="1:3" ht="14.25" customHeight="1">
      <c r="A31" s="1" t="s">
        <v>35</v>
      </c>
      <c r="B31" s="14" t="s">
        <v>271</v>
      </c>
      <c r="C31" s="1">
        <v>12</v>
      </c>
    </row>
    <row r="32" spans="1:3" ht="14.25" customHeight="1">
      <c r="A32" s="1" t="s">
        <v>83</v>
      </c>
      <c r="B32" s="14" t="s">
        <v>272</v>
      </c>
      <c r="C32" s="1"/>
    </row>
    <row r="33" spans="1:3" ht="14.25" customHeight="1">
      <c r="A33" s="15" t="s">
        <v>84</v>
      </c>
      <c r="B33" s="14" t="s">
        <v>273</v>
      </c>
      <c r="C33" s="1"/>
    </row>
    <row r="34" spans="1:3" ht="14.25" customHeight="1">
      <c r="A34" s="1" t="s">
        <v>49</v>
      </c>
      <c r="B34" s="14" t="s">
        <v>274</v>
      </c>
      <c r="C34" s="1">
        <v>12</v>
      </c>
    </row>
    <row r="35" spans="1:3" ht="14.25" customHeight="1">
      <c r="A35" s="1" t="s">
        <v>51</v>
      </c>
      <c r="B35" s="14" t="s">
        <v>275</v>
      </c>
      <c r="C35" s="1">
        <v>12</v>
      </c>
    </row>
    <row r="36" spans="1:3" ht="14.25" customHeight="1">
      <c r="A36" s="1" t="s">
        <v>52</v>
      </c>
      <c r="B36" s="14" t="s">
        <v>276</v>
      </c>
      <c r="C36" s="1">
        <v>12</v>
      </c>
    </row>
    <row r="37" spans="1:3" ht="14.25" customHeight="1">
      <c r="A37" s="1" t="s">
        <v>53</v>
      </c>
      <c r="B37" s="14" t="s">
        <v>277</v>
      </c>
      <c r="C37" s="1">
        <v>12</v>
      </c>
    </row>
    <row r="38" spans="1:3" ht="14.25" customHeight="1">
      <c r="A38" s="1" t="s">
        <v>54</v>
      </c>
      <c r="B38" s="14" t="s">
        <v>278</v>
      </c>
      <c r="C38" s="1">
        <v>12</v>
      </c>
    </row>
    <row r="39" spans="1:3" ht="14.25" customHeight="1">
      <c r="A39" s="1" t="s">
        <v>55</v>
      </c>
      <c r="B39" s="14" t="s">
        <v>279</v>
      </c>
      <c r="C39" s="1">
        <v>12</v>
      </c>
    </row>
    <row r="40" spans="1:3" ht="14.25" customHeight="1">
      <c r="A40" s="1" t="s">
        <v>80</v>
      </c>
      <c r="B40" s="14" t="s">
        <v>280</v>
      </c>
      <c r="C40" s="1">
        <v>12</v>
      </c>
    </row>
    <row r="41" spans="1:3" ht="14.25" customHeight="1">
      <c r="A41" s="1" t="s">
        <v>81</v>
      </c>
      <c r="B41" s="14" t="s">
        <v>281</v>
      </c>
      <c r="C41" s="1">
        <v>12</v>
      </c>
    </row>
    <row r="42" spans="1:3" ht="14.25" customHeight="1">
      <c r="A42" s="1" t="s">
        <v>46</v>
      </c>
      <c r="B42" s="14" t="s">
        <v>282</v>
      </c>
      <c r="C42" s="1">
        <v>12</v>
      </c>
    </row>
    <row r="43" spans="1:3" ht="14.25" customHeight="1">
      <c r="A43" s="1" t="s">
        <v>41</v>
      </c>
      <c r="B43" s="14" t="s">
        <v>283</v>
      </c>
      <c r="C43" s="1">
        <v>12</v>
      </c>
    </row>
    <row r="44" spans="1:3" ht="14.25" customHeight="1">
      <c r="A44" s="1" t="s">
        <v>43</v>
      </c>
      <c r="B44" s="14" t="s">
        <v>284</v>
      </c>
      <c r="C44" s="1">
        <v>12</v>
      </c>
    </row>
    <row r="45" spans="1:3" ht="14.25" customHeight="1">
      <c r="A45" s="1" t="s">
        <v>44</v>
      </c>
      <c r="B45" s="14" t="s">
        <v>285</v>
      </c>
      <c r="C45" s="1">
        <v>12</v>
      </c>
    </row>
    <row r="46" spans="1:3" ht="14.25" customHeight="1">
      <c r="A46" s="1" t="s">
        <v>45</v>
      </c>
      <c r="B46" s="14" t="s">
        <v>286</v>
      </c>
      <c r="C46" s="1">
        <v>12</v>
      </c>
    </row>
    <row r="47" spans="1:3" ht="14.25" customHeight="1">
      <c r="A47" s="1" t="s">
        <v>59</v>
      </c>
      <c r="B47" s="14" t="s">
        <v>287</v>
      </c>
      <c r="C47" s="1">
        <v>12</v>
      </c>
    </row>
    <row r="48" spans="1:3" ht="14.25" customHeight="1">
      <c r="A48" s="1" t="s">
        <v>61</v>
      </c>
      <c r="B48" s="14" t="s">
        <v>288</v>
      </c>
      <c r="C48" s="1">
        <v>12</v>
      </c>
    </row>
    <row r="49" spans="1:3" ht="14.25" customHeight="1">
      <c r="A49" s="1" t="s">
        <v>62</v>
      </c>
      <c r="B49" s="14" t="s">
        <v>289</v>
      </c>
      <c r="C49" s="1">
        <v>12</v>
      </c>
    </row>
    <row r="50" spans="1:3" ht="14.25" customHeight="1">
      <c r="A50" s="1" t="s">
        <v>63</v>
      </c>
      <c r="B50" s="14" t="s">
        <v>290</v>
      </c>
      <c r="C50" s="1">
        <v>12</v>
      </c>
    </row>
    <row r="51" spans="1:3" ht="14.25" customHeight="1">
      <c r="A51" s="1" t="s">
        <v>85</v>
      </c>
      <c r="B51" s="14" t="s">
        <v>291</v>
      </c>
      <c r="C51" s="1">
        <v>12</v>
      </c>
    </row>
    <row r="52" spans="1:3" ht="14.4">
      <c r="A52" s="1" t="s">
        <v>86</v>
      </c>
      <c r="B52" s="14" t="s">
        <v>292</v>
      </c>
      <c r="C52" s="1">
        <v>12</v>
      </c>
    </row>
    <row r="53" spans="1:3" ht="14.25" customHeight="1">
      <c r="A53" s="1" t="s">
        <v>87</v>
      </c>
      <c r="B53" s="14" t="s">
        <v>293</v>
      </c>
      <c r="C53" s="1">
        <v>12</v>
      </c>
    </row>
    <row r="54" spans="1:3" ht="14.25" customHeight="1">
      <c r="A54" s="15" t="s">
        <v>88</v>
      </c>
      <c r="B54" s="16" t="s">
        <v>294</v>
      </c>
      <c r="C54" s="1">
        <v>12</v>
      </c>
    </row>
    <row r="55" spans="1:3" ht="14.25" customHeight="1">
      <c r="A55" s="1" t="s">
        <v>89</v>
      </c>
      <c r="B55" s="14" t="s">
        <v>295</v>
      </c>
      <c r="C55" s="1">
        <v>12</v>
      </c>
    </row>
    <row r="56" spans="1:3" ht="14.25" customHeight="1">
      <c r="A56" s="15" t="s">
        <v>80</v>
      </c>
      <c r="B56" s="14" t="s">
        <v>280</v>
      </c>
      <c r="C56" s="1">
        <v>12</v>
      </c>
    </row>
    <row r="57" spans="1:3" ht="14.25" customHeight="1">
      <c r="A57" s="15" t="s">
        <v>81</v>
      </c>
      <c r="B57" s="14" t="s">
        <v>281</v>
      </c>
      <c r="C57" s="1">
        <v>12</v>
      </c>
    </row>
    <row r="58" spans="1:3" ht="14.25" customHeight="1">
      <c r="A58" s="15" t="s">
        <v>90</v>
      </c>
      <c r="B58" s="14" t="s">
        <v>296</v>
      </c>
      <c r="C58" s="1">
        <v>12</v>
      </c>
    </row>
    <row r="59" spans="1:3" ht="14.25" customHeight="1">
      <c r="A59" s="15" t="s">
        <v>91</v>
      </c>
      <c r="B59" s="14" t="s">
        <v>297</v>
      </c>
      <c r="C59" s="1">
        <v>12</v>
      </c>
    </row>
    <row r="60" spans="1:3" ht="14.25" customHeight="1">
      <c r="A60" s="15" t="s">
        <v>92</v>
      </c>
      <c r="B60" s="14" t="s">
        <v>298</v>
      </c>
      <c r="C60" s="1">
        <v>12</v>
      </c>
    </row>
    <row r="61" spans="1:3" ht="14.25" customHeight="1">
      <c r="A61" s="15" t="s">
        <v>93</v>
      </c>
      <c r="B61" s="14" t="s">
        <v>299</v>
      </c>
      <c r="C61" s="1">
        <v>12</v>
      </c>
    </row>
    <row r="62" spans="1:3" ht="14.25" customHeight="1">
      <c r="A62" s="15" t="s">
        <v>94</v>
      </c>
      <c r="B62" s="14" t="s">
        <v>300</v>
      </c>
      <c r="C62" s="1">
        <v>12</v>
      </c>
    </row>
    <row r="63" spans="1:3" ht="14.25" customHeight="1">
      <c r="A63" s="15" t="s">
        <v>95</v>
      </c>
      <c r="B63" s="14" t="s">
        <v>301</v>
      </c>
      <c r="C63" s="1">
        <v>12</v>
      </c>
    </row>
    <row r="64" spans="1:3" ht="14.25" customHeight="1">
      <c r="A64" s="15" t="s">
        <v>96</v>
      </c>
      <c r="B64" s="14" t="s">
        <v>302</v>
      </c>
      <c r="C64" s="1">
        <v>12</v>
      </c>
    </row>
    <row r="65" spans="1:3" ht="14.25" customHeight="1">
      <c r="A65" s="15" t="s">
        <v>97</v>
      </c>
      <c r="B65" s="14" t="s">
        <v>303</v>
      </c>
      <c r="C65" s="1">
        <v>12</v>
      </c>
    </row>
    <row r="66" spans="1:3" ht="14.25" customHeight="1">
      <c r="A66" s="15" t="s">
        <v>98</v>
      </c>
      <c r="B66" s="14" t="s">
        <v>304</v>
      </c>
      <c r="C66" s="1">
        <v>12</v>
      </c>
    </row>
    <row r="67" spans="1:3" ht="14.25" customHeight="1">
      <c r="A67" s="15" t="s">
        <v>99</v>
      </c>
      <c r="B67" s="14" t="s">
        <v>305</v>
      </c>
      <c r="C67" s="1">
        <v>12</v>
      </c>
    </row>
    <row r="68" spans="1:3" ht="14.25" customHeight="1">
      <c r="A68" s="15" t="s">
        <v>100</v>
      </c>
      <c r="B68" s="14" t="s">
        <v>306</v>
      </c>
      <c r="C68" s="1">
        <v>12</v>
      </c>
    </row>
    <row r="69" spans="1:3" ht="14.25" customHeight="1">
      <c r="A69" s="15" t="s">
        <v>101</v>
      </c>
      <c r="B69" s="14" t="s">
        <v>307</v>
      </c>
      <c r="C69" s="1">
        <v>12</v>
      </c>
    </row>
    <row r="70" spans="1:3" ht="14.25" customHeight="1">
      <c r="A70" s="15" t="s">
        <v>102</v>
      </c>
      <c r="B70" s="14" t="s">
        <v>308</v>
      </c>
      <c r="C70" s="1">
        <v>12</v>
      </c>
    </row>
    <row r="71" spans="1:3" ht="14.25" customHeight="1">
      <c r="A71" s="15" t="s">
        <v>103</v>
      </c>
      <c r="B71" s="14" t="s">
        <v>309</v>
      </c>
      <c r="C71" s="1">
        <v>12</v>
      </c>
    </row>
    <row r="72" spans="1:3" ht="14.25" customHeight="1">
      <c r="A72" s="15" t="s">
        <v>104</v>
      </c>
      <c r="B72" s="14" t="s">
        <v>310</v>
      </c>
      <c r="C72" s="1">
        <v>12</v>
      </c>
    </row>
    <row r="73" spans="1:3" ht="14.25" customHeight="1">
      <c r="A73" s="15" t="s">
        <v>105</v>
      </c>
      <c r="B73" s="14" t="s">
        <v>311</v>
      </c>
      <c r="C73" s="1">
        <v>12</v>
      </c>
    </row>
    <row r="74" spans="1:3" ht="14.25" customHeight="1">
      <c r="A74" s="15" t="s">
        <v>106</v>
      </c>
      <c r="B74" s="14" t="s">
        <v>312</v>
      </c>
      <c r="C74" s="1">
        <v>12</v>
      </c>
    </row>
    <row r="75" spans="1:3" ht="14.25" customHeight="1">
      <c r="A75" s="15" t="s">
        <v>107</v>
      </c>
      <c r="B75" s="14" t="s">
        <v>313</v>
      </c>
      <c r="C75" s="1">
        <v>12</v>
      </c>
    </row>
    <row r="76" spans="1:3" ht="14.25" customHeight="1">
      <c r="A76" s="15" t="s">
        <v>108</v>
      </c>
      <c r="B76" s="14" t="s">
        <v>314</v>
      </c>
      <c r="C76" s="1">
        <v>12</v>
      </c>
    </row>
    <row r="77" spans="1:3" ht="14.25" customHeight="1">
      <c r="A77" s="15" t="s">
        <v>109</v>
      </c>
      <c r="B77" s="14" t="s">
        <v>315</v>
      </c>
      <c r="C77" s="1">
        <v>12</v>
      </c>
    </row>
    <row r="78" spans="1:3" ht="14.25" customHeight="1">
      <c r="A78" s="15" t="s">
        <v>110</v>
      </c>
      <c r="B78" s="14" t="s">
        <v>316</v>
      </c>
      <c r="C78" s="1">
        <v>12</v>
      </c>
    </row>
    <row r="79" spans="1:3" ht="14.25" customHeight="1">
      <c r="A79" s="15" t="s">
        <v>111</v>
      </c>
      <c r="B79" s="14" t="s">
        <v>317</v>
      </c>
      <c r="C79" s="1">
        <v>12</v>
      </c>
    </row>
    <row r="80" spans="1:3" ht="14.25" customHeight="1">
      <c r="A80" s="15" t="s">
        <v>112</v>
      </c>
      <c r="B80" s="16" t="s">
        <v>318</v>
      </c>
      <c r="C80" s="1">
        <v>12</v>
      </c>
    </row>
    <row r="81" spans="1:3" ht="14.25" customHeight="1">
      <c r="A81" s="15" t="s">
        <v>113</v>
      </c>
      <c r="B81" s="16" t="s">
        <v>319</v>
      </c>
      <c r="C81" s="1">
        <v>12</v>
      </c>
    </row>
    <row r="82" spans="1:3" ht="14.25" customHeight="1">
      <c r="A82" s="15" t="s">
        <v>114</v>
      </c>
      <c r="B82" s="16" t="s">
        <v>320</v>
      </c>
      <c r="C82" s="1">
        <v>12</v>
      </c>
    </row>
    <row r="83" spans="1:3" ht="14.25" customHeight="1">
      <c r="A83" s="15" t="s">
        <v>115</v>
      </c>
      <c r="B83" s="16" t="s">
        <v>321</v>
      </c>
      <c r="C83" s="1">
        <v>12</v>
      </c>
    </row>
    <row r="84" spans="1:3" ht="14.25" customHeight="1">
      <c r="A84" s="15" t="s">
        <v>116</v>
      </c>
      <c r="B84" s="16" t="s">
        <v>322</v>
      </c>
      <c r="C84" s="1">
        <v>12</v>
      </c>
    </row>
    <row r="85" spans="1:3" ht="14.25" customHeight="1">
      <c r="A85" s="15" t="s">
        <v>117</v>
      </c>
      <c r="B85" s="16" t="s">
        <v>323</v>
      </c>
      <c r="C85" s="1">
        <v>12</v>
      </c>
    </row>
    <row r="86" spans="1:3" ht="14.25" customHeight="1">
      <c r="A86" s="15" t="s">
        <v>118</v>
      </c>
      <c r="B86" s="16" t="s">
        <v>324</v>
      </c>
      <c r="C86" s="1">
        <v>12</v>
      </c>
    </row>
    <row r="87" spans="1:3" ht="14.25" customHeight="1">
      <c r="A87" s="15" t="s">
        <v>325</v>
      </c>
      <c r="B87" s="16" t="s">
        <v>326</v>
      </c>
      <c r="C87" s="1">
        <v>12</v>
      </c>
    </row>
    <row r="88" spans="1:3" ht="14.25" customHeight="1">
      <c r="A88" s="15" t="s">
        <v>327</v>
      </c>
      <c r="B88" s="16" t="s">
        <v>328</v>
      </c>
      <c r="C88" s="1">
        <v>12</v>
      </c>
    </row>
    <row r="89" spans="1:3" ht="14.25" customHeight="1">
      <c r="A89" s="15" t="s">
        <v>329</v>
      </c>
      <c r="B89" s="14" t="s">
        <v>330</v>
      </c>
      <c r="C89" s="1">
        <v>12</v>
      </c>
    </row>
    <row r="90" spans="1:3" ht="14.25" customHeight="1">
      <c r="A90" s="15" t="s">
        <v>331</v>
      </c>
      <c r="B90" s="16" t="s">
        <v>332</v>
      </c>
      <c r="C90" s="1">
        <v>12</v>
      </c>
    </row>
    <row r="91" spans="1:3" ht="14.25" customHeight="1">
      <c r="A91" s="1"/>
      <c r="B91" s="1"/>
      <c r="C91" s="1"/>
    </row>
    <row r="92" spans="1:3" ht="14.25" customHeight="1">
      <c r="A92" s="1"/>
      <c r="B92" s="1"/>
      <c r="C92" s="1"/>
    </row>
    <row r="93" spans="1:3" ht="14.25" customHeight="1">
      <c r="A93" s="1"/>
      <c r="B93" s="1"/>
      <c r="C93" s="1"/>
    </row>
    <row r="94" spans="1:3" ht="14.25" customHeight="1">
      <c r="A94" s="1"/>
      <c r="B94" s="1"/>
      <c r="C94" s="1"/>
    </row>
    <row r="95" spans="1:3" ht="14.25" customHeight="1">
      <c r="A95" s="1"/>
      <c r="B95" s="1"/>
      <c r="C95" s="1"/>
    </row>
    <row r="96" spans="1:3" ht="14.25" customHeight="1">
      <c r="A96" s="1"/>
      <c r="B96" s="1"/>
      <c r="C96" s="1"/>
    </row>
    <row r="97" spans="1:3" ht="14.25" customHeight="1">
      <c r="A97" s="1"/>
      <c r="B97" s="1"/>
      <c r="C97" s="1"/>
    </row>
    <row r="98" spans="1:3" ht="14.25" customHeight="1">
      <c r="A98" s="1"/>
      <c r="B98" s="1"/>
      <c r="C98" s="1"/>
    </row>
    <row r="99" spans="1:3" ht="14.25" customHeight="1">
      <c r="A99" s="1"/>
      <c r="B99" s="1"/>
      <c r="C99" s="1"/>
    </row>
    <row r="100" spans="1:3" ht="14.25" customHeight="1">
      <c r="A100" s="1"/>
      <c r="B100" s="1"/>
      <c r="C100" s="1"/>
    </row>
    <row r="101" spans="1:3" ht="14.25" customHeight="1">
      <c r="A101" s="1"/>
      <c r="B101" s="1"/>
      <c r="C101" s="1"/>
    </row>
    <row r="102" spans="1:3" ht="14.25" customHeight="1">
      <c r="A102" s="1"/>
      <c r="B102" s="1"/>
      <c r="C102" s="1"/>
    </row>
    <row r="103" spans="1:3" ht="14.25" customHeight="1">
      <c r="A103" s="1"/>
      <c r="B103" s="1"/>
      <c r="C103" s="1"/>
    </row>
    <row r="104" spans="1:3" ht="14.25" customHeight="1">
      <c r="A104" s="1"/>
      <c r="B104" s="1"/>
      <c r="C104" s="1"/>
    </row>
    <row r="105" spans="1:3" ht="14.25" customHeight="1">
      <c r="A105" s="1"/>
      <c r="B105" s="1"/>
      <c r="C105" s="1"/>
    </row>
    <row r="106" spans="1:3" ht="14.25" customHeight="1">
      <c r="A106" s="1"/>
      <c r="B106" s="1"/>
      <c r="C106" s="1"/>
    </row>
    <row r="107" spans="1:3" ht="14.25" customHeight="1">
      <c r="A107" s="1"/>
      <c r="B107" s="1"/>
      <c r="C107" s="1"/>
    </row>
    <row r="108" spans="1:3" ht="14.25" customHeight="1">
      <c r="A108" s="1"/>
      <c r="B108" s="1"/>
      <c r="C108" s="1"/>
    </row>
    <row r="109" spans="1:3" ht="14.25" customHeight="1">
      <c r="A109" s="1"/>
      <c r="B109" s="1"/>
      <c r="C109" s="1"/>
    </row>
    <row r="110" spans="1:3" ht="14.25" customHeight="1">
      <c r="A110" s="1"/>
      <c r="B110" s="1"/>
      <c r="C110" s="1"/>
    </row>
    <row r="111" spans="1:3" ht="14.25" customHeight="1">
      <c r="A111" s="1"/>
      <c r="B111" s="1"/>
      <c r="C111" s="1"/>
    </row>
    <row r="112" spans="1:3" ht="14.25" customHeight="1">
      <c r="A112" s="1"/>
      <c r="B112" s="1"/>
      <c r="C112" s="1"/>
    </row>
    <row r="113" spans="1:3" ht="14.25" customHeight="1">
      <c r="A113" s="1"/>
      <c r="B113" s="1"/>
      <c r="C113" s="1"/>
    </row>
    <row r="114" spans="1:3" ht="14.25" customHeight="1">
      <c r="A114" s="1"/>
      <c r="B114" s="1"/>
      <c r="C114" s="1"/>
    </row>
    <row r="115" spans="1:3" ht="14.25" customHeight="1">
      <c r="A115" s="1"/>
      <c r="B115" s="1"/>
      <c r="C115" s="1"/>
    </row>
    <row r="116" spans="1:3" ht="14.25" customHeight="1">
      <c r="A116" s="1"/>
      <c r="B116" s="1"/>
      <c r="C116" s="1"/>
    </row>
    <row r="117" spans="1:3" ht="14.25" customHeight="1">
      <c r="A117" s="1"/>
      <c r="B117" s="1"/>
      <c r="C117" s="1"/>
    </row>
    <row r="118" spans="1:3" ht="14.25" customHeight="1">
      <c r="A118" s="1"/>
      <c r="B118" s="1"/>
      <c r="C118" s="1"/>
    </row>
    <row r="119" spans="1:3" ht="14.25" customHeight="1">
      <c r="A119" s="1"/>
      <c r="B119" s="1"/>
      <c r="C119" s="1"/>
    </row>
    <row r="120" spans="1:3" ht="14.25" customHeight="1">
      <c r="A120" s="1"/>
      <c r="B120" s="1"/>
      <c r="C120" s="1"/>
    </row>
    <row r="121" spans="1:3" ht="14.25" customHeight="1">
      <c r="A121" s="1"/>
      <c r="B121" s="1"/>
      <c r="C121" s="1"/>
    </row>
    <row r="122" spans="1:3" ht="14.25" customHeight="1">
      <c r="A122" s="1"/>
      <c r="B122" s="1"/>
      <c r="C122" s="1"/>
    </row>
    <row r="123" spans="1:3" ht="14.25" customHeight="1">
      <c r="A123" s="1"/>
      <c r="B123" s="1"/>
      <c r="C123" s="1"/>
    </row>
    <row r="124" spans="1:3" ht="14.25" customHeight="1">
      <c r="A124" s="1"/>
      <c r="B124" s="1"/>
      <c r="C124" s="1"/>
    </row>
    <row r="125" spans="1:3" ht="14.25" customHeight="1">
      <c r="A125" s="1"/>
      <c r="B125" s="1"/>
      <c r="C125" s="1"/>
    </row>
    <row r="126" spans="1:3" ht="14.25" customHeight="1">
      <c r="A126" s="1"/>
      <c r="B126" s="1"/>
      <c r="C126" s="1"/>
    </row>
    <row r="127" spans="1:3" ht="14.25" customHeight="1">
      <c r="A127" s="1"/>
      <c r="B127" s="1"/>
      <c r="C127" s="1"/>
    </row>
    <row r="128" spans="1:3" ht="14.25" customHeight="1">
      <c r="A128" s="1"/>
      <c r="B128" s="1"/>
      <c r="C128" s="1"/>
    </row>
    <row r="129" spans="1:3" ht="14.25" customHeight="1">
      <c r="A129" s="1"/>
      <c r="B129" s="1"/>
      <c r="C129" s="1"/>
    </row>
    <row r="130" spans="1:3" ht="14.25" customHeight="1">
      <c r="A130" s="1"/>
      <c r="B130" s="1"/>
      <c r="C130" s="1"/>
    </row>
    <row r="131" spans="1:3" ht="14.25" customHeight="1">
      <c r="A131" s="1"/>
      <c r="B131" s="1"/>
      <c r="C131" s="1"/>
    </row>
    <row r="132" spans="1:3" ht="14.25" customHeight="1">
      <c r="A132" s="1"/>
      <c r="B132" s="1"/>
      <c r="C132" s="1"/>
    </row>
    <row r="133" spans="1:3" ht="14.25" customHeight="1">
      <c r="A133" s="1"/>
      <c r="B133" s="1"/>
      <c r="C133" s="1"/>
    </row>
    <row r="134" spans="1:3" ht="14.25" customHeight="1">
      <c r="A134" s="1"/>
      <c r="B134" s="1"/>
      <c r="C134" s="1"/>
    </row>
    <row r="135" spans="1:3" ht="14.25" customHeight="1">
      <c r="A135" s="1"/>
      <c r="B135" s="1"/>
      <c r="C135" s="1"/>
    </row>
    <row r="136" spans="1:3" ht="14.25" customHeight="1">
      <c r="A136" s="1"/>
      <c r="B136" s="1"/>
      <c r="C136" s="1"/>
    </row>
    <row r="137" spans="1:3" ht="14.25" customHeight="1">
      <c r="A137" s="1"/>
      <c r="B137" s="1"/>
      <c r="C137" s="1"/>
    </row>
    <row r="138" spans="1:3" ht="14.25" customHeight="1">
      <c r="A138" s="1"/>
      <c r="B138" s="1"/>
      <c r="C138" s="1"/>
    </row>
    <row r="139" spans="1:3" ht="14.25" customHeight="1">
      <c r="A139" s="1"/>
      <c r="B139" s="1"/>
      <c r="C139" s="1"/>
    </row>
    <row r="140" spans="1:3" ht="14.25" customHeight="1">
      <c r="A140" s="1"/>
      <c r="B140" s="1"/>
      <c r="C140" s="1"/>
    </row>
    <row r="141" spans="1:3" ht="14.25" customHeight="1">
      <c r="A141" s="1"/>
      <c r="B141" s="1"/>
      <c r="C141" s="1"/>
    </row>
    <row r="142" spans="1:3" ht="14.25" customHeight="1">
      <c r="A142" s="1"/>
      <c r="B142" s="1"/>
      <c r="C142" s="1"/>
    </row>
    <row r="143" spans="1:3" ht="14.25" customHeight="1">
      <c r="A143" s="1"/>
      <c r="B143" s="1"/>
      <c r="C143" s="1"/>
    </row>
    <row r="144" spans="1:3" ht="14.25" customHeight="1">
      <c r="A144" s="1"/>
      <c r="B144" s="1"/>
      <c r="C144" s="1"/>
    </row>
    <row r="145" spans="1:3" ht="14.25" customHeight="1">
      <c r="A145" s="1"/>
      <c r="B145" s="1"/>
      <c r="C145" s="1"/>
    </row>
    <row r="146" spans="1:3" ht="14.25" customHeight="1">
      <c r="A146" s="1"/>
      <c r="B146" s="1"/>
      <c r="C146" s="1"/>
    </row>
    <row r="147" spans="1:3" ht="14.25" customHeight="1">
      <c r="A147" s="1"/>
      <c r="B147" s="1"/>
      <c r="C147" s="1"/>
    </row>
    <row r="148" spans="1:3" ht="14.25" customHeight="1">
      <c r="A148" s="1"/>
      <c r="B148" s="1"/>
      <c r="C148" s="1"/>
    </row>
    <row r="149" spans="1:3" ht="14.25" customHeight="1">
      <c r="A149" s="1"/>
      <c r="B149" s="1"/>
      <c r="C149" s="1"/>
    </row>
    <row r="150" spans="1:3" ht="14.25" customHeight="1">
      <c r="A150" s="1"/>
      <c r="B150" s="1"/>
      <c r="C150" s="1"/>
    </row>
    <row r="151" spans="1:3" ht="14.25" customHeight="1">
      <c r="A151" s="1"/>
      <c r="B151" s="1"/>
      <c r="C151" s="1"/>
    </row>
    <row r="152" spans="1:3" ht="14.25" customHeight="1">
      <c r="A152" s="1"/>
      <c r="B152" s="1"/>
      <c r="C152" s="1"/>
    </row>
    <row r="153" spans="1:3" ht="14.25" customHeight="1">
      <c r="A153" s="1"/>
      <c r="B153" s="1"/>
      <c r="C153" s="1"/>
    </row>
    <row r="154" spans="1:3" ht="14.25" customHeight="1">
      <c r="A154" s="1"/>
      <c r="B154" s="1"/>
      <c r="C154" s="1"/>
    </row>
    <row r="155" spans="1:3" ht="14.25" customHeight="1">
      <c r="A155" s="1"/>
      <c r="B155" s="1"/>
      <c r="C155" s="1"/>
    </row>
    <row r="156" spans="1:3" ht="14.25" customHeight="1">
      <c r="A156" s="1"/>
      <c r="B156" s="1"/>
      <c r="C156" s="1"/>
    </row>
    <row r="157" spans="1:3" ht="14.25" customHeight="1">
      <c r="A157" s="1"/>
      <c r="B157" s="1"/>
      <c r="C157" s="1"/>
    </row>
    <row r="158" spans="1:3" ht="14.25" customHeight="1">
      <c r="A158" s="1"/>
      <c r="B158" s="1"/>
      <c r="C158" s="1"/>
    </row>
    <row r="159" spans="1:3" ht="14.25" customHeight="1">
      <c r="A159" s="1"/>
      <c r="B159" s="1"/>
      <c r="C159" s="1"/>
    </row>
    <row r="160" spans="1:3" ht="14.25" customHeight="1">
      <c r="A160" s="1"/>
      <c r="B160" s="1"/>
      <c r="C160" s="1"/>
    </row>
    <row r="161" spans="1:3" ht="14.25" customHeight="1">
      <c r="A161" s="1"/>
      <c r="B161" s="1"/>
      <c r="C161" s="1"/>
    </row>
    <row r="162" spans="1:3" ht="14.25" customHeight="1">
      <c r="A162" s="1"/>
      <c r="B162" s="1"/>
      <c r="C162" s="1"/>
    </row>
    <row r="163" spans="1:3" ht="14.25" customHeight="1">
      <c r="A163" s="1"/>
      <c r="B163" s="1"/>
      <c r="C163" s="1"/>
    </row>
    <row r="164" spans="1:3" ht="14.25" customHeight="1">
      <c r="A164" s="1"/>
      <c r="B164" s="1"/>
      <c r="C164" s="1"/>
    </row>
    <row r="165" spans="1:3" ht="14.25" customHeight="1">
      <c r="A165" s="1"/>
      <c r="B165" s="1"/>
      <c r="C165" s="1"/>
    </row>
    <row r="166" spans="1:3" ht="14.25" customHeight="1">
      <c r="A166" s="1"/>
      <c r="B166" s="1"/>
      <c r="C166" s="1"/>
    </row>
    <row r="167" spans="1:3" ht="14.25" customHeight="1">
      <c r="A167" s="1"/>
      <c r="B167" s="1"/>
      <c r="C167" s="1"/>
    </row>
    <row r="168" spans="1:3" ht="14.25" customHeight="1">
      <c r="A168" s="1"/>
      <c r="B168" s="1"/>
      <c r="C168" s="1"/>
    </row>
    <row r="169" spans="1:3" ht="14.25" customHeight="1">
      <c r="A169" s="1"/>
      <c r="B169" s="1"/>
      <c r="C169" s="1"/>
    </row>
    <row r="170" spans="1:3" ht="14.25" customHeight="1">
      <c r="A170" s="1"/>
      <c r="B170" s="1"/>
      <c r="C170" s="1"/>
    </row>
    <row r="171" spans="1:3" ht="14.25" customHeight="1">
      <c r="A171" s="1"/>
      <c r="B171" s="1"/>
      <c r="C171" s="1"/>
    </row>
    <row r="172" spans="1:3" ht="14.25" customHeight="1">
      <c r="A172" s="1"/>
      <c r="B172" s="1"/>
      <c r="C172" s="1"/>
    </row>
    <row r="173" spans="1:3" ht="14.25" customHeight="1">
      <c r="A173" s="1"/>
      <c r="B173" s="1"/>
      <c r="C173" s="1"/>
    </row>
    <row r="174" spans="1:3" ht="14.25" customHeight="1">
      <c r="A174" s="1"/>
      <c r="B174" s="1"/>
      <c r="C174" s="1"/>
    </row>
    <row r="175" spans="1:3" ht="14.25" customHeight="1">
      <c r="A175" s="1"/>
      <c r="B175" s="1"/>
      <c r="C175" s="1"/>
    </row>
    <row r="176" spans="1:3" ht="14.25" customHeight="1">
      <c r="A176" s="1"/>
      <c r="B176" s="1"/>
      <c r="C176" s="1"/>
    </row>
    <row r="177" spans="1:3" ht="14.25" customHeight="1">
      <c r="A177" s="1"/>
      <c r="B177" s="1"/>
      <c r="C177" s="1"/>
    </row>
    <row r="178" spans="1:3" ht="14.25" customHeight="1">
      <c r="A178" s="1"/>
      <c r="B178" s="1"/>
      <c r="C178" s="1"/>
    </row>
    <row r="179" spans="1:3" ht="14.25" customHeight="1">
      <c r="A179" s="1"/>
      <c r="B179" s="1"/>
      <c r="C179" s="1"/>
    </row>
    <row r="180" spans="1:3" ht="14.25" customHeight="1">
      <c r="A180" s="1"/>
      <c r="B180" s="1"/>
      <c r="C180" s="1"/>
    </row>
    <row r="181" spans="1:3" ht="14.25" customHeight="1">
      <c r="A181" s="1"/>
      <c r="B181" s="1"/>
      <c r="C181" s="1"/>
    </row>
    <row r="182" spans="1:3" ht="14.25" customHeight="1">
      <c r="A182" s="1"/>
      <c r="B182" s="1"/>
      <c r="C182" s="1"/>
    </row>
    <row r="183" spans="1:3" ht="14.25" customHeight="1">
      <c r="A183" s="1"/>
      <c r="B183" s="1"/>
      <c r="C183" s="1"/>
    </row>
    <row r="184" spans="1:3" ht="14.25" customHeight="1">
      <c r="A184" s="1"/>
      <c r="B184" s="1"/>
      <c r="C184" s="1"/>
    </row>
    <row r="185" spans="1:3" ht="14.25" customHeight="1">
      <c r="A185" s="1"/>
      <c r="B185" s="1"/>
      <c r="C185" s="1"/>
    </row>
    <row r="186" spans="1:3" ht="14.25" customHeight="1">
      <c r="A186" s="1"/>
      <c r="B186" s="1"/>
      <c r="C186" s="1"/>
    </row>
    <row r="187" spans="1:3" ht="14.25" customHeight="1">
      <c r="A187" s="1"/>
      <c r="B187" s="1"/>
      <c r="C187" s="1"/>
    </row>
    <row r="188" spans="1:3" ht="14.25" customHeight="1">
      <c r="A188" s="1"/>
      <c r="B188" s="1"/>
      <c r="C188" s="1"/>
    </row>
    <row r="189" spans="1:3" ht="14.25" customHeight="1">
      <c r="A189" s="1"/>
      <c r="B189" s="1"/>
      <c r="C189" s="1"/>
    </row>
    <row r="190" spans="1:3" ht="14.25" customHeight="1">
      <c r="A190" s="1"/>
      <c r="B190" s="1"/>
      <c r="C190" s="1"/>
    </row>
    <row r="191" spans="1:3" ht="14.25" customHeight="1">
      <c r="A191" s="1"/>
      <c r="B191" s="1"/>
      <c r="C191" s="1"/>
    </row>
    <row r="192" spans="1:3" ht="14.25" customHeight="1">
      <c r="A192" s="1"/>
      <c r="B192" s="1"/>
      <c r="C192" s="1"/>
    </row>
    <row r="193" spans="1:3" ht="14.25" customHeight="1">
      <c r="A193" s="1"/>
      <c r="B193" s="1"/>
      <c r="C193" s="1"/>
    </row>
    <row r="194" spans="1:3" ht="14.25" customHeight="1">
      <c r="A194" s="1"/>
      <c r="B194" s="1"/>
      <c r="C194" s="1"/>
    </row>
    <row r="195" spans="1:3" ht="14.25" customHeight="1">
      <c r="A195" s="1"/>
      <c r="B195" s="1"/>
      <c r="C195" s="1"/>
    </row>
    <row r="196" spans="1:3" ht="14.25" customHeight="1">
      <c r="A196" s="1"/>
      <c r="B196" s="1"/>
      <c r="C196" s="1"/>
    </row>
    <row r="197" spans="1:3" ht="14.25" customHeight="1">
      <c r="A197" s="1"/>
      <c r="B197" s="1"/>
      <c r="C197" s="1"/>
    </row>
    <row r="198" spans="1:3" ht="14.25" customHeight="1">
      <c r="A198" s="1"/>
      <c r="B198" s="1"/>
      <c r="C198" s="1"/>
    </row>
    <row r="199" spans="1:3" ht="14.25" customHeight="1">
      <c r="A199" s="1"/>
      <c r="B199" s="1"/>
      <c r="C199" s="1"/>
    </row>
    <row r="200" spans="1:3" ht="14.25" customHeight="1">
      <c r="A200" s="1"/>
      <c r="B200" s="1"/>
      <c r="C200" s="1"/>
    </row>
    <row r="201" spans="1:3" ht="14.25" customHeight="1">
      <c r="A201" s="1"/>
      <c r="B201" s="1"/>
      <c r="C201" s="1"/>
    </row>
    <row r="202" spans="1:3" ht="14.25" customHeight="1">
      <c r="A202" s="1"/>
      <c r="B202" s="1"/>
      <c r="C202" s="1"/>
    </row>
    <row r="203" spans="1:3" ht="14.25" customHeight="1">
      <c r="A203" s="1"/>
      <c r="B203" s="1"/>
      <c r="C203" s="1"/>
    </row>
    <row r="204" spans="1:3" ht="14.25" customHeight="1">
      <c r="A204" s="1"/>
      <c r="B204" s="1"/>
      <c r="C204" s="1"/>
    </row>
    <row r="205" spans="1:3" ht="14.25" customHeight="1">
      <c r="A205" s="1"/>
      <c r="B205" s="1"/>
      <c r="C205" s="1"/>
    </row>
    <row r="206" spans="1:3" ht="14.25" customHeight="1">
      <c r="A206" s="1"/>
      <c r="B206" s="1"/>
      <c r="C206" s="1"/>
    </row>
    <row r="207" spans="1:3" ht="14.25" customHeight="1">
      <c r="A207" s="1"/>
      <c r="B207" s="1"/>
      <c r="C207" s="1"/>
    </row>
    <row r="208" spans="1:3" ht="14.25" customHeight="1">
      <c r="A208" s="1"/>
      <c r="B208" s="1"/>
      <c r="C208" s="1"/>
    </row>
    <row r="209" spans="1:3" ht="14.25" customHeight="1">
      <c r="A209" s="1"/>
      <c r="B209" s="1"/>
      <c r="C209" s="1"/>
    </row>
    <row r="210" spans="1:3" ht="14.25" customHeight="1">
      <c r="A210" s="1"/>
      <c r="B210" s="1"/>
      <c r="C210" s="1"/>
    </row>
    <row r="211" spans="1:3" ht="14.25" customHeight="1">
      <c r="A211" s="1"/>
      <c r="B211" s="1"/>
      <c r="C211" s="1"/>
    </row>
    <row r="212" spans="1:3" ht="14.25" customHeight="1">
      <c r="A212" s="1"/>
      <c r="B212" s="1"/>
      <c r="C212" s="1"/>
    </row>
    <row r="213" spans="1:3" ht="14.25" customHeight="1">
      <c r="A213" s="1"/>
      <c r="B213" s="1"/>
      <c r="C213" s="1"/>
    </row>
    <row r="214" spans="1:3" ht="14.25" customHeight="1">
      <c r="A214" s="1"/>
      <c r="B214" s="1"/>
      <c r="C214" s="1"/>
    </row>
    <row r="215" spans="1:3" ht="14.25" customHeight="1">
      <c r="A215" s="1"/>
      <c r="B215" s="1"/>
      <c r="C215" s="1"/>
    </row>
    <row r="216" spans="1:3" ht="14.25" customHeight="1">
      <c r="A216" s="1"/>
      <c r="B216" s="1"/>
      <c r="C216" s="1"/>
    </row>
    <row r="217" spans="1:3" ht="14.25" customHeight="1">
      <c r="A217" s="1"/>
      <c r="B217" s="1"/>
      <c r="C217" s="1"/>
    </row>
    <row r="218" spans="1:3" ht="14.25" customHeight="1">
      <c r="A218" s="1"/>
      <c r="B218" s="1"/>
      <c r="C218" s="1"/>
    </row>
    <row r="219" spans="1:3" ht="14.25" customHeight="1">
      <c r="A219" s="1"/>
      <c r="B219" s="1"/>
      <c r="C219" s="1"/>
    </row>
    <row r="220" spans="1:3" ht="14.25" customHeight="1">
      <c r="A220" s="1"/>
      <c r="B220" s="1"/>
      <c r="C220" s="1"/>
    </row>
    <row r="221" spans="1:3" ht="14.25" customHeight="1">
      <c r="A221" s="1"/>
      <c r="B221" s="1"/>
      <c r="C221" s="1"/>
    </row>
    <row r="222" spans="1:3" ht="14.25" customHeight="1">
      <c r="A222" s="1"/>
      <c r="B222" s="1"/>
      <c r="C222" s="1"/>
    </row>
    <row r="223" spans="1:3" ht="14.25" customHeight="1">
      <c r="A223" s="1"/>
      <c r="B223" s="1"/>
      <c r="C223" s="1"/>
    </row>
    <row r="224" spans="1:3" ht="14.25" customHeight="1">
      <c r="A224" s="1"/>
      <c r="B224" s="1"/>
      <c r="C224" s="1"/>
    </row>
    <row r="225" spans="1:3" ht="14.25" customHeight="1">
      <c r="A225" s="1"/>
      <c r="B225" s="1"/>
      <c r="C225" s="1"/>
    </row>
    <row r="226" spans="1:3" ht="14.25" customHeight="1">
      <c r="A226" s="1"/>
      <c r="B226" s="1"/>
      <c r="C226" s="1"/>
    </row>
    <row r="227" spans="1:3" ht="14.25" customHeight="1">
      <c r="A227" s="1"/>
      <c r="B227" s="1"/>
      <c r="C227" s="1"/>
    </row>
    <row r="228" spans="1:3" ht="14.25" customHeight="1">
      <c r="A228" s="1"/>
      <c r="B228" s="1"/>
      <c r="C228" s="1"/>
    </row>
    <row r="229" spans="1:3" ht="14.25" customHeight="1">
      <c r="A229" s="1"/>
      <c r="B229" s="1"/>
      <c r="C229" s="1"/>
    </row>
    <row r="230" spans="1:3" ht="14.25" customHeight="1">
      <c r="A230" s="1"/>
      <c r="B230" s="1"/>
      <c r="C230" s="1"/>
    </row>
    <row r="231" spans="1:3" ht="14.25" customHeight="1">
      <c r="A231" s="1"/>
      <c r="B231" s="1"/>
      <c r="C231" s="1"/>
    </row>
    <row r="232" spans="1:3" ht="14.25" customHeight="1">
      <c r="A232" s="1"/>
      <c r="B232" s="1"/>
      <c r="C232" s="1"/>
    </row>
    <row r="233" spans="1:3" ht="14.25" customHeight="1">
      <c r="A233" s="1"/>
      <c r="B233" s="1"/>
      <c r="C233" s="1"/>
    </row>
    <row r="234" spans="1:3" ht="14.25" customHeight="1">
      <c r="A234" s="1"/>
      <c r="B234" s="1"/>
      <c r="C234" s="1"/>
    </row>
    <row r="235" spans="1:3" ht="14.25" customHeight="1">
      <c r="A235" s="1"/>
      <c r="B235" s="1"/>
      <c r="C235" s="1"/>
    </row>
    <row r="236" spans="1:3" ht="14.25" customHeight="1">
      <c r="A236" s="1"/>
      <c r="B236" s="1"/>
      <c r="C236" s="1"/>
    </row>
    <row r="237" spans="1:3" ht="14.25" customHeight="1">
      <c r="A237" s="1"/>
      <c r="B237" s="1"/>
      <c r="C237" s="1"/>
    </row>
    <row r="238" spans="1:3" ht="14.25" customHeight="1">
      <c r="A238" s="1"/>
      <c r="B238" s="1"/>
      <c r="C238" s="1"/>
    </row>
    <row r="239" spans="1:3" ht="14.25" customHeight="1">
      <c r="A239" s="1"/>
      <c r="B239" s="1"/>
      <c r="C239" s="1"/>
    </row>
    <row r="240" spans="1:3" ht="14.25" customHeight="1">
      <c r="A240" s="1"/>
      <c r="B240" s="1"/>
      <c r="C240" s="1"/>
    </row>
    <row r="241" spans="1:3" ht="14.25" customHeight="1">
      <c r="A241" s="1"/>
      <c r="B241" s="1"/>
      <c r="C241" s="1"/>
    </row>
    <row r="242" spans="1:3" ht="14.25" customHeight="1">
      <c r="A242" s="1"/>
      <c r="B242" s="1"/>
      <c r="C242" s="1"/>
    </row>
    <row r="243" spans="1:3" ht="14.25" customHeight="1">
      <c r="A243" s="1"/>
      <c r="B243" s="1"/>
      <c r="C243" s="1"/>
    </row>
    <row r="244" spans="1:3" ht="14.25" customHeight="1">
      <c r="A244" s="1"/>
      <c r="B244" s="1"/>
      <c r="C244" s="1"/>
    </row>
    <row r="245" spans="1:3" ht="14.25" customHeight="1">
      <c r="A245" s="1"/>
      <c r="B245" s="1"/>
      <c r="C245" s="1"/>
    </row>
    <row r="246" spans="1:3" ht="14.25" customHeight="1">
      <c r="A246" s="1"/>
      <c r="B246" s="1"/>
      <c r="C246" s="1"/>
    </row>
    <row r="247" spans="1:3" ht="14.25" customHeight="1">
      <c r="A247" s="1"/>
      <c r="B247" s="1"/>
      <c r="C247" s="1"/>
    </row>
    <row r="248" spans="1:3" ht="14.25" customHeight="1">
      <c r="A248" s="1"/>
      <c r="B248" s="1"/>
      <c r="C248" s="1"/>
    </row>
    <row r="249" spans="1:3" ht="14.25" customHeight="1">
      <c r="A249" s="1"/>
      <c r="B249" s="1"/>
      <c r="C249" s="1"/>
    </row>
    <row r="250" spans="1:3" ht="14.25" customHeight="1">
      <c r="A250" s="1"/>
      <c r="B250" s="1"/>
      <c r="C250" s="1"/>
    </row>
    <row r="251" spans="1:3" ht="14.25" customHeight="1">
      <c r="A251" s="1"/>
      <c r="B251" s="1"/>
      <c r="C251" s="1"/>
    </row>
    <row r="252" spans="1:3" ht="14.25" customHeight="1">
      <c r="A252" s="1"/>
      <c r="B252" s="1"/>
      <c r="C252" s="1"/>
    </row>
    <row r="253" spans="1:3" ht="14.25" customHeight="1">
      <c r="A253" s="1"/>
      <c r="B253" s="1"/>
      <c r="C253" s="1"/>
    </row>
    <row r="254" spans="1:3" ht="14.25" customHeight="1">
      <c r="A254" s="1"/>
      <c r="B254" s="1"/>
      <c r="C254" s="1"/>
    </row>
    <row r="255" spans="1:3" ht="14.25" customHeight="1">
      <c r="A255" s="1"/>
      <c r="B255" s="1"/>
      <c r="C255" s="1"/>
    </row>
    <row r="256" spans="1:3" ht="14.25" customHeight="1">
      <c r="A256" s="1"/>
      <c r="B256" s="1"/>
      <c r="C256" s="1"/>
    </row>
    <row r="257" spans="1:3" ht="14.25" customHeight="1">
      <c r="A257" s="1"/>
      <c r="B257" s="1"/>
      <c r="C257" s="1"/>
    </row>
    <row r="258" spans="1:3" ht="14.25" customHeight="1">
      <c r="A258" s="1"/>
      <c r="B258" s="1"/>
      <c r="C258" s="1"/>
    </row>
    <row r="259" spans="1:3" ht="14.25" customHeight="1">
      <c r="A259" s="1"/>
      <c r="B259" s="1"/>
      <c r="C259" s="1"/>
    </row>
    <row r="260" spans="1:3" ht="14.25" customHeight="1">
      <c r="A260" s="1"/>
      <c r="B260" s="1"/>
      <c r="C260" s="1"/>
    </row>
    <row r="261" spans="1:3" ht="14.25" customHeight="1">
      <c r="A261" s="1"/>
      <c r="B261" s="1"/>
      <c r="C261" s="1"/>
    </row>
    <row r="262" spans="1:3" ht="14.25" customHeight="1">
      <c r="A262" s="1"/>
      <c r="B262" s="1"/>
      <c r="C262" s="1"/>
    </row>
    <row r="263" spans="1:3" ht="14.25" customHeight="1">
      <c r="A263" s="1"/>
      <c r="B263" s="1"/>
      <c r="C263" s="1"/>
    </row>
    <row r="264" spans="1:3" ht="14.25" customHeight="1">
      <c r="A264" s="1"/>
      <c r="B264" s="1"/>
      <c r="C264" s="1"/>
    </row>
    <row r="265" spans="1:3" ht="14.25" customHeight="1">
      <c r="A265" s="1"/>
      <c r="B265" s="1"/>
      <c r="C265" s="1"/>
    </row>
    <row r="266" spans="1:3" ht="14.25" customHeight="1">
      <c r="A266" s="1"/>
      <c r="B266" s="1"/>
      <c r="C266" s="1"/>
    </row>
    <row r="267" spans="1:3" ht="14.25" customHeight="1">
      <c r="A267" s="1"/>
      <c r="B267" s="1"/>
      <c r="C267" s="1"/>
    </row>
    <row r="268" spans="1:3" ht="14.25" customHeight="1">
      <c r="A268" s="1"/>
      <c r="B268" s="1"/>
      <c r="C268" s="1"/>
    </row>
    <row r="269" spans="1:3" ht="14.25" customHeight="1">
      <c r="A269" s="1"/>
      <c r="B269" s="1"/>
      <c r="C269" s="1"/>
    </row>
    <row r="270" spans="1:3" ht="14.25" customHeight="1">
      <c r="A270" s="1"/>
      <c r="B270" s="1"/>
      <c r="C270" s="1"/>
    </row>
    <row r="271" spans="1:3" ht="14.25" customHeight="1">
      <c r="A271" s="1"/>
      <c r="B271" s="1"/>
      <c r="C271" s="1"/>
    </row>
    <row r="272" spans="1:3" ht="14.25" customHeight="1">
      <c r="A272" s="1"/>
      <c r="B272" s="1"/>
      <c r="C272" s="1"/>
    </row>
    <row r="273" spans="1:3" ht="14.25" customHeight="1">
      <c r="A273" s="1"/>
      <c r="B273" s="1"/>
      <c r="C273" s="1"/>
    </row>
    <row r="274" spans="1:3" ht="14.25" customHeight="1">
      <c r="A274" s="1"/>
      <c r="B274" s="1"/>
      <c r="C274" s="1"/>
    </row>
    <row r="275" spans="1:3" ht="14.25" customHeight="1">
      <c r="A275" s="1"/>
      <c r="B275" s="1"/>
      <c r="C275" s="1"/>
    </row>
    <row r="276" spans="1:3" ht="14.25" customHeight="1">
      <c r="A276" s="1"/>
      <c r="B276" s="1"/>
      <c r="C276" s="1"/>
    </row>
    <row r="277" spans="1:3" ht="14.25" customHeight="1">
      <c r="A277" s="1"/>
      <c r="B277" s="1"/>
      <c r="C277" s="1"/>
    </row>
    <row r="278" spans="1:3" ht="14.25" customHeight="1">
      <c r="A278" s="1"/>
      <c r="B278" s="1"/>
      <c r="C278" s="1"/>
    </row>
    <row r="279" spans="1:3" ht="14.25" customHeight="1">
      <c r="A279" s="1"/>
      <c r="B279" s="1"/>
      <c r="C279" s="1"/>
    </row>
    <row r="280" spans="1:3" ht="14.25" customHeight="1">
      <c r="A280" s="1"/>
      <c r="B280" s="1"/>
      <c r="C280" s="1"/>
    </row>
    <row r="281" spans="1:3" ht="14.25" customHeight="1">
      <c r="A281" s="1"/>
      <c r="B281" s="1"/>
      <c r="C281" s="1"/>
    </row>
    <row r="282" spans="1:3" ht="14.25" customHeight="1">
      <c r="A282" s="1"/>
      <c r="B282" s="1"/>
      <c r="C282" s="1"/>
    </row>
    <row r="283" spans="1:3" ht="14.25" customHeight="1">
      <c r="A283" s="1"/>
      <c r="B283" s="1"/>
      <c r="C283" s="1"/>
    </row>
    <row r="284" spans="1:3" ht="14.25" customHeight="1">
      <c r="A284" s="1"/>
      <c r="B284" s="1"/>
      <c r="C284" s="1"/>
    </row>
    <row r="285" spans="1:3" ht="14.25" customHeight="1">
      <c r="A285" s="1"/>
      <c r="B285" s="1"/>
      <c r="C285" s="1"/>
    </row>
    <row r="286" spans="1:3" ht="14.25" customHeight="1">
      <c r="A286" s="1"/>
      <c r="B286" s="1"/>
      <c r="C286" s="1"/>
    </row>
    <row r="287" spans="1:3" ht="14.25" customHeight="1">
      <c r="A287" s="1"/>
      <c r="B287" s="1"/>
      <c r="C287" s="1"/>
    </row>
    <row r="288" spans="1:3" ht="14.25" customHeight="1">
      <c r="A288" s="1"/>
      <c r="B288" s="1"/>
      <c r="C288" s="1"/>
    </row>
    <row r="289" spans="1:3" ht="14.25" customHeight="1">
      <c r="A289" s="1"/>
      <c r="B289" s="1"/>
      <c r="C289" s="1"/>
    </row>
    <row r="290" spans="1:3" ht="14.25" customHeight="1">
      <c r="A290" s="1"/>
      <c r="B290" s="1"/>
      <c r="C290" s="1"/>
    </row>
    <row r="291" spans="1:3" ht="14.25" customHeight="1">
      <c r="A291" s="1"/>
      <c r="B291" s="1"/>
      <c r="C291" s="1"/>
    </row>
    <row r="292" spans="1:3" ht="14.25" customHeight="1">
      <c r="A292" s="1"/>
      <c r="B292" s="1"/>
      <c r="C292" s="1"/>
    </row>
    <row r="293" spans="1:3" ht="14.25" customHeight="1">
      <c r="A293" s="1"/>
      <c r="B293" s="1"/>
      <c r="C293" s="1"/>
    </row>
    <row r="294" spans="1:3" ht="14.25" customHeight="1">
      <c r="A294" s="1"/>
      <c r="B294" s="1"/>
      <c r="C294" s="1"/>
    </row>
    <row r="295" spans="1:3" ht="14.25" customHeight="1">
      <c r="A295" s="1"/>
      <c r="B295" s="1"/>
      <c r="C295" s="1"/>
    </row>
    <row r="296" spans="1:3" ht="14.25" customHeight="1">
      <c r="A296" s="1"/>
      <c r="B296" s="1"/>
      <c r="C296" s="1"/>
    </row>
    <row r="297" spans="1:3" ht="14.25" customHeight="1">
      <c r="A297" s="1"/>
      <c r="B297" s="1"/>
      <c r="C297" s="1"/>
    </row>
    <row r="298" spans="1:3" ht="14.25" customHeight="1">
      <c r="A298" s="1"/>
      <c r="B298" s="1"/>
      <c r="C298" s="1"/>
    </row>
    <row r="299" spans="1:3" ht="14.25" customHeight="1">
      <c r="A299" s="1"/>
      <c r="B299" s="1"/>
      <c r="C299" s="1"/>
    </row>
    <row r="300" spans="1:3" ht="14.25" customHeight="1">
      <c r="A300" s="1"/>
      <c r="B300" s="1"/>
      <c r="C300" s="1"/>
    </row>
    <row r="301" spans="1:3" ht="14.25" customHeight="1">
      <c r="A301" s="1"/>
      <c r="B301" s="1"/>
      <c r="C301" s="1"/>
    </row>
    <row r="302" spans="1:3" ht="14.25" customHeight="1">
      <c r="A302" s="1"/>
      <c r="B302" s="1"/>
      <c r="C302" s="1"/>
    </row>
    <row r="303" spans="1:3" ht="14.25" customHeight="1">
      <c r="A303" s="1"/>
      <c r="B303" s="1"/>
      <c r="C303" s="1"/>
    </row>
    <row r="304" spans="1:3" ht="14.25" customHeight="1">
      <c r="A304" s="1"/>
      <c r="B304" s="1"/>
      <c r="C304" s="1"/>
    </row>
    <row r="305" spans="1:3" ht="14.25" customHeight="1">
      <c r="A305" s="1"/>
      <c r="B305" s="1"/>
      <c r="C305" s="1"/>
    </row>
    <row r="306" spans="1:3" ht="14.25" customHeight="1">
      <c r="A306" s="1"/>
      <c r="B306" s="1"/>
      <c r="C306" s="1"/>
    </row>
    <row r="307" spans="1:3" ht="14.25" customHeight="1">
      <c r="A307" s="1"/>
      <c r="B307" s="1"/>
      <c r="C307" s="1"/>
    </row>
    <row r="308" spans="1:3" ht="14.25" customHeight="1">
      <c r="A308" s="1"/>
      <c r="B308" s="1"/>
      <c r="C308" s="1"/>
    </row>
    <row r="309" spans="1:3" ht="14.25" customHeight="1">
      <c r="A309" s="1"/>
      <c r="B309" s="1"/>
      <c r="C309" s="1"/>
    </row>
    <row r="310" spans="1:3" ht="14.25" customHeight="1">
      <c r="A310" s="1"/>
      <c r="B310" s="1"/>
      <c r="C310" s="1"/>
    </row>
    <row r="311" spans="1:3" ht="14.25" customHeight="1">
      <c r="A311" s="1"/>
      <c r="B311" s="1"/>
      <c r="C311" s="1"/>
    </row>
    <row r="312" spans="1:3" ht="14.25" customHeight="1">
      <c r="A312" s="1"/>
      <c r="B312" s="1"/>
      <c r="C312" s="1"/>
    </row>
    <row r="313" spans="1:3" ht="14.25" customHeight="1">
      <c r="A313" s="1"/>
      <c r="B313" s="1"/>
      <c r="C313" s="1"/>
    </row>
    <row r="314" spans="1:3" ht="14.25" customHeight="1">
      <c r="A314" s="1"/>
      <c r="B314" s="1"/>
      <c r="C314" s="1"/>
    </row>
    <row r="315" spans="1:3" ht="14.25" customHeight="1">
      <c r="A315" s="1"/>
      <c r="B315" s="1"/>
      <c r="C315" s="1"/>
    </row>
    <row r="316" spans="1:3" ht="14.25" customHeight="1">
      <c r="A316" s="1"/>
      <c r="B316" s="1"/>
      <c r="C316" s="1"/>
    </row>
    <row r="317" spans="1:3" ht="14.25" customHeight="1">
      <c r="A317" s="1"/>
      <c r="B317" s="1"/>
      <c r="C317" s="1"/>
    </row>
    <row r="318" spans="1:3" ht="14.25" customHeight="1">
      <c r="A318" s="1"/>
      <c r="B318" s="1"/>
      <c r="C318" s="1"/>
    </row>
    <row r="319" spans="1:3" ht="14.25" customHeight="1">
      <c r="A319" s="1"/>
      <c r="B319" s="1"/>
      <c r="C319" s="1"/>
    </row>
    <row r="320" spans="1:3" ht="14.25" customHeight="1">
      <c r="A320" s="1"/>
      <c r="B320" s="1"/>
      <c r="C320" s="1"/>
    </row>
    <row r="321" spans="1:3" ht="14.25" customHeight="1">
      <c r="A321" s="1"/>
      <c r="B321" s="1"/>
      <c r="C321" s="1"/>
    </row>
    <row r="322" spans="1:3" ht="14.25" customHeight="1">
      <c r="A322" s="1"/>
      <c r="B322" s="1"/>
      <c r="C322" s="1"/>
    </row>
    <row r="323" spans="1:3" ht="14.25" customHeight="1">
      <c r="A323" s="1"/>
      <c r="B323" s="1"/>
      <c r="C323" s="1"/>
    </row>
    <row r="324" spans="1:3" ht="14.25" customHeight="1">
      <c r="A324" s="1"/>
      <c r="B324" s="1"/>
      <c r="C324" s="1"/>
    </row>
    <row r="325" spans="1:3" ht="14.25" customHeight="1">
      <c r="A325" s="1"/>
      <c r="B325" s="1"/>
      <c r="C325" s="1"/>
    </row>
    <row r="326" spans="1:3" ht="14.25" customHeight="1">
      <c r="A326" s="1"/>
      <c r="B326" s="1"/>
      <c r="C326" s="1"/>
    </row>
    <row r="327" spans="1:3" ht="14.25" customHeight="1">
      <c r="A327" s="1"/>
      <c r="B327" s="1"/>
      <c r="C327" s="1"/>
    </row>
    <row r="328" spans="1:3" ht="14.25" customHeight="1">
      <c r="A328" s="1"/>
      <c r="B328" s="1"/>
      <c r="C328" s="1"/>
    </row>
    <row r="329" spans="1:3" ht="14.25" customHeight="1">
      <c r="A329" s="1"/>
      <c r="B329" s="1"/>
      <c r="C329" s="1"/>
    </row>
    <row r="330" spans="1:3" ht="14.25" customHeight="1">
      <c r="A330" s="1"/>
      <c r="B330" s="1"/>
      <c r="C330" s="1"/>
    </row>
    <row r="331" spans="1:3" ht="14.25" customHeight="1">
      <c r="A331" s="1"/>
      <c r="B331" s="1"/>
      <c r="C331" s="1"/>
    </row>
    <row r="332" spans="1:3" ht="14.25" customHeight="1">
      <c r="A332" s="1"/>
      <c r="B332" s="1"/>
      <c r="C332" s="1"/>
    </row>
    <row r="333" spans="1:3" ht="14.25" customHeight="1">
      <c r="A333" s="1"/>
      <c r="B333" s="1"/>
      <c r="C333" s="1"/>
    </row>
    <row r="334" spans="1:3" ht="14.25" customHeight="1">
      <c r="A334" s="1"/>
      <c r="B334" s="1"/>
      <c r="C334" s="1"/>
    </row>
    <row r="335" spans="1:3" ht="14.25" customHeight="1">
      <c r="A335" s="1"/>
      <c r="B335" s="1"/>
      <c r="C335" s="1"/>
    </row>
    <row r="336" spans="1:3" ht="14.25" customHeight="1">
      <c r="A336" s="1"/>
      <c r="B336" s="1"/>
      <c r="C336" s="1"/>
    </row>
    <row r="337" spans="1:3" ht="14.25" customHeight="1">
      <c r="A337" s="1"/>
      <c r="B337" s="1"/>
      <c r="C337" s="1"/>
    </row>
    <row r="338" spans="1:3" ht="14.25" customHeight="1">
      <c r="A338" s="1"/>
      <c r="B338" s="1"/>
      <c r="C338" s="1"/>
    </row>
    <row r="339" spans="1:3" ht="14.25" customHeight="1">
      <c r="A339" s="1"/>
      <c r="B339" s="1"/>
      <c r="C339" s="1"/>
    </row>
    <row r="340" spans="1:3" ht="14.25" customHeight="1">
      <c r="A340" s="1"/>
      <c r="B340" s="1"/>
      <c r="C340" s="1"/>
    </row>
    <row r="341" spans="1:3" ht="14.25" customHeight="1">
      <c r="A341" s="1"/>
      <c r="B341" s="1"/>
      <c r="C341" s="1"/>
    </row>
    <row r="342" spans="1:3" ht="14.25" customHeight="1">
      <c r="A342" s="1"/>
      <c r="B342" s="1"/>
      <c r="C342" s="1"/>
    </row>
    <row r="343" spans="1:3" ht="14.25" customHeight="1">
      <c r="A343" s="1"/>
      <c r="B343" s="1"/>
      <c r="C343" s="1"/>
    </row>
    <row r="344" spans="1:3" ht="14.25" customHeight="1">
      <c r="A344" s="1"/>
      <c r="B344" s="1"/>
      <c r="C344" s="1"/>
    </row>
    <row r="345" spans="1:3" ht="14.25" customHeight="1">
      <c r="A345" s="1"/>
      <c r="B345" s="1"/>
      <c r="C345" s="1"/>
    </row>
    <row r="346" spans="1:3" ht="14.25" customHeight="1">
      <c r="A346" s="1"/>
      <c r="B346" s="1"/>
      <c r="C346" s="1"/>
    </row>
    <row r="347" spans="1:3" ht="14.25" customHeight="1">
      <c r="A347" s="1"/>
      <c r="B347" s="1"/>
      <c r="C347" s="1"/>
    </row>
    <row r="348" spans="1:3" ht="14.25" customHeight="1">
      <c r="A348" s="1"/>
      <c r="B348" s="1"/>
      <c r="C348" s="1"/>
    </row>
    <row r="349" spans="1:3" ht="14.25" customHeight="1">
      <c r="A349" s="1"/>
      <c r="B349" s="1"/>
      <c r="C349" s="1"/>
    </row>
    <row r="350" spans="1:3" ht="14.25" customHeight="1">
      <c r="A350" s="1"/>
      <c r="B350" s="1"/>
      <c r="C350" s="1"/>
    </row>
    <row r="351" spans="1:3" ht="14.25" customHeight="1">
      <c r="A351" s="1"/>
      <c r="B351" s="1"/>
      <c r="C351" s="1"/>
    </row>
    <row r="352" spans="1:3" ht="14.25" customHeight="1">
      <c r="A352" s="1"/>
      <c r="B352" s="1"/>
      <c r="C352" s="1"/>
    </row>
    <row r="353" spans="1:3" ht="14.25" customHeight="1">
      <c r="A353" s="1"/>
      <c r="B353" s="1"/>
      <c r="C353" s="1"/>
    </row>
    <row r="354" spans="1:3" ht="14.25" customHeight="1">
      <c r="A354" s="1"/>
      <c r="B354" s="1"/>
      <c r="C354" s="1"/>
    </row>
    <row r="355" spans="1:3" ht="14.25" customHeight="1">
      <c r="A355" s="1"/>
      <c r="B355" s="1"/>
      <c r="C355" s="1"/>
    </row>
    <row r="356" spans="1:3" ht="14.25" customHeight="1">
      <c r="A356" s="1"/>
      <c r="B356" s="1"/>
      <c r="C356" s="1"/>
    </row>
    <row r="357" spans="1:3" ht="14.25" customHeight="1">
      <c r="A357" s="1"/>
      <c r="B357" s="1"/>
      <c r="C357" s="1"/>
    </row>
    <row r="358" spans="1:3" ht="14.25" customHeight="1">
      <c r="A358" s="1"/>
      <c r="B358" s="1"/>
      <c r="C358" s="1"/>
    </row>
    <row r="359" spans="1:3" ht="14.25" customHeight="1">
      <c r="A359" s="1"/>
      <c r="B359" s="1"/>
      <c r="C359" s="1"/>
    </row>
    <row r="360" spans="1:3" ht="14.25" customHeight="1">
      <c r="A360" s="1"/>
      <c r="B360" s="1"/>
      <c r="C360" s="1"/>
    </row>
    <row r="361" spans="1:3" ht="14.25" customHeight="1">
      <c r="A361" s="1"/>
      <c r="B361" s="1"/>
      <c r="C361" s="1"/>
    </row>
    <row r="362" spans="1:3" ht="14.25" customHeight="1">
      <c r="A362" s="1"/>
      <c r="B362" s="1"/>
      <c r="C362" s="1"/>
    </row>
    <row r="363" spans="1:3" ht="14.25" customHeight="1">
      <c r="A363" s="1"/>
      <c r="B363" s="1"/>
      <c r="C363" s="1"/>
    </row>
    <row r="364" spans="1:3" ht="14.25" customHeight="1">
      <c r="A364" s="1"/>
      <c r="B364" s="1"/>
      <c r="C364" s="1"/>
    </row>
    <row r="365" spans="1:3" ht="14.25" customHeight="1">
      <c r="A365" s="1"/>
      <c r="B365" s="1"/>
      <c r="C365" s="1"/>
    </row>
    <row r="366" spans="1:3" ht="14.25" customHeight="1">
      <c r="A366" s="1"/>
      <c r="B366" s="1"/>
      <c r="C366" s="1"/>
    </row>
    <row r="367" spans="1:3" ht="14.25" customHeight="1">
      <c r="A367" s="1"/>
      <c r="B367" s="1"/>
      <c r="C367" s="1"/>
    </row>
    <row r="368" spans="1:3" ht="14.25" customHeight="1">
      <c r="A368" s="1"/>
      <c r="B368" s="1"/>
      <c r="C368" s="1"/>
    </row>
    <row r="369" spans="1:3" ht="14.25" customHeight="1">
      <c r="A369" s="1"/>
      <c r="B369" s="1"/>
      <c r="C369" s="1"/>
    </row>
    <row r="370" spans="1:3" ht="14.25" customHeight="1">
      <c r="A370" s="1"/>
      <c r="B370" s="1"/>
      <c r="C370" s="1"/>
    </row>
    <row r="371" spans="1:3" ht="14.25" customHeight="1">
      <c r="A371" s="1"/>
      <c r="B371" s="1"/>
      <c r="C371" s="1"/>
    </row>
    <row r="372" spans="1:3" ht="14.25" customHeight="1">
      <c r="A372" s="1"/>
      <c r="B372" s="1"/>
      <c r="C372" s="1"/>
    </row>
    <row r="373" spans="1:3" ht="14.25" customHeight="1">
      <c r="A373" s="1"/>
      <c r="B373" s="1"/>
      <c r="C373" s="1"/>
    </row>
    <row r="374" spans="1:3" ht="14.25" customHeight="1">
      <c r="A374" s="1"/>
      <c r="B374" s="1"/>
      <c r="C374" s="1"/>
    </row>
    <row r="375" spans="1:3" ht="14.25" customHeight="1">
      <c r="A375" s="1"/>
      <c r="B375" s="1"/>
      <c r="C375" s="1"/>
    </row>
    <row r="376" spans="1:3" ht="14.25" customHeight="1">
      <c r="A376" s="1"/>
      <c r="B376" s="1"/>
      <c r="C376" s="1"/>
    </row>
    <row r="377" spans="1:3" ht="14.25" customHeight="1">
      <c r="A377" s="1"/>
      <c r="B377" s="1"/>
      <c r="C377" s="1"/>
    </row>
    <row r="378" spans="1:3" ht="14.25" customHeight="1">
      <c r="A378" s="1"/>
      <c r="B378" s="1"/>
      <c r="C378" s="1"/>
    </row>
    <row r="379" spans="1:3" ht="14.25" customHeight="1">
      <c r="A379" s="1"/>
      <c r="B379" s="1"/>
      <c r="C379" s="1"/>
    </row>
    <row r="380" spans="1:3" ht="14.25" customHeight="1">
      <c r="A380" s="1"/>
      <c r="B380" s="1"/>
      <c r="C380" s="1"/>
    </row>
    <row r="381" spans="1:3" ht="14.25" customHeight="1">
      <c r="A381" s="1"/>
      <c r="B381" s="1"/>
      <c r="C381" s="1"/>
    </row>
    <row r="382" spans="1:3" ht="14.25" customHeight="1">
      <c r="A382" s="1"/>
      <c r="B382" s="1"/>
      <c r="C382" s="1"/>
    </row>
    <row r="383" spans="1:3" ht="14.25" customHeight="1">
      <c r="A383" s="1"/>
      <c r="B383" s="1"/>
      <c r="C383" s="1"/>
    </row>
    <row r="384" spans="1:3" ht="14.25" customHeight="1">
      <c r="A384" s="1"/>
      <c r="B384" s="1"/>
      <c r="C384" s="1"/>
    </row>
    <row r="385" spans="1:3" ht="14.25" customHeight="1">
      <c r="A385" s="1"/>
      <c r="B385" s="1"/>
      <c r="C385" s="1"/>
    </row>
    <row r="386" spans="1:3" ht="14.25" customHeight="1">
      <c r="A386" s="1"/>
      <c r="B386" s="1"/>
      <c r="C386" s="1"/>
    </row>
    <row r="387" spans="1:3" ht="14.25" customHeight="1">
      <c r="A387" s="1"/>
      <c r="B387" s="1"/>
      <c r="C387" s="1"/>
    </row>
    <row r="388" spans="1:3" ht="14.25" customHeight="1">
      <c r="A388" s="1"/>
      <c r="B388" s="1"/>
      <c r="C388" s="1"/>
    </row>
    <row r="389" spans="1:3" ht="14.25" customHeight="1">
      <c r="A389" s="1"/>
      <c r="B389" s="1"/>
      <c r="C389" s="1"/>
    </row>
    <row r="390" spans="1:3" ht="14.25" customHeight="1">
      <c r="A390" s="1"/>
      <c r="B390" s="1"/>
      <c r="C390" s="1"/>
    </row>
    <row r="391" spans="1:3" ht="14.25" customHeight="1">
      <c r="A391" s="1"/>
      <c r="B391" s="1"/>
      <c r="C391" s="1"/>
    </row>
    <row r="392" spans="1:3" ht="14.25" customHeight="1">
      <c r="A392" s="1"/>
      <c r="B392" s="1"/>
      <c r="C392" s="1"/>
    </row>
    <row r="393" spans="1:3" ht="14.25" customHeight="1">
      <c r="A393" s="1"/>
      <c r="B393" s="1"/>
      <c r="C393" s="1"/>
    </row>
    <row r="394" spans="1:3" ht="14.25" customHeight="1">
      <c r="A394" s="1"/>
      <c r="B394" s="1"/>
      <c r="C394" s="1"/>
    </row>
    <row r="395" spans="1:3" ht="14.25" customHeight="1">
      <c r="A395" s="1"/>
      <c r="B395" s="1"/>
      <c r="C395" s="1"/>
    </row>
    <row r="396" spans="1:3" ht="14.25" customHeight="1">
      <c r="A396" s="1"/>
      <c r="B396" s="1"/>
      <c r="C396" s="1"/>
    </row>
    <row r="397" spans="1:3" ht="14.25" customHeight="1">
      <c r="A397" s="1"/>
      <c r="B397" s="1"/>
      <c r="C397" s="1"/>
    </row>
    <row r="398" spans="1:3" ht="14.25" customHeight="1">
      <c r="A398" s="1"/>
      <c r="B398" s="1"/>
      <c r="C398" s="1"/>
    </row>
    <row r="399" spans="1:3" ht="14.25" customHeight="1">
      <c r="A399" s="1"/>
      <c r="B399" s="1"/>
      <c r="C399" s="1"/>
    </row>
    <row r="400" spans="1:3" ht="14.25" customHeight="1">
      <c r="A400" s="1"/>
      <c r="B400" s="1"/>
      <c r="C400" s="1"/>
    </row>
    <row r="401" spans="1:3" ht="14.25" customHeight="1">
      <c r="A401" s="1"/>
      <c r="B401" s="1"/>
      <c r="C401" s="1"/>
    </row>
    <row r="402" spans="1:3" ht="14.25" customHeight="1">
      <c r="A402" s="1"/>
      <c r="B402" s="1"/>
      <c r="C402" s="1"/>
    </row>
    <row r="403" spans="1:3" ht="14.25" customHeight="1">
      <c r="A403" s="1"/>
      <c r="B403" s="1"/>
      <c r="C403" s="1"/>
    </row>
    <row r="404" spans="1:3" ht="14.25" customHeight="1">
      <c r="A404" s="1"/>
      <c r="B404" s="1"/>
      <c r="C404" s="1"/>
    </row>
    <row r="405" spans="1:3" ht="14.25" customHeight="1">
      <c r="A405" s="1"/>
      <c r="B405" s="1"/>
      <c r="C405" s="1"/>
    </row>
    <row r="406" spans="1:3" ht="14.25" customHeight="1">
      <c r="A406" s="1"/>
      <c r="B406" s="1"/>
      <c r="C406" s="1"/>
    </row>
    <row r="407" spans="1:3" ht="14.25" customHeight="1">
      <c r="A407" s="1"/>
      <c r="B407" s="1"/>
      <c r="C407" s="1"/>
    </row>
    <row r="408" spans="1:3" ht="14.25" customHeight="1">
      <c r="A408" s="1"/>
      <c r="B408" s="1"/>
      <c r="C408" s="1"/>
    </row>
    <row r="409" spans="1:3" ht="14.25" customHeight="1">
      <c r="A409" s="1"/>
      <c r="B409" s="1"/>
      <c r="C409" s="1"/>
    </row>
    <row r="410" spans="1:3" ht="14.25" customHeight="1">
      <c r="A410" s="1"/>
      <c r="B410" s="1"/>
      <c r="C410" s="1"/>
    </row>
    <row r="411" spans="1:3" ht="14.25" customHeight="1">
      <c r="A411" s="1"/>
      <c r="B411" s="1"/>
      <c r="C411" s="1"/>
    </row>
    <row r="412" spans="1:3" ht="14.25" customHeight="1">
      <c r="A412" s="1"/>
      <c r="B412" s="1"/>
      <c r="C412" s="1"/>
    </row>
    <row r="413" spans="1:3" ht="14.25" customHeight="1">
      <c r="A413" s="1"/>
      <c r="B413" s="1"/>
      <c r="C413" s="1"/>
    </row>
    <row r="414" spans="1:3" ht="14.25" customHeight="1">
      <c r="A414" s="1"/>
      <c r="B414" s="1"/>
      <c r="C414" s="1"/>
    </row>
    <row r="415" spans="1:3" ht="14.25" customHeight="1">
      <c r="A415" s="1"/>
      <c r="B415" s="1"/>
      <c r="C415" s="1"/>
    </row>
    <row r="416" spans="1:3" ht="14.25" customHeight="1">
      <c r="A416" s="1"/>
      <c r="B416" s="1"/>
      <c r="C416" s="1"/>
    </row>
    <row r="417" spans="1:3" ht="14.25" customHeight="1">
      <c r="A417" s="1"/>
      <c r="B417" s="1"/>
      <c r="C417" s="1"/>
    </row>
    <row r="418" spans="1:3" ht="14.25" customHeight="1">
      <c r="A418" s="1"/>
      <c r="B418" s="1"/>
      <c r="C418" s="1"/>
    </row>
    <row r="419" spans="1:3" ht="14.25" customHeight="1">
      <c r="A419" s="1"/>
      <c r="B419" s="1"/>
      <c r="C419" s="1"/>
    </row>
    <row r="420" spans="1:3" ht="14.25" customHeight="1">
      <c r="A420" s="1"/>
      <c r="B420" s="1"/>
      <c r="C420" s="1"/>
    </row>
    <row r="421" spans="1:3" ht="14.25" customHeight="1">
      <c r="A421" s="1"/>
      <c r="B421" s="1"/>
      <c r="C421" s="1"/>
    </row>
    <row r="422" spans="1:3" ht="14.25" customHeight="1">
      <c r="A422" s="1"/>
      <c r="B422" s="1"/>
      <c r="C422" s="1"/>
    </row>
    <row r="423" spans="1:3" ht="14.25" customHeight="1">
      <c r="A423" s="1"/>
      <c r="B423" s="1"/>
      <c r="C423" s="1"/>
    </row>
    <row r="424" spans="1:3" ht="14.25" customHeight="1">
      <c r="A424" s="1"/>
      <c r="B424" s="1"/>
      <c r="C424" s="1"/>
    </row>
    <row r="425" spans="1:3" ht="14.25" customHeight="1">
      <c r="A425" s="1"/>
      <c r="B425" s="1"/>
      <c r="C425" s="1"/>
    </row>
    <row r="426" spans="1:3" ht="14.25" customHeight="1">
      <c r="A426" s="1"/>
      <c r="B426" s="1"/>
      <c r="C426" s="1"/>
    </row>
    <row r="427" spans="1:3" ht="14.25" customHeight="1">
      <c r="A427" s="1"/>
      <c r="B427" s="1"/>
      <c r="C427" s="1"/>
    </row>
    <row r="428" spans="1:3" ht="14.25" customHeight="1">
      <c r="A428" s="1"/>
      <c r="B428" s="1"/>
      <c r="C428" s="1"/>
    </row>
    <row r="429" spans="1:3" ht="14.25" customHeight="1">
      <c r="A429" s="1"/>
      <c r="B429" s="1"/>
      <c r="C429" s="1"/>
    </row>
    <row r="430" spans="1:3" ht="14.25" customHeight="1">
      <c r="A430" s="1"/>
      <c r="B430" s="1"/>
      <c r="C430" s="1"/>
    </row>
    <row r="431" spans="1:3" ht="14.25" customHeight="1">
      <c r="A431" s="1"/>
      <c r="B431" s="1"/>
      <c r="C431" s="1"/>
    </row>
    <row r="432" spans="1:3" ht="14.25" customHeight="1">
      <c r="A432" s="1"/>
      <c r="B432" s="1"/>
      <c r="C432" s="1"/>
    </row>
    <row r="433" spans="1:3" ht="14.25" customHeight="1">
      <c r="A433" s="1"/>
      <c r="B433" s="1"/>
      <c r="C433" s="1"/>
    </row>
    <row r="434" spans="1:3" ht="14.25" customHeight="1">
      <c r="A434" s="1"/>
      <c r="B434" s="1"/>
      <c r="C434" s="1"/>
    </row>
    <row r="435" spans="1:3" ht="14.25" customHeight="1">
      <c r="A435" s="1"/>
      <c r="B435" s="1"/>
      <c r="C435" s="1"/>
    </row>
    <row r="436" spans="1:3" ht="14.25" customHeight="1">
      <c r="A436" s="1"/>
      <c r="B436" s="1"/>
      <c r="C436" s="1"/>
    </row>
    <row r="437" spans="1:3" ht="14.25" customHeight="1">
      <c r="A437" s="1"/>
      <c r="B437" s="1"/>
      <c r="C437" s="1"/>
    </row>
    <row r="438" spans="1:3" ht="14.25" customHeight="1">
      <c r="A438" s="1"/>
      <c r="B438" s="1"/>
      <c r="C438" s="1"/>
    </row>
    <row r="439" spans="1:3" ht="14.25" customHeight="1">
      <c r="A439" s="1"/>
      <c r="B439" s="1"/>
      <c r="C439" s="1"/>
    </row>
    <row r="440" spans="1:3" ht="14.25" customHeight="1">
      <c r="A440" s="1"/>
      <c r="B440" s="1"/>
      <c r="C440" s="1"/>
    </row>
    <row r="441" spans="1:3" ht="14.25" customHeight="1">
      <c r="A441" s="1"/>
      <c r="B441" s="1"/>
      <c r="C441" s="1"/>
    </row>
    <row r="442" spans="1:3" ht="14.25" customHeight="1">
      <c r="A442" s="1"/>
      <c r="B442" s="1"/>
      <c r="C442" s="1"/>
    </row>
    <row r="443" spans="1:3" ht="14.25" customHeight="1">
      <c r="A443" s="1"/>
      <c r="B443" s="1"/>
      <c r="C443" s="1"/>
    </row>
    <row r="444" spans="1:3" ht="14.25" customHeight="1">
      <c r="A444" s="1"/>
      <c r="B444" s="1"/>
      <c r="C444" s="1"/>
    </row>
    <row r="445" spans="1:3" ht="14.25" customHeight="1">
      <c r="A445" s="1"/>
      <c r="B445" s="1"/>
      <c r="C445" s="1"/>
    </row>
    <row r="446" spans="1:3" ht="14.25" customHeight="1">
      <c r="A446" s="1"/>
      <c r="B446" s="1"/>
      <c r="C446" s="1"/>
    </row>
    <row r="447" spans="1:3" ht="14.25" customHeight="1">
      <c r="A447" s="1"/>
      <c r="B447" s="1"/>
      <c r="C447" s="1"/>
    </row>
    <row r="448" spans="1:3" ht="14.25" customHeight="1">
      <c r="A448" s="1"/>
      <c r="B448" s="1"/>
      <c r="C448" s="1"/>
    </row>
    <row r="449" spans="1:3" ht="14.25" customHeight="1">
      <c r="A449" s="1"/>
      <c r="B449" s="1"/>
      <c r="C449" s="1"/>
    </row>
    <row r="450" spans="1:3" ht="14.25" customHeight="1">
      <c r="A450" s="1"/>
      <c r="B450" s="1"/>
      <c r="C450" s="1"/>
    </row>
    <row r="451" spans="1:3" ht="14.25" customHeight="1">
      <c r="A451" s="1"/>
      <c r="B451" s="1"/>
      <c r="C451" s="1"/>
    </row>
    <row r="452" spans="1:3" ht="14.25" customHeight="1">
      <c r="A452" s="1"/>
      <c r="B452" s="1"/>
      <c r="C452" s="1"/>
    </row>
    <row r="453" spans="1:3" ht="14.25" customHeight="1">
      <c r="A453" s="1"/>
      <c r="B453" s="1"/>
      <c r="C453" s="1"/>
    </row>
    <row r="454" spans="1:3" ht="14.25" customHeight="1">
      <c r="A454" s="1"/>
      <c r="B454" s="1"/>
      <c r="C454" s="1"/>
    </row>
    <row r="455" spans="1:3" ht="14.25" customHeight="1">
      <c r="A455" s="1"/>
      <c r="B455" s="1"/>
      <c r="C455" s="1"/>
    </row>
    <row r="456" spans="1:3" ht="14.25" customHeight="1">
      <c r="A456" s="1"/>
      <c r="B456" s="1"/>
      <c r="C456" s="1"/>
    </row>
    <row r="457" spans="1:3" ht="14.25" customHeight="1">
      <c r="A457" s="1"/>
      <c r="B457" s="1"/>
      <c r="C457" s="1"/>
    </row>
    <row r="458" spans="1:3" ht="14.25" customHeight="1">
      <c r="A458" s="1"/>
      <c r="B458" s="1"/>
      <c r="C458" s="1"/>
    </row>
    <row r="459" spans="1:3" ht="14.25" customHeight="1">
      <c r="A459" s="1"/>
      <c r="B459" s="1"/>
      <c r="C459" s="1"/>
    </row>
    <row r="460" spans="1:3" ht="14.25" customHeight="1">
      <c r="A460" s="1"/>
      <c r="B460" s="1"/>
      <c r="C460" s="1"/>
    </row>
    <row r="461" spans="1:3" ht="14.25" customHeight="1">
      <c r="A461" s="1"/>
      <c r="B461" s="1"/>
      <c r="C461" s="1"/>
    </row>
    <row r="462" spans="1:3" ht="14.25" customHeight="1">
      <c r="A462" s="1"/>
      <c r="B462" s="1"/>
      <c r="C462" s="1"/>
    </row>
    <row r="463" spans="1:3" ht="14.25" customHeight="1">
      <c r="A463" s="1"/>
      <c r="B463" s="1"/>
      <c r="C463" s="1"/>
    </row>
    <row r="464" spans="1:3" ht="14.25" customHeight="1">
      <c r="A464" s="1"/>
      <c r="B464" s="1"/>
      <c r="C464" s="1"/>
    </row>
    <row r="465" spans="1:3" ht="14.25" customHeight="1">
      <c r="A465" s="1"/>
      <c r="B465" s="1"/>
      <c r="C465" s="1"/>
    </row>
    <row r="466" spans="1:3" ht="14.25" customHeight="1">
      <c r="A466" s="1"/>
      <c r="B466" s="1"/>
      <c r="C466" s="1"/>
    </row>
    <row r="467" spans="1:3" ht="14.25" customHeight="1">
      <c r="A467" s="1"/>
      <c r="B467" s="1"/>
      <c r="C467" s="1"/>
    </row>
    <row r="468" spans="1:3" ht="14.25" customHeight="1">
      <c r="A468" s="1"/>
      <c r="B468" s="1"/>
      <c r="C468" s="1"/>
    </row>
    <row r="469" spans="1:3" ht="14.25" customHeight="1">
      <c r="A469" s="1"/>
      <c r="B469" s="1"/>
      <c r="C469" s="1"/>
    </row>
    <row r="470" spans="1:3" ht="14.25" customHeight="1">
      <c r="A470" s="1"/>
      <c r="B470" s="1"/>
      <c r="C470" s="1"/>
    </row>
    <row r="471" spans="1:3" ht="14.25" customHeight="1">
      <c r="A471" s="1"/>
      <c r="B471" s="1"/>
      <c r="C471" s="1"/>
    </row>
    <row r="472" spans="1:3" ht="14.25" customHeight="1">
      <c r="A472" s="1"/>
      <c r="B472" s="1"/>
      <c r="C472" s="1"/>
    </row>
    <row r="473" spans="1:3" ht="14.25" customHeight="1">
      <c r="A473" s="1"/>
      <c r="B473" s="1"/>
      <c r="C473" s="1"/>
    </row>
    <row r="474" spans="1:3" ht="14.25" customHeight="1">
      <c r="A474" s="1"/>
      <c r="B474" s="1"/>
      <c r="C474" s="1"/>
    </row>
    <row r="475" spans="1:3" ht="14.25" customHeight="1">
      <c r="A475" s="1"/>
      <c r="B475" s="1"/>
      <c r="C475" s="1"/>
    </row>
    <row r="476" spans="1:3" ht="14.25" customHeight="1">
      <c r="A476" s="1"/>
      <c r="B476" s="1"/>
      <c r="C476" s="1"/>
    </row>
    <row r="477" spans="1:3" ht="14.25" customHeight="1">
      <c r="A477" s="1"/>
      <c r="B477" s="1"/>
      <c r="C477" s="1"/>
    </row>
    <row r="478" spans="1:3" ht="14.25" customHeight="1">
      <c r="A478" s="1"/>
      <c r="B478" s="1"/>
      <c r="C478" s="1"/>
    </row>
    <row r="479" spans="1:3" ht="14.25" customHeight="1">
      <c r="A479" s="1"/>
      <c r="B479" s="1"/>
      <c r="C479" s="1"/>
    </row>
    <row r="480" spans="1:3" ht="14.25" customHeight="1">
      <c r="A480" s="1"/>
      <c r="B480" s="1"/>
      <c r="C480" s="1"/>
    </row>
    <row r="481" spans="1:3" ht="14.25" customHeight="1">
      <c r="A481" s="1"/>
      <c r="B481" s="1"/>
      <c r="C481" s="1"/>
    </row>
    <row r="482" spans="1:3" ht="14.25" customHeight="1">
      <c r="A482" s="1"/>
      <c r="B482" s="1"/>
      <c r="C482" s="1"/>
    </row>
    <row r="483" spans="1:3" ht="14.25" customHeight="1">
      <c r="A483" s="1"/>
      <c r="B483" s="1"/>
      <c r="C483" s="1"/>
    </row>
    <row r="484" spans="1:3" ht="14.25" customHeight="1">
      <c r="A484" s="1"/>
      <c r="B484" s="1"/>
      <c r="C484" s="1"/>
    </row>
    <row r="485" spans="1:3" ht="14.25" customHeight="1">
      <c r="A485" s="1"/>
      <c r="B485" s="1"/>
      <c r="C485" s="1"/>
    </row>
    <row r="486" spans="1:3" ht="14.25" customHeight="1">
      <c r="A486" s="1"/>
      <c r="B486" s="1"/>
      <c r="C486" s="1"/>
    </row>
    <row r="487" spans="1:3" ht="14.25" customHeight="1">
      <c r="A487" s="1"/>
      <c r="B487" s="1"/>
      <c r="C487" s="1"/>
    </row>
    <row r="488" spans="1:3" ht="14.25" customHeight="1">
      <c r="A488" s="1"/>
      <c r="B488" s="1"/>
      <c r="C488" s="1"/>
    </row>
    <row r="489" spans="1:3" ht="14.25" customHeight="1">
      <c r="A489" s="1"/>
      <c r="B489" s="1"/>
      <c r="C489" s="1"/>
    </row>
    <row r="490" spans="1:3" ht="14.25" customHeight="1">
      <c r="A490" s="1"/>
      <c r="B490" s="1"/>
      <c r="C490" s="1"/>
    </row>
    <row r="491" spans="1:3" ht="14.25" customHeight="1">
      <c r="A491" s="1"/>
      <c r="B491" s="1"/>
      <c r="C491" s="1"/>
    </row>
    <row r="492" spans="1:3" ht="14.25" customHeight="1">
      <c r="A492" s="1"/>
      <c r="B492" s="1"/>
      <c r="C492" s="1"/>
    </row>
    <row r="493" spans="1:3" ht="14.25" customHeight="1">
      <c r="A493" s="1"/>
      <c r="B493" s="1"/>
      <c r="C493" s="1"/>
    </row>
    <row r="494" spans="1:3" ht="14.25" customHeight="1">
      <c r="A494" s="1"/>
      <c r="B494" s="1"/>
      <c r="C494" s="1"/>
    </row>
    <row r="495" spans="1:3" ht="14.25" customHeight="1">
      <c r="A495" s="1"/>
      <c r="B495" s="1"/>
      <c r="C495" s="1"/>
    </row>
    <row r="496" spans="1:3" ht="14.25" customHeight="1">
      <c r="A496" s="1"/>
      <c r="B496" s="1"/>
      <c r="C496" s="1"/>
    </row>
    <row r="497" spans="1:3" ht="14.25" customHeight="1">
      <c r="A497" s="1"/>
      <c r="B497" s="1"/>
      <c r="C497" s="1"/>
    </row>
    <row r="498" spans="1:3" ht="14.25" customHeight="1">
      <c r="A498" s="1"/>
      <c r="B498" s="1"/>
      <c r="C498" s="1"/>
    </row>
    <row r="499" spans="1:3" ht="14.25" customHeight="1">
      <c r="A499" s="1"/>
      <c r="B499" s="1"/>
      <c r="C499" s="1"/>
    </row>
    <row r="500" spans="1:3" ht="14.25" customHeight="1">
      <c r="A500" s="1"/>
      <c r="B500" s="1"/>
      <c r="C500" s="1"/>
    </row>
    <row r="501" spans="1:3" ht="14.25" customHeight="1">
      <c r="A501" s="1"/>
      <c r="B501" s="1"/>
      <c r="C501" s="1"/>
    </row>
    <row r="502" spans="1:3" ht="14.25" customHeight="1">
      <c r="A502" s="1"/>
      <c r="B502" s="1"/>
      <c r="C502" s="1"/>
    </row>
    <row r="503" spans="1:3" ht="14.25" customHeight="1">
      <c r="A503" s="1"/>
      <c r="B503" s="1"/>
      <c r="C503" s="1"/>
    </row>
    <row r="504" spans="1:3" ht="14.25" customHeight="1">
      <c r="A504" s="1"/>
      <c r="B504" s="1"/>
      <c r="C504" s="1"/>
    </row>
    <row r="505" spans="1:3" ht="14.25" customHeight="1">
      <c r="A505" s="1"/>
      <c r="B505" s="1"/>
      <c r="C505" s="1"/>
    </row>
    <row r="506" spans="1:3" ht="14.25" customHeight="1">
      <c r="A506" s="1"/>
      <c r="B506" s="1"/>
      <c r="C506" s="1"/>
    </row>
    <row r="507" spans="1:3" ht="14.25" customHeight="1">
      <c r="A507" s="1"/>
      <c r="B507" s="1"/>
      <c r="C507" s="1"/>
    </row>
    <row r="508" spans="1:3" ht="14.25" customHeight="1">
      <c r="A508" s="1"/>
      <c r="B508" s="1"/>
      <c r="C508" s="1"/>
    </row>
    <row r="509" spans="1:3" ht="14.25" customHeight="1">
      <c r="A509" s="1"/>
      <c r="B509" s="1"/>
      <c r="C509" s="1"/>
    </row>
    <row r="510" spans="1:3" ht="14.25" customHeight="1">
      <c r="A510" s="1"/>
      <c r="B510" s="1"/>
      <c r="C510" s="1"/>
    </row>
    <row r="511" spans="1:3" ht="14.25" customHeight="1">
      <c r="A511" s="1"/>
      <c r="B511" s="1"/>
      <c r="C511" s="1"/>
    </row>
    <row r="512" spans="1:3" ht="14.25" customHeight="1">
      <c r="A512" s="1"/>
      <c r="B512" s="1"/>
      <c r="C512" s="1"/>
    </row>
    <row r="513" spans="1:3" ht="14.25" customHeight="1">
      <c r="A513" s="1"/>
      <c r="B513" s="1"/>
      <c r="C513" s="1"/>
    </row>
    <row r="514" spans="1:3" ht="14.25" customHeight="1">
      <c r="A514" s="1"/>
      <c r="B514" s="1"/>
      <c r="C514" s="1"/>
    </row>
    <row r="515" spans="1:3" ht="14.25" customHeight="1">
      <c r="A515" s="1"/>
      <c r="B515" s="1"/>
      <c r="C515" s="1"/>
    </row>
    <row r="516" spans="1:3" ht="14.25" customHeight="1">
      <c r="A516" s="1"/>
      <c r="B516" s="1"/>
      <c r="C516" s="1"/>
    </row>
    <row r="517" spans="1:3" ht="14.25" customHeight="1">
      <c r="A517" s="1"/>
      <c r="B517" s="1"/>
      <c r="C517" s="1"/>
    </row>
    <row r="518" spans="1:3" ht="14.25" customHeight="1">
      <c r="A518" s="1"/>
      <c r="B518" s="1"/>
      <c r="C518" s="1"/>
    </row>
    <row r="519" spans="1:3" ht="14.25" customHeight="1">
      <c r="A519" s="1"/>
      <c r="B519" s="1"/>
      <c r="C519" s="1"/>
    </row>
    <row r="520" spans="1:3" ht="14.25" customHeight="1">
      <c r="A520" s="1"/>
      <c r="B520" s="1"/>
      <c r="C520" s="1"/>
    </row>
    <row r="521" spans="1:3" ht="14.25" customHeight="1">
      <c r="A521" s="1"/>
      <c r="B521" s="1"/>
      <c r="C521" s="1"/>
    </row>
    <row r="522" spans="1:3" ht="14.25" customHeight="1">
      <c r="A522" s="1"/>
      <c r="B522" s="1"/>
      <c r="C522" s="1"/>
    </row>
    <row r="523" spans="1:3" ht="14.25" customHeight="1">
      <c r="A523" s="1"/>
      <c r="B523" s="1"/>
      <c r="C523" s="1"/>
    </row>
    <row r="524" spans="1:3" ht="14.25" customHeight="1">
      <c r="A524" s="1"/>
      <c r="B524" s="1"/>
      <c r="C524" s="1"/>
    </row>
    <row r="525" spans="1:3" ht="14.25" customHeight="1">
      <c r="A525" s="1"/>
      <c r="B525" s="1"/>
      <c r="C525" s="1"/>
    </row>
    <row r="526" spans="1:3" ht="14.25" customHeight="1">
      <c r="A526" s="1"/>
      <c r="B526" s="1"/>
      <c r="C526" s="1"/>
    </row>
    <row r="527" spans="1:3" ht="14.25" customHeight="1">
      <c r="A527" s="1"/>
      <c r="B527" s="1"/>
      <c r="C527" s="1"/>
    </row>
    <row r="528" spans="1:3" ht="14.25" customHeight="1">
      <c r="A528" s="1"/>
      <c r="B528" s="1"/>
      <c r="C528" s="1"/>
    </row>
    <row r="529" spans="1:3" ht="14.25" customHeight="1">
      <c r="A529" s="1"/>
      <c r="B529" s="1"/>
      <c r="C529" s="1"/>
    </row>
    <row r="530" spans="1:3" ht="14.25" customHeight="1">
      <c r="A530" s="1"/>
      <c r="B530" s="1"/>
      <c r="C530" s="1"/>
    </row>
    <row r="531" spans="1:3" ht="14.25" customHeight="1">
      <c r="A531" s="1"/>
      <c r="B531" s="1"/>
      <c r="C531" s="1"/>
    </row>
    <row r="532" spans="1:3" ht="14.25" customHeight="1">
      <c r="A532" s="1"/>
      <c r="B532" s="1"/>
      <c r="C532" s="1"/>
    </row>
    <row r="533" spans="1:3" ht="14.25" customHeight="1">
      <c r="A533" s="1"/>
      <c r="B533" s="1"/>
      <c r="C533" s="1"/>
    </row>
    <row r="534" spans="1:3" ht="14.25" customHeight="1">
      <c r="A534" s="1"/>
      <c r="B534" s="1"/>
      <c r="C534" s="1"/>
    </row>
    <row r="535" spans="1:3" ht="14.25" customHeight="1">
      <c r="A535" s="1"/>
      <c r="B535" s="1"/>
      <c r="C535" s="1"/>
    </row>
    <row r="536" spans="1:3" ht="14.25" customHeight="1">
      <c r="A536" s="1"/>
      <c r="B536" s="1"/>
      <c r="C536" s="1"/>
    </row>
    <row r="537" spans="1:3" ht="14.25" customHeight="1">
      <c r="A537" s="1"/>
      <c r="B537" s="1"/>
      <c r="C537" s="1"/>
    </row>
    <row r="538" spans="1:3" ht="14.25" customHeight="1">
      <c r="A538" s="1"/>
      <c r="B538" s="1"/>
      <c r="C538" s="1"/>
    </row>
    <row r="539" spans="1:3" ht="14.25" customHeight="1">
      <c r="A539" s="1"/>
      <c r="B539" s="1"/>
      <c r="C539" s="1"/>
    </row>
    <row r="540" spans="1:3" ht="14.25" customHeight="1">
      <c r="A540" s="1"/>
      <c r="B540" s="1"/>
      <c r="C540" s="1"/>
    </row>
    <row r="541" spans="1:3" ht="14.25" customHeight="1">
      <c r="A541" s="1"/>
      <c r="B541" s="1"/>
      <c r="C541" s="1"/>
    </row>
    <row r="542" spans="1:3" ht="14.25" customHeight="1">
      <c r="A542" s="1"/>
      <c r="B542" s="1"/>
      <c r="C542" s="1"/>
    </row>
    <row r="543" spans="1:3" ht="14.25" customHeight="1">
      <c r="A543" s="1"/>
      <c r="B543" s="1"/>
      <c r="C543" s="1"/>
    </row>
    <row r="544" spans="1:3" ht="14.25" customHeight="1">
      <c r="A544" s="1"/>
      <c r="B544" s="1"/>
      <c r="C544" s="1"/>
    </row>
    <row r="545" spans="1:3" ht="14.25" customHeight="1">
      <c r="A545" s="1"/>
      <c r="B545" s="1"/>
      <c r="C545" s="1"/>
    </row>
    <row r="546" spans="1:3" ht="14.25" customHeight="1">
      <c r="A546" s="1"/>
      <c r="B546" s="1"/>
      <c r="C546" s="1"/>
    </row>
    <row r="547" spans="1:3" ht="14.25" customHeight="1">
      <c r="A547" s="1"/>
      <c r="B547" s="1"/>
      <c r="C547" s="1"/>
    </row>
    <row r="548" spans="1:3" ht="14.25" customHeight="1">
      <c r="A548" s="1"/>
      <c r="B548" s="1"/>
      <c r="C548" s="1"/>
    </row>
    <row r="549" spans="1:3" ht="14.25" customHeight="1">
      <c r="A549" s="1"/>
      <c r="B549" s="1"/>
      <c r="C549" s="1"/>
    </row>
    <row r="550" spans="1:3" ht="14.25" customHeight="1">
      <c r="A550" s="1"/>
      <c r="B550" s="1"/>
      <c r="C550" s="1"/>
    </row>
    <row r="551" spans="1:3" ht="14.25" customHeight="1">
      <c r="A551" s="1"/>
      <c r="B551" s="1"/>
      <c r="C551" s="1"/>
    </row>
    <row r="552" spans="1:3" ht="14.25" customHeight="1">
      <c r="A552" s="1"/>
      <c r="B552" s="1"/>
      <c r="C552" s="1"/>
    </row>
    <row r="553" spans="1:3" ht="14.25" customHeight="1">
      <c r="A553" s="1"/>
      <c r="B553" s="1"/>
      <c r="C553" s="1"/>
    </row>
    <row r="554" spans="1:3" ht="14.25" customHeight="1">
      <c r="A554" s="1"/>
      <c r="B554" s="1"/>
      <c r="C554" s="1"/>
    </row>
    <row r="555" spans="1:3" ht="14.25" customHeight="1">
      <c r="A555" s="1"/>
      <c r="B555" s="1"/>
      <c r="C555" s="1"/>
    </row>
    <row r="556" spans="1:3" ht="14.25" customHeight="1">
      <c r="A556" s="1"/>
      <c r="B556" s="1"/>
      <c r="C556" s="1"/>
    </row>
    <row r="557" spans="1:3" ht="14.25" customHeight="1">
      <c r="A557" s="1"/>
      <c r="B557" s="1"/>
      <c r="C557" s="1"/>
    </row>
    <row r="558" spans="1:3" ht="14.25" customHeight="1">
      <c r="A558" s="1"/>
      <c r="B558" s="1"/>
      <c r="C558" s="1"/>
    </row>
    <row r="559" spans="1:3" ht="14.25" customHeight="1">
      <c r="A559" s="1"/>
      <c r="B559" s="1"/>
      <c r="C559" s="1"/>
    </row>
    <row r="560" spans="1:3" ht="14.25" customHeight="1">
      <c r="A560" s="1"/>
      <c r="B560" s="1"/>
      <c r="C560" s="1"/>
    </row>
    <row r="561" spans="1:3" ht="14.25" customHeight="1">
      <c r="A561" s="1"/>
      <c r="B561" s="1"/>
      <c r="C561" s="1"/>
    </row>
    <row r="562" spans="1:3" ht="14.25" customHeight="1">
      <c r="A562" s="1"/>
      <c r="B562" s="1"/>
      <c r="C562" s="1"/>
    </row>
    <row r="563" spans="1:3" ht="14.25" customHeight="1">
      <c r="A563" s="1"/>
      <c r="B563" s="1"/>
      <c r="C563" s="1"/>
    </row>
    <row r="564" spans="1:3" ht="14.25" customHeight="1">
      <c r="A564" s="1"/>
      <c r="B564" s="1"/>
      <c r="C564" s="1"/>
    </row>
    <row r="565" spans="1:3" ht="14.25" customHeight="1">
      <c r="A565" s="1"/>
      <c r="B565" s="1"/>
      <c r="C565" s="1"/>
    </row>
    <row r="566" spans="1:3" ht="14.25" customHeight="1">
      <c r="A566" s="1"/>
      <c r="B566" s="1"/>
      <c r="C566" s="1"/>
    </row>
    <row r="567" spans="1:3" ht="14.25" customHeight="1">
      <c r="A567" s="1"/>
      <c r="B567" s="1"/>
      <c r="C567" s="1"/>
    </row>
    <row r="568" spans="1:3" ht="14.25" customHeight="1">
      <c r="A568" s="1"/>
      <c r="B568" s="1"/>
      <c r="C568" s="1"/>
    </row>
    <row r="569" spans="1:3" ht="14.25" customHeight="1">
      <c r="A569" s="1"/>
      <c r="B569" s="1"/>
      <c r="C569" s="1"/>
    </row>
    <row r="570" spans="1:3" ht="14.25" customHeight="1">
      <c r="A570" s="1"/>
      <c r="B570" s="1"/>
      <c r="C570" s="1"/>
    </row>
    <row r="571" spans="1:3" ht="14.25" customHeight="1">
      <c r="A571" s="1"/>
      <c r="B571" s="1"/>
      <c r="C571" s="1"/>
    </row>
    <row r="572" spans="1:3" ht="14.25" customHeight="1">
      <c r="A572" s="1"/>
      <c r="B572" s="1"/>
      <c r="C572" s="1"/>
    </row>
    <row r="573" spans="1:3" ht="14.25" customHeight="1">
      <c r="A573" s="1"/>
      <c r="B573" s="1"/>
      <c r="C573" s="1"/>
    </row>
    <row r="574" spans="1:3" ht="14.25" customHeight="1">
      <c r="A574" s="1"/>
      <c r="B574" s="1"/>
      <c r="C574" s="1"/>
    </row>
    <row r="575" spans="1:3" ht="14.25" customHeight="1">
      <c r="A575" s="1"/>
      <c r="B575" s="1"/>
      <c r="C575" s="1"/>
    </row>
    <row r="576" spans="1:3" ht="14.25" customHeight="1">
      <c r="A576" s="1"/>
      <c r="B576" s="1"/>
      <c r="C576" s="1"/>
    </row>
    <row r="577" spans="1:3" ht="14.25" customHeight="1">
      <c r="A577" s="1"/>
      <c r="B577" s="1"/>
      <c r="C577" s="1"/>
    </row>
    <row r="578" spans="1:3" ht="14.25" customHeight="1">
      <c r="A578" s="1"/>
      <c r="B578" s="1"/>
      <c r="C578" s="1"/>
    </row>
    <row r="579" spans="1:3" ht="14.25" customHeight="1">
      <c r="A579" s="1"/>
      <c r="B579" s="1"/>
      <c r="C579" s="1"/>
    </row>
    <row r="580" spans="1:3" ht="14.25" customHeight="1">
      <c r="A580" s="1"/>
      <c r="B580" s="1"/>
      <c r="C580" s="1"/>
    </row>
    <row r="581" spans="1:3" ht="14.25" customHeight="1">
      <c r="A581" s="1"/>
      <c r="B581" s="1"/>
      <c r="C581" s="1"/>
    </row>
    <row r="582" spans="1:3" ht="14.25" customHeight="1">
      <c r="A582" s="1"/>
      <c r="B582" s="1"/>
      <c r="C582" s="1"/>
    </row>
    <row r="583" spans="1:3" ht="14.25" customHeight="1">
      <c r="A583" s="1"/>
      <c r="B583" s="1"/>
      <c r="C583" s="1"/>
    </row>
    <row r="584" spans="1:3" ht="14.25" customHeight="1">
      <c r="A584" s="1"/>
      <c r="B584" s="1"/>
      <c r="C584" s="1"/>
    </row>
    <row r="585" spans="1:3" ht="14.25" customHeight="1">
      <c r="A585" s="1"/>
      <c r="B585" s="1"/>
      <c r="C585" s="1"/>
    </row>
    <row r="586" spans="1:3" ht="14.25" customHeight="1">
      <c r="A586" s="1"/>
      <c r="B586" s="1"/>
      <c r="C586" s="1"/>
    </row>
    <row r="587" spans="1:3" ht="14.25" customHeight="1">
      <c r="A587" s="1"/>
      <c r="B587" s="1"/>
      <c r="C587" s="1"/>
    </row>
    <row r="588" spans="1:3" ht="14.25" customHeight="1">
      <c r="A588" s="1"/>
      <c r="B588" s="1"/>
      <c r="C588" s="1"/>
    </row>
    <row r="589" spans="1:3" ht="14.25" customHeight="1">
      <c r="A589" s="1"/>
      <c r="B589" s="1"/>
      <c r="C589" s="1"/>
    </row>
    <row r="590" spans="1:3" ht="14.25" customHeight="1">
      <c r="A590" s="1"/>
      <c r="B590" s="1"/>
      <c r="C590" s="1"/>
    </row>
    <row r="591" spans="1:3" ht="14.25" customHeight="1">
      <c r="A591" s="1"/>
      <c r="B591" s="1"/>
      <c r="C591" s="1"/>
    </row>
    <row r="592" spans="1:3" ht="14.25" customHeight="1">
      <c r="A592" s="1"/>
      <c r="B592" s="1"/>
      <c r="C592" s="1"/>
    </row>
    <row r="593" spans="1:3" ht="14.25" customHeight="1">
      <c r="A593" s="1"/>
      <c r="B593" s="1"/>
      <c r="C593" s="1"/>
    </row>
    <row r="594" spans="1:3" ht="14.25" customHeight="1">
      <c r="A594" s="1"/>
      <c r="B594" s="1"/>
      <c r="C594" s="1"/>
    </row>
    <row r="595" spans="1:3" ht="14.25" customHeight="1">
      <c r="A595" s="1"/>
      <c r="B595" s="1"/>
      <c r="C595" s="1"/>
    </row>
    <row r="596" spans="1:3" ht="14.25" customHeight="1">
      <c r="A596" s="1"/>
      <c r="B596" s="1"/>
      <c r="C596" s="1"/>
    </row>
    <row r="597" spans="1:3" ht="14.25" customHeight="1">
      <c r="A597" s="1"/>
      <c r="B597" s="1"/>
      <c r="C597" s="1"/>
    </row>
    <row r="598" spans="1:3" ht="14.25" customHeight="1">
      <c r="A598" s="1"/>
      <c r="B598" s="1"/>
      <c r="C598" s="1"/>
    </row>
    <row r="599" spans="1:3" ht="14.25" customHeight="1">
      <c r="A599" s="1"/>
      <c r="B599" s="1"/>
      <c r="C599" s="1"/>
    </row>
    <row r="600" spans="1:3" ht="14.25" customHeight="1">
      <c r="A600" s="1"/>
      <c r="B600" s="1"/>
      <c r="C600" s="1"/>
    </row>
    <row r="601" spans="1:3" ht="14.25" customHeight="1">
      <c r="A601" s="1"/>
      <c r="B601" s="1"/>
      <c r="C601" s="1"/>
    </row>
    <row r="602" spans="1:3" ht="14.25" customHeight="1">
      <c r="A602" s="1"/>
      <c r="B602" s="1"/>
      <c r="C602" s="1"/>
    </row>
    <row r="603" spans="1:3" ht="14.25" customHeight="1">
      <c r="A603" s="1"/>
      <c r="B603" s="1"/>
      <c r="C603" s="1"/>
    </row>
    <row r="604" spans="1:3" ht="14.25" customHeight="1">
      <c r="A604" s="1"/>
      <c r="B604" s="1"/>
      <c r="C604" s="1"/>
    </row>
    <row r="605" spans="1:3" ht="14.25" customHeight="1">
      <c r="A605" s="1"/>
      <c r="B605" s="1"/>
      <c r="C605" s="1"/>
    </row>
    <row r="606" spans="1:3" ht="14.25" customHeight="1">
      <c r="A606" s="1"/>
      <c r="B606" s="1"/>
      <c r="C606" s="1"/>
    </row>
    <row r="607" spans="1:3" ht="14.25" customHeight="1">
      <c r="A607" s="1"/>
      <c r="B607" s="1"/>
      <c r="C607" s="1"/>
    </row>
    <row r="608" spans="1:3" ht="14.25" customHeight="1">
      <c r="A608" s="1"/>
      <c r="B608" s="1"/>
      <c r="C608" s="1"/>
    </row>
    <row r="609" spans="1:3" ht="14.25" customHeight="1">
      <c r="A609" s="1"/>
      <c r="B609" s="1"/>
      <c r="C609" s="1"/>
    </row>
    <row r="610" spans="1:3" ht="14.25" customHeight="1">
      <c r="A610" s="1"/>
      <c r="B610" s="1"/>
      <c r="C610" s="1"/>
    </row>
    <row r="611" spans="1:3" ht="14.25" customHeight="1">
      <c r="A611" s="1"/>
      <c r="B611" s="1"/>
      <c r="C611" s="1"/>
    </row>
    <row r="612" spans="1:3" ht="14.25" customHeight="1">
      <c r="A612" s="1"/>
      <c r="B612" s="1"/>
      <c r="C612" s="1"/>
    </row>
    <row r="613" spans="1:3" ht="14.25" customHeight="1">
      <c r="A613" s="1"/>
      <c r="B613" s="1"/>
      <c r="C613" s="1"/>
    </row>
    <row r="614" spans="1:3" ht="14.25" customHeight="1">
      <c r="A614" s="1"/>
      <c r="B614" s="1"/>
      <c r="C614" s="1"/>
    </row>
    <row r="615" spans="1:3" ht="14.25" customHeight="1">
      <c r="A615" s="1"/>
      <c r="B615" s="1"/>
      <c r="C615" s="1"/>
    </row>
    <row r="616" spans="1:3" ht="14.25" customHeight="1">
      <c r="A616" s="1"/>
      <c r="B616" s="1"/>
      <c r="C616" s="1"/>
    </row>
    <row r="617" spans="1:3" ht="14.25" customHeight="1">
      <c r="A617" s="1"/>
      <c r="B617" s="1"/>
      <c r="C617" s="1"/>
    </row>
    <row r="618" spans="1:3" ht="14.25" customHeight="1">
      <c r="A618" s="1"/>
      <c r="B618" s="1"/>
      <c r="C618" s="1"/>
    </row>
    <row r="619" spans="1:3" ht="14.25" customHeight="1">
      <c r="A619" s="1"/>
      <c r="B619" s="1"/>
      <c r="C619" s="1"/>
    </row>
    <row r="620" spans="1:3" ht="14.25" customHeight="1">
      <c r="A620" s="1"/>
      <c r="B620" s="1"/>
      <c r="C620" s="1"/>
    </row>
    <row r="621" spans="1:3" ht="14.25" customHeight="1">
      <c r="A621" s="1"/>
      <c r="B621" s="1"/>
      <c r="C621" s="1"/>
    </row>
    <row r="622" spans="1:3" ht="14.25" customHeight="1">
      <c r="A622" s="1"/>
      <c r="B622" s="1"/>
      <c r="C622" s="1"/>
    </row>
    <row r="623" spans="1:3" ht="14.25" customHeight="1">
      <c r="A623" s="1"/>
      <c r="B623" s="1"/>
      <c r="C623" s="1"/>
    </row>
    <row r="624" spans="1:3" ht="14.25" customHeight="1">
      <c r="A624" s="1"/>
      <c r="B624" s="1"/>
      <c r="C624" s="1"/>
    </row>
    <row r="625" spans="1:3" ht="14.25" customHeight="1">
      <c r="A625" s="1"/>
      <c r="B625" s="1"/>
      <c r="C625" s="1"/>
    </row>
    <row r="626" spans="1:3" ht="14.25" customHeight="1">
      <c r="A626" s="1"/>
      <c r="B626" s="1"/>
      <c r="C626" s="1"/>
    </row>
    <row r="627" spans="1:3" ht="14.25" customHeight="1">
      <c r="A627" s="1"/>
      <c r="B627" s="1"/>
      <c r="C627" s="1"/>
    </row>
    <row r="628" spans="1:3" ht="14.25" customHeight="1">
      <c r="A628" s="1"/>
      <c r="B628" s="1"/>
      <c r="C628" s="1"/>
    </row>
    <row r="629" spans="1:3" ht="14.25" customHeight="1">
      <c r="A629" s="1"/>
      <c r="B629" s="1"/>
      <c r="C629" s="1"/>
    </row>
    <row r="630" spans="1:3" ht="14.25" customHeight="1">
      <c r="A630" s="1"/>
      <c r="B630" s="1"/>
      <c r="C630" s="1"/>
    </row>
    <row r="631" spans="1:3" ht="14.25" customHeight="1">
      <c r="A631" s="1"/>
      <c r="B631" s="1"/>
      <c r="C631" s="1"/>
    </row>
    <row r="632" spans="1:3" ht="14.25" customHeight="1">
      <c r="A632" s="1"/>
      <c r="B632" s="1"/>
      <c r="C632" s="1"/>
    </row>
    <row r="633" spans="1:3" ht="14.25" customHeight="1">
      <c r="A633" s="1"/>
      <c r="B633" s="1"/>
      <c r="C633" s="1"/>
    </row>
    <row r="634" spans="1:3" ht="14.25" customHeight="1">
      <c r="A634" s="1"/>
      <c r="B634" s="1"/>
      <c r="C634" s="1"/>
    </row>
    <row r="635" spans="1:3" ht="14.25" customHeight="1">
      <c r="A635" s="1"/>
      <c r="B635" s="1"/>
      <c r="C635" s="1"/>
    </row>
    <row r="636" spans="1:3" ht="14.25" customHeight="1">
      <c r="A636" s="1"/>
      <c r="B636" s="1"/>
      <c r="C636" s="1"/>
    </row>
    <row r="637" spans="1:3" ht="14.25" customHeight="1">
      <c r="A637" s="1"/>
      <c r="B637" s="1"/>
      <c r="C637" s="1"/>
    </row>
    <row r="638" spans="1:3" ht="14.25" customHeight="1">
      <c r="A638" s="1"/>
      <c r="B638" s="1"/>
      <c r="C638" s="1"/>
    </row>
    <row r="639" spans="1:3" ht="14.25" customHeight="1">
      <c r="A639" s="1"/>
      <c r="B639" s="1"/>
      <c r="C639" s="1"/>
    </row>
    <row r="640" spans="1:3" ht="14.25" customHeight="1">
      <c r="A640" s="1"/>
      <c r="B640" s="1"/>
      <c r="C640" s="1"/>
    </row>
    <row r="641" spans="1:3" ht="14.25" customHeight="1">
      <c r="A641" s="1"/>
      <c r="B641" s="1"/>
      <c r="C641" s="1"/>
    </row>
    <row r="642" spans="1:3" ht="14.25" customHeight="1">
      <c r="A642" s="1"/>
      <c r="B642" s="1"/>
      <c r="C642" s="1"/>
    </row>
    <row r="643" spans="1:3" ht="14.25" customHeight="1">
      <c r="A643" s="1"/>
      <c r="B643" s="1"/>
      <c r="C643" s="1"/>
    </row>
    <row r="644" spans="1:3" ht="14.25" customHeight="1">
      <c r="A644" s="1"/>
      <c r="B644" s="1"/>
      <c r="C644" s="1"/>
    </row>
    <row r="645" spans="1:3" ht="14.25" customHeight="1">
      <c r="A645" s="1"/>
      <c r="B645" s="1"/>
      <c r="C645" s="1"/>
    </row>
    <row r="646" spans="1:3" ht="14.25" customHeight="1">
      <c r="A646" s="1"/>
      <c r="B646" s="1"/>
      <c r="C646" s="1"/>
    </row>
    <row r="647" spans="1:3" ht="14.25" customHeight="1">
      <c r="A647" s="1"/>
      <c r="B647" s="1"/>
      <c r="C647" s="1"/>
    </row>
    <row r="648" spans="1:3" ht="14.25" customHeight="1">
      <c r="A648" s="1"/>
      <c r="B648" s="1"/>
      <c r="C648" s="1"/>
    </row>
    <row r="649" spans="1:3" ht="14.25" customHeight="1">
      <c r="A649" s="1"/>
      <c r="B649" s="1"/>
      <c r="C649" s="1"/>
    </row>
    <row r="650" spans="1:3" ht="14.25" customHeight="1">
      <c r="A650" s="1"/>
      <c r="B650" s="1"/>
      <c r="C650" s="1"/>
    </row>
    <row r="651" spans="1:3" ht="14.25" customHeight="1">
      <c r="A651" s="1"/>
      <c r="B651" s="1"/>
      <c r="C651" s="1"/>
    </row>
    <row r="652" spans="1:3" ht="14.25" customHeight="1">
      <c r="A652" s="1"/>
      <c r="B652" s="1"/>
      <c r="C652" s="1"/>
    </row>
    <row r="653" spans="1:3" ht="14.25" customHeight="1">
      <c r="A653" s="1"/>
      <c r="B653" s="1"/>
      <c r="C653" s="1"/>
    </row>
    <row r="654" spans="1:3" ht="14.25" customHeight="1">
      <c r="A654" s="1"/>
      <c r="B654" s="1"/>
      <c r="C654" s="1"/>
    </row>
    <row r="655" spans="1:3" ht="14.25" customHeight="1">
      <c r="A655" s="1"/>
      <c r="B655" s="1"/>
      <c r="C655" s="1"/>
    </row>
    <row r="656" spans="1:3" ht="14.25" customHeight="1">
      <c r="A656" s="1"/>
      <c r="B656" s="1"/>
      <c r="C656" s="1"/>
    </row>
    <row r="657" spans="1:3" ht="14.25" customHeight="1">
      <c r="A657" s="1"/>
      <c r="B657" s="1"/>
      <c r="C657" s="1"/>
    </row>
    <row r="658" spans="1:3" ht="14.25" customHeight="1">
      <c r="A658" s="1"/>
      <c r="B658" s="1"/>
      <c r="C658" s="1"/>
    </row>
    <row r="659" spans="1:3" ht="14.25" customHeight="1">
      <c r="A659" s="1"/>
      <c r="B659" s="1"/>
      <c r="C659" s="1"/>
    </row>
    <row r="660" spans="1:3" ht="14.25" customHeight="1">
      <c r="A660" s="1"/>
      <c r="B660" s="1"/>
      <c r="C660" s="1"/>
    </row>
    <row r="661" spans="1:3" ht="14.25" customHeight="1">
      <c r="A661" s="1"/>
      <c r="B661" s="1"/>
      <c r="C661" s="1"/>
    </row>
    <row r="662" spans="1:3" ht="14.25" customHeight="1">
      <c r="A662" s="1"/>
      <c r="B662" s="1"/>
      <c r="C662" s="1"/>
    </row>
    <row r="663" spans="1:3" ht="14.25" customHeight="1">
      <c r="A663" s="1"/>
      <c r="B663" s="1"/>
      <c r="C663" s="1"/>
    </row>
    <row r="664" spans="1:3" ht="14.25" customHeight="1">
      <c r="A664" s="1"/>
      <c r="B664" s="1"/>
      <c r="C664" s="1"/>
    </row>
    <row r="665" spans="1:3" ht="14.25" customHeight="1">
      <c r="A665" s="1"/>
      <c r="B665" s="1"/>
      <c r="C665" s="1"/>
    </row>
    <row r="666" spans="1:3" ht="14.25" customHeight="1">
      <c r="A666" s="1"/>
      <c r="B666" s="1"/>
      <c r="C666" s="1"/>
    </row>
    <row r="667" spans="1:3" ht="14.25" customHeight="1">
      <c r="A667" s="1"/>
      <c r="B667" s="1"/>
      <c r="C667" s="1"/>
    </row>
    <row r="668" spans="1:3" ht="14.25" customHeight="1">
      <c r="A668" s="1"/>
      <c r="B668" s="1"/>
      <c r="C668" s="1"/>
    </row>
    <row r="669" spans="1:3" ht="14.25" customHeight="1">
      <c r="A669" s="1"/>
      <c r="B669" s="1"/>
      <c r="C669" s="1"/>
    </row>
    <row r="670" spans="1:3" ht="14.25" customHeight="1">
      <c r="A670" s="1"/>
      <c r="B670" s="1"/>
      <c r="C670" s="1"/>
    </row>
    <row r="671" spans="1:3" ht="14.25" customHeight="1">
      <c r="A671" s="1"/>
      <c r="B671" s="1"/>
      <c r="C671" s="1"/>
    </row>
    <row r="672" spans="1:3" ht="14.25" customHeight="1">
      <c r="A672" s="1"/>
      <c r="B672" s="1"/>
      <c r="C672" s="1"/>
    </row>
    <row r="673" spans="1:3" ht="14.25" customHeight="1">
      <c r="A673" s="1"/>
      <c r="B673" s="1"/>
      <c r="C673" s="1"/>
    </row>
    <row r="674" spans="1:3" ht="14.25" customHeight="1">
      <c r="A674" s="1"/>
      <c r="B674" s="1"/>
      <c r="C674" s="1"/>
    </row>
    <row r="675" spans="1:3" ht="14.25" customHeight="1">
      <c r="A675" s="1"/>
      <c r="B675" s="1"/>
      <c r="C675" s="1"/>
    </row>
    <row r="676" spans="1:3" ht="14.25" customHeight="1">
      <c r="A676" s="1"/>
      <c r="B676" s="1"/>
      <c r="C676" s="1"/>
    </row>
    <row r="677" spans="1:3" ht="14.25" customHeight="1">
      <c r="A677" s="1"/>
      <c r="B677" s="1"/>
      <c r="C677" s="1"/>
    </row>
    <row r="678" spans="1:3" ht="14.25" customHeight="1">
      <c r="A678" s="1"/>
      <c r="B678" s="1"/>
      <c r="C678" s="1"/>
    </row>
    <row r="679" spans="1:3" ht="14.25" customHeight="1">
      <c r="A679" s="1"/>
      <c r="B679" s="1"/>
      <c r="C679" s="1"/>
    </row>
    <row r="680" spans="1:3" ht="14.25" customHeight="1">
      <c r="A680" s="1"/>
      <c r="B680" s="1"/>
      <c r="C680" s="1"/>
    </row>
    <row r="681" spans="1:3" ht="14.25" customHeight="1">
      <c r="A681" s="1"/>
      <c r="B681" s="1"/>
      <c r="C681" s="1"/>
    </row>
    <row r="682" spans="1:3" ht="14.25" customHeight="1">
      <c r="A682" s="1"/>
      <c r="B682" s="1"/>
      <c r="C682" s="1"/>
    </row>
    <row r="683" spans="1:3" ht="14.25" customHeight="1">
      <c r="A683" s="1"/>
      <c r="B683" s="1"/>
      <c r="C683" s="1"/>
    </row>
    <row r="684" spans="1:3" ht="14.25" customHeight="1">
      <c r="A684" s="1"/>
      <c r="B684" s="1"/>
      <c r="C684" s="1"/>
    </row>
    <row r="685" spans="1:3" ht="14.25" customHeight="1">
      <c r="A685" s="1"/>
      <c r="B685" s="1"/>
      <c r="C685" s="1"/>
    </row>
    <row r="686" spans="1:3" ht="14.25" customHeight="1">
      <c r="A686" s="1"/>
      <c r="B686" s="1"/>
      <c r="C686" s="1"/>
    </row>
    <row r="687" spans="1:3" ht="14.25" customHeight="1">
      <c r="A687" s="1"/>
      <c r="B687" s="1"/>
      <c r="C687" s="1"/>
    </row>
    <row r="688" spans="1:3" ht="14.25" customHeight="1">
      <c r="A688" s="1"/>
      <c r="B688" s="1"/>
      <c r="C688" s="1"/>
    </row>
    <row r="689" spans="1:3" ht="14.25" customHeight="1">
      <c r="A689" s="1"/>
      <c r="B689" s="1"/>
      <c r="C689" s="1"/>
    </row>
    <row r="690" spans="1:3" ht="14.25" customHeight="1">
      <c r="A690" s="1"/>
      <c r="B690" s="1"/>
      <c r="C690" s="1"/>
    </row>
    <row r="691" spans="1:3" ht="14.25" customHeight="1">
      <c r="A691" s="1"/>
      <c r="B691" s="1"/>
      <c r="C691" s="1"/>
    </row>
    <row r="692" spans="1:3" ht="14.25" customHeight="1">
      <c r="A692" s="1"/>
      <c r="B692" s="1"/>
      <c r="C692" s="1"/>
    </row>
    <row r="693" spans="1:3" ht="14.25" customHeight="1">
      <c r="A693" s="1"/>
      <c r="B693" s="1"/>
      <c r="C693" s="1"/>
    </row>
    <row r="694" spans="1:3" ht="14.25" customHeight="1">
      <c r="A694" s="1"/>
      <c r="B694" s="1"/>
      <c r="C694" s="1"/>
    </row>
    <row r="695" spans="1:3" ht="14.25" customHeight="1">
      <c r="A695" s="1"/>
      <c r="B695" s="1"/>
      <c r="C695" s="1"/>
    </row>
    <row r="696" spans="1:3" ht="14.25" customHeight="1">
      <c r="A696" s="1"/>
      <c r="B696" s="1"/>
      <c r="C696" s="1"/>
    </row>
    <row r="697" spans="1:3" ht="14.25" customHeight="1">
      <c r="A697" s="1"/>
      <c r="B697" s="1"/>
      <c r="C697" s="1"/>
    </row>
    <row r="698" spans="1:3" ht="14.25" customHeight="1">
      <c r="A698" s="1"/>
      <c r="B698" s="1"/>
      <c r="C698" s="1"/>
    </row>
    <row r="699" spans="1:3" ht="14.25" customHeight="1">
      <c r="A699" s="1"/>
      <c r="B699" s="1"/>
      <c r="C699" s="1"/>
    </row>
    <row r="700" spans="1:3" ht="14.25" customHeight="1">
      <c r="A700" s="1"/>
      <c r="B700" s="1"/>
      <c r="C700" s="1"/>
    </row>
    <row r="701" spans="1:3" ht="14.25" customHeight="1">
      <c r="A701" s="1"/>
      <c r="B701" s="1"/>
      <c r="C701" s="1"/>
    </row>
    <row r="702" spans="1:3" ht="14.25" customHeight="1">
      <c r="A702" s="1"/>
      <c r="B702" s="1"/>
      <c r="C702" s="1"/>
    </row>
    <row r="703" spans="1:3" ht="14.25" customHeight="1">
      <c r="A703" s="1"/>
      <c r="B703" s="1"/>
      <c r="C703" s="1"/>
    </row>
    <row r="704" spans="1:3" ht="14.25" customHeight="1">
      <c r="A704" s="1"/>
      <c r="B704" s="1"/>
      <c r="C704" s="1"/>
    </row>
    <row r="705" spans="1:3" ht="14.25" customHeight="1">
      <c r="A705" s="1"/>
      <c r="B705" s="1"/>
      <c r="C705" s="1"/>
    </row>
    <row r="706" spans="1:3" ht="14.25" customHeight="1">
      <c r="A706" s="1"/>
      <c r="B706" s="1"/>
      <c r="C706" s="1"/>
    </row>
    <row r="707" spans="1:3" ht="14.25" customHeight="1">
      <c r="A707" s="1"/>
      <c r="B707" s="1"/>
      <c r="C707" s="1"/>
    </row>
    <row r="708" spans="1:3" ht="14.25" customHeight="1">
      <c r="A708" s="1"/>
      <c r="B708" s="1"/>
      <c r="C708" s="1"/>
    </row>
    <row r="709" spans="1:3" ht="14.25" customHeight="1">
      <c r="A709" s="1"/>
      <c r="B709" s="1"/>
      <c r="C709" s="1"/>
    </row>
    <row r="710" spans="1:3" ht="14.25" customHeight="1">
      <c r="A710" s="1"/>
      <c r="B710" s="1"/>
      <c r="C710" s="1"/>
    </row>
    <row r="711" spans="1:3" ht="14.25" customHeight="1">
      <c r="A711" s="1"/>
      <c r="B711" s="1"/>
      <c r="C711" s="1"/>
    </row>
    <row r="712" spans="1:3" ht="14.25" customHeight="1">
      <c r="A712" s="1"/>
      <c r="B712" s="1"/>
      <c r="C712" s="1"/>
    </row>
    <row r="713" spans="1:3" ht="14.25" customHeight="1">
      <c r="A713" s="1"/>
      <c r="B713" s="1"/>
      <c r="C713" s="1"/>
    </row>
    <row r="714" spans="1:3" ht="14.25" customHeight="1">
      <c r="A714" s="1"/>
      <c r="B714" s="1"/>
      <c r="C714" s="1"/>
    </row>
    <row r="715" spans="1:3" ht="14.25" customHeight="1">
      <c r="A715" s="1"/>
      <c r="B715" s="1"/>
      <c r="C715" s="1"/>
    </row>
    <row r="716" spans="1:3" ht="14.25" customHeight="1">
      <c r="A716" s="1"/>
      <c r="B716" s="1"/>
      <c r="C716" s="1"/>
    </row>
    <row r="717" spans="1:3" ht="14.25" customHeight="1">
      <c r="A717" s="1"/>
      <c r="B717" s="1"/>
      <c r="C717" s="1"/>
    </row>
    <row r="718" spans="1:3" ht="14.25" customHeight="1">
      <c r="A718" s="1"/>
      <c r="B718" s="1"/>
      <c r="C718" s="1"/>
    </row>
    <row r="719" spans="1:3" ht="14.25" customHeight="1">
      <c r="A719" s="1"/>
      <c r="B719" s="1"/>
      <c r="C719" s="1"/>
    </row>
    <row r="720" spans="1:3" ht="14.25" customHeight="1">
      <c r="A720" s="1"/>
      <c r="B720" s="1"/>
      <c r="C720" s="1"/>
    </row>
    <row r="721" spans="1:3" ht="14.25" customHeight="1">
      <c r="A721" s="1"/>
      <c r="B721" s="1"/>
      <c r="C721" s="1"/>
    </row>
    <row r="722" spans="1:3" ht="14.25" customHeight="1">
      <c r="A722" s="1"/>
      <c r="B722" s="1"/>
      <c r="C722" s="1"/>
    </row>
    <row r="723" spans="1:3" ht="14.25" customHeight="1">
      <c r="A723" s="1"/>
      <c r="B723" s="1"/>
      <c r="C723" s="1"/>
    </row>
    <row r="724" spans="1:3" ht="14.25" customHeight="1">
      <c r="A724" s="1"/>
      <c r="B724" s="1"/>
      <c r="C724" s="1"/>
    </row>
    <row r="725" spans="1:3" ht="14.25" customHeight="1">
      <c r="A725" s="1"/>
      <c r="B725" s="1"/>
      <c r="C725" s="1"/>
    </row>
    <row r="726" spans="1:3" ht="14.25" customHeight="1">
      <c r="A726" s="1"/>
      <c r="B726" s="1"/>
      <c r="C726" s="1"/>
    </row>
    <row r="727" spans="1:3" ht="14.25" customHeight="1">
      <c r="A727" s="1"/>
      <c r="B727" s="1"/>
      <c r="C727" s="1"/>
    </row>
    <row r="728" spans="1:3" ht="14.25" customHeight="1">
      <c r="A728" s="1"/>
      <c r="B728" s="1"/>
      <c r="C728" s="1"/>
    </row>
    <row r="729" spans="1:3" ht="14.25" customHeight="1">
      <c r="A729" s="1"/>
      <c r="B729" s="1"/>
      <c r="C729" s="1"/>
    </row>
    <row r="730" spans="1:3" ht="14.25" customHeight="1">
      <c r="A730" s="1"/>
      <c r="B730" s="1"/>
      <c r="C730" s="1"/>
    </row>
    <row r="731" spans="1:3" ht="14.25" customHeight="1">
      <c r="A731" s="1"/>
      <c r="B731" s="1"/>
      <c r="C731" s="1"/>
    </row>
    <row r="732" spans="1:3" ht="14.25" customHeight="1">
      <c r="A732" s="1"/>
      <c r="B732" s="1"/>
      <c r="C732" s="1"/>
    </row>
    <row r="733" spans="1:3" ht="14.25" customHeight="1">
      <c r="A733" s="1"/>
      <c r="B733" s="1"/>
      <c r="C733" s="1"/>
    </row>
    <row r="734" spans="1:3" ht="14.25" customHeight="1">
      <c r="A734" s="1"/>
      <c r="B734" s="1"/>
      <c r="C734" s="1"/>
    </row>
    <row r="735" spans="1:3" ht="14.25" customHeight="1">
      <c r="A735" s="1"/>
      <c r="B735" s="1"/>
      <c r="C735" s="1"/>
    </row>
    <row r="736" spans="1:3" ht="14.25" customHeight="1">
      <c r="A736" s="1"/>
      <c r="B736" s="1"/>
      <c r="C736" s="1"/>
    </row>
    <row r="737" spans="1:3" ht="14.25" customHeight="1">
      <c r="A737" s="1"/>
      <c r="B737" s="1"/>
      <c r="C737" s="1"/>
    </row>
    <row r="738" spans="1:3" ht="14.25" customHeight="1">
      <c r="A738" s="1"/>
      <c r="B738" s="1"/>
      <c r="C738" s="1"/>
    </row>
    <row r="739" spans="1:3" ht="14.25" customHeight="1">
      <c r="A739" s="1"/>
      <c r="B739" s="1"/>
      <c r="C739" s="1"/>
    </row>
    <row r="740" spans="1:3" ht="14.25" customHeight="1">
      <c r="A740" s="1"/>
      <c r="B740" s="1"/>
      <c r="C740" s="1"/>
    </row>
    <row r="741" spans="1:3" ht="14.25" customHeight="1">
      <c r="A741" s="1"/>
      <c r="B741" s="1"/>
      <c r="C741" s="1"/>
    </row>
    <row r="742" spans="1:3" ht="14.25" customHeight="1">
      <c r="A742" s="1"/>
      <c r="B742" s="1"/>
      <c r="C742" s="1"/>
    </row>
    <row r="743" spans="1:3" ht="14.25" customHeight="1">
      <c r="A743" s="1"/>
      <c r="B743" s="1"/>
      <c r="C743" s="1"/>
    </row>
    <row r="744" spans="1:3" ht="14.25" customHeight="1">
      <c r="A744" s="1"/>
      <c r="B744" s="1"/>
      <c r="C744" s="1"/>
    </row>
    <row r="745" spans="1:3" ht="14.25" customHeight="1">
      <c r="A745" s="1"/>
      <c r="B745" s="1"/>
      <c r="C745" s="1"/>
    </row>
    <row r="746" spans="1:3" ht="14.25" customHeight="1">
      <c r="A746" s="1"/>
      <c r="B746" s="1"/>
      <c r="C746" s="1"/>
    </row>
    <row r="747" spans="1:3" ht="14.25" customHeight="1">
      <c r="A747" s="1"/>
      <c r="B747" s="1"/>
      <c r="C747" s="1"/>
    </row>
    <row r="748" spans="1:3" ht="14.25" customHeight="1">
      <c r="A748" s="1"/>
      <c r="B748" s="1"/>
      <c r="C748" s="1"/>
    </row>
    <row r="749" spans="1:3" ht="14.25" customHeight="1">
      <c r="A749" s="1"/>
      <c r="B749" s="1"/>
      <c r="C749" s="1"/>
    </row>
    <row r="750" spans="1:3" ht="14.25" customHeight="1">
      <c r="A750" s="1"/>
      <c r="B750" s="1"/>
      <c r="C750" s="1"/>
    </row>
    <row r="751" spans="1:3" ht="14.25" customHeight="1">
      <c r="A751" s="1"/>
      <c r="B751" s="1"/>
      <c r="C751" s="1"/>
    </row>
    <row r="752" spans="1:3" ht="14.25" customHeight="1">
      <c r="A752" s="1"/>
      <c r="B752" s="1"/>
      <c r="C752" s="1"/>
    </row>
    <row r="753" spans="1:3" ht="14.25" customHeight="1">
      <c r="A753" s="1"/>
      <c r="B753" s="1"/>
      <c r="C753" s="1"/>
    </row>
    <row r="754" spans="1:3" ht="14.25" customHeight="1">
      <c r="A754" s="1"/>
      <c r="B754" s="1"/>
      <c r="C754" s="1"/>
    </row>
    <row r="755" spans="1:3" ht="14.25" customHeight="1">
      <c r="A755" s="1"/>
      <c r="B755" s="1"/>
      <c r="C755" s="1"/>
    </row>
    <row r="756" spans="1:3" ht="14.25" customHeight="1">
      <c r="A756" s="1"/>
      <c r="B756" s="1"/>
      <c r="C756" s="1"/>
    </row>
    <row r="757" spans="1:3" ht="14.25" customHeight="1">
      <c r="A757" s="1"/>
      <c r="B757" s="1"/>
      <c r="C757" s="1"/>
    </row>
    <row r="758" spans="1:3" ht="14.25" customHeight="1">
      <c r="A758" s="1"/>
      <c r="B758" s="1"/>
      <c r="C758" s="1"/>
    </row>
    <row r="759" spans="1:3" ht="14.25" customHeight="1">
      <c r="A759" s="1"/>
      <c r="B759" s="1"/>
      <c r="C759" s="1"/>
    </row>
    <row r="760" spans="1:3" ht="14.25" customHeight="1">
      <c r="A760" s="1"/>
      <c r="B760" s="1"/>
      <c r="C760" s="1"/>
    </row>
    <row r="761" spans="1:3" ht="14.25" customHeight="1">
      <c r="A761" s="1"/>
      <c r="B761" s="1"/>
      <c r="C761" s="1"/>
    </row>
    <row r="762" spans="1:3" ht="14.25" customHeight="1">
      <c r="A762" s="1"/>
      <c r="B762" s="1"/>
      <c r="C762" s="1"/>
    </row>
    <row r="763" spans="1:3" ht="14.25" customHeight="1">
      <c r="A763" s="1"/>
      <c r="B763" s="1"/>
      <c r="C763" s="1"/>
    </row>
    <row r="764" spans="1:3" ht="14.25" customHeight="1">
      <c r="A764" s="1"/>
      <c r="B764" s="1"/>
      <c r="C764" s="1"/>
    </row>
    <row r="765" spans="1:3" ht="14.25" customHeight="1">
      <c r="A765" s="1"/>
      <c r="B765" s="1"/>
      <c r="C765" s="1"/>
    </row>
    <row r="766" spans="1:3" ht="14.25" customHeight="1">
      <c r="A766" s="1"/>
      <c r="B766" s="1"/>
      <c r="C766" s="1"/>
    </row>
    <row r="767" spans="1:3" ht="14.25" customHeight="1">
      <c r="A767" s="1"/>
      <c r="B767" s="1"/>
      <c r="C767" s="1"/>
    </row>
    <row r="768" spans="1:3" ht="14.25" customHeight="1">
      <c r="A768" s="1"/>
      <c r="B768" s="1"/>
      <c r="C768" s="1"/>
    </row>
    <row r="769" spans="1:3" ht="14.25" customHeight="1">
      <c r="A769" s="1"/>
      <c r="B769" s="1"/>
      <c r="C769" s="1"/>
    </row>
    <row r="770" spans="1:3" ht="14.25" customHeight="1">
      <c r="A770" s="1"/>
      <c r="B770" s="1"/>
      <c r="C770" s="1"/>
    </row>
    <row r="771" spans="1:3" ht="14.25" customHeight="1">
      <c r="A771" s="1"/>
      <c r="B771" s="1"/>
      <c r="C771" s="1"/>
    </row>
    <row r="772" spans="1:3" ht="14.25" customHeight="1">
      <c r="A772" s="1"/>
      <c r="B772" s="1"/>
      <c r="C772" s="1"/>
    </row>
    <row r="773" spans="1:3" ht="14.25" customHeight="1">
      <c r="A773" s="1"/>
      <c r="B773" s="1"/>
      <c r="C773" s="1"/>
    </row>
    <row r="774" spans="1:3" ht="14.25" customHeight="1">
      <c r="A774" s="1"/>
      <c r="B774" s="1"/>
      <c r="C774" s="1"/>
    </row>
    <row r="775" spans="1:3" ht="14.25" customHeight="1">
      <c r="A775" s="1"/>
      <c r="B775" s="1"/>
      <c r="C775" s="1"/>
    </row>
    <row r="776" spans="1:3" ht="14.25" customHeight="1">
      <c r="A776" s="1"/>
      <c r="B776" s="1"/>
      <c r="C776" s="1"/>
    </row>
    <row r="777" spans="1:3" ht="14.25" customHeight="1">
      <c r="A777" s="1"/>
      <c r="B777" s="1"/>
      <c r="C777" s="1"/>
    </row>
    <row r="778" spans="1:3" ht="14.25" customHeight="1">
      <c r="A778" s="1"/>
      <c r="B778" s="1"/>
      <c r="C778" s="1"/>
    </row>
    <row r="779" spans="1:3" ht="14.25" customHeight="1">
      <c r="A779" s="1"/>
      <c r="B779" s="1"/>
      <c r="C779" s="1"/>
    </row>
    <row r="780" spans="1:3" ht="14.25" customHeight="1">
      <c r="A780" s="1"/>
      <c r="B780" s="1"/>
      <c r="C780" s="1"/>
    </row>
    <row r="781" spans="1:3" ht="14.25" customHeight="1">
      <c r="A781" s="1"/>
      <c r="B781" s="1"/>
      <c r="C781" s="1"/>
    </row>
    <row r="782" spans="1:3" ht="14.25" customHeight="1">
      <c r="A782" s="1"/>
      <c r="B782" s="1"/>
      <c r="C782" s="1"/>
    </row>
    <row r="783" spans="1:3" ht="14.25" customHeight="1">
      <c r="A783" s="1"/>
      <c r="B783" s="1"/>
      <c r="C783" s="1"/>
    </row>
    <row r="784" spans="1:3" ht="14.25" customHeight="1">
      <c r="A784" s="1"/>
      <c r="B784" s="1"/>
      <c r="C784" s="1"/>
    </row>
    <row r="785" spans="1:3" ht="14.25" customHeight="1">
      <c r="A785" s="1"/>
      <c r="B785" s="1"/>
      <c r="C785" s="1"/>
    </row>
    <row r="786" spans="1:3" ht="14.25" customHeight="1">
      <c r="A786" s="1"/>
      <c r="B786" s="1"/>
      <c r="C786" s="1"/>
    </row>
    <row r="787" spans="1:3" ht="14.25" customHeight="1">
      <c r="A787" s="1"/>
      <c r="B787" s="1"/>
      <c r="C787" s="1"/>
    </row>
    <row r="788" spans="1:3" ht="14.25" customHeight="1">
      <c r="A788" s="1"/>
      <c r="B788" s="1"/>
      <c r="C788" s="1"/>
    </row>
    <row r="789" spans="1:3" ht="14.25" customHeight="1">
      <c r="A789" s="1"/>
      <c r="B789" s="1"/>
      <c r="C789" s="1"/>
    </row>
    <row r="790" spans="1:3" ht="14.25" customHeight="1">
      <c r="A790" s="1"/>
      <c r="B790" s="1"/>
      <c r="C790" s="1"/>
    </row>
    <row r="791" spans="1:3" ht="14.25" customHeight="1">
      <c r="A791" s="1"/>
      <c r="B791" s="1"/>
      <c r="C791" s="1"/>
    </row>
    <row r="792" spans="1:3" ht="14.25" customHeight="1">
      <c r="A792" s="1"/>
      <c r="B792" s="1"/>
      <c r="C792" s="1"/>
    </row>
    <row r="793" spans="1:3" ht="14.25" customHeight="1">
      <c r="A793" s="1"/>
      <c r="B793" s="1"/>
      <c r="C793" s="1"/>
    </row>
    <row r="794" spans="1:3" ht="14.25" customHeight="1">
      <c r="A794" s="1"/>
      <c r="B794" s="1"/>
      <c r="C794" s="1"/>
    </row>
    <row r="795" spans="1:3" ht="14.25" customHeight="1">
      <c r="A795" s="1"/>
      <c r="B795" s="1"/>
      <c r="C795" s="1"/>
    </row>
    <row r="796" spans="1:3" ht="14.25" customHeight="1">
      <c r="A796" s="1"/>
      <c r="B796" s="1"/>
      <c r="C796" s="1"/>
    </row>
    <row r="797" spans="1:3" ht="14.25" customHeight="1">
      <c r="A797" s="1"/>
      <c r="B797" s="1"/>
      <c r="C797" s="1"/>
    </row>
    <row r="798" spans="1:3" ht="14.25" customHeight="1">
      <c r="A798" s="1"/>
      <c r="B798" s="1"/>
      <c r="C798" s="1"/>
    </row>
    <row r="799" spans="1:3" ht="14.25" customHeight="1">
      <c r="A799" s="1"/>
      <c r="B799" s="1"/>
      <c r="C799" s="1"/>
    </row>
    <row r="800" spans="1:3" ht="14.25" customHeight="1">
      <c r="A800" s="1"/>
      <c r="B800" s="1"/>
      <c r="C800" s="1"/>
    </row>
    <row r="801" spans="1:3" ht="14.25" customHeight="1">
      <c r="A801" s="1"/>
      <c r="B801" s="1"/>
      <c r="C801" s="1"/>
    </row>
    <row r="802" spans="1:3" ht="14.25" customHeight="1">
      <c r="A802" s="1"/>
      <c r="B802" s="1"/>
      <c r="C802" s="1"/>
    </row>
    <row r="803" spans="1:3" ht="14.25" customHeight="1">
      <c r="A803" s="1"/>
      <c r="B803" s="1"/>
      <c r="C803" s="1"/>
    </row>
    <row r="804" spans="1:3" ht="14.25" customHeight="1">
      <c r="A804" s="1"/>
      <c r="B804" s="1"/>
      <c r="C804" s="1"/>
    </row>
    <row r="805" spans="1:3" ht="14.25" customHeight="1">
      <c r="A805" s="1"/>
      <c r="B805" s="1"/>
      <c r="C805" s="1"/>
    </row>
    <row r="806" spans="1:3" ht="14.25" customHeight="1">
      <c r="A806" s="1"/>
      <c r="B806" s="1"/>
      <c r="C806" s="1"/>
    </row>
    <row r="807" spans="1:3" ht="14.25" customHeight="1">
      <c r="A807" s="1"/>
      <c r="B807" s="1"/>
      <c r="C807" s="1"/>
    </row>
    <row r="808" spans="1:3" ht="14.25" customHeight="1">
      <c r="A808" s="1"/>
      <c r="B808" s="1"/>
      <c r="C808" s="1"/>
    </row>
    <row r="809" spans="1:3" ht="14.25" customHeight="1">
      <c r="A809" s="1"/>
      <c r="B809" s="1"/>
      <c r="C809" s="1"/>
    </row>
    <row r="810" spans="1:3" ht="14.25" customHeight="1">
      <c r="A810" s="1"/>
      <c r="B810" s="1"/>
      <c r="C810" s="1"/>
    </row>
    <row r="811" spans="1:3" ht="14.25" customHeight="1">
      <c r="A811" s="1"/>
      <c r="B811" s="1"/>
      <c r="C811" s="1"/>
    </row>
    <row r="812" spans="1:3" ht="14.25" customHeight="1">
      <c r="A812" s="1"/>
      <c r="B812" s="1"/>
      <c r="C812" s="1"/>
    </row>
    <row r="813" spans="1:3" ht="14.25" customHeight="1">
      <c r="A813" s="1"/>
      <c r="B813" s="1"/>
      <c r="C813" s="1"/>
    </row>
    <row r="814" spans="1:3" ht="14.25" customHeight="1">
      <c r="A814" s="1"/>
      <c r="B814" s="1"/>
      <c r="C814" s="1"/>
    </row>
    <row r="815" spans="1:3" ht="14.25" customHeight="1">
      <c r="A815" s="1"/>
      <c r="B815" s="1"/>
      <c r="C815" s="1"/>
    </row>
    <row r="816" spans="1:3" ht="14.25" customHeight="1">
      <c r="A816" s="1"/>
      <c r="B816" s="1"/>
      <c r="C816" s="1"/>
    </row>
    <row r="817" spans="1:3" ht="14.25" customHeight="1">
      <c r="A817" s="1"/>
      <c r="B817" s="1"/>
      <c r="C817" s="1"/>
    </row>
    <row r="818" spans="1:3" ht="14.25" customHeight="1">
      <c r="A818" s="1"/>
      <c r="B818" s="1"/>
      <c r="C818" s="1"/>
    </row>
    <row r="819" spans="1:3" ht="14.25" customHeight="1">
      <c r="A819" s="1"/>
      <c r="B819" s="1"/>
      <c r="C819" s="1"/>
    </row>
    <row r="820" spans="1:3" ht="14.25" customHeight="1">
      <c r="A820" s="1"/>
      <c r="B820" s="1"/>
      <c r="C820" s="1"/>
    </row>
    <row r="821" spans="1:3" ht="14.25" customHeight="1">
      <c r="A821" s="1"/>
      <c r="B821" s="1"/>
      <c r="C821" s="1"/>
    </row>
    <row r="822" spans="1:3" ht="14.25" customHeight="1">
      <c r="A822" s="1"/>
      <c r="B822" s="1"/>
      <c r="C822" s="1"/>
    </row>
    <row r="823" spans="1:3" ht="14.25" customHeight="1">
      <c r="A823" s="1"/>
      <c r="B823" s="1"/>
      <c r="C823" s="1"/>
    </row>
    <row r="824" spans="1:3" ht="14.25" customHeight="1">
      <c r="A824" s="1"/>
      <c r="B824" s="1"/>
      <c r="C824" s="1"/>
    </row>
    <row r="825" spans="1:3" ht="14.25" customHeight="1">
      <c r="A825" s="1"/>
      <c r="B825" s="1"/>
      <c r="C825" s="1"/>
    </row>
    <row r="826" spans="1:3" ht="14.25" customHeight="1">
      <c r="A826" s="1"/>
      <c r="B826" s="1"/>
      <c r="C826" s="1"/>
    </row>
    <row r="827" spans="1:3" ht="14.25" customHeight="1">
      <c r="A827" s="1"/>
      <c r="B827" s="1"/>
      <c r="C827" s="1"/>
    </row>
    <row r="828" spans="1:3" ht="14.25" customHeight="1">
      <c r="A828" s="1"/>
      <c r="B828" s="1"/>
      <c r="C828" s="1"/>
    </row>
    <row r="829" spans="1:3" ht="14.25" customHeight="1">
      <c r="A829" s="1"/>
      <c r="B829" s="1"/>
      <c r="C829" s="1"/>
    </row>
    <row r="830" spans="1:3" ht="14.25" customHeight="1">
      <c r="A830" s="1"/>
      <c r="B830" s="1"/>
      <c r="C830" s="1"/>
    </row>
    <row r="831" spans="1:3" ht="14.25" customHeight="1">
      <c r="A831" s="1"/>
      <c r="B831" s="1"/>
      <c r="C831" s="1"/>
    </row>
    <row r="832" spans="1:3" ht="14.25" customHeight="1">
      <c r="A832" s="1"/>
      <c r="B832" s="1"/>
      <c r="C832" s="1"/>
    </row>
    <row r="833" spans="1:3" ht="14.25" customHeight="1">
      <c r="A833" s="1"/>
      <c r="B833" s="1"/>
      <c r="C833" s="1"/>
    </row>
    <row r="834" spans="1:3" ht="14.25" customHeight="1">
      <c r="A834" s="1"/>
      <c r="B834" s="1"/>
      <c r="C834" s="1"/>
    </row>
    <row r="835" spans="1:3" ht="14.25" customHeight="1">
      <c r="A835" s="1"/>
      <c r="B835" s="1"/>
      <c r="C835" s="1"/>
    </row>
    <row r="836" spans="1:3" ht="14.25" customHeight="1">
      <c r="A836" s="1"/>
      <c r="B836" s="1"/>
      <c r="C836" s="1"/>
    </row>
    <row r="837" spans="1:3" ht="14.25" customHeight="1">
      <c r="A837" s="1"/>
      <c r="B837" s="1"/>
      <c r="C837" s="1"/>
    </row>
    <row r="838" spans="1:3" ht="14.25" customHeight="1">
      <c r="A838" s="1"/>
      <c r="B838" s="1"/>
      <c r="C838" s="1"/>
    </row>
    <row r="839" spans="1:3" ht="14.25" customHeight="1">
      <c r="A839" s="1"/>
      <c r="B839" s="1"/>
      <c r="C839" s="1"/>
    </row>
    <row r="840" spans="1:3" ht="14.25" customHeight="1">
      <c r="A840" s="1"/>
      <c r="B840" s="1"/>
      <c r="C840" s="1"/>
    </row>
    <row r="841" spans="1:3" ht="14.25" customHeight="1">
      <c r="A841" s="1"/>
      <c r="B841" s="1"/>
      <c r="C841" s="1"/>
    </row>
    <row r="842" spans="1:3" ht="14.25" customHeight="1">
      <c r="A842" s="1"/>
      <c r="B842" s="1"/>
      <c r="C842" s="1"/>
    </row>
    <row r="843" spans="1:3" ht="14.25" customHeight="1">
      <c r="A843" s="1"/>
      <c r="B843" s="1"/>
      <c r="C843" s="1"/>
    </row>
    <row r="844" spans="1:3" ht="14.25" customHeight="1">
      <c r="A844" s="1"/>
      <c r="B844" s="1"/>
      <c r="C844" s="1"/>
    </row>
    <row r="845" spans="1:3" ht="14.25" customHeight="1">
      <c r="A845" s="1"/>
      <c r="B845" s="1"/>
      <c r="C845" s="1"/>
    </row>
    <row r="846" spans="1:3" ht="14.25" customHeight="1">
      <c r="A846" s="1"/>
      <c r="B846" s="1"/>
      <c r="C846" s="1"/>
    </row>
    <row r="847" spans="1:3" ht="14.25" customHeight="1">
      <c r="A847" s="1"/>
      <c r="B847" s="1"/>
      <c r="C847" s="1"/>
    </row>
    <row r="848" spans="1:3" ht="14.25" customHeight="1">
      <c r="A848" s="1"/>
      <c r="B848" s="1"/>
      <c r="C848" s="1"/>
    </row>
    <row r="849" spans="1:3" ht="14.25" customHeight="1">
      <c r="A849" s="1"/>
      <c r="B849" s="1"/>
      <c r="C849" s="1"/>
    </row>
    <row r="850" spans="1:3" ht="14.25" customHeight="1">
      <c r="A850" s="1"/>
      <c r="B850" s="1"/>
      <c r="C850" s="1"/>
    </row>
    <row r="851" spans="1:3" ht="14.25" customHeight="1">
      <c r="A851" s="1"/>
      <c r="B851" s="1"/>
      <c r="C851" s="1"/>
    </row>
    <row r="852" spans="1:3" ht="14.25" customHeight="1">
      <c r="A852" s="1"/>
      <c r="B852" s="1"/>
      <c r="C852" s="1"/>
    </row>
    <row r="853" spans="1:3" ht="14.25" customHeight="1">
      <c r="A853" s="1"/>
      <c r="B853" s="1"/>
      <c r="C853" s="1"/>
    </row>
    <row r="854" spans="1:3" ht="14.25" customHeight="1">
      <c r="A854" s="1"/>
      <c r="B854" s="1"/>
      <c r="C854" s="1"/>
    </row>
    <row r="855" spans="1:3" ht="14.25" customHeight="1">
      <c r="A855" s="1"/>
      <c r="B855" s="1"/>
      <c r="C855" s="1"/>
    </row>
    <row r="856" spans="1:3" ht="14.25" customHeight="1">
      <c r="A856" s="1"/>
      <c r="B856" s="1"/>
      <c r="C856" s="1"/>
    </row>
    <row r="857" spans="1:3" ht="14.25" customHeight="1">
      <c r="A857" s="1"/>
      <c r="B857" s="1"/>
      <c r="C857" s="1"/>
    </row>
    <row r="858" spans="1:3" ht="14.25" customHeight="1">
      <c r="A858" s="1"/>
      <c r="B858" s="1"/>
      <c r="C858" s="1"/>
    </row>
    <row r="859" spans="1:3" ht="14.25" customHeight="1">
      <c r="A859" s="1"/>
      <c r="B859" s="1"/>
      <c r="C859" s="1"/>
    </row>
    <row r="860" spans="1:3" ht="14.25" customHeight="1">
      <c r="A860" s="1"/>
      <c r="B860" s="1"/>
      <c r="C860" s="1"/>
    </row>
    <row r="861" spans="1:3" ht="14.25" customHeight="1">
      <c r="A861" s="1"/>
      <c r="B861" s="1"/>
      <c r="C861" s="1"/>
    </row>
    <row r="862" spans="1:3" ht="14.25" customHeight="1">
      <c r="A862" s="1"/>
      <c r="B862" s="1"/>
      <c r="C862" s="1"/>
    </row>
    <row r="863" spans="1:3" ht="14.25" customHeight="1">
      <c r="A863" s="1"/>
      <c r="B863" s="1"/>
      <c r="C863" s="1"/>
    </row>
    <row r="864" spans="1:3" ht="14.25" customHeight="1">
      <c r="A864" s="1"/>
      <c r="B864" s="1"/>
      <c r="C864" s="1"/>
    </row>
    <row r="865" spans="1:3" ht="14.25" customHeight="1">
      <c r="A865" s="1"/>
      <c r="B865" s="1"/>
      <c r="C865" s="1"/>
    </row>
    <row r="866" spans="1:3" ht="14.25" customHeight="1">
      <c r="A866" s="1"/>
      <c r="B866" s="1"/>
      <c r="C866" s="1"/>
    </row>
    <row r="867" spans="1:3" ht="14.25" customHeight="1">
      <c r="A867" s="1"/>
      <c r="B867" s="1"/>
      <c r="C867" s="1"/>
    </row>
    <row r="868" spans="1:3" ht="14.25" customHeight="1">
      <c r="A868" s="1"/>
      <c r="B868" s="1"/>
      <c r="C868" s="1"/>
    </row>
    <row r="869" spans="1:3" ht="14.25" customHeight="1">
      <c r="A869" s="1"/>
      <c r="B869" s="1"/>
      <c r="C869" s="1"/>
    </row>
    <row r="870" spans="1:3" ht="14.25" customHeight="1">
      <c r="A870" s="1"/>
      <c r="B870" s="1"/>
      <c r="C870" s="1"/>
    </row>
    <row r="871" spans="1:3" ht="14.25" customHeight="1">
      <c r="A871" s="1"/>
      <c r="B871" s="1"/>
      <c r="C871" s="1"/>
    </row>
    <row r="872" spans="1:3" ht="14.25" customHeight="1">
      <c r="A872" s="1"/>
      <c r="B872" s="1"/>
      <c r="C872" s="1"/>
    </row>
    <row r="873" spans="1:3" ht="14.25" customHeight="1">
      <c r="A873" s="1"/>
      <c r="B873" s="1"/>
      <c r="C873" s="1"/>
    </row>
    <row r="874" spans="1:3" ht="14.25" customHeight="1">
      <c r="A874" s="1"/>
      <c r="B874" s="1"/>
      <c r="C874" s="1"/>
    </row>
    <row r="875" spans="1:3" ht="14.25" customHeight="1">
      <c r="A875" s="1"/>
      <c r="B875" s="1"/>
      <c r="C875" s="1"/>
    </row>
    <row r="876" spans="1:3" ht="14.25" customHeight="1">
      <c r="A876" s="1"/>
      <c r="B876" s="1"/>
      <c r="C876" s="1"/>
    </row>
    <row r="877" spans="1:3" ht="14.25" customHeight="1">
      <c r="A877" s="1"/>
      <c r="B877" s="1"/>
      <c r="C877" s="1"/>
    </row>
    <row r="878" spans="1:3" ht="14.25" customHeight="1">
      <c r="A878" s="1"/>
      <c r="B878" s="1"/>
      <c r="C878" s="1"/>
    </row>
    <row r="879" spans="1:3" ht="14.25" customHeight="1">
      <c r="A879" s="1"/>
      <c r="B879" s="1"/>
      <c r="C879" s="1"/>
    </row>
    <row r="880" spans="1:3" ht="14.25" customHeight="1">
      <c r="A880" s="1"/>
      <c r="B880" s="1"/>
      <c r="C880" s="1"/>
    </row>
    <row r="881" spans="1:3" ht="14.25" customHeight="1">
      <c r="A881" s="1"/>
      <c r="B881" s="1"/>
      <c r="C881" s="1"/>
    </row>
    <row r="882" spans="1:3" ht="14.25" customHeight="1">
      <c r="A882" s="1"/>
      <c r="B882" s="1"/>
      <c r="C882" s="1"/>
    </row>
    <row r="883" spans="1:3" ht="14.25" customHeight="1">
      <c r="A883" s="1"/>
      <c r="B883" s="1"/>
      <c r="C883" s="1"/>
    </row>
    <row r="884" spans="1:3" ht="14.25" customHeight="1">
      <c r="A884" s="1"/>
      <c r="B884" s="1"/>
      <c r="C884" s="1"/>
    </row>
    <row r="885" spans="1:3" ht="14.25" customHeight="1">
      <c r="A885" s="1"/>
      <c r="B885" s="1"/>
      <c r="C885" s="1"/>
    </row>
    <row r="886" spans="1:3" ht="14.25" customHeight="1">
      <c r="A886" s="1"/>
      <c r="B886" s="1"/>
      <c r="C886" s="1"/>
    </row>
    <row r="887" spans="1:3" ht="14.25" customHeight="1">
      <c r="A887" s="1"/>
      <c r="B887" s="1"/>
      <c r="C887" s="1"/>
    </row>
    <row r="888" spans="1:3" ht="14.25" customHeight="1">
      <c r="A888" s="1"/>
      <c r="B888" s="1"/>
      <c r="C888" s="1"/>
    </row>
    <row r="889" spans="1:3" ht="14.25" customHeight="1">
      <c r="A889" s="1"/>
      <c r="B889" s="1"/>
      <c r="C889" s="1"/>
    </row>
    <row r="890" spans="1:3" ht="14.25" customHeight="1">
      <c r="A890" s="1"/>
      <c r="B890" s="1"/>
      <c r="C890" s="1"/>
    </row>
    <row r="891" spans="1:3" ht="14.25" customHeight="1">
      <c r="A891" s="1"/>
      <c r="B891" s="1"/>
      <c r="C891" s="1"/>
    </row>
    <row r="892" spans="1:3" ht="14.25" customHeight="1">
      <c r="A892" s="1"/>
      <c r="B892" s="1"/>
      <c r="C892" s="1"/>
    </row>
    <row r="893" spans="1:3" ht="14.25" customHeight="1">
      <c r="A893" s="1"/>
      <c r="B893" s="1"/>
      <c r="C893" s="1"/>
    </row>
    <row r="894" spans="1:3" ht="14.25" customHeight="1">
      <c r="A894" s="1"/>
      <c r="B894" s="1"/>
      <c r="C894" s="1"/>
    </row>
    <row r="895" spans="1:3" ht="14.25" customHeight="1">
      <c r="A895" s="1"/>
      <c r="B895" s="1"/>
      <c r="C895" s="1"/>
    </row>
    <row r="896" spans="1:3" ht="14.25" customHeight="1">
      <c r="A896" s="1"/>
      <c r="B896" s="1"/>
      <c r="C896" s="1"/>
    </row>
    <row r="897" spans="1:3" ht="14.25" customHeight="1">
      <c r="A897" s="1"/>
      <c r="B897" s="1"/>
      <c r="C897" s="1"/>
    </row>
    <row r="898" spans="1:3" ht="14.25" customHeight="1">
      <c r="A898" s="1"/>
      <c r="B898" s="1"/>
      <c r="C898" s="1"/>
    </row>
    <row r="899" spans="1:3" ht="14.25" customHeight="1">
      <c r="A899" s="1"/>
      <c r="B899" s="1"/>
      <c r="C899" s="1"/>
    </row>
    <row r="900" spans="1:3" ht="14.25" customHeight="1">
      <c r="A900" s="1"/>
      <c r="B900" s="1"/>
      <c r="C900" s="1"/>
    </row>
    <row r="901" spans="1:3" ht="14.25" customHeight="1">
      <c r="A901" s="1"/>
      <c r="B901" s="1"/>
      <c r="C901" s="1"/>
    </row>
    <row r="902" spans="1:3" ht="14.25" customHeight="1">
      <c r="A902" s="1"/>
      <c r="B902" s="1"/>
      <c r="C902" s="1"/>
    </row>
    <row r="903" spans="1:3" ht="14.25" customHeight="1">
      <c r="A903" s="1"/>
      <c r="B903" s="1"/>
      <c r="C903" s="1"/>
    </row>
    <row r="904" spans="1:3" ht="14.25" customHeight="1">
      <c r="A904" s="1"/>
      <c r="B904" s="1"/>
      <c r="C904" s="1"/>
    </row>
    <row r="905" spans="1:3" ht="14.25" customHeight="1">
      <c r="A905" s="1"/>
      <c r="B905" s="1"/>
      <c r="C905" s="1"/>
    </row>
    <row r="906" spans="1:3" ht="14.25" customHeight="1">
      <c r="A906" s="1"/>
      <c r="B906" s="1"/>
      <c r="C906" s="1"/>
    </row>
    <row r="907" spans="1:3" ht="14.25" customHeight="1">
      <c r="A907" s="1"/>
      <c r="B907" s="1"/>
      <c r="C907" s="1"/>
    </row>
    <row r="908" spans="1:3" ht="14.25" customHeight="1">
      <c r="A908" s="1"/>
      <c r="B908" s="1"/>
      <c r="C908" s="1"/>
    </row>
    <row r="909" spans="1:3" ht="14.25" customHeight="1">
      <c r="A909" s="1"/>
      <c r="B909" s="1"/>
      <c r="C909" s="1"/>
    </row>
    <row r="910" spans="1:3" ht="14.25" customHeight="1">
      <c r="A910" s="1"/>
      <c r="B910" s="1"/>
      <c r="C910" s="1"/>
    </row>
    <row r="911" spans="1:3" ht="14.25" customHeight="1">
      <c r="A911" s="1"/>
      <c r="B911" s="1"/>
      <c r="C911" s="1"/>
    </row>
    <row r="912" spans="1:3" ht="14.25" customHeight="1">
      <c r="A912" s="1"/>
      <c r="B912" s="1"/>
      <c r="C912" s="1"/>
    </row>
    <row r="913" spans="1:3" ht="14.25" customHeight="1">
      <c r="A913" s="1"/>
      <c r="B913" s="1"/>
      <c r="C913" s="1"/>
    </row>
    <row r="914" spans="1:3" ht="14.25" customHeight="1">
      <c r="A914" s="1"/>
      <c r="B914" s="1"/>
      <c r="C914" s="1"/>
    </row>
    <row r="915" spans="1:3" ht="14.25" customHeight="1">
      <c r="A915" s="1"/>
      <c r="B915" s="1"/>
      <c r="C915" s="1"/>
    </row>
    <row r="916" spans="1:3" ht="14.25" customHeight="1">
      <c r="A916" s="1"/>
      <c r="B916" s="1"/>
      <c r="C916" s="1"/>
    </row>
    <row r="917" spans="1:3" ht="14.25" customHeight="1">
      <c r="A917" s="1"/>
      <c r="B917" s="1"/>
      <c r="C917" s="1"/>
    </row>
    <row r="918" spans="1:3" ht="14.25" customHeight="1">
      <c r="A918" s="1"/>
      <c r="B918" s="1"/>
      <c r="C918" s="1"/>
    </row>
    <row r="919" spans="1:3" ht="14.25" customHeight="1">
      <c r="A919" s="1"/>
      <c r="B919" s="1"/>
      <c r="C919" s="1"/>
    </row>
    <row r="920" spans="1:3" ht="14.25" customHeight="1">
      <c r="A920" s="1"/>
      <c r="B920" s="1"/>
      <c r="C920" s="1"/>
    </row>
    <row r="921" spans="1:3" ht="14.25" customHeight="1">
      <c r="A921" s="1"/>
      <c r="B921" s="1"/>
      <c r="C921" s="1"/>
    </row>
    <row r="922" spans="1:3" ht="14.25" customHeight="1">
      <c r="A922" s="1"/>
      <c r="B922" s="1"/>
      <c r="C922" s="1"/>
    </row>
    <row r="923" spans="1:3" ht="14.25" customHeight="1">
      <c r="A923" s="1"/>
      <c r="B923" s="1"/>
      <c r="C923" s="1"/>
    </row>
    <row r="924" spans="1:3" ht="14.25" customHeight="1">
      <c r="A924" s="1"/>
      <c r="B924" s="1"/>
      <c r="C924" s="1"/>
    </row>
    <row r="925" spans="1:3" ht="14.25" customHeight="1">
      <c r="A925" s="1"/>
      <c r="B925" s="1"/>
      <c r="C925" s="1"/>
    </row>
    <row r="926" spans="1:3" ht="14.25" customHeight="1">
      <c r="A926" s="1"/>
      <c r="B926" s="1"/>
      <c r="C926" s="1"/>
    </row>
    <row r="927" spans="1:3" ht="14.25" customHeight="1">
      <c r="A927" s="1"/>
      <c r="B927" s="1"/>
      <c r="C927" s="1"/>
    </row>
    <row r="928" spans="1:3" ht="14.25" customHeight="1">
      <c r="A928" s="1"/>
      <c r="B928" s="1"/>
      <c r="C928" s="1"/>
    </row>
    <row r="929" spans="1:3" ht="14.25" customHeight="1">
      <c r="A929" s="1"/>
      <c r="B929" s="1"/>
      <c r="C929" s="1"/>
    </row>
    <row r="930" spans="1:3" ht="14.25" customHeight="1">
      <c r="A930" s="1"/>
      <c r="B930" s="1"/>
      <c r="C930" s="1"/>
    </row>
    <row r="931" spans="1:3" ht="14.25" customHeight="1">
      <c r="A931" s="1"/>
      <c r="B931" s="1"/>
      <c r="C931" s="1"/>
    </row>
    <row r="932" spans="1:3" ht="14.25" customHeight="1">
      <c r="A932" s="1"/>
      <c r="B932" s="1"/>
      <c r="C932" s="1"/>
    </row>
    <row r="933" spans="1:3" ht="14.25" customHeight="1">
      <c r="A933" s="1"/>
      <c r="B933" s="1"/>
      <c r="C933" s="1"/>
    </row>
    <row r="934" spans="1:3" ht="14.25" customHeight="1">
      <c r="A934" s="1"/>
      <c r="B934" s="1"/>
      <c r="C934" s="1"/>
    </row>
    <row r="935" spans="1:3" ht="14.25" customHeight="1">
      <c r="A935" s="1"/>
      <c r="B935" s="1"/>
      <c r="C935" s="1"/>
    </row>
    <row r="936" spans="1:3" ht="14.25" customHeight="1">
      <c r="A936" s="1"/>
      <c r="B936" s="1"/>
      <c r="C936" s="1"/>
    </row>
    <row r="937" spans="1:3" ht="14.25" customHeight="1">
      <c r="A937" s="1"/>
      <c r="B937" s="1"/>
      <c r="C937" s="1"/>
    </row>
    <row r="938" spans="1:3" ht="14.25" customHeight="1">
      <c r="A938" s="1"/>
      <c r="B938" s="1"/>
      <c r="C938" s="1"/>
    </row>
    <row r="939" spans="1:3" ht="14.25" customHeight="1">
      <c r="A939" s="1"/>
      <c r="B939" s="1"/>
      <c r="C939" s="1"/>
    </row>
    <row r="940" spans="1:3" ht="14.25" customHeight="1">
      <c r="A940" s="1"/>
      <c r="B940" s="1"/>
      <c r="C940" s="1"/>
    </row>
    <row r="941" spans="1:3" ht="14.25" customHeight="1">
      <c r="A941" s="1"/>
      <c r="B941" s="1"/>
      <c r="C941" s="1"/>
    </row>
    <row r="942" spans="1:3" ht="14.25" customHeight="1">
      <c r="A942" s="1"/>
      <c r="B942" s="1"/>
      <c r="C942" s="1"/>
    </row>
    <row r="943" spans="1:3" ht="14.25" customHeight="1">
      <c r="A943" s="1"/>
      <c r="B943" s="1"/>
      <c r="C943" s="1"/>
    </row>
    <row r="944" spans="1:3" ht="14.25" customHeight="1">
      <c r="A944" s="1"/>
      <c r="B944" s="1"/>
      <c r="C944" s="1"/>
    </row>
    <row r="945" spans="1:3" ht="14.25" customHeight="1">
      <c r="A945" s="1"/>
      <c r="B945" s="1"/>
      <c r="C945" s="1"/>
    </row>
    <row r="946" spans="1:3" ht="14.25" customHeight="1">
      <c r="A946" s="1"/>
      <c r="B946" s="1"/>
      <c r="C946" s="1"/>
    </row>
    <row r="947" spans="1:3" ht="14.25" customHeight="1">
      <c r="A947" s="1"/>
      <c r="B947" s="1"/>
      <c r="C947" s="1"/>
    </row>
    <row r="948" spans="1:3" ht="14.25" customHeight="1">
      <c r="A948" s="1"/>
      <c r="B948" s="1"/>
      <c r="C948" s="1"/>
    </row>
    <row r="949" spans="1:3" ht="14.25" customHeight="1">
      <c r="A949" s="1"/>
      <c r="B949" s="1"/>
      <c r="C949" s="1"/>
    </row>
    <row r="950" spans="1:3" ht="14.25" customHeight="1">
      <c r="A950" s="1"/>
      <c r="B950" s="1"/>
      <c r="C950" s="1"/>
    </row>
    <row r="951" spans="1:3" ht="14.25" customHeight="1">
      <c r="A951" s="1"/>
      <c r="B951" s="1"/>
      <c r="C951" s="1"/>
    </row>
    <row r="952" spans="1:3" ht="14.25" customHeight="1">
      <c r="A952" s="1"/>
      <c r="B952" s="1"/>
      <c r="C952" s="1"/>
    </row>
    <row r="953" spans="1:3" ht="14.25" customHeight="1">
      <c r="A953" s="1"/>
      <c r="B953" s="1"/>
      <c r="C953" s="1"/>
    </row>
    <row r="954" spans="1:3" ht="14.25" customHeight="1">
      <c r="A954" s="1"/>
      <c r="B954" s="1"/>
      <c r="C954" s="1"/>
    </row>
    <row r="955" spans="1:3" ht="14.25" customHeight="1">
      <c r="A955" s="1"/>
      <c r="B955" s="1"/>
      <c r="C955" s="1"/>
    </row>
    <row r="956" spans="1:3" ht="14.25" customHeight="1">
      <c r="A956" s="1"/>
      <c r="B956" s="1"/>
      <c r="C956" s="1"/>
    </row>
    <row r="957" spans="1:3" ht="14.25" customHeight="1">
      <c r="A957" s="1"/>
      <c r="B957" s="1"/>
      <c r="C957" s="1"/>
    </row>
    <row r="958" spans="1:3" ht="14.25" customHeight="1">
      <c r="A958" s="1"/>
      <c r="B958" s="1"/>
      <c r="C958" s="1"/>
    </row>
    <row r="959" spans="1:3" ht="14.25" customHeight="1">
      <c r="A959" s="1"/>
      <c r="B959" s="1"/>
      <c r="C959" s="1"/>
    </row>
    <row r="960" spans="1:3" ht="14.25" customHeight="1">
      <c r="A960" s="1"/>
      <c r="B960" s="1"/>
      <c r="C960" s="1"/>
    </row>
    <row r="961" spans="1:3" ht="14.25" customHeight="1">
      <c r="A961" s="1"/>
      <c r="B961" s="1"/>
      <c r="C961" s="1"/>
    </row>
    <row r="962" spans="1:3" ht="14.25" customHeight="1">
      <c r="A962" s="1"/>
      <c r="B962" s="1"/>
      <c r="C962" s="1"/>
    </row>
    <row r="963" spans="1:3" ht="14.25" customHeight="1">
      <c r="A963" s="1"/>
      <c r="B963" s="1"/>
      <c r="C963" s="1"/>
    </row>
    <row r="964" spans="1:3" ht="14.25" customHeight="1">
      <c r="A964" s="1"/>
      <c r="B964" s="1"/>
      <c r="C964" s="1"/>
    </row>
    <row r="965" spans="1:3" ht="14.25" customHeight="1">
      <c r="A965" s="1"/>
      <c r="B965" s="1"/>
      <c r="C965" s="1"/>
    </row>
    <row r="966" spans="1:3" ht="14.25" customHeight="1">
      <c r="A966" s="1"/>
      <c r="B966" s="1"/>
      <c r="C966" s="1"/>
    </row>
    <row r="967" spans="1:3" ht="14.25" customHeight="1">
      <c r="A967" s="1"/>
      <c r="B967" s="1"/>
      <c r="C967" s="1"/>
    </row>
    <row r="968" spans="1:3" ht="14.25" customHeight="1">
      <c r="A968" s="1"/>
      <c r="B968" s="1"/>
      <c r="C968" s="1"/>
    </row>
    <row r="969" spans="1:3" ht="14.25" customHeight="1">
      <c r="A969" s="1"/>
      <c r="B969" s="1"/>
      <c r="C969" s="1"/>
    </row>
    <row r="970" spans="1:3" ht="14.25" customHeight="1">
      <c r="A970" s="1"/>
      <c r="B970" s="1"/>
      <c r="C970" s="1"/>
    </row>
    <row r="971" spans="1:3" ht="14.25" customHeight="1">
      <c r="A971" s="1"/>
      <c r="B971" s="1"/>
      <c r="C971" s="1"/>
    </row>
    <row r="972" spans="1:3" ht="14.25" customHeight="1">
      <c r="A972" s="1"/>
      <c r="B972" s="1"/>
      <c r="C972" s="1"/>
    </row>
    <row r="973" spans="1:3" ht="14.25" customHeight="1">
      <c r="A973" s="1"/>
      <c r="B973" s="1"/>
      <c r="C973" s="1"/>
    </row>
    <row r="974" spans="1:3" ht="14.25" customHeight="1">
      <c r="A974" s="1"/>
      <c r="B974" s="1"/>
      <c r="C974" s="1"/>
    </row>
    <row r="975" spans="1:3" ht="14.25" customHeight="1">
      <c r="A975" s="1"/>
      <c r="B975" s="1"/>
      <c r="C975" s="1"/>
    </row>
    <row r="976" spans="1:3" ht="14.25" customHeight="1">
      <c r="A976" s="1"/>
      <c r="B976" s="1"/>
      <c r="C976" s="1"/>
    </row>
    <row r="977" spans="1:3" ht="14.25" customHeight="1">
      <c r="A977" s="1"/>
      <c r="B977" s="1"/>
      <c r="C977" s="1"/>
    </row>
    <row r="978" spans="1:3" ht="14.25" customHeight="1">
      <c r="A978" s="1"/>
      <c r="B978" s="1"/>
      <c r="C978" s="1"/>
    </row>
    <row r="979" spans="1:3" ht="14.25" customHeight="1">
      <c r="A979" s="1"/>
      <c r="B979" s="1"/>
      <c r="C979" s="1"/>
    </row>
    <row r="980" spans="1:3" ht="14.25" customHeight="1">
      <c r="A980" s="1"/>
      <c r="B980" s="1"/>
      <c r="C980" s="1"/>
    </row>
    <row r="981" spans="1:3" ht="14.25" customHeight="1">
      <c r="A981" s="1"/>
      <c r="B981" s="1"/>
      <c r="C981" s="1"/>
    </row>
    <row r="982" spans="1:3" ht="14.25" customHeight="1">
      <c r="A982" s="1"/>
      <c r="B982" s="1"/>
      <c r="C982" s="1"/>
    </row>
    <row r="983" spans="1:3" ht="14.25" customHeight="1">
      <c r="A983" s="1"/>
      <c r="B983" s="1"/>
      <c r="C983" s="1"/>
    </row>
    <row r="984" spans="1:3" ht="14.25" customHeight="1">
      <c r="A984" s="1"/>
      <c r="B984" s="1"/>
      <c r="C984" s="1"/>
    </row>
    <row r="985" spans="1:3" ht="14.25" customHeight="1">
      <c r="A985" s="1"/>
      <c r="B985" s="1"/>
      <c r="C985" s="1"/>
    </row>
    <row r="986" spans="1:3" ht="14.25" customHeight="1">
      <c r="A986" s="1"/>
      <c r="B986" s="1"/>
      <c r="C986" s="1"/>
    </row>
    <row r="987" spans="1:3" ht="14.25" customHeight="1">
      <c r="A987" s="1"/>
      <c r="B987" s="1"/>
      <c r="C987" s="1"/>
    </row>
    <row r="988" spans="1:3" ht="14.25" customHeight="1">
      <c r="A988" s="1"/>
      <c r="B988" s="1"/>
      <c r="C988" s="1"/>
    </row>
    <row r="989" spans="1:3" ht="14.25" customHeight="1">
      <c r="A989" s="1"/>
      <c r="B989" s="1"/>
      <c r="C989" s="1"/>
    </row>
    <row r="990" spans="1:3" ht="14.25" customHeight="1">
      <c r="A990" s="1"/>
      <c r="B990" s="1"/>
      <c r="C990" s="1"/>
    </row>
    <row r="991" spans="1:3" ht="14.25" customHeight="1">
      <c r="A991" s="1"/>
      <c r="B991" s="1"/>
      <c r="C991" s="1"/>
    </row>
    <row r="992" spans="1:3" ht="14.25" customHeight="1">
      <c r="A992" s="1"/>
      <c r="B992" s="1"/>
      <c r="C992" s="1"/>
    </row>
    <row r="993" spans="1:3" ht="14.25" customHeight="1">
      <c r="A993" s="1"/>
      <c r="B993" s="1"/>
      <c r="C993" s="1"/>
    </row>
    <row r="994" spans="1:3" ht="14.25" customHeight="1">
      <c r="A994" s="1"/>
      <c r="B994" s="1"/>
      <c r="C994" s="1"/>
    </row>
    <row r="995" spans="1:3" ht="14.25" customHeight="1">
      <c r="A995" s="1"/>
      <c r="B995" s="1"/>
      <c r="C995" s="1"/>
    </row>
    <row r="996" spans="1:3" ht="14.25" customHeight="1">
      <c r="A996" s="1"/>
      <c r="B996" s="1"/>
      <c r="C996" s="1"/>
    </row>
    <row r="997" spans="1:3" ht="14.25" customHeight="1">
      <c r="A997" s="1"/>
      <c r="B997" s="1"/>
      <c r="C997" s="1"/>
    </row>
    <row r="998" spans="1:3" ht="14.25" customHeight="1">
      <c r="A998" s="1"/>
      <c r="B998" s="1"/>
      <c r="C998" s="1"/>
    </row>
    <row r="999" spans="1:3" ht="14.25" customHeight="1">
      <c r="A999" s="1"/>
      <c r="B999" s="1"/>
      <c r="C999" s="1"/>
    </row>
    <row r="1000" spans="1:3" ht="14.25" customHeight="1">
      <c r="A1000" s="1"/>
      <c r="B1000" s="1"/>
      <c r="C1000" s="1"/>
    </row>
    <row r="1001" spans="1:3" ht="14.25" customHeight="1">
      <c r="A1001" s="1"/>
      <c r="B1001" s="1"/>
      <c r="C1001" s="1"/>
    </row>
    <row r="1002" spans="1:3" ht="14.25" customHeight="1">
      <c r="A1002" s="1"/>
      <c r="B1002" s="1"/>
      <c r="C1002" s="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2A1C7"/>
  </sheetPr>
  <dimension ref="A1:Z1773"/>
  <sheetViews>
    <sheetView showGridLines="0" workbookViewId="0"/>
  </sheetViews>
  <sheetFormatPr defaultColWidth="14.44140625" defaultRowHeight="15" customHeight="1"/>
  <cols>
    <col min="1" max="1" width="13.5546875" customWidth="1"/>
    <col min="2" max="2" width="45.88671875" customWidth="1"/>
    <col min="3" max="3" width="26.5546875" customWidth="1"/>
    <col min="4" max="4" width="28" customWidth="1"/>
    <col min="5" max="5" width="13.6640625" customWidth="1"/>
    <col min="6" max="6" width="73.109375" customWidth="1"/>
    <col min="7" max="7" width="23" customWidth="1"/>
    <col min="8" max="26" width="8.6640625" customWidth="1"/>
  </cols>
  <sheetData>
    <row r="1" spans="1:26" ht="27" customHeight="1">
      <c r="A1" s="2" t="s">
        <v>1</v>
      </c>
      <c r="B1" s="2" t="s">
        <v>2</v>
      </c>
      <c r="C1" s="2" t="s">
        <v>119</v>
      </c>
      <c r="D1" s="2" t="s">
        <v>4</v>
      </c>
      <c r="E1" s="2" t="s">
        <v>5</v>
      </c>
      <c r="F1" s="2" t="s">
        <v>238</v>
      </c>
      <c r="G1" s="2" t="s">
        <v>333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>
      <c r="A2" s="4">
        <v>11149</v>
      </c>
      <c r="B2" s="4" t="str">
        <f>IFERROR(VLOOKUP(A2,Colaboradores!A:D,2,),"")</f>
        <v>CAMYLA CRYSTYNE RABELO LIMA</v>
      </c>
      <c r="C2" s="4" t="str">
        <f>IFERROR(VLOOKUP(A2,Colaboradores!A:D,3,),"")</f>
        <v>COORDENAÇÃO ADMINISTRATIVA</v>
      </c>
      <c r="D2" s="4" t="str">
        <f>IFERROR(VLOOKUP(A2,Colaboradores!A:D,4,),"")</f>
        <v>ANALISTA ADMINISTRATIVO</v>
      </c>
      <c r="E2" s="4" t="s">
        <v>58</v>
      </c>
      <c r="F2" s="5" t="str">
        <f>IFERROR(VLOOKUP(E2,Procedimentos!A:C,2,),"")</f>
        <v>POLÍTICA DE QUALIDADE DA DIRETORIA</v>
      </c>
      <c r="G2" s="4" t="s">
        <v>22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4.25" customHeight="1">
      <c r="A3" s="4">
        <v>11149</v>
      </c>
      <c r="B3" s="4" t="str">
        <f>IFERROR(VLOOKUP(A3,Colaboradores!A:D,2,),"")</f>
        <v>CAMYLA CRYSTYNE RABELO LIMA</v>
      </c>
      <c r="C3" s="4" t="str">
        <f>IFERROR(VLOOKUP(A3,Colaboradores!A:D,3,),"")</f>
        <v>COORDENAÇÃO ADMINISTRATIVA</v>
      </c>
      <c r="D3" s="4" t="str">
        <f>IFERROR(VLOOKUP(A3,Colaboradores!A:D,4,),"")</f>
        <v>ANALISTA ADMINISTRATIVO</v>
      </c>
      <c r="E3" s="4" t="s">
        <v>19</v>
      </c>
      <c r="F3" s="5" t="str">
        <f>IFERROR(VLOOKUP(E3,Procedimentos!A:C,2,),"")</f>
        <v>DIRETRIZES PARA DOCUMENTOS NORMATIVOS</v>
      </c>
      <c r="G3" s="4" t="s">
        <v>22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4.25" customHeight="1">
      <c r="A4" s="4">
        <v>11149</v>
      </c>
      <c r="B4" s="4" t="str">
        <f>IFERROR(VLOOKUP(A4,Colaboradores!A:D,2,),"")</f>
        <v>CAMYLA CRYSTYNE RABELO LIMA</v>
      </c>
      <c r="C4" s="4" t="str">
        <f>IFERROR(VLOOKUP(A4,Colaboradores!A:D,3,),"")</f>
        <v>COORDENAÇÃO ADMINISTRATIVA</v>
      </c>
      <c r="D4" s="4" t="str">
        <f>IFERROR(VLOOKUP(A4,Colaboradores!A:D,4,),"")</f>
        <v>ANALISTA ADMINISTRATIVO</v>
      </c>
      <c r="E4" s="4" t="s">
        <v>24</v>
      </c>
      <c r="F4" s="5" t="str">
        <f>IFERROR(VLOOKUP(E4,Procedimentos!A:C,2,),"")</f>
        <v>DIRETRIZES  PARA PROGRAMA 5S</v>
      </c>
      <c r="G4" s="4" t="s">
        <v>22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4.25" customHeight="1">
      <c r="A5" s="4">
        <v>11149</v>
      </c>
      <c r="B5" s="4" t="str">
        <f>IFERROR(VLOOKUP(A5,Colaboradores!A:D,2,),"")</f>
        <v>CAMYLA CRYSTYNE RABELO LIMA</v>
      </c>
      <c r="C5" s="4" t="str">
        <f>IFERROR(VLOOKUP(A5,Colaboradores!A:D,3,),"")</f>
        <v>COORDENAÇÃO ADMINISTRATIVA</v>
      </c>
      <c r="D5" s="4" t="str">
        <f>IFERROR(VLOOKUP(A5,Colaboradores!A:D,4,),"")</f>
        <v>ANALISTA ADMINISTRATIVO</v>
      </c>
      <c r="E5" s="4" t="s">
        <v>25</v>
      </c>
      <c r="F5" s="5" t="str">
        <f>IFERROR(VLOOKUP(E5,Procedimentos!A:C,2,),"")</f>
        <v>GARANTIA DA QUALIDADE</v>
      </c>
      <c r="G5" s="4" t="s">
        <v>22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4.25" customHeight="1">
      <c r="A6" s="4">
        <v>11149</v>
      </c>
      <c r="B6" s="4" t="str">
        <f>IFERROR(VLOOKUP(A6,Colaboradores!A:D,2,),"")</f>
        <v>CAMYLA CRYSTYNE RABELO LIMA</v>
      </c>
      <c r="C6" s="4" t="str">
        <f>IFERROR(VLOOKUP(A6,Colaboradores!A:D,3,),"")</f>
        <v>COORDENAÇÃO ADMINISTRATIVA</v>
      </c>
      <c r="D6" s="4" t="str">
        <f>IFERROR(VLOOKUP(A6,Colaboradores!A:D,4,),"")</f>
        <v>ANALISTA ADMINISTRATIVO</v>
      </c>
      <c r="E6" s="4" t="s">
        <v>26</v>
      </c>
      <c r="F6" s="5" t="str">
        <f>IFERROR(VLOOKUP(E6,Procedimentos!A:C,2,),"")</f>
        <v>RESPONSABILIDADES E AUTORIDADES DO SGQ</v>
      </c>
      <c r="G6" s="4" t="s">
        <v>22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4.25" customHeight="1">
      <c r="A7" s="4">
        <v>11149</v>
      </c>
      <c r="B7" s="4" t="str">
        <f>IFERROR(VLOOKUP(A7,Colaboradores!A:D,2,),"")</f>
        <v>CAMYLA CRYSTYNE RABELO LIMA</v>
      </c>
      <c r="C7" s="4" t="str">
        <f>IFERROR(VLOOKUP(A7,Colaboradores!A:D,3,),"")</f>
        <v>COORDENAÇÃO ADMINISTRATIVA</v>
      </c>
      <c r="D7" s="4" t="str">
        <f>IFERROR(VLOOKUP(A7,Colaboradores!A:D,4,),"")</f>
        <v>ANALISTA ADMINISTRATIVO</v>
      </c>
      <c r="E7" s="4" t="s">
        <v>73</v>
      </c>
      <c r="F7" s="5" t="str">
        <f>IFERROR(VLOOKUP(E7,Procedimentos!A:C,2,),"")</f>
        <v>AQUISIÇÃO DE BENS E SERVIÇOS E AVALIAÇÃO PROVEDORES EXTERNOS</v>
      </c>
      <c r="G7" s="4" t="s">
        <v>22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4.25" customHeight="1">
      <c r="A8" s="4">
        <v>11149</v>
      </c>
      <c r="B8" s="4" t="str">
        <f>IFERROR(VLOOKUP(A8,Colaboradores!A:D,2,),"")</f>
        <v>CAMYLA CRYSTYNE RABELO LIMA</v>
      </c>
      <c r="C8" s="4" t="str">
        <f>IFERROR(VLOOKUP(A8,Colaboradores!A:D,3,),"")</f>
        <v>COORDENAÇÃO ADMINISTRATIVA</v>
      </c>
      <c r="D8" s="4" t="str">
        <f>IFERROR(VLOOKUP(A8,Colaboradores!A:D,4,),"")</f>
        <v>ANALISTA ADMINISTRATIVO</v>
      </c>
      <c r="E8" s="4" t="s">
        <v>79</v>
      </c>
      <c r="F8" s="5" t="str">
        <f>IFERROR(VLOOKUP(E8,Procedimentos!A:C,2,),"")</f>
        <v>ABERTURA DE PROCESSO DE PAGAMENTO</v>
      </c>
      <c r="G8" s="4" t="s">
        <v>22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4.25" customHeight="1">
      <c r="A9" s="4">
        <v>11149</v>
      </c>
      <c r="B9" s="4" t="str">
        <f>IFERROR(VLOOKUP(A9,Colaboradores!A:D,2,),"")</f>
        <v>CAMYLA CRYSTYNE RABELO LIMA</v>
      </c>
      <c r="C9" s="4" t="str">
        <f>IFERROR(VLOOKUP(A9,Colaboradores!A:D,3,),"")</f>
        <v>COORDENAÇÃO ADMINISTRATIVA</v>
      </c>
      <c r="D9" s="4" t="str">
        <f>IFERROR(VLOOKUP(A9,Colaboradores!A:D,4,),"")</f>
        <v>ANALISTA ADMINISTRATIVO</v>
      </c>
      <c r="E9" s="4" t="s">
        <v>48</v>
      </c>
      <c r="F9" s="5" t="str">
        <f>IFERROR(VLOOKUP(E9,Procedimentos!A:C,2,),"")</f>
        <v>POLÍTICA MEIO AMBIENTE EMSERH</v>
      </c>
      <c r="G9" s="4" t="s">
        <v>22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4.25" customHeight="1">
      <c r="A10" s="4">
        <v>11149</v>
      </c>
      <c r="B10" s="4" t="str">
        <f>IFERROR(VLOOKUP(A10,Colaboradores!A:D,2,),"")</f>
        <v>CAMYLA CRYSTYNE RABELO LIMA</v>
      </c>
      <c r="C10" s="4" t="str">
        <f>IFERROR(VLOOKUP(A10,Colaboradores!A:D,3,),"")</f>
        <v>COORDENAÇÃO ADMINISTRATIVA</v>
      </c>
      <c r="D10" s="4" t="str">
        <f>IFERROR(VLOOKUP(A10,Colaboradores!A:D,4,),"")</f>
        <v>ANALISTA ADMINISTRATIVO</v>
      </c>
      <c r="E10" s="4" t="s">
        <v>29</v>
      </c>
      <c r="F10" s="5" t="str">
        <f>IFERROR(VLOOKUP(E10,Procedimentos!A:C,2,),"")</f>
        <v>COLETA SELETIVA DESSMA</v>
      </c>
      <c r="G10" s="4" t="s">
        <v>22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4.25" customHeight="1">
      <c r="A11" s="4">
        <v>11149</v>
      </c>
      <c r="B11" s="4" t="str">
        <f>IFERROR(VLOOKUP(A11,Colaboradores!A:D,2,),"")</f>
        <v>CAMYLA CRYSTYNE RABELO LIMA</v>
      </c>
      <c r="C11" s="4" t="str">
        <f>IFERROR(VLOOKUP(A11,Colaboradores!A:D,3,),"")</f>
        <v>COORDENAÇÃO ADMINISTRATIVA</v>
      </c>
      <c r="D11" s="4" t="str">
        <f>IFERROR(VLOOKUP(A11,Colaboradores!A:D,4,),"")</f>
        <v>ANALISTA ADMINISTRATIVO</v>
      </c>
      <c r="E11" s="4" t="s">
        <v>32</v>
      </c>
      <c r="F11" s="5" t="str">
        <f>IFERROR(VLOOKUP(E11,Procedimentos!A:C,2,),"")</f>
        <v>GESTÃO DE LEVANTAMENTO DE ASPECTOS E IMPACTOS AMBIENTAIS</v>
      </c>
      <c r="G11" s="4" t="s">
        <v>22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4.25" customHeight="1">
      <c r="A12" s="4">
        <v>11149</v>
      </c>
      <c r="B12" s="4" t="str">
        <f>IFERROR(VLOOKUP(A12,Colaboradores!A:D,2,),"")</f>
        <v>CAMYLA CRYSTYNE RABELO LIMA</v>
      </c>
      <c r="C12" s="4" t="str">
        <f>IFERROR(VLOOKUP(A12,Colaboradores!A:D,3,),"")</f>
        <v>COORDENAÇÃO ADMINISTRATIVA</v>
      </c>
      <c r="D12" s="4" t="str">
        <f>IFERROR(VLOOKUP(A12,Colaboradores!A:D,4,),"")</f>
        <v>ANALISTA ADMINISTRATIVO</v>
      </c>
      <c r="E12" s="4" t="s">
        <v>31</v>
      </c>
      <c r="F12" s="5" t="str">
        <f>IFERROR(VLOOKUP(E12,Procedimentos!A:C,2,),"")</f>
        <v>GESTÃO DE COMUNICAÇÃO, CLASSIFICAÇÃO E INVESTIGAÇÃO DE OCORRÊNCIAS AMBIENTAIS</v>
      </c>
      <c r="G12" s="4" t="s">
        <v>22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4.25" customHeight="1">
      <c r="A13" s="4">
        <v>11149</v>
      </c>
      <c r="B13" s="4" t="str">
        <f>IFERROR(VLOOKUP(A13,Colaboradores!A:D,2,),"")</f>
        <v>CAMYLA CRYSTYNE RABELO LIMA</v>
      </c>
      <c r="C13" s="4" t="str">
        <f>IFERROR(VLOOKUP(A13,Colaboradores!A:D,3,),"")</f>
        <v>COORDENAÇÃO ADMINISTRATIVA</v>
      </c>
      <c r="D13" s="4" t="str">
        <f>IFERROR(VLOOKUP(A13,Colaboradores!A:D,4,),"")</f>
        <v>ANALISTA ADMINISTRATIVO</v>
      </c>
      <c r="E13" s="4" t="s">
        <v>33</v>
      </c>
      <c r="F13" s="5" t="str">
        <f>IFERROR(VLOOKUP(E13,Procedimentos!A:C,2,),"")</f>
        <v>GESTÃO DE INSPEÇÕES AMBIENTAIS</v>
      </c>
      <c r="G13" s="4" t="s">
        <v>22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4.25" customHeight="1">
      <c r="A14" s="4">
        <v>11149</v>
      </c>
      <c r="B14" s="4" t="str">
        <f>IFERROR(VLOOKUP(A14,Colaboradores!A:D,2,),"")</f>
        <v>CAMYLA CRYSTYNE RABELO LIMA</v>
      </c>
      <c r="C14" s="4" t="str">
        <f>IFERROR(VLOOKUP(A14,Colaboradores!A:D,3,),"")</f>
        <v>COORDENAÇÃO ADMINISTRATIVA</v>
      </c>
      <c r="D14" s="4" t="str">
        <f>IFERROR(VLOOKUP(A14,Colaboradores!A:D,4,),"")</f>
        <v>ANALISTA ADMINISTRATIVO</v>
      </c>
      <c r="E14" s="4" t="s">
        <v>49</v>
      </c>
      <c r="F14" s="5" t="str">
        <f>IFERROR(VLOOKUP(E14,Procedimentos!A:C,2,),"")</f>
        <v>DIRETRIZES PARA REALIZAÇÃO DE EXAMES OCUPACIONAIS</v>
      </c>
      <c r="G14" s="4" t="s">
        <v>22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4.25" customHeight="1">
      <c r="A15" s="4">
        <v>11149</v>
      </c>
      <c r="B15" s="4" t="str">
        <f>IFERROR(VLOOKUP(A15,Colaboradores!A:D,2,),"")</f>
        <v>CAMYLA CRYSTYNE RABELO LIMA</v>
      </c>
      <c r="C15" s="4" t="str">
        <f>IFERROR(VLOOKUP(A15,Colaboradores!A:D,3,),"")</f>
        <v>COORDENAÇÃO ADMINISTRATIVA</v>
      </c>
      <c r="D15" s="4" t="str">
        <f>IFERROR(VLOOKUP(A15,Colaboradores!A:D,4,),"")</f>
        <v>ANALISTA ADMINISTRATIVO</v>
      </c>
      <c r="E15" s="4" t="s">
        <v>51</v>
      </c>
      <c r="F15" s="5" t="str">
        <f>IFERROR(VLOOKUP(E15,Procedimentos!A:C,2,),"")</f>
        <v>DIRETRIZES PARA ENTREGA DE ATESTADOS MÉDICOS E ODONTOLÓGICOS</v>
      </c>
      <c r="G15" s="4" t="s">
        <v>22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4.25" customHeight="1">
      <c r="A16" s="4">
        <v>11149</v>
      </c>
      <c r="B16" s="4" t="str">
        <f>IFERROR(VLOOKUP(A16,Colaboradores!A:D,2,),"")</f>
        <v>CAMYLA CRYSTYNE RABELO LIMA</v>
      </c>
      <c r="C16" s="4" t="str">
        <f>IFERROR(VLOOKUP(A16,Colaboradores!A:D,3,),"")</f>
        <v>COORDENAÇÃO ADMINISTRATIVA</v>
      </c>
      <c r="D16" s="4" t="str">
        <f>IFERROR(VLOOKUP(A16,Colaboradores!A:D,4,),"")</f>
        <v>ANALISTA ADMINISTRATIVO</v>
      </c>
      <c r="E16" s="4" t="s">
        <v>52</v>
      </c>
      <c r="F16" s="5" t="str">
        <f>IFERROR(VLOOKUP(E16,Procedimentos!A:C,2,),"")</f>
        <v>DIRETRIZES E ACOMPANHAMENTO  DE ACIDENTE COM MATERIAL BIOLOGICO</v>
      </c>
      <c r="G16" s="4" t="s">
        <v>28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4.25" customHeight="1">
      <c r="A17" s="4">
        <v>11149</v>
      </c>
      <c r="B17" s="4" t="str">
        <f>IFERROR(VLOOKUP(A17,Colaboradores!A:D,2,),"")</f>
        <v>CAMYLA CRYSTYNE RABELO LIMA</v>
      </c>
      <c r="C17" s="4" t="str">
        <f>IFERROR(VLOOKUP(A17,Colaboradores!A:D,3,),"")</f>
        <v>COORDENAÇÃO ADMINISTRATIVA</v>
      </c>
      <c r="D17" s="4" t="str">
        <f>IFERROR(VLOOKUP(A17,Colaboradores!A:D,4,),"")</f>
        <v>ANALISTA ADMINISTRATIVO</v>
      </c>
      <c r="E17" s="4" t="s">
        <v>53</v>
      </c>
      <c r="F17" s="5" t="str">
        <f>IFERROR(VLOOKUP(E17,Procedimentos!A:C,2,),"")</f>
        <v>DIRETRIZES PARA MONITORAMENTO DE GESTANTE</v>
      </c>
      <c r="G17" s="4" t="s">
        <v>22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4.25" customHeight="1">
      <c r="A18" s="4">
        <v>11149</v>
      </c>
      <c r="B18" s="4" t="str">
        <f>IFERROR(VLOOKUP(A18,Colaboradores!A:D,2,),"")</f>
        <v>CAMYLA CRYSTYNE RABELO LIMA</v>
      </c>
      <c r="C18" s="4" t="str">
        <f>IFERROR(VLOOKUP(A18,Colaboradores!A:D,3,),"")</f>
        <v>COORDENAÇÃO ADMINISTRATIVA</v>
      </c>
      <c r="D18" s="4" t="str">
        <f>IFERROR(VLOOKUP(A18,Colaboradores!A:D,4,),"")</f>
        <v>ANALISTA ADMINISTRATIVO</v>
      </c>
      <c r="E18" s="4" t="s">
        <v>54</v>
      </c>
      <c r="F18" s="5" t="str">
        <f>IFERROR(VLOOKUP(E18,Procedimentos!A:C,2,),"")</f>
        <v>DIRETRIZES DE IMUNIZAÇÃO OCUPACIONAL</v>
      </c>
      <c r="G18" s="4" t="s">
        <v>22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4.25" customHeight="1">
      <c r="A19" s="4">
        <v>11149</v>
      </c>
      <c r="B19" s="4" t="str">
        <f>IFERROR(VLOOKUP(A19,Colaboradores!A:D,2,),"")</f>
        <v>CAMYLA CRYSTYNE RABELO LIMA</v>
      </c>
      <c r="C19" s="4" t="str">
        <f>IFERROR(VLOOKUP(A19,Colaboradores!A:D,3,),"")</f>
        <v>COORDENAÇÃO ADMINISTRATIVA</v>
      </c>
      <c r="D19" s="4" t="str">
        <f>IFERROR(VLOOKUP(A19,Colaboradores!A:D,4,),"")</f>
        <v>ANALISTA ADMINISTRATIVO</v>
      </c>
      <c r="E19" s="4" t="s">
        <v>55</v>
      </c>
      <c r="F19" s="5" t="str">
        <f>IFERROR(VLOOKUP(E19,Procedimentos!A:C,2,),"")</f>
        <v>DIRETRIZES PARA ACOMPANHAMENTO DE AFASTADOS</v>
      </c>
      <c r="G19" s="4" t="s">
        <v>22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4.25" customHeight="1">
      <c r="A20" s="4">
        <v>11149</v>
      </c>
      <c r="B20" s="4" t="str">
        <f>IFERROR(VLOOKUP(A20,Colaboradores!A:D,2,),"")</f>
        <v>CAMYLA CRYSTYNE RABELO LIMA</v>
      </c>
      <c r="C20" s="4" t="str">
        <f>IFERROR(VLOOKUP(A20,Colaboradores!A:D,3,),"")</f>
        <v>COORDENAÇÃO ADMINISTRATIVA</v>
      </c>
      <c r="D20" s="4" t="str">
        <f>IFERROR(VLOOKUP(A20,Colaboradores!A:D,4,),"")</f>
        <v>ANALISTA ADMINISTRATIVO</v>
      </c>
      <c r="E20" s="4" t="s">
        <v>46</v>
      </c>
      <c r="F20" s="5" t="str">
        <f>IFERROR(VLOOKUP(E20,Procedimentos!A:C,2,),"")</f>
        <v>POLÍTICA DE SAÚDE E SEGURANÇA DO TRABALHO EMSERH</v>
      </c>
      <c r="G20" s="4" t="s">
        <v>22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4.25" customHeight="1">
      <c r="A21" s="4">
        <v>11149</v>
      </c>
      <c r="B21" s="4" t="str">
        <f>IFERROR(VLOOKUP(A21,Colaboradores!A:D,2,),"")</f>
        <v>CAMYLA CRYSTYNE RABELO LIMA</v>
      </c>
      <c r="C21" s="4" t="str">
        <f>IFERROR(VLOOKUP(A21,Colaboradores!A:D,3,),"")</f>
        <v>COORDENAÇÃO ADMINISTRATIVA</v>
      </c>
      <c r="D21" s="4" t="str">
        <f>IFERROR(VLOOKUP(A21,Colaboradores!A:D,4,),"")</f>
        <v>ANALISTA ADMINISTRATIVO</v>
      </c>
      <c r="E21" s="4" t="s">
        <v>41</v>
      </c>
      <c r="F21" s="5" t="str">
        <f>IFERROR(VLOOKUP(E21,Procedimentos!A:C,2,),"")</f>
        <v>DIRETRIZES PARA COMUNICAÇÃO E INVESTIGAÇÃO DE ACIDENTES</v>
      </c>
      <c r="G21" s="4" t="s">
        <v>22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4.25" customHeight="1">
      <c r="A22" s="4">
        <v>11149</v>
      </c>
      <c r="B22" s="4" t="str">
        <f>IFERROR(VLOOKUP(A22,Colaboradores!A:D,2,),"")</f>
        <v>CAMYLA CRYSTYNE RABELO LIMA</v>
      </c>
      <c r="C22" s="4" t="str">
        <f>IFERROR(VLOOKUP(A22,Colaboradores!A:D,3,),"")</f>
        <v>COORDENAÇÃO ADMINISTRATIVA</v>
      </c>
      <c r="D22" s="4" t="str">
        <f>IFERROR(VLOOKUP(A22,Colaboradores!A:D,4,),"")</f>
        <v>ANALISTA ADMINISTRATIVO</v>
      </c>
      <c r="E22" s="4" t="s">
        <v>43</v>
      </c>
      <c r="F22" s="5" t="str">
        <f>IFERROR(VLOOKUP(E22,Procedimentos!A:C,2,),"")</f>
        <v>DIÁLOGO DE SAÚDE E SEGURANÇA - DSS</v>
      </c>
      <c r="G22" s="4" t="s">
        <v>22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4.25" customHeight="1">
      <c r="A23" s="4">
        <v>11149</v>
      </c>
      <c r="B23" s="4" t="str">
        <f>IFERROR(VLOOKUP(A23,Colaboradores!A:D,2,),"")</f>
        <v>CAMYLA CRYSTYNE RABELO LIMA</v>
      </c>
      <c r="C23" s="4" t="str">
        <f>IFERROR(VLOOKUP(A23,Colaboradores!A:D,3,),"")</f>
        <v>COORDENAÇÃO ADMINISTRATIVA</v>
      </c>
      <c r="D23" s="4" t="str">
        <f>IFERROR(VLOOKUP(A23,Colaboradores!A:D,4,),"")</f>
        <v>ANALISTA ADMINISTRATIVO</v>
      </c>
      <c r="E23" s="4" t="s">
        <v>44</v>
      </c>
      <c r="F23" s="5" t="str">
        <f>IFERROR(VLOOKUP(E23,Procedimentos!A:C,2,),"")</f>
        <v>DIRETRIZES PARA GESTÃO DE EQUIPAMENTOS DE PROTEÇÃO INDIVIDUAL - EPI'S</v>
      </c>
      <c r="G23" s="4" t="s">
        <v>22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4.25" customHeight="1">
      <c r="A24" s="4">
        <v>11149</v>
      </c>
      <c r="B24" s="4" t="str">
        <f>IFERROR(VLOOKUP(A24,Colaboradores!A:D,2,),"")</f>
        <v>CAMYLA CRYSTYNE RABELO LIMA</v>
      </c>
      <c r="C24" s="4" t="str">
        <f>IFERROR(VLOOKUP(A24,Colaboradores!A:D,3,),"")</f>
        <v>COORDENAÇÃO ADMINISTRATIVA</v>
      </c>
      <c r="D24" s="4" t="str">
        <f>IFERROR(VLOOKUP(A24,Colaboradores!A:D,4,),"")</f>
        <v>ANALISTA ADMINISTRATIVO</v>
      </c>
      <c r="E24" s="4" t="s">
        <v>45</v>
      </c>
      <c r="F24" s="5" t="str">
        <f>IFERROR(VLOOKUP(E24,Procedimentos!A:C,2,),"")</f>
        <v>CONSTITUIÇÃO INTERNA DE PREVENÇÃO DE ACIDENTES E DE ASSÉDIOS - CIPA</v>
      </c>
      <c r="G24" s="4" t="s">
        <v>22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4.25" customHeight="1">
      <c r="A25" s="4">
        <v>14824</v>
      </c>
      <c r="B25" s="4" t="str">
        <f>IFERROR(VLOOKUP(A25,Colaboradores!A:D,2,),"")</f>
        <v>DENISE DE SOUSA RIBEIRO SANTOS</v>
      </c>
      <c r="C25" s="4" t="str">
        <f>IFERROR(VLOOKUP(A25,Colaboradores!A:D,3,),"")</f>
        <v>COORDENAÇÃO ADMINISTRATIVA</v>
      </c>
      <c r="D25" s="4" t="str">
        <f>IFERROR(VLOOKUP(A25,Colaboradores!A:D,4,),"")</f>
        <v>ASSISTENTE ADMINISTRATIVO</v>
      </c>
      <c r="E25" s="4" t="s">
        <v>58</v>
      </c>
      <c r="F25" s="5" t="str">
        <f>IFERROR(VLOOKUP(E25,Procedimentos!A:C,2,),"")</f>
        <v>POLÍTICA DE QUALIDADE DA DIRETORIA</v>
      </c>
      <c r="G25" s="4" t="s">
        <v>22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4.25" customHeight="1">
      <c r="A26" s="4">
        <v>14824</v>
      </c>
      <c r="B26" s="4" t="str">
        <f>IFERROR(VLOOKUP(A26,Colaboradores!A:D,2,),"")</f>
        <v>DENISE DE SOUSA RIBEIRO SANTOS</v>
      </c>
      <c r="C26" s="4" t="str">
        <f>IFERROR(VLOOKUP(A26,Colaboradores!A:D,3,),"")</f>
        <v>COORDENAÇÃO ADMINISTRATIVA</v>
      </c>
      <c r="D26" s="4" t="str">
        <f>IFERROR(VLOOKUP(A26,Colaboradores!A:D,4,),"")</f>
        <v>ASSISTENTE ADMINISTRATIVO</v>
      </c>
      <c r="E26" s="4" t="s">
        <v>19</v>
      </c>
      <c r="F26" s="5" t="str">
        <f>IFERROR(VLOOKUP(E26,Procedimentos!A:C,2,),"")</f>
        <v>DIRETRIZES PARA DOCUMENTOS NORMATIVOS</v>
      </c>
      <c r="G26" s="4" t="s">
        <v>22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4.25" customHeight="1">
      <c r="A27" s="4">
        <v>14824</v>
      </c>
      <c r="B27" s="4" t="str">
        <f>IFERROR(VLOOKUP(A27,Colaboradores!A:D,2,),"")</f>
        <v>DENISE DE SOUSA RIBEIRO SANTOS</v>
      </c>
      <c r="C27" s="4" t="str">
        <f>IFERROR(VLOOKUP(A27,Colaboradores!A:D,3,),"")</f>
        <v>COORDENAÇÃO ADMINISTRATIVA</v>
      </c>
      <c r="D27" s="4" t="str">
        <f>IFERROR(VLOOKUP(A27,Colaboradores!A:D,4,),"")</f>
        <v>ASSISTENTE ADMINISTRATIVO</v>
      </c>
      <c r="E27" s="4" t="s">
        <v>24</v>
      </c>
      <c r="F27" s="5" t="str">
        <f>IFERROR(VLOOKUP(E27,Procedimentos!A:C,2,),"")</f>
        <v>DIRETRIZES  PARA PROGRAMA 5S</v>
      </c>
      <c r="G27" s="4" t="s">
        <v>22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4.25" customHeight="1">
      <c r="A28" s="4">
        <v>14824</v>
      </c>
      <c r="B28" s="4" t="str">
        <f>IFERROR(VLOOKUP(A28,Colaboradores!A:D,2,),"")</f>
        <v>DENISE DE SOUSA RIBEIRO SANTOS</v>
      </c>
      <c r="C28" s="4" t="str">
        <f>IFERROR(VLOOKUP(A28,Colaboradores!A:D,3,),"")</f>
        <v>COORDENAÇÃO ADMINISTRATIVA</v>
      </c>
      <c r="D28" s="4" t="str">
        <f>IFERROR(VLOOKUP(A28,Colaboradores!A:D,4,),"")</f>
        <v>ASSISTENTE ADMINISTRATIVO</v>
      </c>
      <c r="E28" s="4" t="s">
        <v>25</v>
      </c>
      <c r="F28" s="5" t="str">
        <f>IFERROR(VLOOKUP(E28,Procedimentos!A:C,2,),"")</f>
        <v>GARANTIA DA QUALIDADE</v>
      </c>
      <c r="G28" s="4" t="s">
        <v>22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4.25" customHeight="1">
      <c r="A29" s="4">
        <v>14824</v>
      </c>
      <c r="B29" s="4" t="str">
        <f>IFERROR(VLOOKUP(A29,Colaboradores!A:D,2,),"")</f>
        <v>DENISE DE SOUSA RIBEIRO SANTOS</v>
      </c>
      <c r="C29" s="4" t="str">
        <f>IFERROR(VLOOKUP(A29,Colaboradores!A:D,3,),"")</f>
        <v>COORDENAÇÃO ADMINISTRATIVA</v>
      </c>
      <c r="D29" s="4" t="str">
        <f>IFERROR(VLOOKUP(A29,Colaboradores!A:D,4,),"")</f>
        <v>ASSISTENTE ADMINISTRATIVO</v>
      </c>
      <c r="E29" s="4" t="s">
        <v>26</v>
      </c>
      <c r="F29" s="5" t="str">
        <f>IFERROR(VLOOKUP(E29,Procedimentos!A:C,2,),"")</f>
        <v>RESPONSABILIDADES E AUTORIDADES DO SGQ</v>
      </c>
      <c r="G29" s="4" t="s">
        <v>22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4.25" customHeight="1">
      <c r="A30" s="4">
        <v>14824</v>
      </c>
      <c r="B30" s="4" t="str">
        <f>IFERROR(VLOOKUP(A30,Colaboradores!A:D,2,),"")</f>
        <v>DENISE DE SOUSA RIBEIRO SANTOS</v>
      </c>
      <c r="C30" s="4" t="str">
        <f>IFERROR(VLOOKUP(A30,Colaboradores!A:D,3,),"")</f>
        <v>COORDENAÇÃO ADMINISTRATIVA</v>
      </c>
      <c r="D30" s="4" t="str">
        <f>IFERROR(VLOOKUP(A30,Colaboradores!A:D,4,),"")</f>
        <v>ASSISTENTE ADMINISTRATIVO</v>
      </c>
      <c r="E30" s="4" t="s">
        <v>73</v>
      </c>
      <c r="F30" s="5" t="str">
        <f>IFERROR(VLOOKUP(E30,Procedimentos!A:C,2,),"")</f>
        <v>AQUISIÇÃO DE BENS E SERVIÇOS E AVALIAÇÃO PROVEDORES EXTERNOS</v>
      </c>
      <c r="G30" s="4" t="s">
        <v>22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4.25" customHeight="1">
      <c r="A31" s="4">
        <v>14824</v>
      </c>
      <c r="B31" s="4" t="str">
        <f>IFERROR(VLOOKUP(A31,Colaboradores!A:D,2,),"")</f>
        <v>DENISE DE SOUSA RIBEIRO SANTOS</v>
      </c>
      <c r="C31" s="4" t="str">
        <f>IFERROR(VLOOKUP(A31,Colaboradores!A:D,3,),"")</f>
        <v>COORDENAÇÃO ADMINISTRATIVA</v>
      </c>
      <c r="D31" s="4" t="str">
        <f>IFERROR(VLOOKUP(A31,Colaboradores!A:D,4,),"")</f>
        <v>ASSISTENTE ADMINISTRATIVO</v>
      </c>
      <c r="E31" s="4" t="s">
        <v>74</v>
      </c>
      <c r="F31" s="5" t="str">
        <f>IFERROR(VLOOKUP(E31,Procedimentos!A:C,2,),"")</f>
        <v>AGENDAMENTO DE REUNIÕES E CHECAGEM DE E-MAIL</v>
      </c>
      <c r="G31" s="4" t="s">
        <v>22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4.25" customHeight="1">
      <c r="A32" s="4">
        <v>14824</v>
      </c>
      <c r="B32" s="4" t="str">
        <f>IFERROR(VLOOKUP(A32,Colaboradores!A:D,2,),"")</f>
        <v>DENISE DE SOUSA RIBEIRO SANTOS</v>
      </c>
      <c r="C32" s="4" t="str">
        <f>IFERROR(VLOOKUP(A32,Colaboradores!A:D,3,),"")</f>
        <v>COORDENAÇÃO ADMINISTRATIVA</v>
      </c>
      <c r="D32" s="4" t="str">
        <f>IFERROR(VLOOKUP(A32,Colaboradores!A:D,4,),"")</f>
        <v>ASSISTENTE ADMINISTRATIVO</v>
      </c>
      <c r="E32" s="4" t="s">
        <v>75</v>
      </c>
      <c r="F32" s="5" t="str">
        <f>IFERROR(VLOOKUP(E32,Procedimentos!A:C,2,),"")</f>
        <v>RECEBIMENTO E MOVIMENTAÇÃO DE PROCESSOS E DEMAIS DOCUMENTOS</v>
      </c>
      <c r="G32" s="4" t="s">
        <v>22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4.25" customHeight="1">
      <c r="A33" s="4">
        <v>14824</v>
      </c>
      <c r="B33" s="4" t="str">
        <f>IFERROR(VLOOKUP(A33,Colaboradores!A:D,2,),"")</f>
        <v>DENISE DE SOUSA RIBEIRO SANTOS</v>
      </c>
      <c r="C33" s="4" t="str">
        <f>IFERROR(VLOOKUP(A33,Colaboradores!A:D,3,),"")</f>
        <v>COORDENAÇÃO ADMINISTRATIVA</v>
      </c>
      <c r="D33" s="4" t="str">
        <f>IFERROR(VLOOKUP(A33,Colaboradores!A:D,4,),"")</f>
        <v>ASSISTENTE ADMINISTRATIVO</v>
      </c>
      <c r="E33" s="4" t="s">
        <v>76</v>
      </c>
      <c r="F33" s="5" t="str">
        <f>IFERROR(VLOOKUP(E33,Procedimentos!A:C,2,),"")</f>
        <v>ABERTURA DE PROCESSOS DA DESSMA</v>
      </c>
      <c r="G33" s="4" t="s">
        <v>22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4.25" customHeight="1">
      <c r="A34" s="4">
        <v>14824</v>
      </c>
      <c r="B34" s="4" t="str">
        <f>IFERROR(VLOOKUP(A34,Colaboradores!A:D,2,),"")</f>
        <v>DENISE DE SOUSA RIBEIRO SANTOS</v>
      </c>
      <c r="C34" s="4" t="str">
        <f>IFERROR(VLOOKUP(A34,Colaboradores!A:D,3,),"")</f>
        <v>COORDENAÇÃO ADMINISTRATIVA</v>
      </c>
      <c r="D34" s="4" t="str">
        <f>IFERROR(VLOOKUP(A34,Colaboradores!A:D,4,),"")</f>
        <v>ASSISTENTE ADMINISTRATIVO</v>
      </c>
      <c r="E34" s="4" t="s">
        <v>77</v>
      </c>
      <c r="F34" s="5" t="str">
        <f>IFERROR(VLOOKUP(E34,Procedimentos!A:C,2,),"")</f>
        <v>ABASTECIMENTO DE SUPRIMENTOS PARA DIRETORIA</v>
      </c>
      <c r="G34" s="4" t="s">
        <v>22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4.25" customHeight="1">
      <c r="A35" s="4">
        <v>14824</v>
      </c>
      <c r="B35" s="4" t="str">
        <f>IFERROR(VLOOKUP(A35,Colaboradores!A:D,2,),"")</f>
        <v>DENISE DE SOUSA RIBEIRO SANTOS</v>
      </c>
      <c r="C35" s="4" t="str">
        <f>IFERROR(VLOOKUP(A35,Colaboradores!A:D,3,),"")</f>
        <v>COORDENAÇÃO ADMINISTRATIVA</v>
      </c>
      <c r="D35" s="4" t="str">
        <f>IFERROR(VLOOKUP(A35,Colaboradores!A:D,4,),"")</f>
        <v>ASSISTENTE ADMINISTRATIVO</v>
      </c>
      <c r="E35" s="4" t="s">
        <v>78</v>
      </c>
      <c r="F35" s="5" t="str">
        <f>IFERROR(VLOOKUP(E35,Procedimentos!A:C,2,),"")</f>
        <v>SOLICITAÇÃO DE MANUTENÇÃO PREDIAL E VISTORIA DO SERVIÇO DE LIMPEZA PREDIAL</v>
      </c>
      <c r="G35" s="4" t="s">
        <v>22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4.25" customHeight="1">
      <c r="A36" s="4">
        <v>14824</v>
      </c>
      <c r="B36" s="4" t="str">
        <f>IFERROR(VLOOKUP(A36,Colaboradores!A:D,2,),"")</f>
        <v>DENISE DE SOUSA RIBEIRO SANTOS</v>
      </c>
      <c r="C36" s="4" t="str">
        <f>IFERROR(VLOOKUP(A36,Colaboradores!A:D,3,),"")</f>
        <v>COORDENAÇÃO ADMINISTRATIVA</v>
      </c>
      <c r="D36" s="7" t="str">
        <f>IFERROR(VLOOKUP(A36,Colaboradores!A:D,4,),"")</f>
        <v>ASSISTENTE ADMINISTRATIVO</v>
      </c>
      <c r="E36" s="7" t="s">
        <v>73</v>
      </c>
      <c r="F36" s="8" t="str">
        <f>IFERROR(VLOOKUP(E36,Procedimentos!A:C,2,),"")</f>
        <v>AQUISIÇÃO DE BENS E SERVIÇOS E AVALIAÇÃO PROVEDORES EXTERNOS</v>
      </c>
      <c r="G36" s="7" t="s">
        <v>22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4.25" customHeight="1">
      <c r="A37" s="4">
        <v>14824</v>
      </c>
      <c r="B37" s="4" t="str">
        <f>IFERROR(VLOOKUP(A37,Colaboradores!A:D,2,),"")</f>
        <v>DENISE DE SOUSA RIBEIRO SANTOS</v>
      </c>
      <c r="C37" s="4" t="str">
        <f>IFERROR(VLOOKUP(A37,Colaboradores!A:D,3,),"")</f>
        <v>COORDENAÇÃO ADMINISTRATIVA</v>
      </c>
      <c r="D37" s="4" t="str">
        <f>IFERROR(VLOOKUP(A37,Colaboradores!A:D,4,),"")</f>
        <v>ASSISTENTE ADMINISTRATIVO</v>
      </c>
      <c r="E37" s="4" t="s">
        <v>79</v>
      </c>
      <c r="F37" s="5" t="str">
        <f>IFERROR(VLOOKUP(E37,Procedimentos!A:C,2,),"")</f>
        <v>ABERTURA DE PROCESSO DE PAGAMENTO</v>
      </c>
      <c r="G37" s="4" t="s">
        <v>22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4.25" customHeight="1">
      <c r="A38" s="4">
        <v>14824</v>
      </c>
      <c r="B38" s="4" t="str">
        <f>IFERROR(VLOOKUP(A38,Colaboradores!A:D,2,),"")</f>
        <v>DENISE DE SOUSA RIBEIRO SANTOS</v>
      </c>
      <c r="C38" s="4" t="str">
        <f>IFERROR(VLOOKUP(A38,Colaboradores!A:D,3,),"")</f>
        <v>COORDENAÇÃO ADMINISTRATIVA</v>
      </c>
      <c r="D38" s="4" t="str">
        <f>IFERROR(VLOOKUP(A38,Colaboradores!A:D,4,),"")</f>
        <v>ASSISTENTE ADMINISTRATIVO</v>
      </c>
      <c r="E38" s="4" t="s">
        <v>48</v>
      </c>
      <c r="F38" s="5" t="str">
        <f>IFERROR(VLOOKUP(E38,Procedimentos!A:C,2,),"")</f>
        <v>POLÍTICA MEIO AMBIENTE EMSERH</v>
      </c>
      <c r="G38" s="4" t="s">
        <v>22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4.25" customHeight="1">
      <c r="A39" s="4">
        <v>14824</v>
      </c>
      <c r="B39" s="4" t="str">
        <f>IFERROR(VLOOKUP(A39,Colaboradores!A:D,2,),"")</f>
        <v>DENISE DE SOUSA RIBEIRO SANTOS</v>
      </c>
      <c r="C39" s="4" t="str">
        <f>IFERROR(VLOOKUP(A39,Colaboradores!A:D,3,),"")</f>
        <v>COORDENAÇÃO ADMINISTRATIVA</v>
      </c>
      <c r="D39" s="4" t="str">
        <f>IFERROR(VLOOKUP(A39,Colaboradores!A:D,4,),"")</f>
        <v>ASSISTENTE ADMINISTRATIVO</v>
      </c>
      <c r="E39" s="4" t="s">
        <v>29</v>
      </c>
      <c r="F39" s="5" t="str">
        <f>IFERROR(VLOOKUP(E39,Procedimentos!A:C,2,),"")</f>
        <v>COLETA SELETIVA DESSMA</v>
      </c>
      <c r="G39" s="4" t="s">
        <v>22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4.25" customHeight="1">
      <c r="A40" s="4">
        <v>14824</v>
      </c>
      <c r="B40" s="4" t="str">
        <f>IFERROR(VLOOKUP(A40,Colaboradores!A:D,2,),"")</f>
        <v>DENISE DE SOUSA RIBEIRO SANTOS</v>
      </c>
      <c r="C40" s="4" t="str">
        <f>IFERROR(VLOOKUP(A40,Colaboradores!A:D,3,),"")</f>
        <v>COORDENAÇÃO ADMINISTRATIVA</v>
      </c>
      <c r="D40" s="4" t="str">
        <f>IFERROR(VLOOKUP(A40,Colaboradores!A:D,4,),"")</f>
        <v>ASSISTENTE ADMINISTRATIVO</v>
      </c>
      <c r="E40" s="4" t="s">
        <v>32</v>
      </c>
      <c r="F40" s="5" t="str">
        <f>IFERROR(VLOOKUP(E40,Procedimentos!A:C,2,),"")</f>
        <v>GESTÃO DE LEVANTAMENTO DE ASPECTOS E IMPACTOS AMBIENTAIS</v>
      </c>
      <c r="G40" s="4" t="s">
        <v>22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4.25" customHeight="1">
      <c r="A41" s="4">
        <v>14824</v>
      </c>
      <c r="B41" s="4" t="str">
        <f>IFERROR(VLOOKUP(A41,Colaboradores!A:D,2,),"")</f>
        <v>DENISE DE SOUSA RIBEIRO SANTOS</v>
      </c>
      <c r="C41" s="4" t="str">
        <f>IFERROR(VLOOKUP(A41,Colaboradores!A:D,3,),"")</f>
        <v>COORDENAÇÃO ADMINISTRATIVA</v>
      </c>
      <c r="D41" s="4" t="str">
        <f>IFERROR(VLOOKUP(A41,Colaboradores!A:D,4,),"")</f>
        <v>ASSISTENTE ADMINISTRATIVO</v>
      </c>
      <c r="E41" s="4" t="s">
        <v>31</v>
      </c>
      <c r="F41" s="5" t="str">
        <f>IFERROR(VLOOKUP(E41,Procedimentos!A:C,2,),"")</f>
        <v>GESTÃO DE COMUNICAÇÃO, CLASSIFICAÇÃO E INVESTIGAÇÃO DE OCORRÊNCIAS AMBIENTAIS</v>
      </c>
      <c r="G41" s="4" t="s">
        <v>22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4.25" customHeight="1">
      <c r="A42" s="4">
        <v>14824</v>
      </c>
      <c r="B42" s="4" t="str">
        <f>IFERROR(VLOOKUP(A42,Colaboradores!A:D,2,),"")</f>
        <v>DENISE DE SOUSA RIBEIRO SANTOS</v>
      </c>
      <c r="C42" s="4" t="str">
        <f>IFERROR(VLOOKUP(A42,Colaboradores!A:D,3,),"")</f>
        <v>COORDENAÇÃO ADMINISTRATIVA</v>
      </c>
      <c r="D42" s="4" t="str">
        <f>IFERROR(VLOOKUP(A42,Colaboradores!A:D,4,),"")</f>
        <v>ASSISTENTE ADMINISTRATIVO</v>
      </c>
      <c r="E42" s="4" t="s">
        <v>33</v>
      </c>
      <c r="F42" s="5" t="str">
        <f>IFERROR(VLOOKUP(E42,Procedimentos!A:C,2,),"")</f>
        <v>GESTÃO DE INSPEÇÕES AMBIENTAIS</v>
      </c>
      <c r="G42" s="4" t="s">
        <v>22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4.25" customHeight="1">
      <c r="A43" s="4">
        <v>14824</v>
      </c>
      <c r="B43" s="4" t="str">
        <f>IFERROR(VLOOKUP(A43,Colaboradores!A:D,2,),"")</f>
        <v>DENISE DE SOUSA RIBEIRO SANTOS</v>
      </c>
      <c r="C43" s="4" t="str">
        <f>IFERROR(VLOOKUP(A43,Colaboradores!A:D,3,),"")</f>
        <v>COORDENAÇÃO ADMINISTRATIVA</v>
      </c>
      <c r="D43" s="4" t="str">
        <f>IFERROR(VLOOKUP(A43,Colaboradores!A:D,4,),"")</f>
        <v>ASSISTENTE ADMINISTRATIVO</v>
      </c>
      <c r="E43" s="4" t="s">
        <v>49</v>
      </c>
      <c r="F43" s="5" t="str">
        <f>IFERROR(VLOOKUP(E43,Procedimentos!A:C,2,),"")</f>
        <v>DIRETRIZES PARA REALIZAÇÃO DE EXAMES OCUPACIONAIS</v>
      </c>
      <c r="G43" s="4" t="s">
        <v>22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4.25" customHeight="1">
      <c r="A44" s="4">
        <v>14824</v>
      </c>
      <c r="B44" s="4" t="str">
        <f>IFERROR(VLOOKUP(A44,Colaboradores!A:D,2,),"")</f>
        <v>DENISE DE SOUSA RIBEIRO SANTOS</v>
      </c>
      <c r="C44" s="4" t="str">
        <f>IFERROR(VLOOKUP(A44,Colaboradores!A:D,3,),"")</f>
        <v>COORDENAÇÃO ADMINISTRATIVA</v>
      </c>
      <c r="D44" s="4" t="str">
        <f>IFERROR(VLOOKUP(A44,Colaboradores!A:D,4,),"")</f>
        <v>ASSISTENTE ADMINISTRATIVO</v>
      </c>
      <c r="E44" s="4" t="s">
        <v>51</v>
      </c>
      <c r="F44" s="5" t="str">
        <f>IFERROR(VLOOKUP(E44,Procedimentos!A:C,2,),"")</f>
        <v>DIRETRIZES PARA ENTREGA DE ATESTADOS MÉDICOS E ODONTOLÓGICOS</v>
      </c>
      <c r="G44" s="4" t="s">
        <v>22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4.25" customHeight="1">
      <c r="A45" s="4">
        <v>14824</v>
      </c>
      <c r="B45" s="4" t="str">
        <f>IFERROR(VLOOKUP(A45,Colaboradores!A:D,2,),"")</f>
        <v>DENISE DE SOUSA RIBEIRO SANTOS</v>
      </c>
      <c r="C45" s="4" t="str">
        <f>IFERROR(VLOOKUP(A45,Colaboradores!A:D,3,),"")</f>
        <v>COORDENAÇÃO ADMINISTRATIVA</v>
      </c>
      <c r="D45" s="4" t="str">
        <f>IFERROR(VLOOKUP(A45,Colaboradores!A:D,4,),"")</f>
        <v>ASSISTENTE ADMINISTRATIVO</v>
      </c>
      <c r="E45" s="4" t="s">
        <v>52</v>
      </c>
      <c r="F45" s="5" t="str">
        <f>IFERROR(VLOOKUP(E45,Procedimentos!A:C,2,),"")</f>
        <v>DIRETRIZES E ACOMPANHAMENTO  DE ACIDENTE COM MATERIAL BIOLOGICO</v>
      </c>
      <c r="G45" s="4" t="s">
        <v>28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4.25" customHeight="1">
      <c r="A46" s="4">
        <v>14824</v>
      </c>
      <c r="B46" s="4" t="str">
        <f>IFERROR(VLOOKUP(A46,Colaboradores!A:D,2,),"")</f>
        <v>DENISE DE SOUSA RIBEIRO SANTOS</v>
      </c>
      <c r="C46" s="4" t="str">
        <f>IFERROR(VLOOKUP(A46,Colaboradores!A:D,3,),"")</f>
        <v>COORDENAÇÃO ADMINISTRATIVA</v>
      </c>
      <c r="D46" s="4" t="str">
        <f>IFERROR(VLOOKUP(A46,Colaboradores!A:D,4,),"")</f>
        <v>ASSISTENTE ADMINISTRATIVO</v>
      </c>
      <c r="E46" s="4" t="s">
        <v>53</v>
      </c>
      <c r="F46" s="5" t="str">
        <f>IFERROR(VLOOKUP(E46,Procedimentos!A:C,2,),"")</f>
        <v>DIRETRIZES PARA MONITORAMENTO DE GESTANTE</v>
      </c>
      <c r="G46" s="4" t="s">
        <v>22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4.25" customHeight="1">
      <c r="A47" s="4">
        <v>14824</v>
      </c>
      <c r="B47" s="4" t="str">
        <f>IFERROR(VLOOKUP(A47,Colaboradores!A:D,2,),"")</f>
        <v>DENISE DE SOUSA RIBEIRO SANTOS</v>
      </c>
      <c r="C47" s="4" t="str">
        <f>IFERROR(VLOOKUP(A47,Colaboradores!A:D,3,),"")</f>
        <v>COORDENAÇÃO ADMINISTRATIVA</v>
      </c>
      <c r="D47" s="4" t="str">
        <f>IFERROR(VLOOKUP(A47,Colaboradores!A:D,4,),"")</f>
        <v>ASSISTENTE ADMINISTRATIVO</v>
      </c>
      <c r="E47" s="4" t="s">
        <v>54</v>
      </c>
      <c r="F47" s="5" t="str">
        <f>IFERROR(VLOOKUP(E47,Procedimentos!A:C,2,),"")</f>
        <v>DIRETRIZES DE IMUNIZAÇÃO OCUPACIONAL</v>
      </c>
      <c r="G47" s="4" t="s">
        <v>22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4.25" customHeight="1">
      <c r="A48" s="4">
        <v>14824</v>
      </c>
      <c r="B48" s="4" t="str">
        <f>IFERROR(VLOOKUP(A48,Colaboradores!A:D,2,),"")</f>
        <v>DENISE DE SOUSA RIBEIRO SANTOS</v>
      </c>
      <c r="C48" s="4" t="str">
        <f>IFERROR(VLOOKUP(A48,Colaboradores!A:D,3,),"")</f>
        <v>COORDENAÇÃO ADMINISTRATIVA</v>
      </c>
      <c r="D48" s="4" t="str">
        <f>IFERROR(VLOOKUP(A48,Colaboradores!A:D,4,),"")</f>
        <v>ASSISTENTE ADMINISTRATIVO</v>
      </c>
      <c r="E48" s="4" t="s">
        <v>55</v>
      </c>
      <c r="F48" s="5" t="str">
        <f>IFERROR(VLOOKUP(E48,Procedimentos!A:C,2,),"")</f>
        <v>DIRETRIZES PARA ACOMPANHAMENTO DE AFASTADOS</v>
      </c>
      <c r="G48" s="4" t="s">
        <v>22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4.25" customHeight="1">
      <c r="A49" s="4">
        <v>14824</v>
      </c>
      <c r="B49" s="4" t="str">
        <f>IFERROR(VLOOKUP(A49,Colaboradores!A:D,2,),"")</f>
        <v>DENISE DE SOUSA RIBEIRO SANTOS</v>
      </c>
      <c r="C49" s="4" t="str">
        <f>IFERROR(VLOOKUP(A49,Colaboradores!A:D,3,),"")</f>
        <v>COORDENAÇÃO ADMINISTRATIVA</v>
      </c>
      <c r="D49" s="4" t="str">
        <f>IFERROR(VLOOKUP(A49,Colaboradores!A:D,4,),"")</f>
        <v>ASSISTENTE ADMINISTRATIVO</v>
      </c>
      <c r="E49" s="4" t="s">
        <v>46</v>
      </c>
      <c r="F49" s="5" t="str">
        <f>IFERROR(VLOOKUP(E49,Procedimentos!A:C,2,),"")</f>
        <v>POLÍTICA DE SAÚDE E SEGURANÇA DO TRABALHO EMSERH</v>
      </c>
      <c r="G49" s="4" t="s">
        <v>22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4.25" customHeight="1">
      <c r="A50" s="4">
        <v>14824</v>
      </c>
      <c r="B50" s="4" t="str">
        <f>IFERROR(VLOOKUP(A50,Colaboradores!A:D,2,),"")</f>
        <v>DENISE DE SOUSA RIBEIRO SANTOS</v>
      </c>
      <c r="C50" s="4" t="str">
        <f>IFERROR(VLOOKUP(A50,Colaboradores!A:D,3,),"")</f>
        <v>COORDENAÇÃO ADMINISTRATIVA</v>
      </c>
      <c r="D50" s="4" t="str">
        <f>IFERROR(VLOOKUP(A50,Colaboradores!A:D,4,),"")</f>
        <v>ASSISTENTE ADMINISTRATIVO</v>
      </c>
      <c r="E50" s="4" t="s">
        <v>41</v>
      </c>
      <c r="F50" s="5" t="str">
        <f>IFERROR(VLOOKUP(E50,Procedimentos!A:C,2,),"")</f>
        <v>DIRETRIZES PARA COMUNICAÇÃO E INVESTIGAÇÃO DE ACIDENTES</v>
      </c>
      <c r="G50" s="4" t="s">
        <v>22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4.25" customHeight="1">
      <c r="A51" s="4">
        <v>14824</v>
      </c>
      <c r="B51" s="4" t="str">
        <f>IFERROR(VLOOKUP(A51,Colaboradores!A:D,2,),"")</f>
        <v>DENISE DE SOUSA RIBEIRO SANTOS</v>
      </c>
      <c r="C51" s="4" t="str">
        <f>IFERROR(VLOOKUP(A51,Colaboradores!A:D,3,),"")</f>
        <v>COORDENAÇÃO ADMINISTRATIVA</v>
      </c>
      <c r="D51" s="4" t="str">
        <f>IFERROR(VLOOKUP(A51,Colaboradores!A:D,4,),"")</f>
        <v>ASSISTENTE ADMINISTRATIVO</v>
      </c>
      <c r="E51" s="4" t="s">
        <v>43</v>
      </c>
      <c r="F51" s="5" t="str">
        <f>IFERROR(VLOOKUP(E51,Procedimentos!A:C,2,),"")</f>
        <v>DIÁLOGO DE SAÚDE E SEGURANÇA - DSS</v>
      </c>
      <c r="G51" s="4" t="s">
        <v>22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4.25" customHeight="1">
      <c r="A52" s="4">
        <v>14824</v>
      </c>
      <c r="B52" s="4" t="str">
        <f>IFERROR(VLOOKUP(A52,Colaboradores!A:D,2,),"")</f>
        <v>DENISE DE SOUSA RIBEIRO SANTOS</v>
      </c>
      <c r="C52" s="4" t="str">
        <f>IFERROR(VLOOKUP(A52,Colaboradores!A:D,3,),"")</f>
        <v>COORDENAÇÃO ADMINISTRATIVA</v>
      </c>
      <c r="D52" s="4" t="str">
        <f>IFERROR(VLOOKUP(A52,Colaboradores!A:D,4,),"")</f>
        <v>ASSISTENTE ADMINISTRATIVO</v>
      </c>
      <c r="E52" s="4" t="s">
        <v>44</v>
      </c>
      <c r="F52" s="5" t="str">
        <f>IFERROR(VLOOKUP(E52,Procedimentos!A:C,2,),"")</f>
        <v>DIRETRIZES PARA GESTÃO DE EQUIPAMENTOS DE PROTEÇÃO INDIVIDUAL - EPI'S</v>
      </c>
      <c r="G52" s="4" t="s">
        <v>22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4.25" customHeight="1">
      <c r="A53" s="4">
        <v>14824</v>
      </c>
      <c r="B53" s="4" t="str">
        <f>IFERROR(VLOOKUP(A53,Colaboradores!A:D,2,),"")</f>
        <v>DENISE DE SOUSA RIBEIRO SANTOS</v>
      </c>
      <c r="C53" s="4" t="str">
        <f>IFERROR(VLOOKUP(A53,Colaboradores!A:D,3,),"")</f>
        <v>COORDENAÇÃO ADMINISTRATIVA</v>
      </c>
      <c r="D53" s="4" t="str">
        <f>IFERROR(VLOOKUP(A53,Colaboradores!A:D,4,),"")</f>
        <v>ASSISTENTE ADMINISTRATIVO</v>
      </c>
      <c r="E53" s="4" t="s">
        <v>45</v>
      </c>
      <c r="F53" s="5" t="str">
        <f>IFERROR(VLOOKUP(E53,Procedimentos!A:C,2,),"")</f>
        <v>CONSTITUIÇÃO INTERNA DE PREVENÇÃO DE ACIDENTES E DE ASSÉDIOS - CIPA</v>
      </c>
      <c r="G53" s="4" t="s">
        <v>22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4.25" hidden="1" customHeight="1">
      <c r="A54" s="4">
        <v>7340</v>
      </c>
      <c r="B54" s="4" t="str">
        <f>IFERROR(VLOOKUP(A54,Colaboradores!A:D,2,),"")</f>
        <v>FERNANDA FRANCA RIBEIRO DE OLIVEIRA</v>
      </c>
      <c r="C54" s="4" t="str">
        <f>IFERROR(VLOOKUP(A54,Colaboradores!A:D,3,),"")</f>
        <v>COORDENAÇÃO ADMINISTRATIVA</v>
      </c>
      <c r="D54" s="4" t="str">
        <f>IFERROR(VLOOKUP(A54,Colaboradores!A:D,4,),"")</f>
        <v>COORDENADOR ADMINISTRATIVO</v>
      </c>
      <c r="E54" s="4" t="s">
        <v>66</v>
      </c>
      <c r="F54" s="5" t="str">
        <f>IFERROR(VLOOKUP(E54,Procedimentos!A:C,2,),"")</f>
        <v>PROCEDIMENTO DE GERENCIAMENTO DE RISCOS</v>
      </c>
      <c r="G54" s="4" t="s">
        <v>22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4.25" hidden="1" customHeight="1">
      <c r="A55" s="4">
        <v>7340</v>
      </c>
      <c r="B55" s="4" t="str">
        <f>IFERROR(VLOOKUP(A55,Colaboradores!A:D,2,),"")</f>
        <v>FERNANDA FRANCA RIBEIRO DE OLIVEIRA</v>
      </c>
      <c r="C55" s="4" t="str">
        <f>IFERROR(VLOOKUP(A55,Colaboradores!A:D,3,),"")</f>
        <v>COORDENAÇÃO ADMINISTRATIVA</v>
      </c>
      <c r="D55" s="4" t="str">
        <f>IFERROR(VLOOKUP(A55,Colaboradores!A:D,4,),"")</f>
        <v>COORDENADOR ADMINISTRATIVO</v>
      </c>
      <c r="E55" s="4" t="s">
        <v>241</v>
      </c>
      <c r="F55" s="5" t="str">
        <f>IFERROR(VLOOKUP(E55,Procedimentos!A:C,2,),"")</f>
        <v>PROCEDIMENTO PARA TRÂMITE DOS MEMORANDOS DA OUVIDORIA - Jurídico</v>
      </c>
      <c r="G55" s="4" t="s">
        <v>22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4.25" hidden="1" customHeight="1">
      <c r="A56" s="4">
        <v>7340</v>
      </c>
      <c r="B56" s="4" t="str">
        <f>IFERROR(VLOOKUP(A56,Colaboradores!A:D,2,),"")</f>
        <v>FERNANDA FRANCA RIBEIRO DE OLIVEIRA</v>
      </c>
      <c r="C56" s="4" t="str">
        <f>IFERROR(VLOOKUP(A56,Colaboradores!A:D,3,),"")</f>
        <v>COORDENAÇÃO ADMINISTRATIVA</v>
      </c>
      <c r="D56" s="4" t="str">
        <f>IFERROR(VLOOKUP(A56,Colaboradores!A:D,4,),"")</f>
        <v>COORDENADOR ADMINISTRATIVO</v>
      </c>
      <c r="E56" s="4" t="s">
        <v>243</v>
      </c>
      <c r="F56" s="5" t="str">
        <f>IFERROR(VLOOKUP(E56,Procedimentos!A:C,2,),"")</f>
        <v>PROCEDIMENTO PARA ANÁLISE DE PROCESSOS ADMINISTRATIVOS - Jurídico</v>
      </c>
      <c r="G56" s="4" t="s">
        <v>22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4.25" hidden="1" customHeight="1">
      <c r="A57" s="4">
        <v>7340</v>
      </c>
      <c r="B57" s="4" t="str">
        <f>IFERROR(VLOOKUP(A57,Colaboradores!A:D,2,),"")</f>
        <v>FERNANDA FRANCA RIBEIRO DE OLIVEIRA</v>
      </c>
      <c r="C57" s="4" t="str">
        <f>IFERROR(VLOOKUP(A57,Colaboradores!A:D,3,),"")</f>
        <v>COORDENAÇÃO ADMINISTRATIVA</v>
      </c>
      <c r="D57" s="4" t="str">
        <f>IFERROR(VLOOKUP(A57,Colaboradores!A:D,4,),"")</f>
        <v>COORDENADOR ADMINISTRATIVO</v>
      </c>
      <c r="E57" s="4" t="s">
        <v>58</v>
      </c>
      <c r="F57" s="5" t="str">
        <f>IFERROR(VLOOKUP(E57,Procedimentos!A:C,2,),"")</f>
        <v>POLÍTICA DE QUALIDADE DA DIRETORIA</v>
      </c>
      <c r="G57" s="4" t="s">
        <v>22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4.25" hidden="1" customHeight="1">
      <c r="A58" s="4">
        <v>7340</v>
      </c>
      <c r="B58" s="4" t="str">
        <f>IFERROR(VLOOKUP(A58,Colaboradores!A:D,2,),"")</f>
        <v>FERNANDA FRANCA RIBEIRO DE OLIVEIRA</v>
      </c>
      <c r="C58" s="4" t="str">
        <f>IFERROR(VLOOKUP(A58,Colaboradores!A:D,3,),"")</f>
        <v>COORDENAÇÃO ADMINISTRATIVA</v>
      </c>
      <c r="D58" s="4" t="str">
        <f>IFERROR(VLOOKUP(A58,Colaboradores!A:D,4,),"")</f>
        <v>COORDENADOR ADMINISTRATIVO</v>
      </c>
      <c r="E58" s="4" t="s">
        <v>19</v>
      </c>
      <c r="F58" s="5" t="str">
        <f>IFERROR(VLOOKUP(E58,Procedimentos!A:C,2,),"")</f>
        <v>DIRETRIZES PARA DOCUMENTOS NORMATIVOS</v>
      </c>
      <c r="G58" s="4" t="s">
        <v>22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4.25" hidden="1" customHeight="1">
      <c r="A59" s="4">
        <v>7340</v>
      </c>
      <c r="B59" s="4" t="str">
        <f>IFERROR(VLOOKUP(A59,Colaboradores!A:D,2,),"")</f>
        <v>FERNANDA FRANCA RIBEIRO DE OLIVEIRA</v>
      </c>
      <c r="C59" s="4" t="str">
        <f>IFERROR(VLOOKUP(A59,Colaboradores!A:D,3,),"")</f>
        <v>COORDENAÇÃO ADMINISTRATIVA</v>
      </c>
      <c r="D59" s="4" t="str">
        <f>IFERROR(VLOOKUP(A59,Colaboradores!A:D,4,),"")</f>
        <v>COORDENADOR ADMINISTRATIVO</v>
      </c>
      <c r="E59" s="4" t="s">
        <v>24</v>
      </c>
      <c r="F59" s="5" t="str">
        <f>IFERROR(VLOOKUP(E59,Procedimentos!A:C,2,),"")</f>
        <v>DIRETRIZES  PARA PROGRAMA 5S</v>
      </c>
      <c r="G59" s="4" t="s">
        <v>22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4.25" hidden="1" customHeight="1">
      <c r="A60" s="4">
        <v>7340</v>
      </c>
      <c r="B60" s="4" t="str">
        <f>IFERROR(VLOOKUP(A60,Colaboradores!A:D,2,),"")</f>
        <v>FERNANDA FRANCA RIBEIRO DE OLIVEIRA</v>
      </c>
      <c r="C60" s="4" t="str">
        <f>IFERROR(VLOOKUP(A60,Colaboradores!A:D,3,),"")</f>
        <v>COORDENAÇÃO ADMINISTRATIVA</v>
      </c>
      <c r="D60" s="4" t="str">
        <f>IFERROR(VLOOKUP(A60,Colaboradores!A:D,4,),"")</f>
        <v>COORDENADOR ADMINISTRATIVO</v>
      </c>
      <c r="E60" s="4" t="s">
        <v>67</v>
      </c>
      <c r="F60" s="5" t="str">
        <f>IFERROR(VLOOKUP(E60,Procedimentos!A:C,2,),"")</f>
        <v>SISTEMATICA DE ROTINA DE REUNIÕES DA DESSMA</v>
      </c>
      <c r="G60" s="4" t="s">
        <v>22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4.25" hidden="1" customHeight="1">
      <c r="A61" s="4">
        <v>7340</v>
      </c>
      <c r="B61" s="4" t="str">
        <f>IFERROR(VLOOKUP(A61,Colaboradores!A:D,2,),"")</f>
        <v>FERNANDA FRANCA RIBEIRO DE OLIVEIRA</v>
      </c>
      <c r="C61" s="4" t="str">
        <f>IFERROR(VLOOKUP(A61,Colaboradores!A:D,3,),"")</f>
        <v>COORDENAÇÃO ADMINISTRATIVA</v>
      </c>
      <c r="D61" s="4" t="str">
        <f>IFERROR(VLOOKUP(A61,Colaboradores!A:D,4,),"")</f>
        <v>COORDENADOR ADMINISTRATIVO</v>
      </c>
      <c r="E61" s="4" t="s">
        <v>25</v>
      </c>
      <c r="F61" s="5" t="str">
        <f>IFERROR(VLOOKUP(E61,Procedimentos!A:C,2,),"")</f>
        <v>GARANTIA DA QUALIDADE</v>
      </c>
      <c r="G61" s="4" t="s">
        <v>22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4.25" hidden="1" customHeight="1">
      <c r="A62" s="4">
        <v>7340</v>
      </c>
      <c r="B62" s="4" t="str">
        <f>IFERROR(VLOOKUP(A62,Colaboradores!A:D,2,),"")</f>
        <v>FERNANDA FRANCA RIBEIRO DE OLIVEIRA</v>
      </c>
      <c r="C62" s="4" t="str">
        <f>IFERROR(VLOOKUP(A62,Colaboradores!A:D,3,),"")</f>
        <v>COORDENAÇÃO ADMINISTRATIVA</v>
      </c>
      <c r="D62" s="4" t="str">
        <f>IFERROR(VLOOKUP(A62,Colaboradores!A:D,4,),"")</f>
        <v>COORDENADOR ADMINISTRATIVO</v>
      </c>
      <c r="E62" s="4" t="s">
        <v>68</v>
      </c>
      <c r="F62" s="5" t="str">
        <f>IFERROR(VLOOKUP(E62,Procedimentos!A:C,2,),"")</f>
        <v>GESTÃO INDICADORES</v>
      </c>
      <c r="G62" s="4" t="s">
        <v>22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4.25" hidden="1" customHeight="1">
      <c r="A63" s="4">
        <v>7340</v>
      </c>
      <c r="B63" s="4" t="str">
        <f>IFERROR(VLOOKUP(A63,Colaboradores!A:D,2,),"")</f>
        <v>FERNANDA FRANCA RIBEIRO DE OLIVEIRA</v>
      </c>
      <c r="C63" s="4" t="str">
        <f>IFERROR(VLOOKUP(A63,Colaboradores!A:D,3,),"")</f>
        <v>COORDENAÇÃO ADMINISTRATIVA</v>
      </c>
      <c r="D63" s="4" t="str">
        <f>IFERROR(VLOOKUP(A63,Colaboradores!A:D,4,),"")</f>
        <v>COORDENADOR ADMINISTRATIVO</v>
      </c>
      <c r="E63" s="4" t="s">
        <v>26</v>
      </c>
      <c r="F63" s="5" t="str">
        <f>IFERROR(VLOOKUP(E63,Procedimentos!A:C,2,),"")</f>
        <v>RESPONSABILIDADES E AUTORIDADES DO SGQ</v>
      </c>
      <c r="G63" s="4" t="s">
        <v>22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4.25" hidden="1" customHeight="1">
      <c r="A64" s="4">
        <v>7340</v>
      </c>
      <c r="B64" s="4" t="str">
        <f>IFERROR(VLOOKUP(A64,Colaboradores!A:D,2,),"")</f>
        <v>FERNANDA FRANCA RIBEIRO DE OLIVEIRA</v>
      </c>
      <c r="C64" s="4" t="str">
        <f>IFERROR(VLOOKUP(A64,Colaboradores!A:D,3,),"")</f>
        <v>COORDENAÇÃO ADMINISTRATIVA</v>
      </c>
      <c r="D64" s="4" t="str">
        <f>IFERROR(VLOOKUP(A64,Colaboradores!A:D,4,),"")</f>
        <v>COORDENADOR ADMINISTRATIVO</v>
      </c>
      <c r="E64" s="4" t="s">
        <v>69</v>
      </c>
      <c r="F64" s="5" t="str">
        <f>IFERROR(VLOOKUP(E64,Procedimentos!A:C,2,),"")</f>
        <v>PROCEDIMENTO GESTÃO DE MUDANÇA SGQ</v>
      </c>
      <c r="G64" s="4" t="s">
        <v>22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4.25" hidden="1" customHeight="1">
      <c r="A65" s="4">
        <v>7340</v>
      </c>
      <c r="B65" s="4" t="str">
        <f>IFERROR(VLOOKUP(A65,Colaboradores!A:D,2,),"")</f>
        <v>FERNANDA FRANCA RIBEIRO DE OLIVEIRA</v>
      </c>
      <c r="C65" s="4" t="str">
        <f>IFERROR(VLOOKUP(A65,Colaboradores!A:D,3,),"")</f>
        <v>COORDENAÇÃO ADMINISTRATIVA</v>
      </c>
      <c r="D65" s="4" t="str">
        <f>IFERROR(VLOOKUP(A65,Colaboradores!A:D,4,),"")</f>
        <v>COORDENADOR ADMINISTRATIVO</v>
      </c>
      <c r="E65" s="4" t="s">
        <v>64</v>
      </c>
      <c r="F65" s="5" t="str">
        <f>IFERROR(VLOOKUP(E65,Procedimentos!A:C,2,),"")</f>
        <v>AVALIAÇÃO DESEMPENHO</v>
      </c>
      <c r="G65" s="4" t="s">
        <v>22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4.25" hidden="1" customHeight="1">
      <c r="A66" s="4">
        <v>7340</v>
      </c>
      <c r="B66" s="4" t="str">
        <f>IFERROR(VLOOKUP(A66,Colaboradores!A:D,2,),"")</f>
        <v>FERNANDA FRANCA RIBEIRO DE OLIVEIRA</v>
      </c>
      <c r="C66" s="4" t="str">
        <f>IFERROR(VLOOKUP(A66,Colaboradores!A:D,3,),"")</f>
        <v>COORDENAÇÃO ADMINISTRATIVA</v>
      </c>
      <c r="D66" s="4" t="str">
        <f>IFERROR(VLOOKUP(A66,Colaboradores!A:D,4,),"")</f>
        <v>COORDENADOR ADMINISTRATIVO</v>
      </c>
      <c r="E66" s="4" t="s">
        <v>73</v>
      </c>
      <c r="F66" s="5" t="str">
        <f>IFERROR(VLOOKUP(E66,Procedimentos!A:C,2,),"")</f>
        <v>AQUISIÇÃO DE BENS E SERVIÇOS E AVALIAÇÃO PROVEDORES EXTERNOS</v>
      </c>
      <c r="G66" s="4" t="s">
        <v>22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4.25" hidden="1" customHeight="1">
      <c r="A67" s="4">
        <v>7340</v>
      </c>
      <c r="B67" s="4" t="str">
        <f>IFERROR(VLOOKUP(A67,Colaboradores!A:D,2,),"")</f>
        <v>FERNANDA FRANCA RIBEIRO DE OLIVEIRA</v>
      </c>
      <c r="C67" s="4" t="str">
        <f>IFERROR(VLOOKUP(A67,Colaboradores!A:D,3,),"")</f>
        <v>COORDENAÇÃO ADMINISTRATIVA</v>
      </c>
      <c r="D67" s="4" t="str">
        <f>IFERROR(VLOOKUP(A67,Colaboradores!A:D,4,),"")</f>
        <v>COORDENADOR ADMINISTRATIVO</v>
      </c>
      <c r="E67" s="4" t="s">
        <v>74</v>
      </c>
      <c r="F67" s="5" t="str">
        <f>IFERROR(VLOOKUP(E67,Procedimentos!A:C,2,),"")</f>
        <v>AGENDAMENTO DE REUNIÕES E CHECAGEM DE E-MAIL</v>
      </c>
      <c r="G67" s="4" t="s">
        <v>22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4.25" hidden="1" customHeight="1">
      <c r="A68" s="4">
        <v>7340</v>
      </c>
      <c r="B68" s="4" t="str">
        <f>IFERROR(VLOOKUP(A68,Colaboradores!A:D,2,),"")</f>
        <v>FERNANDA FRANCA RIBEIRO DE OLIVEIRA</v>
      </c>
      <c r="C68" s="4" t="str">
        <f>IFERROR(VLOOKUP(A68,Colaboradores!A:D,3,),"")</f>
        <v>COORDENAÇÃO ADMINISTRATIVA</v>
      </c>
      <c r="D68" s="4" t="str">
        <f>IFERROR(VLOOKUP(A68,Colaboradores!A:D,4,),"")</f>
        <v>COORDENADOR ADMINISTRATIVO</v>
      </c>
      <c r="E68" s="4" t="s">
        <v>75</v>
      </c>
      <c r="F68" s="5" t="str">
        <f>IFERROR(VLOOKUP(E68,Procedimentos!A:C,2,),"")</f>
        <v>RECEBIMENTO E MOVIMENTAÇÃO DE PROCESSOS E DEMAIS DOCUMENTOS</v>
      </c>
      <c r="G68" s="4" t="s">
        <v>22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4.25" hidden="1" customHeight="1">
      <c r="A69" s="4">
        <v>7340</v>
      </c>
      <c r="B69" s="4" t="str">
        <f>IFERROR(VLOOKUP(A69,Colaboradores!A:D,2,),"")</f>
        <v>FERNANDA FRANCA RIBEIRO DE OLIVEIRA</v>
      </c>
      <c r="C69" s="4" t="str">
        <f>IFERROR(VLOOKUP(A69,Colaboradores!A:D,3,),"")</f>
        <v>COORDENAÇÃO ADMINISTRATIVA</v>
      </c>
      <c r="D69" s="4" t="str">
        <f>IFERROR(VLOOKUP(A69,Colaboradores!A:D,4,),"")</f>
        <v>COORDENADOR ADMINISTRATIVO</v>
      </c>
      <c r="E69" s="4" t="s">
        <v>76</v>
      </c>
      <c r="F69" s="5" t="str">
        <f>IFERROR(VLOOKUP(E69,Procedimentos!A:C,2,),"")</f>
        <v>ABERTURA DE PROCESSOS DA DESSMA</v>
      </c>
      <c r="G69" s="4" t="s">
        <v>22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4.25" hidden="1" customHeight="1">
      <c r="A70" s="4">
        <v>7340</v>
      </c>
      <c r="B70" s="4" t="str">
        <f>IFERROR(VLOOKUP(A70,Colaboradores!A:D,2,),"")</f>
        <v>FERNANDA FRANCA RIBEIRO DE OLIVEIRA</v>
      </c>
      <c r="C70" s="4" t="str">
        <f>IFERROR(VLOOKUP(A70,Colaboradores!A:D,3,),"")</f>
        <v>COORDENAÇÃO ADMINISTRATIVA</v>
      </c>
      <c r="D70" s="4" t="str">
        <f>IFERROR(VLOOKUP(A70,Colaboradores!A:D,4,),"")</f>
        <v>COORDENADOR ADMINISTRATIVO</v>
      </c>
      <c r="E70" s="4" t="s">
        <v>77</v>
      </c>
      <c r="F70" s="5" t="str">
        <f>IFERROR(VLOOKUP(E70,Procedimentos!A:C,2,),"")</f>
        <v>ABASTECIMENTO DE SUPRIMENTOS PARA DIRETORIA</v>
      </c>
      <c r="G70" s="4" t="s">
        <v>22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4.25" hidden="1" customHeight="1">
      <c r="A71" s="4">
        <v>7340</v>
      </c>
      <c r="B71" s="4" t="str">
        <f>IFERROR(VLOOKUP(A71,Colaboradores!A:D,2,),"")</f>
        <v>FERNANDA FRANCA RIBEIRO DE OLIVEIRA</v>
      </c>
      <c r="C71" s="4" t="str">
        <f>IFERROR(VLOOKUP(A71,Colaboradores!A:D,3,),"")</f>
        <v>COORDENAÇÃO ADMINISTRATIVA</v>
      </c>
      <c r="D71" s="4" t="str">
        <f>IFERROR(VLOOKUP(A71,Colaboradores!A:D,4,),"")</f>
        <v>COORDENADOR ADMINISTRATIVO</v>
      </c>
      <c r="E71" s="4" t="s">
        <v>78</v>
      </c>
      <c r="F71" s="5" t="str">
        <f>IFERROR(VLOOKUP(E71,Procedimentos!A:C,2,),"")</f>
        <v>SOLICITAÇÃO DE MANUTENÇÃO PREDIAL E VISTORIA DO SERVIÇO DE LIMPEZA PREDIAL</v>
      </c>
      <c r="G71" s="4" t="s">
        <v>22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4.25" hidden="1" customHeight="1">
      <c r="A72" s="4">
        <v>7340</v>
      </c>
      <c r="B72" s="4" t="str">
        <f>IFERROR(VLOOKUP(A72,Colaboradores!A:D,2,),"")</f>
        <v>FERNANDA FRANCA RIBEIRO DE OLIVEIRA</v>
      </c>
      <c r="C72" s="4" t="str">
        <f>IFERROR(VLOOKUP(A72,Colaboradores!A:D,3,),"")</f>
        <v>COORDENAÇÃO ADMINISTRATIVA</v>
      </c>
      <c r="D72" s="4" t="str">
        <f>IFERROR(VLOOKUP(A72,Colaboradores!A:D,4,),"")</f>
        <v>COORDENADOR ADMINISTRATIVO</v>
      </c>
      <c r="E72" s="4" t="s">
        <v>79</v>
      </c>
      <c r="F72" s="5" t="str">
        <f>IFERROR(VLOOKUP(E72,Procedimentos!A:C,2,),"")</f>
        <v>ABERTURA DE PROCESSO DE PAGAMENTO</v>
      </c>
      <c r="G72" s="4" t="s">
        <v>22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4.25" hidden="1" customHeight="1">
      <c r="A73" s="4">
        <v>7340</v>
      </c>
      <c r="B73" s="4" t="str">
        <f>IFERROR(VLOOKUP(A73,Colaboradores!A:D,2,),"")</f>
        <v>FERNANDA FRANCA RIBEIRO DE OLIVEIRA</v>
      </c>
      <c r="C73" s="4" t="str">
        <f>IFERROR(VLOOKUP(A73,Colaboradores!A:D,3,),"")</f>
        <v>COORDENAÇÃO ADMINISTRATIVA</v>
      </c>
      <c r="D73" s="4" t="str">
        <f>IFERROR(VLOOKUP(A73,Colaboradores!A:D,4,),"")</f>
        <v>COORDENADOR ADMINISTRATIVO</v>
      </c>
      <c r="E73" s="4" t="s">
        <v>48</v>
      </c>
      <c r="F73" s="5" t="str">
        <f>IFERROR(VLOOKUP(E73,Procedimentos!A:C,2,),"")</f>
        <v>POLÍTICA MEIO AMBIENTE EMSERH</v>
      </c>
      <c r="G73" s="4" t="s">
        <v>22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4.25" hidden="1" customHeight="1">
      <c r="A74" s="4">
        <v>7340</v>
      </c>
      <c r="B74" s="4" t="str">
        <f>IFERROR(VLOOKUP(A74,Colaboradores!A:D,2,),"")</f>
        <v>FERNANDA FRANCA RIBEIRO DE OLIVEIRA</v>
      </c>
      <c r="C74" s="4" t="str">
        <f>IFERROR(VLOOKUP(A74,Colaboradores!A:D,3,),"")</f>
        <v>COORDENAÇÃO ADMINISTRATIVA</v>
      </c>
      <c r="D74" s="4" t="str">
        <f>IFERROR(VLOOKUP(A74,Colaboradores!A:D,4,),"")</f>
        <v>COORDENADOR ADMINISTRATIVO</v>
      </c>
      <c r="E74" s="4" t="s">
        <v>29</v>
      </c>
      <c r="F74" s="5" t="str">
        <f>IFERROR(VLOOKUP(E74,Procedimentos!A:C,2,),"")</f>
        <v>COLETA SELETIVA DESSMA</v>
      </c>
      <c r="G74" s="4" t="s">
        <v>22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4.25" hidden="1" customHeight="1">
      <c r="A75" s="4">
        <v>7340</v>
      </c>
      <c r="B75" s="4" t="str">
        <f>IFERROR(VLOOKUP(A75,Colaboradores!A:D,2,),"")</f>
        <v>FERNANDA FRANCA RIBEIRO DE OLIVEIRA</v>
      </c>
      <c r="C75" s="4" t="str">
        <f>IFERROR(VLOOKUP(A75,Colaboradores!A:D,3,),"")</f>
        <v>COORDENAÇÃO ADMINISTRATIVA</v>
      </c>
      <c r="D75" s="4" t="str">
        <f>IFERROR(VLOOKUP(A75,Colaboradores!A:D,4,),"")</f>
        <v>COORDENADOR ADMINISTRATIVO</v>
      </c>
      <c r="E75" s="4" t="s">
        <v>36</v>
      </c>
      <c r="F75" s="5" t="str">
        <f>IFERROR(VLOOKUP(E75,Procedimentos!A:C,2,),"")</f>
        <v>GESTÃO DE PRODUTOS QUÍMICOS</v>
      </c>
      <c r="G75" s="4" t="s">
        <v>28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4.25" hidden="1" customHeight="1">
      <c r="A76" s="4">
        <v>7340</v>
      </c>
      <c r="B76" s="4" t="str">
        <f>IFERROR(VLOOKUP(A76,Colaboradores!A:D,2,),"")</f>
        <v>FERNANDA FRANCA RIBEIRO DE OLIVEIRA</v>
      </c>
      <c r="C76" s="4" t="str">
        <f>IFERROR(VLOOKUP(A76,Colaboradores!A:D,3,),"")</f>
        <v>COORDENAÇÃO ADMINISTRATIVA</v>
      </c>
      <c r="D76" s="4" t="str">
        <f>IFERROR(VLOOKUP(A76,Colaboradores!A:D,4,),"")</f>
        <v>COORDENADOR ADMINISTRATIVO</v>
      </c>
      <c r="E76" s="4" t="s">
        <v>32</v>
      </c>
      <c r="F76" s="5" t="str">
        <f>IFERROR(VLOOKUP(E76,Procedimentos!A:C,2,),"")</f>
        <v>GESTÃO DE LEVANTAMENTO DE ASPECTOS E IMPACTOS AMBIENTAIS</v>
      </c>
      <c r="G76" s="4" t="s">
        <v>22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4.25" hidden="1" customHeight="1">
      <c r="A77" s="4">
        <v>7340</v>
      </c>
      <c r="B77" s="4" t="str">
        <f>IFERROR(VLOOKUP(A77,Colaboradores!A:D,2,),"")</f>
        <v>FERNANDA FRANCA RIBEIRO DE OLIVEIRA</v>
      </c>
      <c r="C77" s="4" t="str">
        <f>IFERROR(VLOOKUP(A77,Colaboradores!A:D,3,),"")</f>
        <v>COORDENAÇÃO ADMINISTRATIVA</v>
      </c>
      <c r="D77" s="4" t="str">
        <f>IFERROR(VLOOKUP(A77,Colaboradores!A:D,4,),"")</f>
        <v>COORDENADOR ADMINISTRATIVO</v>
      </c>
      <c r="E77" s="4" t="s">
        <v>31</v>
      </c>
      <c r="F77" s="5" t="str">
        <f>IFERROR(VLOOKUP(E77,Procedimentos!A:C,2,),"")</f>
        <v>GESTÃO DE COMUNICAÇÃO, CLASSIFICAÇÃO E INVESTIGAÇÃO DE OCORRÊNCIAS AMBIENTAIS</v>
      </c>
      <c r="G77" s="4" t="s">
        <v>22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4.25" hidden="1" customHeight="1">
      <c r="A78" s="4">
        <v>7340</v>
      </c>
      <c r="B78" s="4" t="str">
        <f>IFERROR(VLOOKUP(A78,Colaboradores!A:D,2,),"")</f>
        <v>FERNANDA FRANCA RIBEIRO DE OLIVEIRA</v>
      </c>
      <c r="C78" s="4" t="str">
        <f>IFERROR(VLOOKUP(A78,Colaboradores!A:D,3,),"")</f>
        <v>COORDENAÇÃO ADMINISTRATIVA</v>
      </c>
      <c r="D78" s="4" t="str">
        <f>IFERROR(VLOOKUP(A78,Colaboradores!A:D,4,),"")</f>
        <v>COORDENADOR ADMINISTRATIVO</v>
      </c>
      <c r="E78" s="4" t="s">
        <v>33</v>
      </c>
      <c r="F78" s="5" t="str">
        <f>IFERROR(VLOOKUP(E78,Procedimentos!A:C,2,),"")</f>
        <v>GESTÃO DE INSPEÇÕES AMBIENTAIS</v>
      </c>
      <c r="G78" s="4" t="s">
        <v>22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4.25" hidden="1" customHeight="1">
      <c r="A79" s="4">
        <v>7340</v>
      </c>
      <c r="B79" s="4" t="str">
        <f>IFERROR(VLOOKUP(A79,Colaboradores!A:D,2,),"")</f>
        <v>FERNANDA FRANCA RIBEIRO DE OLIVEIRA</v>
      </c>
      <c r="C79" s="4" t="str">
        <f>IFERROR(VLOOKUP(A79,Colaboradores!A:D,3,),"")</f>
        <v>COORDENAÇÃO ADMINISTRATIVA</v>
      </c>
      <c r="D79" s="4" t="str">
        <f>IFERROR(VLOOKUP(A79,Colaboradores!A:D,4,),"")</f>
        <v>COORDENADOR ADMINISTRATIVO</v>
      </c>
      <c r="E79" s="4" t="s">
        <v>39</v>
      </c>
      <c r="F79" s="5" t="str">
        <f>IFERROR(VLOOKUP(E79,Procedimentos!A:C,2,),"")</f>
        <v>GESTÃO DE ÁGUAS E EFLUENTES</v>
      </c>
      <c r="G79" s="4" t="s">
        <v>28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4.25" hidden="1" customHeight="1">
      <c r="A80" s="4">
        <v>7340</v>
      </c>
      <c r="B80" s="4" t="str">
        <f>IFERROR(VLOOKUP(A80,Colaboradores!A:D,2,),"")</f>
        <v>FERNANDA FRANCA RIBEIRO DE OLIVEIRA</v>
      </c>
      <c r="C80" s="4" t="str">
        <f>IFERROR(VLOOKUP(A80,Colaboradores!A:D,3,),"")</f>
        <v>COORDENAÇÃO ADMINISTRATIVA</v>
      </c>
      <c r="D80" s="4" t="str">
        <f>IFERROR(VLOOKUP(A80,Colaboradores!A:D,4,),"")</f>
        <v>COORDENADOR ADMINISTRATIVO</v>
      </c>
      <c r="E80" s="4" t="s">
        <v>34</v>
      </c>
      <c r="F80" s="5" t="str">
        <f>IFERROR(VLOOKUP(E80,Procedimentos!A:C,2,),"")</f>
        <v>GESTÃO DE LICENCIAMENTO AMBIENTAL</v>
      </c>
      <c r="G80" s="4" t="s">
        <v>28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4.25" hidden="1" customHeight="1">
      <c r="A81" s="4">
        <v>7340</v>
      </c>
      <c r="B81" s="4" t="str">
        <f>IFERROR(VLOOKUP(A81,Colaboradores!A:D,2,),"")</f>
        <v>FERNANDA FRANCA RIBEIRO DE OLIVEIRA</v>
      </c>
      <c r="C81" s="4" t="str">
        <f>IFERROR(VLOOKUP(A81,Colaboradores!A:D,3,),"")</f>
        <v>COORDENAÇÃO ADMINISTRATIVA</v>
      </c>
      <c r="D81" s="4" t="str">
        <f>IFERROR(VLOOKUP(A81,Colaboradores!A:D,4,),"")</f>
        <v>COORDENADOR ADMINISTRATIVO</v>
      </c>
      <c r="E81" s="4" t="s">
        <v>38</v>
      </c>
      <c r="F81" s="5" t="str">
        <f>IFERROR(VLOOKUP(E81,Procedimentos!A:C,2,),"")</f>
        <v>GESTÃO DE CONDICIONANTES DE LICENCIAMENTO AMBIENTAL</v>
      </c>
      <c r="G81" s="4" t="s">
        <v>28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4.25" hidden="1" customHeight="1">
      <c r="A82" s="4">
        <v>7340</v>
      </c>
      <c r="B82" s="4" t="str">
        <f>IFERROR(VLOOKUP(A82,Colaboradores!A:D,2,),"")</f>
        <v>FERNANDA FRANCA RIBEIRO DE OLIVEIRA</v>
      </c>
      <c r="C82" s="4" t="str">
        <f>IFERROR(VLOOKUP(A82,Colaboradores!A:D,3,),"")</f>
        <v>COORDENAÇÃO ADMINISTRATIVA</v>
      </c>
      <c r="D82" s="4" t="str">
        <f>IFERROR(VLOOKUP(A82,Colaboradores!A:D,4,),"")</f>
        <v>COORDENADOR ADMINISTRATIVO</v>
      </c>
      <c r="E82" s="4" t="s">
        <v>37</v>
      </c>
      <c r="F82" s="5" t="str">
        <f>IFERROR(VLOOKUP(E82,Procedimentos!A:C,2,),"")</f>
        <v>GESTÃO DE RESÍDUOS SÓLIDOS DE SERVIÇOS DE SAÚDE</v>
      </c>
      <c r="G82" s="4" t="s">
        <v>28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4.25" hidden="1" customHeight="1">
      <c r="A83" s="4">
        <v>7340</v>
      </c>
      <c r="B83" s="4" t="str">
        <f>IFERROR(VLOOKUP(A83,Colaboradores!A:D,2,),"")</f>
        <v>FERNANDA FRANCA RIBEIRO DE OLIVEIRA</v>
      </c>
      <c r="C83" s="4" t="str">
        <f>IFERROR(VLOOKUP(A83,Colaboradores!A:D,3,),"")</f>
        <v>COORDENAÇÃO ADMINISTRATIVA</v>
      </c>
      <c r="D83" s="4" t="str">
        <f>IFERROR(VLOOKUP(A83,Colaboradores!A:D,4,),"")</f>
        <v>COORDENADOR ADMINISTRATIVO</v>
      </c>
      <c r="E83" s="4" t="s">
        <v>35</v>
      </c>
      <c r="F83" s="5" t="str">
        <f>IFERROR(VLOOKUP(E83,Procedimentos!A:C,2,),"")</f>
        <v>PROCEDIMENTO DE AFERIÇÃO DE FUMAÇA PRETA</v>
      </c>
      <c r="G83" s="4" t="s">
        <v>28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4.25" hidden="1" customHeight="1">
      <c r="A84" s="4">
        <v>7340</v>
      </c>
      <c r="B84" s="4" t="str">
        <f>IFERROR(VLOOKUP(A84,Colaboradores!A:D,2,),"")</f>
        <v>FERNANDA FRANCA RIBEIRO DE OLIVEIRA</v>
      </c>
      <c r="C84" s="4" t="str">
        <f>IFERROR(VLOOKUP(A84,Colaboradores!A:D,3,),"")</f>
        <v>COORDENAÇÃO ADMINISTRATIVA</v>
      </c>
      <c r="D84" s="4" t="str">
        <f>IFERROR(VLOOKUP(A84,Colaboradores!A:D,4,),"")</f>
        <v>COORDENADOR ADMINISTRATIVO</v>
      </c>
      <c r="E84" s="4" t="s">
        <v>49</v>
      </c>
      <c r="F84" s="5" t="str">
        <f>IFERROR(VLOOKUP(E84,Procedimentos!A:C,2,),"")</f>
        <v>DIRETRIZES PARA REALIZAÇÃO DE EXAMES OCUPACIONAIS</v>
      </c>
      <c r="G84" s="4" t="s">
        <v>22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4.25" hidden="1" customHeight="1">
      <c r="A85" s="4">
        <v>7340</v>
      </c>
      <c r="B85" s="4" t="str">
        <f>IFERROR(VLOOKUP(A85,Colaboradores!A:D,2,),"")</f>
        <v>FERNANDA FRANCA RIBEIRO DE OLIVEIRA</v>
      </c>
      <c r="C85" s="4" t="str">
        <f>IFERROR(VLOOKUP(A85,Colaboradores!A:D,3,),"")</f>
        <v>COORDENAÇÃO ADMINISTRATIVA</v>
      </c>
      <c r="D85" s="4" t="str">
        <f>IFERROR(VLOOKUP(A85,Colaboradores!A:D,4,),"")</f>
        <v>COORDENADOR ADMINISTRATIVO</v>
      </c>
      <c r="E85" s="4" t="s">
        <v>51</v>
      </c>
      <c r="F85" s="5" t="str">
        <f>IFERROR(VLOOKUP(E85,Procedimentos!A:C,2,),"")</f>
        <v>DIRETRIZES PARA ENTREGA DE ATESTADOS MÉDICOS E ODONTOLÓGICOS</v>
      </c>
      <c r="G85" s="4" t="s">
        <v>22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4.25" hidden="1" customHeight="1">
      <c r="A86" s="4">
        <v>7340</v>
      </c>
      <c r="B86" s="4" t="str">
        <f>IFERROR(VLOOKUP(A86,Colaboradores!A:D,2,),"")</f>
        <v>FERNANDA FRANCA RIBEIRO DE OLIVEIRA</v>
      </c>
      <c r="C86" s="4" t="str">
        <f>IFERROR(VLOOKUP(A86,Colaboradores!A:D,3,),"")</f>
        <v>COORDENAÇÃO ADMINISTRATIVA</v>
      </c>
      <c r="D86" s="4" t="str">
        <f>IFERROR(VLOOKUP(A86,Colaboradores!A:D,4,),"")</f>
        <v>COORDENADOR ADMINISTRATIVO</v>
      </c>
      <c r="E86" s="4" t="s">
        <v>52</v>
      </c>
      <c r="F86" s="5" t="str">
        <f>IFERROR(VLOOKUP(E86,Procedimentos!A:C,2,),"")</f>
        <v>DIRETRIZES E ACOMPANHAMENTO  DE ACIDENTE COM MATERIAL BIOLOGICO</v>
      </c>
      <c r="G86" s="4" t="s">
        <v>28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4.25" hidden="1" customHeight="1">
      <c r="A87" s="4">
        <v>7340</v>
      </c>
      <c r="B87" s="4" t="str">
        <f>IFERROR(VLOOKUP(A87,Colaboradores!A:D,2,),"")</f>
        <v>FERNANDA FRANCA RIBEIRO DE OLIVEIRA</v>
      </c>
      <c r="C87" s="4" t="str">
        <f>IFERROR(VLOOKUP(A87,Colaboradores!A:D,3,),"")</f>
        <v>COORDENAÇÃO ADMINISTRATIVA</v>
      </c>
      <c r="D87" s="4" t="str">
        <f>IFERROR(VLOOKUP(A87,Colaboradores!A:D,4,),"")</f>
        <v>COORDENADOR ADMINISTRATIVO</v>
      </c>
      <c r="E87" s="4" t="s">
        <v>53</v>
      </c>
      <c r="F87" s="5" t="str">
        <f>IFERROR(VLOOKUP(E87,Procedimentos!A:C,2,),"")</f>
        <v>DIRETRIZES PARA MONITORAMENTO DE GESTANTE</v>
      </c>
      <c r="G87" s="4" t="s">
        <v>22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4.25" hidden="1" customHeight="1">
      <c r="A88" s="4">
        <v>7340</v>
      </c>
      <c r="B88" s="4" t="str">
        <f>IFERROR(VLOOKUP(A88,Colaboradores!A:D,2,),"")</f>
        <v>FERNANDA FRANCA RIBEIRO DE OLIVEIRA</v>
      </c>
      <c r="C88" s="4" t="str">
        <f>IFERROR(VLOOKUP(A88,Colaboradores!A:D,3,),"")</f>
        <v>COORDENAÇÃO ADMINISTRATIVA</v>
      </c>
      <c r="D88" s="4" t="str">
        <f>IFERROR(VLOOKUP(A88,Colaboradores!A:D,4,),"")</f>
        <v>COORDENADOR ADMINISTRATIVO</v>
      </c>
      <c r="E88" s="4" t="s">
        <v>54</v>
      </c>
      <c r="F88" s="5" t="str">
        <f>IFERROR(VLOOKUP(E88,Procedimentos!A:C,2,),"")</f>
        <v>DIRETRIZES DE IMUNIZAÇÃO OCUPACIONAL</v>
      </c>
      <c r="G88" s="4" t="s">
        <v>22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4.25" hidden="1" customHeight="1">
      <c r="A89" s="4">
        <v>7340</v>
      </c>
      <c r="B89" s="4" t="str">
        <f>IFERROR(VLOOKUP(A89,Colaboradores!A:D,2,),"")</f>
        <v>FERNANDA FRANCA RIBEIRO DE OLIVEIRA</v>
      </c>
      <c r="C89" s="4" t="str">
        <f>IFERROR(VLOOKUP(A89,Colaboradores!A:D,3,),"")</f>
        <v>COORDENAÇÃO ADMINISTRATIVA</v>
      </c>
      <c r="D89" s="4" t="str">
        <f>IFERROR(VLOOKUP(A89,Colaboradores!A:D,4,),"")</f>
        <v>COORDENADOR ADMINISTRATIVO</v>
      </c>
      <c r="E89" s="4" t="s">
        <v>55</v>
      </c>
      <c r="F89" s="5" t="str">
        <f>IFERROR(VLOOKUP(E89,Procedimentos!A:C,2,),"")</f>
        <v>DIRETRIZES PARA ACOMPANHAMENTO DE AFASTADOS</v>
      </c>
      <c r="G89" s="4" t="s">
        <v>22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4.25" hidden="1" customHeight="1">
      <c r="A90" s="4">
        <v>7340</v>
      </c>
      <c r="B90" s="4" t="str">
        <f>IFERROR(VLOOKUP(A90,Colaboradores!A:D,2,),"")</f>
        <v>FERNANDA FRANCA RIBEIRO DE OLIVEIRA</v>
      </c>
      <c r="C90" s="4" t="str">
        <f>IFERROR(VLOOKUP(A90,Colaboradores!A:D,3,),"")</f>
        <v>COORDENAÇÃO ADMINISTRATIVA</v>
      </c>
      <c r="D90" s="4" t="str">
        <f>IFERROR(VLOOKUP(A90,Colaboradores!A:D,4,),"")</f>
        <v>COORDENADOR ADMINISTRATIVO</v>
      </c>
      <c r="E90" s="4" t="s">
        <v>80</v>
      </c>
      <c r="F90" s="5" t="str">
        <f>IFERROR(VLOOKUP(E90,Procedimentos!A:C,2,),"")</f>
        <v>ATENDIMENTO FISIOTERÁPICO NO ESPAÇO CUIDARH</v>
      </c>
      <c r="G90" s="4" t="s">
        <v>28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4.25" hidden="1" customHeight="1">
      <c r="A91" s="4">
        <v>7340</v>
      </c>
      <c r="B91" s="4" t="str">
        <f>IFERROR(VLOOKUP(A91,Colaboradores!A:D,2,),"")</f>
        <v>FERNANDA FRANCA RIBEIRO DE OLIVEIRA</v>
      </c>
      <c r="C91" s="4" t="str">
        <f>IFERROR(VLOOKUP(A91,Colaboradores!A:D,3,),"")</f>
        <v>COORDENAÇÃO ADMINISTRATIVA</v>
      </c>
      <c r="D91" s="4" t="str">
        <f>IFERROR(VLOOKUP(A91,Colaboradores!A:D,4,),"")</f>
        <v>COORDENADOR ADMINISTRATIVO</v>
      </c>
      <c r="E91" s="4" t="s">
        <v>81</v>
      </c>
      <c r="F91" s="5" t="str">
        <f>IFERROR(VLOOKUP(E91,Procedimentos!A:C,2,),"")</f>
        <v>ATENDIMENTO PSICOLÓGICO NO ESPAÇO CUIDARH</v>
      </c>
      <c r="G91" s="4" t="s">
        <v>28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4.25" hidden="1" customHeight="1">
      <c r="A92" s="4">
        <v>7340</v>
      </c>
      <c r="B92" s="4" t="str">
        <f>IFERROR(VLOOKUP(A92,Colaboradores!A:D,2,),"")</f>
        <v>FERNANDA FRANCA RIBEIRO DE OLIVEIRA</v>
      </c>
      <c r="C92" s="4" t="str">
        <f>IFERROR(VLOOKUP(A92,Colaboradores!A:D,3,),"")</f>
        <v>COORDENAÇÃO ADMINISTRATIVA</v>
      </c>
      <c r="D92" s="4" t="str">
        <f>IFERROR(VLOOKUP(A92,Colaboradores!A:D,4,),"")</f>
        <v>COORDENADOR ADMINISTRATIVO</v>
      </c>
      <c r="E92" s="4" t="s">
        <v>46</v>
      </c>
      <c r="F92" s="5" t="str">
        <f>IFERROR(VLOOKUP(E92,Procedimentos!A:C,2,),"")</f>
        <v>POLÍTICA DE SAÚDE E SEGURANÇA DO TRABALHO EMSERH</v>
      </c>
      <c r="G92" s="4" t="s">
        <v>22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4.25" hidden="1" customHeight="1">
      <c r="A93" s="4">
        <v>7340</v>
      </c>
      <c r="B93" s="4" t="str">
        <f>IFERROR(VLOOKUP(A93,Colaboradores!A:D,2,),"")</f>
        <v>FERNANDA FRANCA RIBEIRO DE OLIVEIRA</v>
      </c>
      <c r="C93" s="4" t="str">
        <f>IFERROR(VLOOKUP(A93,Colaboradores!A:D,3,),"")</f>
        <v>COORDENAÇÃO ADMINISTRATIVA</v>
      </c>
      <c r="D93" s="4" t="str">
        <f>IFERROR(VLOOKUP(A93,Colaboradores!A:D,4,),"")</f>
        <v>COORDENADOR ADMINISTRATIVO</v>
      </c>
      <c r="E93" s="4" t="s">
        <v>41</v>
      </c>
      <c r="F93" s="5" t="str">
        <f>IFERROR(VLOOKUP(E93,Procedimentos!A:C,2,),"")</f>
        <v>DIRETRIZES PARA COMUNICAÇÃO E INVESTIGAÇÃO DE ACIDENTES</v>
      </c>
      <c r="G93" s="4" t="s">
        <v>22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4.25" hidden="1" customHeight="1">
      <c r="A94" s="4">
        <v>7340</v>
      </c>
      <c r="B94" s="4" t="str">
        <f>IFERROR(VLOOKUP(A94,Colaboradores!A:D,2,),"")</f>
        <v>FERNANDA FRANCA RIBEIRO DE OLIVEIRA</v>
      </c>
      <c r="C94" s="4" t="str">
        <f>IFERROR(VLOOKUP(A94,Colaboradores!A:D,3,),"")</f>
        <v>COORDENAÇÃO ADMINISTRATIVA</v>
      </c>
      <c r="D94" s="4" t="str">
        <f>IFERROR(VLOOKUP(A94,Colaboradores!A:D,4,),"")</f>
        <v>COORDENADOR ADMINISTRATIVO</v>
      </c>
      <c r="E94" s="4" t="s">
        <v>43</v>
      </c>
      <c r="F94" s="5" t="str">
        <f>IFERROR(VLOOKUP(E94,Procedimentos!A:C,2,),"")</f>
        <v>DIÁLOGO DE SAÚDE E SEGURANÇA - DSS</v>
      </c>
      <c r="G94" s="4" t="s">
        <v>22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4.25" hidden="1" customHeight="1">
      <c r="A95" s="4">
        <v>7340</v>
      </c>
      <c r="B95" s="4" t="str">
        <f>IFERROR(VLOOKUP(A95,Colaboradores!A:D,2,),"")</f>
        <v>FERNANDA FRANCA RIBEIRO DE OLIVEIRA</v>
      </c>
      <c r="C95" s="4" t="str">
        <f>IFERROR(VLOOKUP(A95,Colaboradores!A:D,3,),"")</f>
        <v>COORDENAÇÃO ADMINISTRATIVA</v>
      </c>
      <c r="D95" s="4" t="str">
        <f>IFERROR(VLOOKUP(A95,Colaboradores!A:D,4,),"")</f>
        <v>COORDENADOR ADMINISTRATIVO</v>
      </c>
      <c r="E95" s="4" t="s">
        <v>44</v>
      </c>
      <c r="F95" s="5" t="str">
        <f>IFERROR(VLOOKUP(E95,Procedimentos!A:C,2,),"")</f>
        <v>DIRETRIZES PARA GESTÃO DE EQUIPAMENTOS DE PROTEÇÃO INDIVIDUAL - EPI'S</v>
      </c>
      <c r="G95" s="4" t="s">
        <v>22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4.25" hidden="1" customHeight="1">
      <c r="A96" s="4">
        <v>7340</v>
      </c>
      <c r="B96" s="4" t="str">
        <f>IFERROR(VLOOKUP(A96,Colaboradores!A:D,2,),"")</f>
        <v>FERNANDA FRANCA RIBEIRO DE OLIVEIRA</v>
      </c>
      <c r="C96" s="4" t="str">
        <f>IFERROR(VLOOKUP(A96,Colaboradores!A:D,3,),"")</f>
        <v>COORDENAÇÃO ADMINISTRATIVA</v>
      </c>
      <c r="D96" s="4" t="str">
        <f>IFERROR(VLOOKUP(A96,Colaboradores!A:D,4,),"")</f>
        <v>COORDENADOR ADMINISTRATIVO</v>
      </c>
      <c r="E96" s="4" t="s">
        <v>45</v>
      </c>
      <c r="F96" s="5" t="str">
        <f>IFERROR(VLOOKUP(E96,Procedimentos!A:C,2,),"")</f>
        <v>CONSTITUIÇÃO INTERNA DE PREVENÇÃO DE ACIDENTES E DE ASSÉDIOS - CIPA</v>
      </c>
      <c r="G96" s="4" t="s">
        <v>22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4.25" hidden="1" customHeight="1">
      <c r="A97" s="4">
        <v>7340</v>
      </c>
      <c r="B97" s="4" t="str">
        <f>IFERROR(VLOOKUP(A97,Colaboradores!A:D,2,),"")</f>
        <v>FERNANDA FRANCA RIBEIRO DE OLIVEIRA</v>
      </c>
      <c r="C97" s="4" t="str">
        <f>IFERROR(VLOOKUP(A97,Colaboradores!A:D,3,),"")</f>
        <v>COORDENAÇÃO ADMINISTRATIVA</v>
      </c>
      <c r="D97" s="4" t="str">
        <f>IFERROR(VLOOKUP(A97,Colaboradores!A:D,4,),"")</f>
        <v>COORDENADOR ADMINISTRATIVO</v>
      </c>
      <c r="E97" s="4" t="s">
        <v>59</v>
      </c>
      <c r="F97" s="5" t="str">
        <f>IFERROR(VLOOKUP(E97,Procedimentos!A:C,2,),"")</f>
        <v>GERENCIAMENTO DE RISCOS DE SAÚDE, SEGURANÇA E PROCESSOS</v>
      </c>
      <c r="G97" s="4" t="s">
        <v>28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4.25" hidden="1" customHeight="1">
      <c r="A98" s="4">
        <v>7340</v>
      </c>
      <c r="B98" s="4" t="str">
        <f>IFERROR(VLOOKUP(A98,Colaboradores!A:D,2,),"")</f>
        <v>FERNANDA FRANCA RIBEIRO DE OLIVEIRA</v>
      </c>
      <c r="C98" s="4" t="str">
        <f>IFERROR(VLOOKUP(A98,Colaboradores!A:D,3,),"")</f>
        <v>COORDENAÇÃO ADMINISTRATIVA</v>
      </c>
      <c r="D98" s="4" t="str">
        <f>IFERROR(VLOOKUP(A98,Colaboradores!A:D,4,),"")</f>
        <v>COORDENADOR ADMINISTRATIVO</v>
      </c>
      <c r="E98" s="4" t="s">
        <v>61</v>
      </c>
      <c r="F98" s="5" t="str">
        <f>IFERROR(VLOOKUP(E98,Procedimentos!A:C,2,),"")</f>
        <v>PROCEDIMENTO DE INSPEÇÃO DE SEGURANÇA</v>
      </c>
      <c r="G98" s="4" t="s">
        <v>28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4.25" hidden="1" customHeight="1">
      <c r="A99" s="4">
        <v>7340</v>
      </c>
      <c r="B99" s="4" t="str">
        <f>IFERROR(VLOOKUP(A99,Colaboradores!A:D,2,),"")</f>
        <v>FERNANDA FRANCA RIBEIRO DE OLIVEIRA</v>
      </c>
      <c r="C99" s="4" t="str">
        <f>IFERROR(VLOOKUP(A99,Colaboradores!A:D,3,),"")</f>
        <v>COORDENAÇÃO ADMINISTRATIVA</v>
      </c>
      <c r="D99" s="4" t="str">
        <f>IFERROR(VLOOKUP(A99,Colaboradores!A:D,4,),"")</f>
        <v>COORDENADOR ADMINISTRATIVO</v>
      </c>
      <c r="E99" s="4" t="s">
        <v>62</v>
      </c>
      <c r="F99" s="5" t="str">
        <f>IFERROR(VLOOKUP(E99,Procedimentos!A:C,2,),"")</f>
        <v>DIRETRIZES PARA ENVIO E RECEBIMENTO DE DOSÍMETRO</v>
      </c>
      <c r="G99" s="4" t="s">
        <v>28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4.25" customHeight="1">
      <c r="A100" s="4">
        <v>12748</v>
      </c>
      <c r="B100" s="4" t="str">
        <f>IFERROR(VLOOKUP(A100,Colaboradores!A:D,2,),"")</f>
        <v>KARINY DE SOUZA COSTA</v>
      </c>
      <c r="C100" s="4" t="str">
        <f>IFERROR(VLOOKUP(A100,Colaboradores!A:D,3,),"")</f>
        <v>COORDENAÇÃO ADMINISTRATIVA</v>
      </c>
      <c r="D100" s="4" t="str">
        <f>IFERROR(VLOOKUP(A100,Colaboradores!A:D,4,),"")</f>
        <v>ASSISTENTE ADMINISTRATIVO</v>
      </c>
      <c r="E100" s="4" t="s">
        <v>58</v>
      </c>
      <c r="F100" s="5" t="str">
        <f>IFERROR(VLOOKUP(E100,Procedimentos!A:C,2,),"")</f>
        <v>POLÍTICA DE QUALIDADE DA DIRETORIA</v>
      </c>
      <c r="G100" s="4" t="s">
        <v>22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4.25" customHeight="1">
      <c r="A101" s="4">
        <v>12748</v>
      </c>
      <c r="B101" s="4" t="str">
        <f>IFERROR(VLOOKUP(A101,Colaboradores!A:D,2,),"")</f>
        <v>KARINY DE SOUZA COSTA</v>
      </c>
      <c r="C101" s="4" t="str">
        <f>IFERROR(VLOOKUP(A101,Colaboradores!A:D,3,),"")</f>
        <v>COORDENAÇÃO ADMINISTRATIVA</v>
      </c>
      <c r="D101" s="4" t="str">
        <f>IFERROR(VLOOKUP(A101,Colaboradores!A:D,4,),"")</f>
        <v>ASSISTENTE ADMINISTRATIVO</v>
      </c>
      <c r="E101" s="4" t="s">
        <v>19</v>
      </c>
      <c r="F101" s="5" t="str">
        <f>IFERROR(VLOOKUP(E101,Procedimentos!A:C,2,),"")</f>
        <v>DIRETRIZES PARA DOCUMENTOS NORMATIVOS</v>
      </c>
      <c r="G101" s="4" t="s">
        <v>22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4.25" customHeight="1">
      <c r="A102" s="4">
        <v>12748</v>
      </c>
      <c r="B102" s="4" t="str">
        <f>IFERROR(VLOOKUP(A102,Colaboradores!A:D,2,),"")</f>
        <v>KARINY DE SOUZA COSTA</v>
      </c>
      <c r="C102" s="4" t="str">
        <f>IFERROR(VLOOKUP(A102,Colaboradores!A:D,3,),"")</f>
        <v>COORDENAÇÃO ADMINISTRATIVA</v>
      </c>
      <c r="D102" s="4" t="str">
        <f>IFERROR(VLOOKUP(A102,Colaboradores!A:D,4,),"")</f>
        <v>ASSISTENTE ADMINISTRATIVO</v>
      </c>
      <c r="E102" s="4" t="s">
        <v>24</v>
      </c>
      <c r="F102" s="5" t="str">
        <f>IFERROR(VLOOKUP(E102,Procedimentos!A:C,2,),"")</f>
        <v>DIRETRIZES  PARA PROGRAMA 5S</v>
      </c>
      <c r="G102" s="4" t="s">
        <v>22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4.25" customHeight="1">
      <c r="A103" s="4">
        <v>12748</v>
      </c>
      <c r="B103" s="4" t="str">
        <f>IFERROR(VLOOKUP(A103,Colaboradores!A:D,2,),"")</f>
        <v>KARINY DE SOUZA COSTA</v>
      </c>
      <c r="C103" s="4" t="str">
        <f>IFERROR(VLOOKUP(A103,Colaboradores!A:D,3,),"")</f>
        <v>COORDENAÇÃO ADMINISTRATIVA</v>
      </c>
      <c r="D103" s="4" t="str">
        <f>IFERROR(VLOOKUP(A103,Colaboradores!A:D,4,),"")</f>
        <v>ASSISTENTE ADMINISTRATIVO</v>
      </c>
      <c r="E103" s="4" t="s">
        <v>25</v>
      </c>
      <c r="F103" s="5" t="str">
        <f>IFERROR(VLOOKUP(E103,Procedimentos!A:C,2,),"")</f>
        <v>GARANTIA DA QUALIDADE</v>
      </c>
      <c r="G103" s="4" t="s">
        <v>22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4.25" customHeight="1">
      <c r="A104" s="4">
        <v>12748</v>
      </c>
      <c r="B104" s="4" t="str">
        <f>IFERROR(VLOOKUP(A104,Colaboradores!A:D,2,),"")</f>
        <v>KARINY DE SOUZA COSTA</v>
      </c>
      <c r="C104" s="4" t="str">
        <f>IFERROR(VLOOKUP(A104,Colaboradores!A:D,3,),"")</f>
        <v>COORDENAÇÃO ADMINISTRATIVA</v>
      </c>
      <c r="D104" s="4" t="str">
        <f>IFERROR(VLOOKUP(A104,Colaboradores!A:D,4,),"")</f>
        <v>ASSISTENTE ADMINISTRATIVO</v>
      </c>
      <c r="E104" s="4" t="s">
        <v>26</v>
      </c>
      <c r="F104" s="5" t="str">
        <f>IFERROR(VLOOKUP(E104,Procedimentos!A:C,2,),"")</f>
        <v>RESPONSABILIDADES E AUTORIDADES DO SGQ</v>
      </c>
      <c r="G104" s="4" t="s">
        <v>22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4.25" customHeight="1">
      <c r="A105" s="4">
        <v>12748</v>
      </c>
      <c r="B105" s="4" t="str">
        <f>IFERROR(VLOOKUP(A105,Colaboradores!A:D,2,),"")</f>
        <v>KARINY DE SOUZA COSTA</v>
      </c>
      <c r="C105" s="4" t="str">
        <f>IFERROR(VLOOKUP(A105,Colaboradores!A:D,3,),"")</f>
        <v>COORDENAÇÃO ADMINISTRATIVA</v>
      </c>
      <c r="D105" s="4" t="str">
        <f>IFERROR(VLOOKUP(A105,Colaboradores!A:D,4,),"")</f>
        <v>ASSISTENTE ADMINISTRATIVO</v>
      </c>
      <c r="E105" s="4" t="s">
        <v>74</v>
      </c>
      <c r="F105" s="5" t="str">
        <f>IFERROR(VLOOKUP(E105,Procedimentos!A:C,2,),"")</f>
        <v>AGENDAMENTO DE REUNIÕES E CHECAGEM DE E-MAIL</v>
      </c>
      <c r="G105" s="4" t="s">
        <v>22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4.25" customHeight="1">
      <c r="A106" s="4">
        <v>12748</v>
      </c>
      <c r="B106" s="4" t="str">
        <f>IFERROR(VLOOKUP(A106,Colaboradores!A:D,2,),"")</f>
        <v>KARINY DE SOUZA COSTA</v>
      </c>
      <c r="C106" s="4" t="str">
        <f>IFERROR(VLOOKUP(A106,Colaboradores!A:D,3,),"")</f>
        <v>COORDENAÇÃO ADMINISTRATIVA</v>
      </c>
      <c r="D106" s="4" t="str">
        <f>IFERROR(VLOOKUP(A106,Colaboradores!A:D,4,),"")</f>
        <v>ASSISTENTE ADMINISTRATIVO</v>
      </c>
      <c r="E106" s="4" t="s">
        <v>75</v>
      </c>
      <c r="F106" s="5" t="str">
        <f>IFERROR(VLOOKUP(E106,Procedimentos!A:C,2,),"")</f>
        <v>RECEBIMENTO E MOVIMENTAÇÃO DE PROCESSOS E DEMAIS DOCUMENTOS</v>
      </c>
      <c r="G106" s="4" t="s">
        <v>22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4.25" customHeight="1">
      <c r="A107" s="4">
        <v>12748</v>
      </c>
      <c r="B107" s="4" t="str">
        <f>IFERROR(VLOOKUP(A107,Colaboradores!A:D,2,),"")</f>
        <v>KARINY DE SOUZA COSTA</v>
      </c>
      <c r="C107" s="4" t="str">
        <f>IFERROR(VLOOKUP(A107,Colaboradores!A:D,3,),"")</f>
        <v>COORDENAÇÃO ADMINISTRATIVA</v>
      </c>
      <c r="D107" s="4" t="str">
        <f>IFERROR(VLOOKUP(A107,Colaboradores!A:D,4,),"")</f>
        <v>ASSISTENTE ADMINISTRATIVO</v>
      </c>
      <c r="E107" s="4" t="s">
        <v>76</v>
      </c>
      <c r="F107" s="5" t="str">
        <f>IFERROR(VLOOKUP(E107,Procedimentos!A:C,2,),"")</f>
        <v>ABERTURA DE PROCESSOS DA DESSMA</v>
      </c>
      <c r="G107" s="4" t="s">
        <v>22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4.25" customHeight="1">
      <c r="A108" s="4">
        <v>12748</v>
      </c>
      <c r="B108" s="4" t="str">
        <f>IFERROR(VLOOKUP(A108,Colaboradores!A:D,2,),"")</f>
        <v>KARINY DE SOUZA COSTA</v>
      </c>
      <c r="C108" s="4" t="str">
        <f>IFERROR(VLOOKUP(A108,Colaboradores!A:D,3,),"")</f>
        <v>COORDENAÇÃO ADMINISTRATIVA</v>
      </c>
      <c r="D108" s="4" t="str">
        <f>IFERROR(VLOOKUP(A108,Colaboradores!A:D,4,),"")</f>
        <v>ASSISTENTE ADMINISTRATIVO</v>
      </c>
      <c r="E108" s="4" t="s">
        <v>77</v>
      </c>
      <c r="F108" s="5" t="str">
        <f>IFERROR(VLOOKUP(E108,Procedimentos!A:C,2,),"")</f>
        <v>ABASTECIMENTO DE SUPRIMENTOS PARA DIRETORIA</v>
      </c>
      <c r="G108" s="4" t="s">
        <v>22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4.25" customHeight="1">
      <c r="A109" s="4">
        <v>12748</v>
      </c>
      <c r="B109" s="4" t="str">
        <f>IFERROR(VLOOKUP(A109,Colaboradores!A:D,2,),"")</f>
        <v>KARINY DE SOUZA COSTA</v>
      </c>
      <c r="C109" s="4" t="str">
        <f>IFERROR(VLOOKUP(A109,Colaboradores!A:D,3,),"")</f>
        <v>COORDENAÇÃO ADMINISTRATIVA</v>
      </c>
      <c r="D109" s="4" t="str">
        <f>IFERROR(VLOOKUP(A109,Colaboradores!A:D,4,),"")</f>
        <v>ASSISTENTE ADMINISTRATIVO</v>
      </c>
      <c r="E109" s="4" t="s">
        <v>78</v>
      </c>
      <c r="F109" s="5" t="str">
        <f>IFERROR(VLOOKUP(E109,Procedimentos!A:C,2,),"")</f>
        <v>SOLICITAÇÃO DE MANUTENÇÃO PREDIAL E VISTORIA DO SERVIÇO DE LIMPEZA PREDIAL</v>
      </c>
      <c r="G109" s="4" t="s">
        <v>22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4.25" customHeight="1">
      <c r="A110" s="4">
        <v>12748</v>
      </c>
      <c r="B110" s="4" t="str">
        <f>IFERROR(VLOOKUP(A110,Colaboradores!A:D,2,),"")</f>
        <v>KARINY DE SOUZA COSTA</v>
      </c>
      <c r="C110" s="4" t="str">
        <f>IFERROR(VLOOKUP(A110,Colaboradores!A:D,3,),"")</f>
        <v>COORDENAÇÃO ADMINISTRATIVA</v>
      </c>
      <c r="D110" s="4" t="str">
        <f>IFERROR(VLOOKUP(A110,Colaboradores!A:D,4,),"")</f>
        <v>ASSISTENTE ADMINISTRATIVO</v>
      </c>
      <c r="E110" s="4" t="s">
        <v>73</v>
      </c>
      <c r="F110" s="9" t="str">
        <f>IFERROR(VLOOKUP(E110,Procedimentos!A:C,2,),"")</f>
        <v>AQUISIÇÃO DE BENS E SERVIÇOS E AVALIAÇÃO PROVEDORES EXTERNOS</v>
      </c>
      <c r="G110" s="4" t="s">
        <v>22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4">
        <v>12748</v>
      </c>
      <c r="B111" s="4" t="str">
        <f>IFERROR(VLOOKUP(A111,Colaboradores!A:D,2,),"")</f>
        <v>KARINY DE SOUZA COSTA</v>
      </c>
      <c r="C111" s="4" t="str">
        <f>IFERROR(VLOOKUP(A111,Colaboradores!A:D,3,),"")</f>
        <v>COORDENAÇÃO ADMINISTRATIVA</v>
      </c>
      <c r="D111" s="4" t="str">
        <f>IFERROR(VLOOKUP(A111,Colaboradores!A:D,4,),"")</f>
        <v>ASSISTENTE ADMINISTRATIVO</v>
      </c>
      <c r="E111" s="4" t="s">
        <v>79</v>
      </c>
      <c r="F111" s="5" t="str">
        <f>IFERROR(VLOOKUP(E111,Procedimentos!A:C,2,),"")</f>
        <v>ABERTURA DE PROCESSO DE PAGAMENTO</v>
      </c>
      <c r="G111" s="4" t="s">
        <v>22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4.25" customHeight="1">
      <c r="A112" s="4">
        <v>12748</v>
      </c>
      <c r="B112" s="4" t="str">
        <f>IFERROR(VLOOKUP(A112,Colaboradores!A:D,2,),"")</f>
        <v>KARINY DE SOUZA COSTA</v>
      </c>
      <c r="C112" s="4" t="str">
        <f>IFERROR(VLOOKUP(A112,Colaboradores!A:D,3,),"")</f>
        <v>COORDENAÇÃO ADMINISTRATIVA</v>
      </c>
      <c r="D112" s="4" t="str">
        <f>IFERROR(VLOOKUP(A112,Colaboradores!A:D,4,),"")</f>
        <v>ASSISTENTE ADMINISTRATIVO</v>
      </c>
      <c r="E112" s="4" t="s">
        <v>48</v>
      </c>
      <c r="F112" s="5" t="str">
        <f>IFERROR(VLOOKUP(E112,Procedimentos!A:C,2,),"")</f>
        <v>POLÍTICA MEIO AMBIENTE EMSERH</v>
      </c>
      <c r="G112" s="4" t="s">
        <v>22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4.25" customHeight="1">
      <c r="A113" s="4">
        <v>12748</v>
      </c>
      <c r="B113" s="4" t="str">
        <f>IFERROR(VLOOKUP(A113,Colaboradores!A:D,2,),"")</f>
        <v>KARINY DE SOUZA COSTA</v>
      </c>
      <c r="C113" s="4" t="str">
        <f>IFERROR(VLOOKUP(A113,Colaboradores!A:D,3,),"")</f>
        <v>COORDENAÇÃO ADMINISTRATIVA</v>
      </c>
      <c r="D113" s="4" t="str">
        <f>IFERROR(VLOOKUP(A113,Colaboradores!A:D,4,),"")</f>
        <v>ASSISTENTE ADMINISTRATIVO</v>
      </c>
      <c r="E113" s="4" t="s">
        <v>29</v>
      </c>
      <c r="F113" s="5" t="str">
        <f>IFERROR(VLOOKUP(E113,Procedimentos!A:C,2,),"")</f>
        <v>COLETA SELETIVA DESSMA</v>
      </c>
      <c r="G113" s="4" t="s">
        <v>22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4.25" customHeight="1">
      <c r="A114" s="4">
        <v>12748</v>
      </c>
      <c r="B114" s="4" t="str">
        <f>IFERROR(VLOOKUP(A114,Colaboradores!A:D,2,),"")</f>
        <v>KARINY DE SOUZA COSTA</v>
      </c>
      <c r="C114" s="4" t="str">
        <f>IFERROR(VLOOKUP(A114,Colaboradores!A:D,3,),"")</f>
        <v>COORDENAÇÃO ADMINISTRATIVA</v>
      </c>
      <c r="D114" s="4" t="str">
        <f>IFERROR(VLOOKUP(A114,Colaboradores!A:D,4,),"")</f>
        <v>ASSISTENTE ADMINISTRATIVO</v>
      </c>
      <c r="E114" s="4" t="s">
        <v>32</v>
      </c>
      <c r="F114" s="5" t="str">
        <f>IFERROR(VLOOKUP(E114,Procedimentos!A:C,2,),"")</f>
        <v>GESTÃO DE LEVANTAMENTO DE ASPECTOS E IMPACTOS AMBIENTAIS</v>
      </c>
      <c r="G114" s="4" t="s">
        <v>22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4.25" customHeight="1">
      <c r="A115" s="4">
        <v>12748</v>
      </c>
      <c r="B115" s="4" t="str">
        <f>IFERROR(VLOOKUP(A115,Colaboradores!A:D,2,),"")</f>
        <v>KARINY DE SOUZA COSTA</v>
      </c>
      <c r="C115" s="4" t="str">
        <f>IFERROR(VLOOKUP(A115,Colaboradores!A:D,3,),"")</f>
        <v>COORDENAÇÃO ADMINISTRATIVA</v>
      </c>
      <c r="D115" s="4" t="str">
        <f>IFERROR(VLOOKUP(A115,Colaboradores!A:D,4,),"")</f>
        <v>ASSISTENTE ADMINISTRATIVO</v>
      </c>
      <c r="E115" s="4" t="s">
        <v>31</v>
      </c>
      <c r="F115" s="5" t="str">
        <f>IFERROR(VLOOKUP(E115,Procedimentos!A:C,2,),"")</f>
        <v>GESTÃO DE COMUNICAÇÃO, CLASSIFICAÇÃO E INVESTIGAÇÃO DE OCORRÊNCIAS AMBIENTAIS</v>
      </c>
      <c r="G115" s="4" t="s">
        <v>22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4.25" customHeight="1">
      <c r="A116" s="4">
        <v>12748</v>
      </c>
      <c r="B116" s="4" t="str">
        <f>IFERROR(VLOOKUP(A116,Colaboradores!A:D,2,),"")</f>
        <v>KARINY DE SOUZA COSTA</v>
      </c>
      <c r="C116" s="4" t="str">
        <f>IFERROR(VLOOKUP(A116,Colaboradores!A:D,3,),"")</f>
        <v>COORDENAÇÃO ADMINISTRATIVA</v>
      </c>
      <c r="D116" s="4" t="str">
        <f>IFERROR(VLOOKUP(A116,Colaboradores!A:D,4,),"")</f>
        <v>ASSISTENTE ADMINISTRATIVO</v>
      </c>
      <c r="E116" s="4" t="s">
        <v>33</v>
      </c>
      <c r="F116" s="5" t="str">
        <f>IFERROR(VLOOKUP(E116,Procedimentos!A:C,2,),"")</f>
        <v>GESTÃO DE INSPEÇÕES AMBIENTAIS</v>
      </c>
      <c r="G116" s="4" t="s">
        <v>22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4.25" customHeight="1">
      <c r="A117" s="4">
        <v>12748</v>
      </c>
      <c r="B117" s="4" t="str">
        <f>IFERROR(VLOOKUP(A117,Colaboradores!A:D,2,),"")</f>
        <v>KARINY DE SOUZA COSTA</v>
      </c>
      <c r="C117" s="4" t="str">
        <f>IFERROR(VLOOKUP(A117,Colaboradores!A:D,3,),"")</f>
        <v>COORDENAÇÃO ADMINISTRATIVA</v>
      </c>
      <c r="D117" s="4" t="str">
        <f>IFERROR(VLOOKUP(A117,Colaboradores!A:D,4,),"")</f>
        <v>ASSISTENTE ADMINISTRATIVO</v>
      </c>
      <c r="E117" s="4" t="s">
        <v>49</v>
      </c>
      <c r="F117" s="5" t="str">
        <f>IFERROR(VLOOKUP(E117,Procedimentos!A:C,2,),"")</f>
        <v>DIRETRIZES PARA REALIZAÇÃO DE EXAMES OCUPACIONAIS</v>
      </c>
      <c r="G117" s="4" t="s">
        <v>22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4.25" customHeight="1">
      <c r="A118" s="4">
        <v>12748</v>
      </c>
      <c r="B118" s="4" t="str">
        <f>IFERROR(VLOOKUP(A118,Colaboradores!A:D,2,),"")</f>
        <v>KARINY DE SOUZA COSTA</v>
      </c>
      <c r="C118" s="4" t="str">
        <f>IFERROR(VLOOKUP(A118,Colaboradores!A:D,3,),"")</f>
        <v>COORDENAÇÃO ADMINISTRATIVA</v>
      </c>
      <c r="D118" s="4" t="str">
        <f>IFERROR(VLOOKUP(A118,Colaboradores!A:D,4,),"")</f>
        <v>ASSISTENTE ADMINISTRATIVO</v>
      </c>
      <c r="E118" s="4" t="s">
        <v>51</v>
      </c>
      <c r="F118" s="5" t="str">
        <f>IFERROR(VLOOKUP(E118,Procedimentos!A:C,2,),"")</f>
        <v>DIRETRIZES PARA ENTREGA DE ATESTADOS MÉDICOS E ODONTOLÓGICOS</v>
      </c>
      <c r="G118" s="4" t="s">
        <v>22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4.25" customHeight="1">
      <c r="A119" s="4">
        <v>12748</v>
      </c>
      <c r="B119" s="4" t="str">
        <f>IFERROR(VLOOKUP(A119,Colaboradores!A:D,2,),"")</f>
        <v>KARINY DE SOUZA COSTA</v>
      </c>
      <c r="C119" s="4" t="str">
        <f>IFERROR(VLOOKUP(A119,Colaboradores!A:D,3,),"")</f>
        <v>COORDENAÇÃO ADMINISTRATIVA</v>
      </c>
      <c r="D119" s="4" t="str">
        <f>IFERROR(VLOOKUP(A119,Colaboradores!A:D,4,),"")</f>
        <v>ASSISTENTE ADMINISTRATIVO</v>
      </c>
      <c r="E119" s="4" t="s">
        <v>52</v>
      </c>
      <c r="F119" s="5" t="str">
        <f>IFERROR(VLOOKUP(E119,Procedimentos!A:C,2,),"")</f>
        <v>DIRETRIZES E ACOMPANHAMENTO  DE ACIDENTE COM MATERIAL BIOLOGICO</v>
      </c>
      <c r="G119" s="4" t="s">
        <v>28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4.25" customHeight="1">
      <c r="A120" s="4">
        <v>12748</v>
      </c>
      <c r="B120" s="4" t="str">
        <f>IFERROR(VLOOKUP(A120,Colaboradores!A:D,2,),"")</f>
        <v>KARINY DE SOUZA COSTA</v>
      </c>
      <c r="C120" s="4" t="str">
        <f>IFERROR(VLOOKUP(A120,Colaboradores!A:D,3,),"")</f>
        <v>COORDENAÇÃO ADMINISTRATIVA</v>
      </c>
      <c r="D120" s="4" t="str">
        <f>IFERROR(VLOOKUP(A120,Colaboradores!A:D,4,),"")</f>
        <v>ASSISTENTE ADMINISTRATIVO</v>
      </c>
      <c r="E120" s="4" t="s">
        <v>53</v>
      </c>
      <c r="F120" s="5" t="str">
        <f>IFERROR(VLOOKUP(E120,Procedimentos!A:C,2,),"")</f>
        <v>DIRETRIZES PARA MONITORAMENTO DE GESTANTE</v>
      </c>
      <c r="G120" s="4" t="s">
        <v>22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4.25" customHeight="1">
      <c r="A121" s="4">
        <v>12748</v>
      </c>
      <c r="B121" s="4" t="str">
        <f>IFERROR(VLOOKUP(A121,Colaboradores!A:D,2,),"")</f>
        <v>KARINY DE SOUZA COSTA</v>
      </c>
      <c r="C121" s="4" t="str">
        <f>IFERROR(VLOOKUP(A121,Colaboradores!A:D,3,),"")</f>
        <v>COORDENAÇÃO ADMINISTRATIVA</v>
      </c>
      <c r="D121" s="4" t="str">
        <f>IFERROR(VLOOKUP(A121,Colaboradores!A:D,4,),"")</f>
        <v>ASSISTENTE ADMINISTRATIVO</v>
      </c>
      <c r="E121" s="4" t="s">
        <v>54</v>
      </c>
      <c r="F121" s="5" t="str">
        <f>IFERROR(VLOOKUP(E121,Procedimentos!A:C,2,),"")</f>
        <v>DIRETRIZES DE IMUNIZAÇÃO OCUPACIONAL</v>
      </c>
      <c r="G121" s="4" t="s">
        <v>22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4.25" customHeight="1">
      <c r="A122" s="4">
        <v>12748</v>
      </c>
      <c r="B122" s="4" t="str">
        <f>IFERROR(VLOOKUP(A122,Colaboradores!A:D,2,),"")</f>
        <v>KARINY DE SOUZA COSTA</v>
      </c>
      <c r="C122" s="4" t="str">
        <f>IFERROR(VLOOKUP(A122,Colaboradores!A:D,3,),"")</f>
        <v>COORDENAÇÃO ADMINISTRATIVA</v>
      </c>
      <c r="D122" s="4" t="str">
        <f>IFERROR(VLOOKUP(A122,Colaboradores!A:D,4,),"")</f>
        <v>ASSISTENTE ADMINISTRATIVO</v>
      </c>
      <c r="E122" s="4" t="s">
        <v>55</v>
      </c>
      <c r="F122" s="5" t="str">
        <f>IFERROR(VLOOKUP(E122,Procedimentos!A:C,2,),"")</f>
        <v>DIRETRIZES PARA ACOMPANHAMENTO DE AFASTADOS</v>
      </c>
      <c r="G122" s="4" t="s">
        <v>22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4.25" customHeight="1">
      <c r="A123" s="4">
        <v>12748</v>
      </c>
      <c r="B123" s="4" t="str">
        <f>IFERROR(VLOOKUP(A123,Colaboradores!A:D,2,),"")</f>
        <v>KARINY DE SOUZA COSTA</v>
      </c>
      <c r="C123" s="4" t="str">
        <f>IFERROR(VLOOKUP(A123,Colaboradores!A:D,3,),"")</f>
        <v>COORDENAÇÃO ADMINISTRATIVA</v>
      </c>
      <c r="D123" s="4" t="str">
        <f>IFERROR(VLOOKUP(A123,Colaboradores!A:D,4,),"")</f>
        <v>ASSISTENTE ADMINISTRATIVO</v>
      </c>
      <c r="E123" s="4" t="s">
        <v>46</v>
      </c>
      <c r="F123" s="5" t="str">
        <f>IFERROR(VLOOKUP(E123,Procedimentos!A:C,2,),"")</f>
        <v>POLÍTICA DE SAÚDE E SEGURANÇA DO TRABALHO EMSERH</v>
      </c>
      <c r="G123" s="4" t="s">
        <v>22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4.25" customHeight="1">
      <c r="A124" s="4">
        <v>12748</v>
      </c>
      <c r="B124" s="4" t="str">
        <f>IFERROR(VLOOKUP(A124,Colaboradores!A:D,2,),"")</f>
        <v>KARINY DE SOUZA COSTA</v>
      </c>
      <c r="C124" s="4" t="str">
        <f>IFERROR(VLOOKUP(A124,Colaboradores!A:D,3,),"")</f>
        <v>COORDENAÇÃO ADMINISTRATIVA</v>
      </c>
      <c r="D124" s="4" t="str">
        <f>IFERROR(VLOOKUP(A124,Colaboradores!A:D,4,),"")</f>
        <v>ASSISTENTE ADMINISTRATIVO</v>
      </c>
      <c r="E124" s="4" t="s">
        <v>41</v>
      </c>
      <c r="F124" s="5" t="str">
        <f>IFERROR(VLOOKUP(E124,Procedimentos!A:C,2,),"")</f>
        <v>DIRETRIZES PARA COMUNICAÇÃO E INVESTIGAÇÃO DE ACIDENTES</v>
      </c>
      <c r="G124" s="4" t="s">
        <v>22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4.25" customHeight="1">
      <c r="A125" s="4">
        <v>12748</v>
      </c>
      <c r="B125" s="4" t="str">
        <f>IFERROR(VLOOKUP(A125,Colaboradores!A:D,2,),"")</f>
        <v>KARINY DE SOUZA COSTA</v>
      </c>
      <c r="C125" s="4" t="str">
        <f>IFERROR(VLOOKUP(A125,Colaboradores!A:D,3,),"")</f>
        <v>COORDENAÇÃO ADMINISTRATIVA</v>
      </c>
      <c r="D125" s="4" t="str">
        <f>IFERROR(VLOOKUP(A125,Colaboradores!A:D,4,),"")</f>
        <v>ASSISTENTE ADMINISTRATIVO</v>
      </c>
      <c r="E125" s="4" t="s">
        <v>43</v>
      </c>
      <c r="F125" s="5" t="str">
        <f>IFERROR(VLOOKUP(E125,Procedimentos!A:C,2,),"")</f>
        <v>DIÁLOGO DE SAÚDE E SEGURANÇA - DSS</v>
      </c>
      <c r="G125" s="4" t="s">
        <v>22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4.25" customHeight="1">
      <c r="A126" s="4">
        <v>12748</v>
      </c>
      <c r="B126" s="4" t="str">
        <f>IFERROR(VLOOKUP(A126,Colaboradores!A:D,2,),"")</f>
        <v>KARINY DE SOUZA COSTA</v>
      </c>
      <c r="C126" s="4" t="str">
        <f>IFERROR(VLOOKUP(A126,Colaboradores!A:D,3,),"")</f>
        <v>COORDENAÇÃO ADMINISTRATIVA</v>
      </c>
      <c r="D126" s="4" t="str">
        <f>IFERROR(VLOOKUP(A126,Colaboradores!A:D,4,),"")</f>
        <v>ASSISTENTE ADMINISTRATIVO</v>
      </c>
      <c r="E126" s="4" t="s">
        <v>44</v>
      </c>
      <c r="F126" s="5" t="str">
        <f>IFERROR(VLOOKUP(E126,Procedimentos!A:C,2,),"")</f>
        <v>DIRETRIZES PARA GESTÃO DE EQUIPAMENTOS DE PROTEÇÃO INDIVIDUAL - EPI'S</v>
      </c>
      <c r="G126" s="4" t="s">
        <v>22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4.25" customHeight="1">
      <c r="A127" s="4">
        <v>12748</v>
      </c>
      <c r="B127" s="4" t="str">
        <f>IFERROR(VLOOKUP(A127,Colaboradores!A:D,2,),"")</f>
        <v>KARINY DE SOUZA COSTA</v>
      </c>
      <c r="C127" s="4" t="str">
        <f>IFERROR(VLOOKUP(A127,Colaboradores!A:D,3,),"")</f>
        <v>COORDENAÇÃO ADMINISTRATIVA</v>
      </c>
      <c r="D127" s="4" t="str">
        <f>IFERROR(VLOOKUP(A127,Colaboradores!A:D,4,),"")</f>
        <v>ASSISTENTE ADMINISTRATIVO</v>
      </c>
      <c r="E127" s="4" t="s">
        <v>45</v>
      </c>
      <c r="F127" s="5" t="str">
        <f>IFERROR(VLOOKUP(E127,Procedimentos!A:C,2,),"")</f>
        <v>CONSTITUIÇÃO INTERNA DE PREVENÇÃO DE ACIDENTES E DE ASSÉDIOS - CIPA</v>
      </c>
      <c r="G127" s="4" t="s">
        <v>22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4.25" customHeight="1">
      <c r="A128" s="4">
        <v>12555</v>
      </c>
      <c r="B128" s="4" t="str">
        <f>IFERROR(VLOOKUP(A128,Colaboradores!A:D,2,),"")</f>
        <v>HWGO AUGUSTO ALMEIDA</v>
      </c>
      <c r="C128" s="4" t="str">
        <f>IFERROR(VLOOKUP(A128,Colaboradores!A:D,3,),"")</f>
        <v>COORDENAÇÃO ADMINISTRATIVA</v>
      </c>
      <c r="D128" s="4" t="str">
        <f>IFERROR(VLOOKUP(A128,Colaboradores!A:D,4,),"")</f>
        <v>ANALISTA ADMINISTRATIVO</v>
      </c>
      <c r="E128" s="4" t="s">
        <v>58</v>
      </c>
      <c r="F128" s="5" t="str">
        <f>IFERROR(VLOOKUP(E128,Procedimentos!A:C,2,),"")</f>
        <v>POLÍTICA DE QUALIDADE DA DIRETORIA</v>
      </c>
      <c r="G128" s="4" t="s">
        <v>22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4.25" customHeight="1">
      <c r="A129" s="4">
        <v>12555</v>
      </c>
      <c r="B129" s="4" t="str">
        <f>IFERROR(VLOOKUP(A129,Colaboradores!A:D,2,),"")</f>
        <v>HWGO AUGUSTO ALMEIDA</v>
      </c>
      <c r="C129" s="4" t="str">
        <f>IFERROR(VLOOKUP(A129,Colaboradores!A:D,3,),"")</f>
        <v>COORDENAÇÃO ADMINISTRATIVA</v>
      </c>
      <c r="D129" s="4" t="str">
        <f>IFERROR(VLOOKUP(A129,Colaboradores!A:D,4,),"")</f>
        <v>ANALISTA ADMINISTRATIVO</v>
      </c>
      <c r="E129" s="4" t="s">
        <v>19</v>
      </c>
      <c r="F129" s="5" t="str">
        <f>IFERROR(VLOOKUP(E129,Procedimentos!A:C,2,),"")</f>
        <v>DIRETRIZES PARA DOCUMENTOS NORMATIVOS</v>
      </c>
      <c r="G129" s="4" t="s">
        <v>22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4.25" customHeight="1">
      <c r="A130" s="4">
        <v>12555</v>
      </c>
      <c r="B130" s="4" t="str">
        <f>IFERROR(VLOOKUP(A130,Colaboradores!A:D,2,),"")</f>
        <v>HWGO AUGUSTO ALMEIDA</v>
      </c>
      <c r="C130" s="4" t="str">
        <f>IFERROR(VLOOKUP(A130,Colaboradores!A:D,3,),"")</f>
        <v>COORDENAÇÃO ADMINISTRATIVA</v>
      </c>
      <c r="D130" s="4" t="str">
        <f>IFERROR(VLOOKUP(A130,Colaboradores!A:D,4,),"")</f>
        <v>ANALISTA ADMINISTRATIVO</v>
      </c>
      <c r="E130" s="4" t="s">
        <v>24</v>
      </c>
      <c r="F130" s="5" t="str">
        <f>IFERROR(VLOOKUP(E130,Procedimentos!A:C,2,),"")</f>
        <v>DIRETRIZES  PARA PROGRAMA 5S</v>
      </c>
      <c r="G130" s="4" t="s">
        <v>22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4.25" customHeight="1">
      <c r="A131" s="4">
        <v>12555</v>
      </c>
      <c r="B131" s="4" t="str">
        <f>IFERROR(VLOOKUP(A131,Colaboradores!A:D,2,),"")</f>
        <v>HWGO AUGUSTO ALMEIDA</v>
      </c>
      <c r="C131" s="4" t="str">
        <f>IFERROR(VLOOKUP(A131,Colaboradores!A:D,3,),"")</f>
        <v>COORDENAÇÃO ADMINISTRATIVA</v>
      </c>
      <c r="D131" s="4" t="str">
        <f>IFERROR(VLOOKUP(A131,Colaboradores!A:D,4,),"")</f>
        <v>ANALISTA ADMINISTRATIVO</v>
      </c>
      <c r="E131" s="4" t="s">
        <v>25</v>
      </c>
      <c r="F131" s="5" t="str">
        <f>IFERROR(VLOOKUP(E131,Procedimentos!A:C,2,),"")</f>
        <v>GARANTIA DA QUALIDADE</v>
      </c>
      <c r="G131" s="4" t="s">
        <v>22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4.25" customHeight="1">
      <c r="A132" s="4">
        <v>12555</v>
      </c>
      <c r="B132" s="4" t="str">
        <f>IFERROR(VLOOKUP(A132,Colaboradores!A:D,2,),"")</f>
        <v>HWGO AUGUSTO ALMEIDA</v>
      </c>
      <c r="C132" s="4" t="str">
        <f>IFERROR(VLOOKUP(A132,Colaboradores!A:D,3,),"")</f>
        <v>COORDENAÇÃO ADMINISTRATIVA</v>
      </c>
      <c r="D132" s="4" t="str">
        <f>IFERROR(VLOOKUP(A132,Colaboradores!A:D,4,),"")</f>
        <v>ANALISTA ADMINISTRATIVO</v>
      </c>
      <c r="E132" s="4" t="s">
        <v>26</v>
      </c>
      <c r="F132" s="5" t="str">
        <f>IFERROR(VLOOKUP(E132,Procedimentos!A:C,2,),"")</f>
        <v>RESPONSABILIDADES E AUTORIDADES DO SGQ</v>
      </c>
      <c r="G132" s="4" t="s">
        <v>22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4.25" customHeight="1">
      <c r="A133" s="4">
        <v>12555</v>
      </c>
      <c r="B133" s="4" t="str">
        <f>IFERROR(VLOOKUP(A133,Colaboradores!A:D,2,),"")</f>
        <v>HWGO AUGUSTO ALMEIDA</v>
      </c>
      <c r="C133" s="4" t="str">
        <f>IFERROR(VLOOKUP(A133,Colaboradores!A:D,3,),"")</f>
        <v>COORDENAÇÃO ADMINISTRATIVA</v>
      </c>
      <c r="D133" s="4" t="str">
        <f>IFERROR(VLOOKUP(A133,Colaboradores!A:D,4,),"")</f>
        <v>ANALISTA ADMINISTRATIVO</v>
      </c>
      <c r="E133" s="4" t="s">
        <v>73</v>
      </c>
      <c r="F133" s="5" t="str">
        <f>IFERROR(VLOOKUP(E133,Procedimentos!A:C,2,),"")</f>
        <v>AQUISIÇÃO DE BENS E SERVIÇOS E AVALIAÇÃO PROVEDORES EXTERNOS</v>
      </c>
      <c r="G133" s="4" t="s">
        <v>22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4.25" customHeight="1">
      <c r="A134" s="4">
        <v>12555</v>
      </c>
      <c r="B134" s="4" t="str">
        <f>IFERROR(VLOOKUP(A134,Colaboradores!A:D,2,),"")</f>
        <v>HWGO AUGUSTO ALMEIDA</v>
      </c>
      <c r="C134" s="4" t="str">
        <f>IFERROR(VLOOKUP(A134,Colaboradores!A:D,3,),"")</f>
        <v>COORDENAÇÃO ADMINISTRATIVA</v>
      </c>
      <c r="D134" s="4" t="str">
        <f>IFERROR(VLOOKUP(A134,Colaboradores!A:D,4,),"")</f>
        <v>ANALISTA ADMINISTRATIVO</v>
      </c>
      <c r="E134" s="4" t="s">
        <v>79</v>
      </c>
      <c r="F134" s="5" t="str">
        <f>IFERROR(VLOOKUP(E134,Procedimentos!A:C,2,),"")</f>
        <v>ABERTURA DE PROCESSO DE PAGAMENTO</v>
      </c>
      <c r="G134" s="4" t="s">
        <v>22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4.25" customHeight="1">
      <c r="A135" s="4">
        <v>12555</v>
      </c>
      <c r="B135" s="4" t="str">
        <f>IFERROR(VLOOKUP(A135,Colaboradores!A:D,2,),"")</f>
        <v>HWGO AUGUSTO ALMEIDA</v>
      </c>
      <c r="C135" s="4" t="str">
        <f>IFERROR(VLOOKUP(A135,Colaboradores!A:D,3,),"")</f>
        <v>COORDENAÇÃO ADMINISTRATIVA</v>
      </c>
      <c r="D135" s="4" t="str">
        <f>IFERROR(VLOOKUP(A135,Colaboradores!A:D,4,),"")</f>
        <v>ANALISTA ADMINISTRATIVO</v>
      </c>
      <c r="E135" s="4" t="s">
        <v>48</v>
      </c>
      <c r="F135" s="5" t="str">
        <f>IFERROR(VLOOKUP(E135,Procedimentos!A:C,2,),"")</f>
        <v>POLÍTICA MEIO AMBIENTE EMSERH</v>
      </c>
      <c r="G135" s="4" t="s">
        <v>22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4.25" customHeight="1">
      <c r="A136" s="4">
        <v>12555</v>
      </c>
      <c r="B136" s="4" t="str">
        <f>IFERROR(VLOOKUP(A136,Colaboradores!A:D,2,),"")</f>
        <v>HWGO AUGUSTO ALMEIDA</v>
      </c>
      <c r="C136" s="4" t="str">
        <f>IFERROR(VLOOKUP(A136,Colaboradores!A:D,3,),"")</f>
        <v>COORDENAÇÃO ADMINISTRATIVA</v>
      </c>
      <c r="D136" s="4" t="str">
        <f>IFERROR(VLOOKUP(A136,Colaboradores!A:D,4,),"")</f>
        <v>ANALISTA ADMINISTRATIVO</v>
      </c>
      <c r="E136" s="4" t="s">
        <v>29</v>
      </c>
      <c r="F136" s="5" t="str">
        <f>IFERROR(VLOOKUP(E136,Procedimentos!A:C,2,),"")</f>
        <v>COLETA SELETIVA DESSMA</v>
      </c>
      <c r="G136" s="4" t="s">
        <v>22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4.25" customHeight="1">
      <c r="A137" s="4">
        <v>12555</v>
      </c>
      <c r="B137" s="4" t="str">
        <f>IFERROR(VLOOKUP(A137,Colaboradores!A:D,2,),"")</f>
        <v>HWGO AUGUSTO ALMEIDA</v>
      </c>
      <c r="C137" s="4" t="str">
        <f>IFERROR(VLOOKUP(A137,Colaboradores!A:D,3,),"")</f>
        <v>COORDENAÇÃO ADMINISTRATIVA</v>
      </c>
      <c r="D137" s="4" t="str">
        <f>IFERROR(VLOOKUP(A137,Colaboradores!A:D,4,),"")</f>
        <v>ANALISTA ADMINISTRATIVO</v>
      </c>
      <c r="E137" s="4" t="s">
        <v>32</v>
      </c>
      <c r="F137" s="5" t="str">
        <f>IFERROR(VLOOKUP(E137,Procedimentos!A:C,2,),"")</f>
        <v>GESTÃO DE LEVANTAMENTO DE ASPECTOS E IMPACTOS AMBIENTAIS</v>
      </c>
      <c r="G137" s="4" t="s">
        <v>22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4.25" customHeight="1">
      <c r="A138" s="4">
        <v>12555</v>
      </c>
      <c r="B138" s="4" t="str">
        <f>IFERROR(VLOOKUP(A138,Colaboradores!A:D,2,),"")</f>
        <v>HWGO AUGUSTO ALMEIDA</v>
      </c>
      <c r="C138" s="4" t="str">
        <f>IFERROR(VLOOKUP(A138,Colaboradores!A:D,3,),"")</f>
        <v>COORDENAÇÃO ADMINISTRATIVA</v>
      </c>
      <c r="D138" s="4" t="str">
        <f>IFERROR(VLOOKUP(A138,Colaboradores!A:D,4,),"")</f>
        <v>ANALISTA ADMINISTRATIVO</v>
      </c>
      <c r="E138" s="4" t="s">
        <v>31</v>
      </c>
      <c r="F138" s="5" t="str">
        <f>IFERROR(VLOOKUP(E138,Procedimentos!A:C,2,),"")</f>
        <v>GESTÃO DE COMUNICAÇÃO, CLASSIFICAÇÃO E INVESTIGAÇÃO DE OCORRÊNCIAS AMBIENTAIS</v>
      </c>
      <c r="G138" s="4" t="s">
        <v>22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4.25" customHeight="1">
      <c r="A139" s="4">
        <v>12555</v>
      </c>
      <c r="B139" s="4" t="str">
        <f>IFERROR(VLOOKUP(A139,Colaboradores!A:D,2,),"")</f>
        <v>HWGO AUGUSTO ALMEIDA</v>
      </c>
      <c r="C139" s="4" t="str">
        <f>IFERROR(VLOOKUP(A139,Colaboradores!A:D,3,),"")</f>
        <v>COORDENAÇÃO ADMINISTRATIVA</v>
      </c>
      <c r="D139" s="4" t="str">
        <f>IFERROR(VLOOKUP(A139,Colaboradores!A:D,4,),"")</f>
        <v>ANALISTA ADMINISTRATIVO</v>
      </c>
      <c r="E139" s="4" t="s">
        <v>33</v>
      </c>
      <c r="F139" s="5" t="str">
        <f>IFERROR(VLOOKUP(E139,Procedimentos!A:C,2,),"")</f>
        <v>GESTÃO DE INSPEÇÕES AMBIENTAIS</v>
      </c>
      <c r="G139" s="4" t="s">
        <v>22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4.25" customHeight="1">
      <c r="A140" s="4">
        <v>12555</v>
      </c>
      <c r="B140" s="4" t="str">
        <f>IFERROR(VLOOKUP(A140,Colaboradores!A:D,2,),"")</f>
        <v>HWGO AUGUSTO ALMEIDA</v>
      </c>
      <c r="C140" s="4" t="str">
        <f>IFERROR(VLOOKUP(A140,Colaboradores!A:D,3,),"")</f>
        <v>COORDENAÇÃO ADMINISTRATIVA</v>
      </c>
      <c r="D140" s="4" t="str">
        <f>IFERROR(VLOOKUP(A140,Colaboradores!A:D,4,),"")</f>
        <v>ANALISTA ADMINISTRATIVO</v>
      </c>
      <c r="E140" s="4" t="s">
        <v>49</v>
      </c>
      <c r="F140" s="5" t="str">
        <f>IFERROR(VLOOKUP(E140,Procedimentos!A:C,2,),"")</f>
        <v>DIRETRIZES PARA REALIZAÇÃO DE EXAMES OCUPACIONAIS</v>
      </c>
      <c r="G140" s="4" t="s">
        <v>22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4.25" customHeight="1">
      <c r="A141" s="4">
        <v>12555</v>
      </c>
      <c r="B141" s="4" t="str">
        <f>IFERROR(VLOOKUP(A141,Colaboradores!A:D,2,),"")</f>
        <v>HWGO AUGUSTO ALMEIDA</v>
      </c>
      <c r="C141" s="4" t="str">
        <f>IFERROR(VLOOKUP(A141,Colaboradores!A:D,3,),"")</f>
        <v>COORDENAÇÃO ADMINISTRATIVA</v>
      </c>
      <c r="D141" s="4" t="str">
        <f>IFERROR(VLOOKUP(A141,Colaboradores!A:D,4,),"")</f>
        <v>ANALISTA ADMINISTRATIVO</v>
      </c>
      <c r="E141" s="4" t="s">
        <v>51</v>
      </c>
      <c r="F141" s="5" t="str">
        <f>IFERROR(VLOOKUP(E141,Procedimentos!A:C,2,),"")</f>
        <v>DIRETRIZES PARA ENTREGA DE ATESTADOS MÉDICOS E ODONTOLÓGICOS</v>
      </c>
      <c r="G141" s="4" t="s">
        <v>22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4.25" customHeight="1">
      <c r="A142" s="4">
        <v>12555</v>
      </c>
      <c r="B142" s="4" t="str">
        <f>IFERROR(VLOOKUP(A142,Colaboradores!A:D,2,),"")</f>
        <v>HWGO AUGUSTO ALMEIDA</v>
      </c>
      <c r="C142" s="4" t="str">
        <f>IFERROR(VLOOKUP(A142,Colaboradores!A:D,3,),"")</f>
        <v>COORDENAÇÃO ADMINISTRATIVA</v>
      </c>
      <c r="D142" s="4" t="str">
        <f>IFERROR(VLOOKUP(A142,Colaboradores!A:D,4,),"")</f>
        <v>ANALISTA ADMINISTRATIVO</v>
      </c>
      <c r="E142" s="4" t="s">
        <v>52</v>
      </c>
      <c r="F142" s="5" t="str">
        <f>IFERROR(VLOOKUP(E142,Procedimentos!A:C,2,),"")</f>
        <v>DIRETRIZES E ACOMPANHAMENTO  DE ACIDENTE COM MATERIAL BIOLOGICO</v>
      </c>
      <c r="G142" s="4" t="s">
        <v>28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4.25" customHeight="1">
      <c r="A143" s="4">
        <v>12555</v>
      </c>
      <c r="B143" s="4" t="str">
        <f>IFERROR(VLOOKUP(A143,Colaboradores!A:D,2,),"")</f>
        <v>HWGO AUGUSTO ALMEIDA</v>
      </c>
      <c r="C143" s="4" t="str">
        <f>IFERROR(VLOOKUP(A143,Colaboradores!A:D,3,),"")</f>
        <v>COORDENAÇÃO ADMINISTRATIVA</v>
      </c>
      <c r="D143" s="4" t="str">
        <f>IFERROR(VLOOKUP(A143,Colaboradores!A:D,4,),"")</f>
        <v>ANALISTA ADMINISTRATIVO</v>
      </c>
      <c r="E143" s="4" t="s">
        <v>53</v>
      </c>
      <c r="F143" s="5" t="str">
        <f>IFERROR(VLOOKUP(E143,Procedimentos!A:C,2,),"")</f>
        <v>DIRETRIZES PARA MONITORAMENTO DE GESTANTE</v>
      </c>
      <c r="G143" s="4" t="s">
        <v>22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4.25" customHeight="1">
      <c r="A144" s="4">
        <v>12555</v>
      </c>
      <c r="B144" s="4" t="str">
        <f>IFERROR(VLOOKUP(A144,Colaboradores!A:D,2,),"")</f>
        <v>HWGO AUGUSTO ALMEIDA</v>
      </c>
      <c r="C144" s="4" t="str">
        <f>IFERROR(VLOOKUP(A144,Colaboradores!A:D,3,),"")</f>
        <v>COORDENAÇÃO ADMINISTRATIVA</v>
      </c>
      <c r="D144" s="4" t="str">
        <f>IFERROR(VLOOKUP(A144,Colaboradores!A:D,4,),"")</f>
        <v>ANALISTA ADMINISTRATIVO</v>
      </c>
      <c r="E144" s="4" t="s">
        <v>54</v>
      </c>
      <c r="F144" s="5" t="str">
        <f>IFERROR(VLOOKUP(E144,Procedimentos!A:C,2,),"")</f>
        <v>DIRETRIZES DE IMUNIZAÇÃO OCUPACIONAL</v>
      </c>
      <c r="G144" s="4" t="s">
        <v>22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4.25" customHeight="1">
      <c r="A145" s="4">
        <v>12555</v>
      </c>
      <c r="B145" s="4" t="str">
        <f>IFERROR(VLOOKUP(A145,Colaboradores!A:D,2,),"")</f>
        <v>HWGO AUGUSTO ALMEIDA</v>
      </c>
      <c r="C145" s="4" t="str">
        <f>IFERROR(VLOOKUP(A145,Colaboradores!A:D,3,),"")</f>
        <v>COORDENAÇÃO ADMINISTRATIVA</v>
      </c>
      <c r="D145" s="4" t="str">
        <f>IFERROR(VLOOKUP(A145,Colaboradores!A:D,4,),"")</f>
        <v>ANALISTA ADMINISTRATIVO</v>
      </c>
      <c r="E145" s="4" t="s">
        <v>55</v>
      </c>
      <c r="F145" s="5" t="str">
        <f>IFERROR(VLOOKUP(E145,Procedimentos!A:C,2,),"")</f>
        <v>DIRETRIZES PARA ACOMPANHAMENTO DE AFASTADOS</v>
      </c>
      <c r="G145" s="4" t="s">
        <v>22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4.25" customHeight="1">
      <c r="A146" s="4">
        <v>12555</v>
      </c>
      <c r="B146" s="4" t="str">
        <f>IFERROR(VLOOKUP(A146,Colaboradores!A:D,2,),"")</f>
        <v>HWGO AUGUSTO ALMEIDA</v>
      </c>
      <c r="C146" s="4" t="str">
        <f>IFERROR(VLOOKUP(A146,Colaboradores!A:D,3,),"")</f>
        <v>COORDENAÇÃO ADMINISTRATIVA</v>
      </c>
      <c r="D146" s="4" t="str">
        <f>IFERROR(VLOOKUP(A146,Colaboradores!A:D,4,),"")</f>
        <v>ANALISTA ADMINISTRATIVO</v>
      </c>
      <c r="E146" s="4" t="s">
        <v>46</v>
      </c>
      <c r="F146" s="5" t="str">
        <f>IFERROR(VLOOKUP(E146,Procedimentos!A:C,2,),"")</f>
        <v>POLÍTICA DE SAÚDE E SEGURANÇA DO TRABALHO EMSERH</v>
      </c>
      <c r="G146" s="4" t="s">
        <v>22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4.25" customHeight="1">
      <c r="A147" s="4">
        <v>12555</v>
      </c>
      <c r="B147" s="4" t="str">
        <f>IFERROR(VLOOKUP(A147,Colaboradores!A:D,2,),"")</f>
        <v>HWGO AUGUSTO ALMEIDA</v>
      </c>
      <c r="C147" s="4" t="str">
        <f>IFERROR(VLOOKUP(A147,Colaboradores!A:D,3,),"")</f>
        <v>COORDENAÇÃO ADMINISTRATIVA</v>
      </c>
      <c r="D147" s="4" t="str">
        <f>IFERROR(VLOOKUP(A147,Colaboradores!A:D,4,),"")</f>
        <v>ANALISTA ADMINISTRATIVO</v>
      </c>
      <c r="E147" s="4" t="s">
        <v>41</v>
      </c>
      <c r="F147" s="5" t="str">
        <f>IFERROR(VLOOKUP(E147,Procedimentos!A:C,2,),"")</f>
        <v>DIRETRIZES PARA COMUNICAÇÃO E INVESTIGAÇÃO DE ACIDENTES</v>
      </c>
      <c r="G147" s="4" t="s">
        <v>22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4.25" customHeight="1">
      <c r="A148" s="4">
        <v>12555</v>
      </c>
      <c r="B148" s="4" t="str">
        <f>IFERROR(VLOOKUP(A148,Colaboradores!A:D,2,),"")</f>
        <v>HWGO AUGUSTO ALMEIDA</v>
      </c>
      <c r="C148" s="4" t="str">
        <f>IFERROR(VLOOKUP(A148,Colaboradores!A:D,3,),"")</f>
        <v>COORDENAÇÃO ADMINISTRATIVA</v>
      </c>
      <c r="D148" s="4" t="str">
        <f>IFERROR(VLOOKUP(A148,Colaboradores!A:D,4,),"")</f>
        <v>ANALISTA ADMINISTRATIVO</v>
      </c>
      <c r="E148" s="4" t="s">
        <v>43</v>
      </c>
      <c r="F148" s="5" t="str">
        <f>IFERROR(VLOOKUP(E148,Procedimentos!A:C,2,),"")</f>
        <v>DIÁLOGO DE SAÚDE E SEGURANÇA - DSS</v>
      </c>
      <c r="G148" s="4" t="s">
        <v>22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4.25" customHeight="1">
      <c r="A149" s="4">
        <v>12555</v>
      </c>
      <c r="B149" s="4" t="str">
        <f>IFERROR(VLOOKUP(A149,Colaboradores!A:D,2,),"")</f>
        <v>HWGO AUGUSTO ALMEIDA</v>
      </c>
      <c r="C149" s="4" t="str">
        <f>IFERROR(VLOOKUP(A149,Colaboradores!A:D,3,),"")</f>
        <v>COORDENAÇÃO ADMINISTRATIVA</v>
      </c>
      <c r="D149" s="4" t="str">
        <f>IFERROR(VLOOKUP(A149,Colaboradores!A:D,4,),"")</f>
        <v>ANALISTA ADMINISTRATIVO</v>
      </c>
      <c r="E149" s="4" t="s">
        <v>44</v>
      </c>
      <c r="F149" s="5" t="str">
        <f>IFERROR(VLOOKUP(E149,Procedimentos!A:C,2,),"")</f>
        <v>DIRETRIZES PARA GESTÃO DE EQUIPAMENTOS DE PROTEÇÃO INDIVIDUAL - EPI'S</v>
      </c>
      <c r="G149" s="4" t="s">
        <v>22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4.25" customHeight="1">
      <c r="A150" s="4">
        <v>12555</v>
      </c>
      <c r="B150" s="4" t="str">
        <f>IFERROR(VLOOKUP(A150,Colaboradores!A:D,2,),"")</f>
        <v>HWGO AUGUSTO ALMEIDA</v>
      </c>
      <c r="C150" s="4" t="str">
        <f>IFERROR(VLOOKUP(A150,Colaboradores!A:D,3,),"")</f>
        <v>COORDENAÇÃO ADMINISTRATIVA</v>
      </c>
      <c r="D150" s="4" t="str">
        <f>IFERROR(VLOOKUP(A150,Colaboradores!A:D,4,),"")</f>
        <v>ANALISTA ADMINISTRATIVO</v>
      </c>
      <c r="E150" s="4" t="s">
        <v>45</v>
      </c>
      <c r="F150" s="5" t="str">
        <f>IFERROR(VLOOKUP(E150,Procedimentos!A:C,2,),"")</f>
        <v>CONSTITUIÇÃO INTERNA DE PREVENÇÃO DE ACIDENTES E DE ASSÉDIOS - CIPA</v>
      </c>
      <c r="G150" s="4" t="s">
        <v>22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4.25" customHeight="1">
      <c r="A151" s="4">
        <v>13766</v>
      </c>
      <c r="B151" s="4" t="str">
        <f>IFERROR(VLOOKUP(A151,Colaboradores!A:D,2,),"")</f>
        <v>RAIMUNDO TAVARES PESSOA</v>
      </c>
      <c r="C151" s="4" t="str">
        <f>IFERROR(VLOOKUP(A151,Colaboradores!A:D,3,),"")</f>
        <v>COORDENAÇÃO ADMINISTRATIVA</v>
      </c>
      <c r="D151" s="4" t="str">
        <f>IFERROR(VLOOKUP(A151,Colaboradores!A:D,4,),"")</f>
        <v>ANALISTA ADMINISTRATIVO</v>
      </c>
      <c r="E151" s="4" t="s">
        <v>58</v>
      </c>
      <c r="F151" s="5" t="str">
        <f>IFERROR(VLOOKUP(E151,Procedimentos!A:C,2,),"")</f>
        <v>POLÍTICA DE QUALIDADE DA DIRETORIA</v>
      </c>
      <c r="G151" s="4" t="s">
        <v>22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4.25" customHeight="1">
      <c r="A152" s="4">
        <v>13766</v>
      </c>
      <c r="B152" s="4" t="str">
        <f>IFERROR(VLOOKUP(A152,Colaboradores!A:D,2,),"")</f>
        <v>RAIMUNDO TAVARES PESSOA</v>
      </c>
      <c r="C152" s="4" t="str">
        <f>IFERROR(VLOOKUP(A152,Colaboradores!A:D,3,),"")</f>
        <v>COORDENAÇÃO ADMINISTRATIVA</v>
      </c>
      <c r="D152" s="4" t="str">
        <f>IFERROR(VLOOKUP(A152,Colaboradores!A:D,4,),"")</f>
        <v>ANALISTA ADMINISTRATIVO</v>
      </c>
      <c r="E152" s="4" t="s">
        <v>19</v>
      </c>
      <c r="F152" s="5" t="str">
        <f>IFERROR(VLOOKUP(E152,Procedimentos!A:C,2,),"")</f>
        <v>DIRETRIZES PARA DOCUMENTOS NORMATIVOS</v>
      </c>
      <c r="G152" s="4" t="s">
        <v>22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4.25" customHeight="1">
      <c r="A153" s="4">
        <v>13766</v>
      </c>
      <c r="B153" s="4" t="str">
        <f>IFERROR(VLOOKUP(A153,Colaboradores!A:D,2,),"")</f>
        <v>RAIMUNDO TAVARES PESSOA</v>
      </c>
      <c r="C153" s="4" t="str">
        <f>IFERROR(VLOOKUP(A153,Colaboradores!A:D,3,),"")</f>
        <v>COORDENAÇÃO ADMINISTRATIVA</v>
      </c>
      <c r="D153" s="4" t="str">
        <f>IFERROR(VLOOKUP(A153,Colaboradores!A:D,4,),"")</f>
        <v>ANALISTA ADMINISTRATIVO</v>
      </c>
      <c r="E153" s="4" t="s">
        <v>24</v>
      </c>
      <c r="F153" s="5" t="str">
        <f>IFERROR(VLOOKUP(E153,Procedimentos!A:C,2,),"")</f>
        <v>DIRETRIZES  PARA PROGRAMA 5S</v>
      </c>
      <c r="G153" s="4" t="s">
        <v>22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4.25" customHeight="1">
      <c r="A154" s="4">
        <v>13766</v>
      </c>
      <c r="B154" s="4" t="str">
        <f>IFERROR(VLOOKUP(A154,Colaboradores!A:D,2,),"")</f>
        <v>RAIMUNDO TAVARES PESSOA</v>
      </c>
      <c r="C154" s="4" t="str">
        <f>IFERROR(VLOOKUP(A154,Colaboradores!A:D,3,),"")</f>
        <v>COORDENAÇÃO ADMINISTRATIVA</v>
      </c>
      <c r="D154" s="4" t="str">
        <f>IFERROR(VLOOKUP(A154,Colaboradores!A:D,4,),"")</f>
        <v>ANALISTA ADMINISTRATIVO</v>
      </c>
      <c r="E154" s="4" t="s">
        <v>25</v>
      </c>
      <c r="F154" s="5" t="str">
        <f>IFERROR(VLOOKUP(E154,Procedimentos!A:C,2,),"")</f>
        <v>GARANTIA DA QUALIDADE</v>
      </c>
      <c r="G154" s="4" t="s">
        <v>22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4.25" customHeight="1">
      <c r="A155" s="4">
        <v>13766</v>
      </c>
      <c r="B155" s="4" t="str">
        <f>IFERROR(VLOOKUP(A155,Colaboradores!A:D,2,),"")</f>
        <v>RAIMUNDO TAVARES PESSOA</v>
      </c>
      <c r="C155" s="4" t="str">
        <f>IFERROR(VLOOKUP(A155,Colaboradores!A:D,3,),"")</f>
        <v>COORDENAÇÃO ADMINISTRATIVA</v>
      </c>
      <c r="D155" s="4" t="str">
        <f>IFERROR(VLOOKUP(A155,Colaboradores!A:D,4,),"")</f>
        <v>ANALISTA ADMINISTRATIVO</v>
      </c>
      <c r="E155" s="4" t="s">
        <v>26</v>
      </c>
      <c r="F155" s="5" t="str">
        <f>IFERROR(VLOOKUP(E155,Procedimentos!A:C,2,),"")</f>
        <v>RESPONSABILIDADES E AUTORIDADES DO SGQ</v>
      </c>
      <c r="G155" s="4" t="s">
        <v>22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4.25" customHeight="1">
      <c r="A156" s="4">
        <v>13766</v>
      </c>
      <c r="B156" s="4" t="str">
        <f>IFERROR(VLOOKUP(A156,Colaboradores!A:D,2,),"")</f>
        <v>RAIMUNDO TAVARES PESSOA</v>
      </c>
      <c r="C156" s="4" t="str">
        <f>IFERROR(VLOOKUP(A156,Colaboradores!A:D,3,),"")</f>
        <v>COORDENAÇÃO ADMINISTRATIVA</v>
      </c>
      <c r="D156" s="4" t="str">
        <f>IFERROR(VLOOKUP(A156,Colaboradores!A:D,4,),"")</f>
        <v>ANALISTA ADMINISTRATIVO</v>
      </c>
      <c r="E156" s="4" t="s">
        <v>73</v>
      </c>
      <c r="F156" s="5" t="str">
        <f>IFERROR(VLOOKUP(E156,Procedimentos!A:C,2,),"")</f>
        <v>AQUISIÇÃO DE BENS E SERVIÇOS E AVALIAÇÃO PROVEDORES EXTERNOS</v>
      </c>
      <c r="G156" s="4" t="s">
        <v>22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4.25" customHeight="1">
      <c r="A157" s="4">
        <v>13766</v>
      </c>
      <c r="B157" s="4" t="str">
        <f>IFERROR(VLOOKUP(A157,Colaboradores!A:D,2,),"")</f>
        <v>RAIMUNDO TAVARES PESSOA</v>
      </c>
      <c r="C157" s="4" t="str">
        <f>IFERROR(VLOOKUP(A157,Colaboradores!A:D,3,),"")</f>
        <v>COORDENAÇÃO ADMINISTRATIVA</v>
      </c>
      <c r="D157" s="4" t="str">
        <f>IFERROR(VLOOKUP(A157,Colaboradores!A:D,4,),"")</f>
        <v>ANALISTA ADMINISTRATIVO</v>
      </c>
      <c r="E157" s="4" t="s">
        <v>79</v>
      </c>
      <c r="F157" s="5" t="str">
        <f>IFERROR(VLOOKUP(E157,Procedimentos!A:C,2,),"")</f>
        <v>ABERTURA DE PROCESSO DE PAGAMENTO</v>
      </c>
      <c r="G157" s="4" t="s">
        <v>22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4.25" customHeight="1">
      <c r="A158" s="4">
        <v>13766</v>
      </c>
      <c r="B158" s="4" t="str">
        <f>IFERROR(VLOOKUP(A158,Colaboradores!A:D,2,),"")</f>
        <v>RAIMUNDO TAVARES PESSOA</v>
      </c>
      <c r="C158" s="4" t="str">
        <f>IFERROR(VLOOKUP(A158,Colaboradores!A:D,3,),"")</f>
        <v>COORDENAÇÃO ADMINISTRATIVA</v>
      </c>
      <c r="D158" s="4" t="str">
        <f>IFERROR(VLOOKUP(A158,Colaboradores!A:D,4,),"")</f>
        <v>ANALISTA ADMINISTRATIVO</v>
      </c>
      <c r="E158" s="4" t="s">
        <v>48</v>
      </c>
      <c r="F158" s="5" t="str">
        <f>IFERROR(VLOOKUP(E158,Procedimentos!A:C,2,),"")</f>
        <v>POLÍTICA MEIO AMBIENTE EMSERH</v>
      </c>
      <c r="G158" s="4" t="s">
        <v>22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4.25" customHeight="1">
      <c r="A159" s="4">
        <v>13766</v>
      </c>
      <c r="B159" s="4" t="str">
        <f>IFERROR(VLOOKUP(A159,Colaboradores!A:D,2,),"")</f>
        <v>RAIMUNDO TAVARES PESSOA</v>
      </c>
      <c r="C159" s="4" t="str">
        <f>IFERROR(VLOOKUP(A159,Colaboradores!A:D,3,),"")</f>
        <v>COORDENAÇÃO ADMINISTRATIVA</v>
      </c>
      <c r="D159" s="4" t="str">
        <f>IFERROR(VLOOKUP(A159,Colaboradores!A:D,4,),"")</f>
        <v>ANALISTA ADMINISTRATIVO</v>
      </c>
      <c r="E159" s="4" t="s">
        <v>29</v>
      </c>
      <c r="F159" s="5" t="str">
        <f>IFERROR(VLOOKUP(E159,Procedimentos!A:C,2,),"")</f>
        <v>COLETA SELETIVA DESSMA</v>
      </c>
      <c r="G159" s="4" t="s">
        <v>22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4.25" customHeight="1">
      <c r="A160" s="4">
        <v>13766</v>
      </c>
      <c r="B160" s="4" t="str">
        <f>IFERROR(VLOOKUP(A160,Colaboradores!A:D,2,),"")</f>
        <v>RAIMUNDO TAVARES PESSOA</v>
      </c>
      <c r="C160" s="4" t="str">
        <f>IFERROR(VLOOKUP(A160,Colaboradores!A:D,3,),"")</f>
        <v>COORDENAÇÃO ADMINISTRATIVA</v>
      </c>
      <c r="D160" s="4" t="str">
        <f>IFERROR(VLOOKUP(A160,Colaboradores!A:D,4,),"")</f>
        <v>ANALISTA ADMINISTRATIVO</v>
      </c>
      <c r="E160" s="4" t="s">
        <v>32</v>
      </c>
      <c r="F160" s="5" t="str">
        <f>IFERROR(VLOOKUP(E160,Procedimentos!A:C,2,),"")</f>
        <v>GESTÃO DE LEVANTAMENTO DE ASPECTOS E IMPACTOS AMBIENTAIS</v>
      </c>
      <c r="G160" s="4" t="s">
        <v>22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4.25" customHeight="1">
      <c r="A161" s="4">
        <v>13766</v>
      </c>
      <c r="B161" s="4" t="str">
        <f>IFERROR(VLOOKUP(A161,Colaboradores!A:D,2,),"")</f>
        <v>RAIMUNDO TAVARES PESSOA</v>
      </c>
      <c r="C161" s="4" t="str">
        <f>IFERROR(VLOOKUP(A161,Colaboradores!A:D,3,),"")</f>
        <v>COORDENAÇÃO ADMINISTRATIVA</v>
      </c>
      <c r="D161" s="4" t="str">
        <f>IFERROR(VLOOKUP(A161,Colaboradores!A:D,4,),"")</f>
        <v>ANALISTA ADMINISTRATIVO</v>
      </c>
      <c r="E161" s="4" t="s">
        <v>31</v>
      </c>
      <c r="F161" s="5" t="str">
        <f>IFERROR(VLOOKUP(E161,Procedimentos!A:C,2,),"")</f>
        <v>GESTÃO DE COMUNICAÇÃO, CLASSIFICAÇÃO E INVESTIGAÇÃO DE OCORRÊNCIAS AMBIENTAIS</v>
      </c>
      <c r="G161" s="4" t="s">
        <v>22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4.25" customHeight="1">
      <c r="A162" s="4">
        <v>13766</v>
      </c>
      <c r="B162" s="4" t="str">
        <f>IFERROR(VLOOKUP(A162,Colaboradores!A:D,2,),"")</f>
        <v>RAIMUNDO TAVARES PESSOA</v>
      </c>
      <c r="C162" s="4" t="str">
        <f>IFERROR(VLOOKUP(A162,Colaboradores!A:D,3,),"")</f>
        <v>COORDENAÇÃO ADMINISTRATIVA</v>
      </c>
      <c r="D162" s="4" t="str">
        <f>IFERROR(VLOOKUP(A162,Colaboradores!A:D,4,),"")</f>
        <v>ANALISTA ADMINISTRATIVO</v>
      </c>
      <c r="E162" s="4" t="s">
        <v>33</v>
      </c>
      <c r="F162" s="5" t="str">
        <f>IFERROR(VLOOKUP(E162,Procedimentos!A:C,2,),"")</f>
        <v>GESTÃO DE INSPEÇÕES AMBIENTAIS</v>
      </c>
      <c r="G162" s="4" t="s">
        <v>22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4.25" customHeight="1">
      <c r="A163" s="4">
        <v>13766</v>
      </c>
      <c r="B163" s="4" t="str">
        <f>IFERROR(VLOOKUP(A163,Colaboradores!A:D,2,),"")</f>
        <v>RAIMUNDO TAVARES PESSOA</v>
      </c>
      <c r="C163" s="4" t="str">
        <f>IFERROR(VLOOKUP(A163,Colaboradores!A:D,3,),"")</f>
        <v>COORDENAÇÃO ADMINISTRATIVA</v>
      </c>
      <c r="D163" s="4" t="str">
        <f>IFERROR(VLOOKUP(A163,Colaboradores!A:D,4,),"")</f>
        <v>ANALISTA ADMINISTRATIVO</v>
      </c>
      <c r="E163" s="4" t="s">
        <v>49</v>
      </c>
      <c r="F163" s="5" t="str">
        <f>IFERROR(VLOOKUP(E163,Procedimentos!A:C,2,),"")</f>
        <v>DIRETRIZES PARA REALIZAÇÃO DE EXAMES OCUPACIONAIS</v>
      </c>
      <c r="G163" s="4" t="s">
        <v>22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4.25" customHeight="1">
      <c r="A164" s="4">
        <v>13766</v>
      </c>
      <c r="B164" s="4" t="str">
        <f>IFERROR(VLOOKUP(A164,Colaboradores!A:D,2,),"")</f>
        <v>RAIMUNDO TAVARES PESSOA</v>
      </c>
      <c r="C164" s="4" t="str">
        <f>IFERROR(VLOOKUP(A164,Colaboradores!A:D,3,),"")</f>
        <v>COORDENAÇÃO ADMINISTRATIVA</v>
      </c>
      <c r="D164" s="4" t="str">
        <f>IFERROR(VLOOKUP(A164,Colaboradores!A:D,4,),"")</f>
        <v>ANALISTA ADMINISTRATIVO</v>
      </c>
      <c r="E164" s="4" t="s">
        <v>51</v>
      </c>
      <c r="F164" s="5" t="str">
        <f>IFERROR(VLOOKUP(E164,Procedimentos!A:C,2,),"")</f>
        <v>DIRETRIZES PARA ENTREGA DE ATESTADOS MÉDICOS E ODONTOLÓGICOS</v>
      </c>
      <c r="G164" s="4" t="s">
        <v>22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4.25" customHeight="1">
      <c r="A165" s="4">
        <v>13766</v>
      </c>
      <c r="B165" s="4" t="str">
        <f>IFERROR(VLOOKUP(A165,Colaboradores!A:D,2,),"")</f>
        <v>RAIMUNDO TAVARES PESSOA</v>
      </c>
      <c r="C165" s="4" t="str">
        <f>IFERROR(VLOOKUP(A165,Colaboradores!A:D,3,),"")</f>
        <v>COORDENAÇÃO ADMINISTRATIVA</v>
      </c>
      <c r="D165" s="4" t="str">
        <f>IFERROR(VLOOKUP(A165,Colaboradores!A:D,4,),"")</f>
        <v>ANALISTA ADMINISTRATIVO</v>
      </c>
      <c r="E165" s="4" t="s">
        <v>52</v>
      </c>
      <c r="F165" s="5" t="str">
        <f>IFERROR(VLOOKUP(E165,Procedimentos!A:C,2,),"")</f>
        <v>DIRETRIZES E ACOMPANHAMENTO  DE ACIDENTE COM MATERIAL BIOLOGICO</v>
      </c>
      <c r="G165" s="4" t="s">
        <v>28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4.25" customHeight="1">
      <c r="A166" s="4">
        <v>13766</v>
      </c>
      <c r="B166" s="4" t="str">
        <f>IFERROR(VLOOKUP(A166,Colaboradores!A:D,2,),"")</f>
        <v>RAIMUNDO TAVARES PESSOA</v>
      </c>
      <c r="C166" s="4" t="str">
        <f>IFERROR(VLOOKUP(A166,Colaboradores!A:D,3,),"")</f>
        <v>COORDENAÇÃO ADMINISTRATIVA</v>
      </c>
      <c r="D166" s="4" t="str">
        <f>IFERROR(VLOOKUP(A166,Colaboradores!A:D,4,),"")</f>
        <v>ANALISTA ADMINISTRATIVO</v>
      </c>
      <c r="E166" s="4" t="s">
        <v>53</v>
      </c>
      <c r="F166" s="5" t="str">
        <f>IFERROR(VLOOKUP(E166,Procedimentos!A:C,2,),"")</f>
        <v>DIRETRIZES PARA MONITORAMENTO DE GESTANTE</v>
      </c>
      <c r="G166" s="4" t="s">
        <v>22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4.25" customHeight="1">
      <c r="A167" s="4">
        <v>13766</v>
      </c>
      <c r="B167" s="4" t="str">
        <f>IFERROR(VLOOKUP(A167,Colaboradores!A:D,2,),"")</f>
        <v>RAIMUNDO TAVARES PESSOA</v>
      </c>
      <c r="C167" s="4" t="str">
        <f>IFERROR(VLOOKUP(A167,Colaboradores!A:D,3,),"")</f>
        <v>COORDENAÇÃO ADMINISTRATIVA</v>
      </c>
      <c r="D167" s="4" t="str">
        <f>IFERROR(VLOOKUP(A167,Colaboradores!A:D,4,),"")</f>
        <v>ANALISTA ADMINISTRATIVO</v>
      </c>
      <c r="E167" s="4" t="s">
        <v>54</v>
      </c>
      <c r="F167" s="5" t="str">
        <f>IFERROR(VLOOKUP(E167,Procedimentos!A:C,2,),"")</f>
        <v>DIRETRIZES DE IMUNIZAÇÃO OCUPACIONAL</v>
      </c>
      <c r="G167" s="4" t="s">
        <v>22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4.25" customHeight="1">
      <c r="A168" s="4">
        <v>13766</v>
      </c>
      <c r="B168" s="4" t="str">
        <f>IFERROR(VLOOKUP(A168,Colaboradores!A:D,2,),"")</f>
        <v>RAIMUNDO TAVARES PESSOA</v>
      </c>
      <c r="C168" s="4" t="str">
        <f>IFERROR(VLOOKUP(A168,Colaboradores!A:D,3,),"")</f>
        <v>COORDENAÇÃO ADMINISTRATIVA</v>
      </c>
      <c r="D168" s="4" t="str">
        <f>IFERROR(VLOOKUP(A168,Colaboradores!A:D,4,),"")</f>
        <v>ANALISTA ADMINISTRATIVO</v>
      </c>
      <c r="E168" s="4" t="s">
        <v>55</v>
      </c>
      <c r="F168" s="5" t="str">
        <f>IFERROR(VLOOKUP(E168,Procedimentos!A:C,2,),"")</f>
        <v>DIRETRIZES PARA ACOMPANHAMENTO DE AFASTADOS</v>
      </c>
      <c r="G168" s="4" t="s">
        <v>22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4.25" customHeight="1">
      <c r="A169" s="4">
        <v>13766</v>
      </c>
      <c r="B169" s="4" t="str">
        <f>IFERROR(VLOOKUP(A169,Colaboradores!A:D,2,),"")</f>
        <v>RAIMUNDO TAVARES PESSOA</v>
      </c>
      <c r="C169" s="4" t="str">
        <f>IFERROR(VLOOKUP(A169,Colaboradores!A:D,3,),"")</f>
        <v>COORDENAÇÃO ADMINISTRATIVA</v>
      </c>
      <c r="D169" s="4" t="str">
        <f>IFERROR(VLOOKUP(A169,Colaboradores!A:D,4,),"")</f>
        <v>ANALISTA ADMINISTRATIVO</v>
      </c>
      <c r="E169" s="4" t="s">
        <v>46</v>
      </c>
      <c r="F169" s="5" t="str">
        <f>IFERROR(VLOOKUP(E169,Procedimentos!A:C,2,),"")</f>
        <v>POLÍTICA DE SAÚDE E SEGURANÇA DO TRABALHO EMSERH</v>
      </c>
      <c r="G169" s="4" t="s">
        <v>22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4.25" customHeight="1">
      <c r="A170" s="4">
        <v>13766</v>
      </c>
      <c r="B170" s="4" t="str">
        <f>IFERROR(VLOOKUP(A170,Colaboradores!A:D,2,),"")</f>
        <v>RAIMUNDO TAVARES PESSOA</v>
      </c>
      <c r="C170" s="4" t="str">
        <f>IFERROR(VLOOKUP(A170,Colaboradores!A:D,3,),"")</f>
        <v>COORDENAÇÃO ADMINISTRATIVA</v>
      </c>
      <c r="D170" s="4" t="str">
        <f>IFERROR(VLOOKUP(A170,Colaboradores!A:D,4,),"")</f>
        <v>ANALISTA ADMINISTRATIVO</v>
      </c>
      <c r="E170" s="4" t="s">
        <v>41</v>
      </c>
      <c r="F170" s="5" t="str">
        <f>IFERROR(VLOOKUP(E170,Procedimentos!A:C,2,),"")</f>
        <v>DIRETRIZES PARA COMUNICAÇÃO E INVESTIGAÇÃO DE ACIDENTES</v>
      </c>
      <c r="G170" s="4" t="s">
        <v>22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4.25" customHeight="1">
      <c r="A171" s="4">
        <v>13766</v>
      </c>
      <c r="B171" s="4" t="str">
        <f>IFERROR(VLOOKUP(A171,Colaboradores!A:D,2,),"")</f>
        <v>RAIMUNDO TAVARES PESSOA</v>
      </c>
      <c r="C171" s="4" t="str">
        <f>IFERROR(VLOOKUP(A171,Colaboradores!A:D,3,),"")</f>
        <v>COORDENAÇÃO ADMINISTRATIVA</v>
      </c>
      <c r="D171" s="4" t="str">
        <f>IFERROR(VLOOKUP(A171,Colaboradores!A:D,4,),"")</f>
        <v>ANALISTA ADMINISTRATIVO</v>
      </c>
      <c r="E171" s="4" t="s">
        <v>43</v>
      </c>
      <c r="F171" s="5" t="str">
        <f>IFERROR(VLOOKUP(E171,Procedimentos!A:C,2,),"")</f>
        <v>DIÁLOGO DE SAÚDE E SEGURANÇA - DSS</v>
      </c>
      <c r="G171" s="4" t="s">
        <v>22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4.25" customHeight="1">
      <c r="A172" s="4">
        <v>13766</v>
      </c>
      <c r="B172" s="4" t="str">
        <f>IFERROR(VLOOKUP(A172,Colaboradores!A:D,2,),"")</f>
        <v>RAIMUNDO TAVARES PESSOA</v>
      </c>
      <c r="C172" s="4" t="str">
        <f>IFERROR(VLOOKUP(A172,Colaboradores!A:D,3,),"")</f>
        <v>COORDENAÇÃO ADMINISTRATIVA</v>
      </c>
      <c r="D172" s="4" t="str">
        <f>IFERROR(VLOOKUP(A172,Colaboradores!A:D,4,),"")</f>
        <v>ANALISTA ADMINISTRATIVO</v>
      </c>
      <c r="E172" s="4" t="s">
        <v>44</v>
      </c>
      <c r="F172" s="5" t="str">
        <f>IFERROR(VLOOKUP(E172,Procedimentos!A:C,2,),"")</f>
        <v>DIRETRIZES PARA GESTÃO DE EQUIPAMENTOS DE PROTEÇÃO INDIVIDUAL - EPI'S</v>
      </c>
      <c r="G172" s="4" t="s">
        <v>22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4.25" customHeight="1">
      <c r="A173" s="4">
        <v>13766</v>
      </c>
      <c r="B173" s="4" t="str">
        <f>IFERROR(VLOOKUP(A173,Colaboradores!A:D,2,),"")</f>
        <v>RAIMUNDO TAVARES PESSOA</v>
      </c>
      <c r="C173" s="4" t="str">
        <f>IFERROR(VLOOKUP(A173,Colaboradores!A:D,3,),"")</f>
        <v>COORDENAÇÃO ADMINISTRATIVA</v>
      </c>
      <c r="D173" s="4" t="str">
        <f>IFERROR(VLOOKUP(A173,Colaboradores!A:D,4,),"")</f>
        <v>ANALISTA ADMINISTRATIVO</v>
      </c>
      <c r="E173" s="4" t="s">
        <v>45</v>
      </c>
      <c r="F173" s="5" t="str">
        <f>IFERROR(VLOOKUP(E173,Procedimentos!A:C,2,),"")</f>
        <v>CONSTITUIÇÃO INTERNA DE PREVENÇÃO DE ACIDENTES E DE ASSÉDIOS - CIPA</v>
      </c>
      <c r="G173" s="4" t="s">
        <v>22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4.25" customHeight="1">
      <c r="A174" s="4">
        <v>15023</v>
      </c>
      <c r="B174" s="4" t="str">
        <f>IFERROR(VLOOKUP(A174,Colaboradores!A:D,2,),"")</f>
        <v>DANIEL ELISON GUSMÃO PEREIRA</v>
      </c>
      <c r="C174" s="4" t="str">
        <f>IFERROR(VLOOKUP(A174,Colaboradores!A:D,3,),"")</f>
        <v>GESTÃO INTEGRADA</v>
      </c>
      <c r="D174" s="4" t="str">
        <f>IFERROR(VLOOKUP(A174,Colaboradores!A:D,4,),"")</f>
        <v>ASSISTENTE ADMINISTRATIVO</v>
      </c>
      <c r="E174" s="4" t="s">
        <v>58</v>
      </c>
      <c r="F174" s="5" t="str">
        <f>IFERROR(VLOOKUP(E174,Procedimentos!A:C,2,),"")</f>
        <v>POLÍTICA DE QUALIDADE DA DIRETORIA</v>
      </c>
      <c r="G174" s="4" t="s">
        <v>22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4.25" customHeight="1">
      <c r="A175" s="4">
        <v>15023</v>
      </c>
      <c r="B175" s="4" t="str">
        <f>IFERROR(VLOOKUP(A175,Colaboradores!A:D,2,),"")</f>
        <v>DANIEL ELISON GUSMÃO PEREIRA</v>
      </c>
      <c r="C175" s="4" t="str">
        <f>IFERROR(VLOOKUP(A175,Colaboradores!A:D,3,),"")</f>
        <v>GESTÃO INTEGRADA</v>
      </c>
      <c r="D175" s="4" t="str">
        <f>IFERROR(VLOOKUP(A175,Colaboradores!A:D,4,),"")</f>
        <v>ASSISTENTE ADMINISTRATIVO</v>
      </c>
      <c r="E175" s="4" t="s">
        <v>19</v>
      </c>
      <c r="F175" s="5" t="str">
        <f>IFERROR(VLOOKUP(E175,Procedimentos!A:C,2,),"")</f>
        <v>DIRETRIZES PARA DOCUMENTOS NORMATIVOS</v>
      </c>
      <c r="G175" s="4" t="s">
        <v>22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4.25" customHeight="1">
      <c r="A176" s="4">
        <v>15023</v>
      </c>
      <c r="B176" s="4" t="str">
        <f>IFERROR(VLOOKUP(A176,Colaboradores!A:D,2,),"")</f>
        <v>DANIEL ELISON GUSMÃO PEREIRA</v>
      </c>
      <c r="C176" s="4" t="str">
        <f>IFERROR(VLOOKUP(A176,Colaboradores!A:D,3,),"")</f>
        <v>GESTÃO INTEGRADA</v>
      </c>
      <c r="D176" s="4" t="str">
        <f>IFERROR(VLOOKUP(A176,Colaboradores!A:D,4,),"")</f>
        <v>ASSISTENTE ADMINISTRATIVO</v>
      </c>
      <c r="E176" s="4" t="s">
        <v>24</v>
      </c>
      <c r="F176" s="5" t="str">
        <f>IFERROR(VLOOKUP(E176,Procedimentos!A:C,2,),"")</f>
        <v>DIRETRIZES  PARA PROGRAMA 5S</v>
      </c>
      <c r="G176" s="4" t="s">
        <v>22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4.25" customHeight="1">
      <c r="A177" s="4">
        <v>15023</v>
      </c>
      <c r="B177" s="4" t="str">
        <f>IFERROR(VLOOKUP(A177,Colaboradores!A:D,2,),"")</f>
        <v>DANIEL ELISON GUSMÃO PEREIRA</v>
      </c>
      <c r="C177" s="4" t="str">
        <f>IFERROR(VLOOKUP(A177,Colaboradores!A:D,3,),"")</f>
        <v>GESTÃO INTEGRADA</v>
      </c>
      <c r="D177" s="4" t="str">
        <f>IFERROR(VLOOKUP(A177,Colaboradores!A:D,4,),"")</f>
        <v>ASSISTENTE ADMINISTRATIVO</v>
      </c>
      <c r="E177" s="4" t="s">
        <v>67</v>
      </c>
      <c r="F177" s="5" t="str">
        <f>IFERROR(VLOOKUP(E177,Procedimentos!A:C,2,),"")</f>
        <v>SISTEMATICA DE ROTINA DE REUNIÕES DA DESSMA</v>
      </c>
      <c r="G177" s="4" t="s">
        <v>22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4.25" customHeight="1">
      <c r="A178" s="4">
        <v>15023</v>
      </c>
      <c r="B178" s="4" t="str">
        <f>IFERROR(VLOOKUP(A178,Colaboradores!A:D,2,),"")</f>
        <v>DANIEL ELISON GUSMÃO PEREIRA</v>
      </c>
      <c r="C178" s="4" t="str">
        <f>IFERROR(VLOOKUP(A178,Colaboradores!A:D,3,),"")</f>
        <v>GESTÃO INTEGRADA</v>
      </c>
      <c r="D178" s="4" t="str">
        <f>IFERROR(VLOOKUP(A178,Colaboradores!A:D,4,),"")</f>
        <v>ASSISTENTE ADMINISTRATIVO</v>
      </c>
      <c r="E178" s="4" t="s">
        <v>25</v>
      </c>
      <c r="F178" s="5" t="str">
        <f>IFERROR(VLOOKUP(E178,Procedimentos!A:C,2,),"")</f>
        <v>GARANTIA DA QUALIDADE</v>
      </c>
      <c r="G178" s="4" t="s">
        <v>22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4.25" customHeight="1">
      <c r="A179" s="4">
        <v>15023</v>
      </c>
      <c r="B179" s="4" t="str">
        <f>IFERROR(VLOOKUP(A179,Colaboradores!A:D,2,),"")</f>
        <v>DANIEL ELISON GUSMÃO PEREIRA</v>
      </c>
      <c r="C179" s="4" t="str">
        <f>IFERROR(VLOOKUP(A179,Colaboradores!A:D,3,),"")</f>
        <v>GESTÃO INTEGRADA</v>
      </c>
      <c r="D179" s="4" t="str">
        <f>IFERROR(VLOOKUP(A179,Colaboradores!A:D,4,),"")</f>
        <v>ASSISTENTE ADMINISTRATIVO</v>
      </c>
      <c r="E179" s="4" t="s">
        <v>68</v>
      </c>
      <c r="F179" s="5" t="str">
        <f>IFERROR(VLOOKUP(E179,Procedimentos!A:C,2,),"")</f>
        <v>GESTÃO INDICADORES</v>
      </c>
      <c r="G179" s="4" t="s">
        <v>22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4.25" customHeight="1">
      <c r="A180" s="4">
        <v>15023</v>
      </c>
      <c r="B180" s="4" t="str">
        <f>IFERROR(VLOOKUP(A180,Colaboradores!A:D,2,),"")</f>
        <v>DANIEL ELISON GUSMÃO PEREIRA</v>
      </c>
      <c r="C180" s="4" t="str">
        <f>IFERROR(VLOOKUP(A180,Colaboradores!A:D,3,),"")</f>
        <v>GESTÃO INTEGRADA</v>
      </c>
      <c r="D180" s="4" t="str">
        <f>IFERROR(VLOOKUP(A180,Colaboradores!A:D,4,),"")</f>
        <v>ASSISTENTE ADMINISTRATIVO</v>
      </c>
      <c r="E180" s="4" t="s">
        <v>26</v>
      </c>
      <c r="F180" s="5" t="str">
        <f>IFERROR(VLOOKUP(E180,Procedimentos!A:C,2,),"")</f>
        <v>RESPONSABILIDADES E AUTORIDADES DO SGQ</v>
      </c>
      <c r="G180" s="4" t="s">
        <v>22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4.25" customHeight="1">
      <c r="A181" s="4">
        <v>15023</v>
      </c>
      <c r="B181" s="4" t="str">
        <f>IFERROR(VLOOKUP(A181,Colaboradores!A:D,2,),"")</f>
        <v>DANIEL ELISON GUSMÃO PEREIRA</v>
      </c>
      <c r="C181" s="4" t="str">
        <f>IFERROR(VLOOKUP(A181,Colaboradores!A:D,3,),"")</f>
        <v>GESTÃO INTEGRADA</v>
      </c>
      <c r="D181" s="4" t="str">
        <f>IFERROR(VLOOKUP(A181,Colaboradores!A:D,4,),"")</f>
        <v>ASSISTENTE ADMINISTRATIVO</v>
      </c>
      <c r="E181" s="4" t="s">
        <v>69</v>
      </c>
      <c r="F181" s="5" t="str">
        <f>IFERROR(VLOOKUP(E181,Procedimentos!A:C,2,),"")</f>
        <v>PROCEDIMENTO GESTÃO DE MUDANÇA SGQ</v>
      </c>
      <c r="G181" s="4" t="s">
        <v>22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4.25" customHeight="1">
      <c r="A182" s="4">
        <v>15023</v>
      </c>
      <c r="B182" s="4" t="str">
        <f>IFERROR(VLOOKUP(A182,Colaboradores!A:D,2,),"")</f>
        <v>DANIEL ELISON GUSMÃO PEREIRA</v>
      </c>
      <c r="C182" s="4" t="str">
        <f>IFERROR(VLOOKUP(A182,Colaboradores!A:D,3,),"")</f>
        <v>GESTÃO INTEGRADA</v>
      </c>
      <c r="D182" s="4" t="str">
        <f>IFERROR(VLOOKUP(A182,Colaboradores!A:D,4,),"")</f>
        <v>ASSISTENTE ADMINISTRATIVO</v>
      </c>
      <c r="E182" s="4" t="s">
        <v>48</v>
      </c>
      <c r="F182" s="5" t="str">
        <f>IFERROR(VLOOKUP(E182,Procedimentos!A:C,2,),"")</f>
        <v>POLÍTICA MEIO AMBIENTE EMSERH</v>
      </c>
      <c r="G182" s="4" t="s">
        <v>22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4.25" customHeight="1">
      <c r="A183" s="4">
        <v>15023</v>
      </c>
      <c r="B183" s="4" t="str">
        <f>IFERROR(VLOOKUP(A183,Colaboradores!A:D,2,),"")</f>
        <v>DANIEL ELISON GUSMÃO PEREIRA</v>
      </c>
      <c r="C183" s="4" t="str">
        <f>IFERROR(VLOOKUP(A183,Colaboradores!A:D,3,),"")</f>
        <v>GESTÃO INTEGRADA</v>
      </c>
      <c r="D183" s="4" t="str">
        <f>IFERROR(VLOOKUP(A183,Colaboradores!A:D,4,),"")</f>
        <v>ASSISTENTE ADMINISTRATIVO</v>
      </c>
      <c r="E183" s="4" t="s">
        <v>64</v>
      </c>
      <c r="F183" s="5" t="str">
        <f>IFERROR(VLOOKUP(E183,Procedimentos!A:C,2,),"")</f>
        <v>AVALIAÇÃO DESEMPENHO</v>
      </c>
      <c r="G183" s="4" t="s">
        <v>22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4.25" customHeight="1">
      <c r="A184" s="4">
        <v>15023</v>
      </c>
      <c r="B184" s="4" t="str">
        <f>IFERROR(VLOOKUP(A184,Colaboradores!A:D,2,),"")</f>
        <v>DANIEL ELISON GUSMÃO PEREIRA</v>
      </c>
      <c r="C184" s="4" t="str">
        <f>IFERROR(VLOOKUP(A184,Colaboradores!A:D,3,),"")</f>
        <v>GESTÃO INTEGRADA</v>
      </c>
      <c r="D184" s="4" t="str">
        <f>IFERROR(VLOOKUP(A184,Colaboradores!A:D,4,),"")</f>
        <v>ASSISTENTE ADMINISTRATIVO</v>
      </c>
      <c r="E184" s="4" t="s">
        <v>73</v>
      </c>
      <c r="F184" s="9" t="str">
        <f>IFERROR(VLOOKUP(E184,Procedimentos!A:C,2,),"")</f>
        <v>AQUISIÇÃO DE BENS E SERVIÇOS E AVALIAÇÃO PROVEDORES EXTERNOS</v>
      </c>
      <c r="G184" s="4" t="s">
        <v>22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4">
        <v>15023</v>
      </c>
      <c r="B185" s="4" t="str">
        <f>IFERROR(VLOOKUP(A185,Colaboradores!A:D,2,),"")</f>
        <v>DANIEL ELISON GUSMÃO PEREIRA</v>
      </c>
      <c r="C185" s="4" t="str">
        <f>IFERROR(VLOOKUP(A185,Colaboradores!A:D,3,),"")</f>
        <v>GESTÃO INTEGRADA</v>
      </c>
      <c r="D185" s="4" t="str">
        <f>IFERROR(VLOOKUP(A185,Colaboradores!A:D,4,),"")</f>
        <v>ASSISTENTE ADMINISTRATIVO</v>
      </c>
      <c r="E185" s="4" t="s">
        <v>48</v>
      </c>
      <c r="F185" s="5" t="str">
        <f>IFERROR(VLOOKUP(E185,Procedimentos!A:C,2,),"")</f>
        <v>POLÍTICA MEIO AMBIENTE EMSERH</v>
      </c>
      <c r="G185" s="4" t="s">
        <v>22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4.25" customHeight="1">
      <c r="A186" s="4">
        <v>15023</v>
      </c>
      <c r="B186" s="4" t="str">
        <f>IFERROR(VLOOKUP(A186,Colaboradores!A:D,2,),"")</f>
        <v>DANIEL ELISON GUSMÃO PEREIRA</v>
      </c>
      <c r="C186" s="4" t="str">
        <f>IFERROR(VLOOKUP(A186,Colaboradores!A:D,3,),"")</f>
        <v>GESTÃO INTEGRADA</v>
      </c>
      <c r="D186" s="4" t="str">
        <f>IFERROR(VLOOKUP(A186,Colaboradores!A:D,4,),"")</f>
        <v>ASSISTENTE ADMINISTRATIVO</v>
      </c>
      <c r="E186" s="4" t="s">
        <v>29</v>
      </c>
      <c r="F186" s="5" t="str">
        <f>IFERROR(VLOOKUP(E186,Procedimentos!A:C,2,),"")</f>
        <v>COLETA SELETIVA DESSMA</v>
      </c>
      <c r="G186" s="4" t="s">
        <v>22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4.25" customHeight="1">
      <c r="A187" s="4">
        <v>15023</v>
      </c>
      <c r="B187" s="4" t="str">
        <f>IFERROR(VLOOKUP(A187,Colaboradores!A:D,2,),"")</f>
        <v>DANIEL ELISON GUSMÃO PEREIRA</v>
      </c>
      <c r="C187" s="4" t="str">
        <f>IFERROR(VLOOKUP(A187,Colaboradores!A:D,3,),"")</f>
        <v>GESTÃO INTEGRADA</v>
      </c>
      <c r="D187" s="4" t="str">
        <f>IFERROR(VLOOKUP(A187,Colaboradores!A:D,4,),"")</f>
        <v>ASSISTENTE ADMINISTRATIVO</v>
      </c>
      <c r="E187" s="4" t="s">
        <v>32</v>
      </c>
      <c r="F187" s="5" t="str">
        <f>IFERROR(VLOOKUP(E187,Procedimentos!A:C,2,),"")</f>
        <v>GESTÃO DE LEVANTAMENTO DE ASPECTOS E IMPACTOS AMBIENTAIS</v>
      </c>
      <c r="G187" s="4" t="s">
        <v>22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4.25" customHeight="1">
      <c r="A188" s="4">
        <v>15023</v>
      </c>
      <c r="B188" s="4" t="str">
        <f>IFERROR(VLOOKUP(A188,Colaboradores!A:D,2,),"")</f>
        <v>DANIEL ELISON GUSMÃO PEREIRA</v>
      </c>
      <c r="C188" s="4" t="str">
        <f>IFERROR(VLOOKUP(A188,Colaboradores!A:D,3,),"")</f>
        <v>GESTÃO INTEGRADA</v>
      </c>
      <c r="D188" s="4" t="str">
        <f>IFERROR(VLOOKUP(A188,Colaboradores!A:D,4,),"")</f>
        <v>ASSISTENTE ADMINISTRATIVO</v>
      </c>
      <c r="E188" s="4" t="s">
        <v>31</v>
      </c>
      <c r="F188" s="5" t="str">
        <f>IFERROR(VLOOKUP(E188,Procedimentos!A:C,2,),"")</f>
        <v>GESTÃO DE COMUNICAÇÃO, CLASSIFICAÇÃO E INVESTIGAÇÃO DE OCORRÊNCIAS AMBIENTAIS</v>
      </c>
      <c r="G188" s="4" t="s">
        <v>22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4.25" customHeight="1">
      <c r="A189" s="4">
        <v>15023</v>
      </c>
      <c r="B189" s="4" t="str">
        <f>IFERROR(VLOOKUP(A189,Colaboradores!A:D,2,),"")</f>
        <v>DANIEL ELISON GUSMÃO PEREIRA</v>
      </c>
      <c r="C189" s="4" t="str">
        <f>IFERROR(VLOOKUP(A189,Colaboradores!A:D,3,),"")</f>
        <v>GESTÃO INTEGRADA</v>
      </c>
      <c r="D189" s="4" t="str">
        <f>IFERROR(VLOOKUP(A189,Colaboradores!A:D,4,),"")</f>
        <v>ASSISTENTE ADMINISTRATIVO</v>
      </c>
      <c r="E189" s="4" t="s">
        <v>33</v>
      </c>
      <c r="F189" s="5" t="str">
        <f>IFERROR(VLOOKUP(E189,Procedimentos!A:C,2,),"")</f>
        <v>GESTÃO DE INSPEÇÕES AMBIENTAIS</v>
      </c>
      <c r="G189" s="4" t="s">
        <v>22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4.25" customHeight="1">
      <c r="A190" s="4">
        <v>15023</v>
      </c>
      <c r="B190" s="4" t="str">
        <f>IFERROR(VLOOKUP(A190,Colaboradores!A:D,2,),"")</f>
        <v>DANIEL ELISON GUSMÃO PEREIRA</v>
      </c>
      <c r="C190" s="4" t="str">
        <f>IFERROR(VLOOKUP(A190,Colaboradores!A:D,3,),"")</f>
        <v>GESTÃO INTEGRADA</v>
      </c>
      <c r="D190" s="4" t="str">
        <f>IFERROR(VLOOKUP(A190,Colaboradores!A:D,4,),"")</f>
        <v>ASSISTENTE ADMINISTRATIVO</v>
      </c>
      <c r="E190" s="4" t="s">
        <v>49</v>
      </c>
      <c r="F190" s="5" t="str">
        <f>IFERROR(VLOOKUP(E190,Procedimentos!A:C,2,),"")</f>
        <v>DIRETRIZES PARA REALIZAÇÃO DE EXAMES OCUPACIONAIS</v>
      </c>
      <c r="G190" s="4" t="s">
        <v>22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4.25" customHeight="1">
      <c r="A191" s="4">
        <v>15023</v>
      </c>
      <c r="B191" s="4" t="str">
        <f>IFERROR(VLOOKUP(A191,Colaboradores!A:D,2,),"")</f>
        <v>DANIEL ELISON GUSMÃO PEREIRA</v>
      </c>
      <c r="C191" s="4" t="str">
        <f>IFERROR(VLOOKUP(A191,Colaboradores!A:D,3,),"")</f>
        <v>GESTÃO INTEGRADA</v>
      </c>
      <c r="D191" s="4" t="str">
        <f>IFERROR(VLOOKUP(A191,Colaboradores!A:D,4,),"")</f>
        <v>ASSISTENTE ADMINISTRATIVO</v>
      </c>
      <c r="E191" s="4" t="s">
        <v>51</v>
      </c>
      <c r="F191" s="5" t="str">
        <f>IFERROR(VLOOKUP(E191,Procedimentos!A:C,2,),"")</f>
        <v>DIRETRIZES PARA ENTREGA DE ATESTADOS MÉDICOS E ODONTOLÓGICOS</v>
      </c>
      <c r="G191" s="4" t="s">
        <v>22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4.25" customHeight="1">
      <c r="A192" s="4">
        <v>15023</v>
      </c>
      <c r="B192" s="4" t="str">
        <f>IFERROR(VLOOKUP(A192,Colaboradores!A:D,2,),"")</f>
        <v>DANIEL ELISON GUSMÃO PEREIRA</v>
      </c>
      <c r="C192" s="4" t="str">
        <f>IFERROR(VLOOKUP(A192,Colaboradores!A:D,3,),"")</f>
        <v>GESTÃO INTEGRADA</v>
      </c>
      <c r="D192" s="4" t="str">
        <f>IFERROR(VLOOKUP(A192,Colaboradores!A:D,4,),"")</f>
        <v>ASSISTENTE ADMINISTRATIVO</v>
      </c>
      <c r="E192" s="4" t="s">
        <v>52</v>
      </c>
      <c r="F192" s="5" t="str">
        <f>IFERROR(VLOOKUP(E192,Procedimentos!A:C,2,),"")</f>
        <v>DIRETRIZES E ACOMPANHAMENTO  DE ACIDENTE COM MATERIAL BIOLOGICO</v>
      </c>
      <c r="G192" s="4" t="s">
        <v>28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4.25" customHeight="1">
      <c r="A193" s="4">
        <v>15023</v>
      </c>
      <c r="B193" s="4" t="str">
        <f>IFERROR(VLOOKUP(A193,Colaboradores!A:D,2,),"")</f>
        <v>DANIEL ELISON GUSMÃO PEREIRA</v>
      </c>
      <c r="C193" s="4" t="str">
        <f>IFERROR(VLOOKUP(A193,Colaboradores!A:D,3,),"")</f>
        <v>GESTÃO INTEGRADA</v>
      </c>
      <c r="D193" s="4" t="str">
        <f>IFERROR(VLOOKUP(A193,Colaboradores!A:D,4,),"")</f>
        <v>ASSISTENTE ADMINISTRATIVO</v>
      </c>
      <c r="E193" s="4" t="s">
        <v>53</v>
      </c>
      <c r="F193" s="5" t="str">
        <f>IFERROR(VLOOKUP(E193,Procedimentos!A:C,2,),"")</f>
        <v>DIRETRIZES PARA MONITORAMENTO DE GESTANTE</v>
      </c>
      <c r="G193" s="4" t="s">
        <v>22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4.25" customHeight="1">
      <c r="A194" s="4">
        <v>15023</v>
      </c>
      <c r="B194" s="4" t="str">
        <f>IFERROR(VLOOKUP(A194,Colaboradores!A:D,2,),"")</f>
        <v>DANIEL ELISON GUSMÃO PEREIRA</v>
      </c>
      <c r="C194" s="4" t="str">
        <f>IFERROR(VLOOKUP(A194,Colaboradores!A:D,3,),"")</f>
        <v>GESTÃO INTEGRADA</v>
      </c>
      <c r="D194" s="4" t="str">
        <f>IFERROR(VLOOKUP(A194,Colaboradores!A:D,4,),"")</f>
        <v>ASSISTENTE ADMINISTRATIVO</v>
      </c>
      <c r="E194" s="4" t="s">
        <v>54</v>
      </c>
      <c r="F194" s="5" t="str">
        <f>IFERROR(VLOOKUP(E194,Procedimentos!A:C,2,),"")</f>
        <v>DIRETRIZES DE IMUNIZAÇÃO OCUPACIONAL</v>
      </c>
      <c r="G194" s="4" t="s">
        <v>22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4.25" customHeight="1">
      <c r="A195" s="4">
        <v>15023</v>
      </c>
      <c r="B195" s="4" t="str">
        <f>IFERROR(VLOOKUP(A195,Colaboradores!A:D,2,),"")</f>
        <v>DANIEL ELISON GUSMÃO PEREIRA</v>
      </c>
      <c r="C195" s="4" t="str">
        <f>IFERROR(VLOOKUP(A195,Colaboradores!A:D,3,),"")</f>
        <v>GESTÃO INTEGRADA</v>
      </c>
      <c r="D195" s="4" t="str">
        <f>IFERROR(VLOOKUP(A195,Colaboradores!A:D,4,),"")</f>
        <v>ASSISTENTE ADMINISTRATIVO</v>
      </c>
      <c r="E195" s="4" t="s">
        <v>55</v>
      </c>
      <c r="F195" s="5" t="str">
        <f>IFERROR(VLOOKUP(E195,Procedimentos!A:C,2,),"")</f>
        <v>DIRETRIZES PARA ACOMPANHAMENTO DE AFASTADOS</v>
      </c>
      <c r="G195" s="4" t="s">
        <v>22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4.25" customHeight="1">
      <c r="A196" s="4">
        <v>15023</v>
      </c>
      <c r="B196" s="4" t="str">
        <f>IFERROR(VLOOKUP(A196,Colaboradores!A:D,2,),"")</f>
        <v>DANIEL ELISON GUSMÃO PEREIRA</v>
      </c>
      <c r="C196" s="4" t="str">
        <f>IFERROR(VLOOKUP(A196,Colaboradores!A:D,3,),"")</f>
        <v>GESTÃO INTEGRADA</v>
      </c>
      <c r="D196" s="4" t="str">
        <f>IFERROR(VLOOKUP(A196,Colaboradores!A:D,4,),"")</f>
        <v>ASSISTENTE ADMINISTRATIVO</v>
      </c>
      <c r="E196" s="4" t="s">
        <v>46</v>
      </c>
      <c r="F196" s="5" t="str">
        <f>IFERROR(VLOOKUP(E196,Procedimentos!A:C,2,),"")</f>
        <v>POLÍTICA DE SAÚDE E SEGURANÇA DO TRABALHO EMSERH</v>
      </c>
      <c r="G196" s="4" t="s">
        <v>22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4.25" customHeight="1">
      <c r="A197" s="4">
        <v>15023</v>
      </c>
      <c r="B197" s="4" t="str">
        <f>IFERROR(VLOOKUP(A197,Colaboradores!A:D,2,),"")</f>
        <v>DANIEL ELISON GUSMÃO PEREIRA</v>
      </c>
      <c r="C197" s="4" t="str">
        <f>IFERROR(VLOOKUP(A197,Colaboradores!A:D,3,),"")</f>
        <v>GESTÃO INTEGRADA</v>
      </c>
      <c r="D197" s="4" t="str">
        <f>IFERROR(VLOOKUP(A197,Colaboradores!A:D,4,),"")</f>
        <v>ASSISTENTE ADMINISTRATIVO</v>
      </c>
      <c r="E197" s="4" t="s">
        <v>41</v>
      </c>
      <c r="F197" s="5" t="str">
        <f>IFERROR(VLOOKUP(E197,Procedimentos!A:C,2,),"")</f>
        <v>DIRETRIZES PARA COMUNICAÇÃO E INVESTIGAÇÃO DE ACIDENTES</v>
      </c>
      <c r="G197" s="4" t="s">
        <v>22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4.25" customHeight="1">
      <c r="A198" s="4">
        <v>15023</v>
      </c>
      <c r="B198" s="4" t="str">
        <f>IFERROR(VLOOKUP(A198,Colaboradores!A:D,2,),"")</f>
        <v>DANIEL ELISON GUSMÃO PEREIRA</v>
      </c>
      <c r="C198" s="4" t="str">
        <f>IFERROR(VLOOKUP(A198,Colaboradores!A:D,3,),"")</f>
        <v>GESTÃO INTEGRADA</v>
      </c>
      <c r="D198" s="4" t="str">
        <f>IFERROR(VLOOKUP(A198,Colaboradores!A:D,4,),"")</f>
        <v>ASSISTENTE ADMINISTRATIVO</v>
      </c>
      <c r="E198" s="4" t="s">
        <v>43</v>
      </c>
      <c r="F198" s="5" t="str">
        <f>IFERROR(VLOOKUP(E198,Procedimentos!A:C,2,),"")</f>
        <v>DIÁLOGO DE SAÚDE E SEGURANÇA - DSS</v>
      </c>
      <c r="G198" s="4" t="s">
        <v>22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4.25" customHeight="1">
      <c r="A199" s="4">
        <v>15023</v>
      </c>
      <c r="B199" s="4" t="str">
        <f>IFERROR(VLOOKUP(A199,Colaboradores!A:D,2,),"")</f>
        <v>DANIEL ELISON GUSMÃO PEREIRA</v>
      </c>
      <c r="C199" s="4" t="str">
        <f>IFERROR(VLOOKUP(A199,Colaboradores!A:D,3,),"")</f>
        <v>GESTÃO INTEGRADA</v>
      </c>
      <c r="D199" s="4" t="str">
        <f>IFERROR(VLOOKUP(A199,Colaboradores!A:D,4,),"")</f>
        <v>ASSISTENTE ADMINISTRATIVO</v>
      </c>
      <c r="E199" s="4" t="s">
        <v>44</v>
      </c>
      <c r="F199" s="5" t="str">
        <f>IFERROR(VLOOKUP(E199,Procedimentos!A:C,2,),"")</f>
        <v>DIRETRIZES PARA GESTÃO DE EQUIPAMENTOS DE PROTEÇÃO INDIVIDUAL - EPI'S</v>
      </c>
      <c r="G199" s="4" t="s">
        <v>22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4.25" customHeight="1">
      <c r="A200" s="4">
        <v>15023</v>
      </c>
      <c r="B200" s="4" t="str">
        <f>IFERROR(VLOOKUP(A200,Colaboradores!A:D,2,),"")</f>
        <v>DANIEL ELISON GUSMÃO PEREIRA</v>
      </c>
      <c r="C200" s="4" t="str">
        <f>IFERROR(VLOOKUP(A200,Colaboradores!A:D,3,),"")</f>
        <v>GESTÃO INTEGRADA</v>
      </c>
      <c r="D200" s="4" t="str">
        <f>IFERROR(VLOOKUP(A200,Colaboradores!A:D,4,),"")</f>
        <v>ASSISTENTE ADMINISTRATIVO</v>
      </c>
      <c r="E200" s="4" t="s">
        <v>45</v>
      </c>
      <c r="F200" s="5" t="str">
        <f>IFERROR(VLOOKUP(E200,Procedimentos!A:C,2,),"")</f>
        <v>CONSTITUIÇÃO INTERNA DE PREVENÇÃO DE ACIDENTES E DE ASSÉDIOS - CIPA</v>
      </c>
      <c r="G200" s="4" t="s">
        <v>22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4.25" customHeight="1">
      <c r="A201" s="4">
        <v>14525</v>
      </c>
      <c r="B201" s="4" t="str">
        <f>IFERROR(VLOOKUP(A201,Colaboradores!A:D,2,),"")</f>
        <v>IANKA PRAZERES CUNHA</v>
      </c>
      <c r="C201" s="4" t="str">
        <f>IFERROR(VLOOKUP(A201,Colaboradores!A:D,3,),"")</f>
        <v>GESTÃO INTEGRADA</v>
      </c>
      <c r="D201" s="4" t="str">
        <f>IFERROR(VLOOKUP(A201,Colaboradores!A:D,4,),"")</f>
        <v>ANALISTA DE GESTÃO INTEGRADA</v>
      </c>
      <c r="E201" s="4" t="s">
        <v>58</v>
      </c>
      <c r="F201" s="5" t="str">
        <f>IFERROR(VLOOKUP(E201,Procedimentos!A:C,2,),"")</f>
        <v>POLÍTICA DE QUALIDADE DA DIRETORIA</v>
      </c>
      <c r="G201" s="4" t="s">
        <v>22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4.25" customHeight="1">
      <c r="A202" s="4">
        <v>14525</v>
      </c>
      <c r="B202" s="4" t="str">
        <f>IFERROR(VLOOKUP(A202,Colaboradores!A:D,2,),"")</f>
        <v>IANKA PRAZERES CUNHA</v>
      </c>
      <c r="C202" s="4" t="str">
        <f>IFERROR(VLOOKUP(A202,Colaboradores!A:D,3,),"")</f>
        <v>GESTÃO INTEGRADA</v>
      </c>
      <c r="D202" s="4" t="str">
        <f>IFERROR(VLOOKUP(A202,Colaboradores!A:D,4,),"")</f>
        <v>ANALISTA DE GESTÃO INTEGRADA</v>
      </c>
      <c r="E202" s="4" t="s">
        <v>19</v>
      </c>
      <c r="F202" s="5" t="str">
        <f>IFERROR(VLOOKUP(E202,Procedimentos!A:C,2,),"")</f>
        <v>DIRETRIZES PARA DOCUMENTOS NORMATIVOS</v>
      </c>
      <c r="G202" s="4" t="s">
        <v>22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4.25" customHeight="1">
      <c r="A203" s="4">
        <v>14525</v>
      </c>
      <c r="B203" s="4" t="str">
        <f>IFERROR(VLOOKUP(A203,Colaboradores!A:D,2,),"")</f>
        <v>IANKA PRAZERES CUNHA</v>
      </c>
      <c r="C203" s="4" t="str">
        <f>IFERROR(VLOOKUP(A203,Colaboradores!A:D,3,),"")</f>
        <v>GESTÃO INTEGRADA</v>
      </c>
      <c r="D203" s="4" t="str">
        <f>IFERROR(VLOOKUP(A203,Colaboradores!A:D,4,),"")</f>
        <v>ANALISTA DE GESTÃO INTEGRADA</v>
      </c>
      <c r="E203" s="4" t="s">
        <v>24</v>
      </c>
      <c r="F203" s="5" t="str">
        <f>IFERROR(VLOOKUP(E203,Procedimentos!A:C,2,),"")</f>
        <v>DIRETRIZES  PARA PROGRAMA 5S</v>
      </c>
      <c r="G203" s="4" t="s">
        <v>22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4.25" customHeight="1">
      <c r="A204" s="4">
        <v>14525</v>
      </c>
      <c r="B204" s="4" t="str">
        <f>IFERROR(VLOOKUP(A204,Colaboradores!A:D,2,),"")</f>
        <v>IANKA PRAZERES CUNHA</v>
      </c>
      <c r="C204" s="4" t="str">
        <f>IFERROR(VLOOKUP(A204,Colaboradores!A:D,3,),"")</f>
        <v>GESTÃO INTEGRADA</v>
      </c>
      <c r="D204" s="4" t="str">
        <f>IFERROR(VLOOKUP(A204,Colaboradores!A:D,4,),"")</f>
        <v>ANALISTA DE GESTÃO INTEGRADA</v>
      </c>
      <c r="E204" s="4" t="s">
        <v>67</v>
      </c>
      <c r="F204" s="5" t="str">
        <f>IFERROR(VLOOKUP(E204,Procedimentos!A:C,2,),"")</f>
        <v>SISTEMATICA DE ROTINA DE REUNIÕES DA DESSMA</v>
      </c>
      <c r="G204" s="4" t="s">
        <v>22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4.25" customHeight="1">
      <c r="A205" s="4">
        <v>14525</v>
      </c>
      <c r="B205" s="4" t="str">
        <f>IFERROR(VLOOKUP(A205,Colaboradores!A:D,2,),"")</f>
        <v>IANKA PRAZERES CUNHA</v>
      </c>
      <c r="C205" s="4" t="str">
        <f>IFERROR(VLOOKUP(A205,Colaboradores!A:D,3,),"")</f>
        <v>GESTÃO INTEGRADA</v>
      </c>
      <c r="D205" s="4" t="str">
        <f>IFERROR(VLOOKUP(A205,Colaboradores!A:D,4,),"")</f>
        <v>ANALISTA DE GESTÃO INTEGRADA</v>
      </c>
      <c r="E205" s="4" t="s">
        <v>25</v>
      </c>
      <c r="F205" s="5" t="str">
        <f>IFERROR(VLOOKUP(E205,Procedimentos!A:C,2,),"")</f>
        <v>GARANTIA DA QUALIDADE</v>
      </c>
      <c r="G205" s="4" t="s">
        <v>22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4.25" customHeight="1">
      <c r="A206" s="4">
        <v>14525</v>
      </c>
      <c r="B206" s="4" t="str">
        <f>IFERROR(VLOOKUP(A206,Colaboradores!A:D,2,),"")</f>
        <v>IANKA PRAZERES CUNHA</v>
      </c>
      <c r="C206" s="4" t="str">
        <f>IFERROR(VLOOKUP(A206,Colaboradores!A:D,3,),"")</f>
        <v>GESTÃO INTEGRADA</v>
      </c>
      <c r="D206" s="4" t="str">
        <f>IFERROR(VLOOKUP(A206,Colaboradores!A:D,4,),"")</f>
        <v>ANALISTA DE GESTÃO INTEGRADA</v>
      </c>
      <c r="E206" s="4" t="s">
        <v>68</v>
      </c>
      <c r="F206" s="5" t="str">
        <f>IFERROR(VLOOKUP(E206,Procedimentos!A:C,2,),"")</f>
        <v>GESTÃO INDICADORES</v>
      </c>
      <c r="G206" s="4" t="s">
        <v>22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4.25" customHeight="1">
      <c r="A207" s="4">
        <v>14525</v>
      </c>
      <c r="B207" s="4" t="str">
        <f>IFERROR(VLOOKUP(A207,Colaboradores!A:D,2,),"")</f>
        <v>IANKA PRAZERES CUNHA</v>
      </c>
      <c r="C207" s="4" t="str">
        <f>IFERROR(VLOOKUP(A207,Colaboradores!A:D,3,),"")</f>
        <v>GESTÃO INTEGRADA</v>
      </c>
      <c r="D207" s="4" t="str">
        <f>IFERROR(VLOOKUP(A207,Colaboradores!A:D,4,),"")</f>
        <v>ANALISTA DE GESTÃO INTEGRADA</v>
      </c>
      <c r="E207" s="4" t="s">
        <v>26</v>
      </c>
      <c r="F207" s="5" t="str">
        <f>IFERROR(VLOOKUP(E207,Procedimentos!A:C,2,),"")</f>
        <v>RESPONSABILIDADES E AUTORIDADES DO SGQ</v>
      </c>
      <c r="G207" s="4" t="s">
        <v>22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4.25" customHeight="1">
      <c r="A208" s="4">
        <v>14525</v>
      </c>
      <c r="B208" s="4" t="str">
        <f>IFERROR(VLOOKUP(A208,Colaboradores!A:D,2,),"")</f>
        <v>IANKA PRAZERES CUNHA</v>
      </c>
      <c r="C208" s="4" t="str">
        <f>IFERROR(VLOOKUP(A208,Colaboradores!A:D,3,),"")</f>
        <v>GESTÃO INTEGRADA</v>
      </c>
      <c r="D208" s="4" t="str">
        <f>IFERROR(VLOOKUP(A208,Colaboradores!A:D,4,),"")</f>
        <v>ANALISTA DE GESTÃO INTEGRADA</v>
      </c>
      <c r="E208" s="4" t="s">
        <v>69</v>
      </c>
      <c r="F208" s="5" t="str">
        <f>IFERROR(VLOOKUP(E208,Procedimentos!A:C,2,),"")</f>
        <v>PROCEDIMENTO GESTÃO DE MUDANÇA SGQ</v>
      </c>
      <c r="G208" s="4" t="s">
        <v>22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4.25" customHeight="1">
      <c r="A209" s="4">
        <v>14525</v>
      </c>
      <c r="B209" s="4" t="str">
        <f>IFERROR(VLOOKUP(A209,Colaboradores!A:D,2,),"")</f>
        <v>IANKA PRAZERES CUNHA</v>
      </c>
      <c r="C209" s="4" t="str">
        <f>IFERROR(VLOOKUP(A209,Colaboradores!A:D,3,),"")</f>
        <v>GESTÃO INTEGRADA</v>
      </c>
      <c r="D209" s="4" t="str">
        <f>IFERROR(VLOOKUP(A209,Colaboradores!A:D,4,),"")</f>
        <v>ANALISTA DE GESTÃO INTEGRADA</v>
      </c>
      <c r="E209" s="4" t="s">
        <v>64</v>
      </c>
      <c r="F209" s="5" t="str">
        <f>IFERROR(VLOOKUP(E209,Procedimentos!A:C,2,),"")</f>
        <v>AVALIAÇÃO DESEMPENHO</v>
      </c>
      <c r="G209" s="4" t="s">
        <v>22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4.25" customHeight="1">
      <c r="A210" s="4">
        <v>14525</v>
      </c>
      <c r="B210" s="4" t="str">
        <f>IFERROR(VLOOKUP(A210,Colaboradores!A:D,2,),"")</f>
        <v>IANKA PRAZERES CUNHA</v>
      </c>
      <c r="C210" s="4" t="str">
        <f>IFERROR(VLOOKUP(A210,Colaboradores!A:D,3,),"")</f>
        <v>GESTÃO INTEGRADA</v>
      </c>
      <c r="D210" s="4" t="str">
        <f>IFERROR(VLOOKUP(A210,Colaboradores!A:D,4,),"")</f>
        <v>ANALISTA DE GESTÃO INTEGRADA</v>
      </c>
      <c r="E210" s="4" t="s">
        <v>73</v>
      </c>
      <c r="F210" s="9" t="str">
        <f>IFERROR(VLOOKUP(E210,Procedimentos!A:C,2,),"")</f>
        <v>AQUISIÇÃO DE BENS E SERVIÇOS E AVALIAÇÃO PROVEDORES EXTERNOS</v>
      </c>
      <c r="G210" s="4" t="s">
        <v>22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4">
        <v>14525</v>
      </c>
      <c r="B211" s="4" t="str">
        <f>IFERROR(VLOOKUP(A211,Colaboradores!A:D,2,),"")</f>
        <v>IANKA PRAZERES CUNHA</v>
      </c>
      <c r="C211" s="4" t="str">
        <f>IFERROR(VLOOKUP(A211,Colaboradores!A:D,3,),"")</f>
        <v>GESTÃO INTEGRADA</v>
      </c>
      <c r="D211" s="4" t="str">
        <f>IFERROR(VLOOKUP(A211,Colaboradores!A:D,4,),"")</f>
        <v>ANALISTA DE GESTÃO INTEGRADA</v>
      </c>
      <c r="E211" s="4" t="s">
        <v>48</v>
      </c>
      <c r="F211" s="5" t="str">
        <f>IFERROR(VLOOKUP(E211,Procedimentos!A:C,2,),"")</f>
        <v>POLÍTICA MEIO AMBIENTE EMSERH</v>
      </c>
      <c r="G211" s="4" t="s">
        <v>22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4.25" customHeight="1">
      <c r="A212" s="4">
        <v>14525</v>
      </c>
      <c r="B212" s="4" t="str">
        <f>IFERROR(VLOOKUP(A212,Colaboradores!A:D,2,),"")</f>
        <v>IANKA PRAZERES CUNHA</v>
      </c>
      <c r="C212" s="4" t="str">
        <f>IFERROR(VLOOKUP(A212,Colaboradores!A:D,3,),"")</f>
        <v>GESTÃO INTEGRADA</v>
      </c>
      <c r="D212" s="4" t="str">
        <f>IFERROR(VLOOKUP(A212,Colaboradores!A:D,4,),"")</f>
        <v>ANALISTA DE GESTÃO INTEGRADA</v>
      </c>
      <c r="E212" s="4" t="s">
        <v>29</v>
      </c>
      <c r="F212" s="5" t="str">
        <f>IFERROR(VLOOKUP(E212,Procedimentos!A:C,2,),"")</f>
        <v>COLETA SELETIVA DESSMA</v>
      </c>
      <c r="G212" s="4" t="s">
        <v>22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4.25" customHeight="1">
      <c r="A213" s="4">
        <v>14525</v>
      </c>
      <c r="B213" s="4" t="str">
        <f>IFERROR(VLOOKUP(A213,Colaboradores!A:D,2,),"")</f>
        <v>IANKA PRAZERES CUNHA</v>
      </c>
      <c r="C213" s="4" t="str">
        <f>IFERROR(VLOOKUP(A213,Colaboradores!A:D,3,),"")</f>
        <v>GESTÃO INTEGRADA</v>
      </c>
      <c r="D213" s="4" t="str">
        <f>IFERROR(VLOOKUP(A213,Colaboradores!A:D,4,),"")</f>
        <v>ANALISTA DE GESTÃO INTEGRADA</v>
      </c>
      <c r="E213" s="4" t="s">
        <v>32</v>
      </c>
      <c r="F213" s="5" t="str">
        <f>IFERROR(VLOOKUP(E213,Procedimentos!A:C,2,),"")</f>
        <v>GESTÃO DE LEVANTAMENTO DE ASPECTOS E IMPACTOS AMBIENTAIS</v>
      </c>
      <c r="G213" s="4" t="s">
        <v>22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4.25" customHeight="1">
      <c r="A214" s="4">
        <v>14525</v>
      </c>
      <c r="B214" s="4" t="str">
        <f>IFERROR(VLOOKUP(A214,Colaboradores!A:D,2,),"")</f>
        <v>IANKA PRAZERES CUNHA</v>
      </c>
      <c r="C214" s="4" t="str">
        <f>IFERROR(VLOOKUP(A214,Colaboradores!A:D,3,),"")</f>
        <v>GESTÃO INTEGRADA</v>
      </c>
      <c r="D214" s="4" t="str">
        <f>IFERROR(VLOOKUP(A214,Colaboradores!A:D,4,),"")</f>
        <v>ANALISTA DE GESTÃO INTEGRADA</v>
      </c>
      <c r="E214" s="4" t="s">
        <v>31</v>
      </c>
      <c r="F214" s="5" t="str">
        <f>IFERROR(VLOOKUP(E214,Procedimentos!A:C,2,),"")</f>
        <v>GESTÃO DE COMUNICAÇÃO, CLASSIFICAÇÃO E INVESTIGAÇÃO DE OCORRÊNCIAS AMBIENTAIS</v>
      </c>
      <c r="G214" s="4" t="s">
        <v>22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4.25" customHeight="1">
      <c r="A215" s="4">
        <v>14525</v>
      </c>
      <c r="B215" s="4" t="str">
        <f>IFERROR(VLOOKUP(A215,Colaboradores!A:D,2,),"")</f>
        <v>IANKA PRAZERES CUNHA</v>
      </c>
      <c r="C215" s="4" t="str">
        <f>IFERROR(VLOOKUP(A215,Colaboradores!A:D,3,),"")</f>
        <v>GESTÃO INTEGRADA</v>
      </c>
      <c r="D215" s="4" t="str">
        <f>IFERROR(VLOOKUP(A215,Colaboradores!A:D,4,),"")</f>
        <v>ANALISTA DE GESTÃO INTEGRADA</v>
      </c>
      <c r="E215" s="4" t="s">
        <v>33</v>
      </c>
      <c r="F215" s="5" t="str">
        <f>IFERROR(VLOOKUP(E215,Procedimentos!A:C,2,),"")</f>
        <v>GESTÃO DE INSPEÇÕES AMBIENTAIS</v>
      </c>
      <c r="G215" s="4" t="s">
        <v>22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4.25" customHeight="1">
      <c r="A216" s="4">
        <v>14525</v>
      </c>
      <c r="B216" s="4" t="str">
        <f>IFERROR(VLOOKUP(A216,Colaboradores!A:D,2,),"")</f>
        <v>IANKA PRAZERES CUNHA</v>
      </c>
      <c r="C216" s="4" t="str">
        <f>IFERROR(VLOOKUP(A216,Colaboradores!A:D,3,),"")</f>
        <v>GESTÃO INTEGRADA</v>
      </c>
      <c r="D216" s="4" t="str">
        <f>IFERROR(VLOOKUP(A216,Colaboradores!A:D,4,),"")</f>
        <v>ANALISTA DE GESTÃO INTEGRADA</v>
      </c>
      <c r="E216" s="4" t="s">
        <v>49</v>
      </c>
      <c r="F216" s="5" t="str">
        <f>IFERROR(VLOOKUP(E216,Procedimentos!A:C,2,),"")</f>
        <v>DIRETRIZES PARA REALIZAÇÃO DE EXAMES OCUPACIONAIS</v>
      </c>
      <c r="G216" s="4" t="s">
        <v>22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4.25" customHeight="1">
      <c r="A217" s="4">
        <v>14525</v>
      </c>
      <c r="B217" s="4" t="str">
        <f>IFERROR(VLOOKUP(A217,Colaboradores!A:D,2,),"")</f>
        <v>IANKA PRAZERES CUNHA</v>
      </c>
      <c r="C217" s="4" t="str">
        <f>IFERROR(VLOOKUP(A217,Colaboradores!A:D,3,),"")</f>
        <v>GESTÃO INTEGRADA</v>
      </c>
      <c r="D217" s="4" t="str">
        <f>IFERROR(VLOOKUP(A217,Colaboradores!A:D,4,),"")</f>
        <v>ANALISTA DE GESTÃO INTEGRADA</v>
      </c>
      <c r="E217" s="4" t="s">
        <v>51</v>
      </c>
      <c r="F217" s="5" t="str">
        <f>IFERROR(VLOOKUP(E217,Procedimentos!A:C,2,),"")</f>
        <v>DIRETRIZES PARA ENTREGA DE ATESTADOS MÉDICOS E ODONTOLÓGICOS</v>
      </c>
      <c r="G217" s="4" t="s">
        <v>22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4.25" customHeight="1">
      <c r="A218" s="4">
        <v>14525</v>
      </c>
      <c r="B218" s="4" t="str">
        <f>IFERROR(VLOOKUP(A218,Colaboradores!A:D,2,),"")</f>
        <v>IANKA PRAZERES CUNHA</v>
      </c>
      <c r="C218" s="4" t="str">
        <f>IFERROR(VLOOKUP(A218,Colaboradores!A:D,3,),"")</f>
        <v>GESTÃO INTEGRADA</v>
      </c>
      <c r="D218" s="4" t="str">
        <f>IFERROR(VLOOKUP(A218,Colaboradores!A:D,4,),"")</f>
        <v>ANALISTA DE GESTÃO INTEGRADA</v>
      </c>
      <c r="E218" s="4" t="s">
        <v>52</v>
      </c>
      <c r="F218" s="5" t="str">
        <f>IFERROR(VLOOKUP(E218,Procedimentos!A:C,2,),"")</f>
        <v>DIRETRIZES E ACOMPANHAMENTO  DE ACIDENTE COM MATERIAL BIOLOGICO</v>
      </c>
      <c r="G218" s="4" t="s">
        <v>28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4.25" customHeight="1">
      <c r="A219" s="4">
        <v>14525</v>
      </c>
      <c r="B219" s="4" t="str">
        <f>IFERROR(VLOOKUP(A219,Colaboradores!A:D,2,),"")</f>
        <v>IANKA PRAZERES CUNHA</v>
      </c>
      <c r="C219" s="4" t="str">
        <f>IFERROR(VLOOKUP(A219,Colaboradores!A:D,3,),"")</f>
        <v>GESTÃO INTEGRADA</v>
      </c>
      <c r="D219" s="4" t="str">
        <f>IFERROR(VLOOKUP(A219,Colaboradores!A:D,4,),"")</f>
        <v>ANALISTA DE GESTÃO INTEGRADA</v>
      </c>
      <c r="E219" s="4" t="s">
        <v>53</v>
      </c>
      <c r="F219" s="5" t="str">
        <f>IFERROR(VLOOKUP(E219,Procedimentos!A:C,2,),"")</f>
        <v>DIRETRIZES PARA MONITORAMENTO DE GESTANTE</v>
      </c>
      <c r="G219" s="4" t="s">
        <v>22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4.25" customHeight="1">
      <c r="A220" s="4">
        <v>14525</v>
      </c>
      <c r="B220" s="4" t="str">
        <f>IFERROR(VLOOKUP(A220,Colaboradores!A:D,2,),"")</f>
        <v>IANKA PRAZERES CUNHA</v>
      </c>
      <c r="C220" s="4" t="str">
        <f>IFERROR(VLOOKUP(A220,Colaboradores!A:D,3,),"")</f>
        <v>GESTÃO INTEGRADA</v>
      </c>
      <c r="D220" s="4" t="str">
        <f>IFERROR(VLOOKUP(A220,Colaboradores!A:D,4,),"")</f>
        <v>ANALISTA DE GESTÃO INTEGRADA</v>
      </c>
      <c r="E220" s="4" t="s">
        <v>54</v>
      </c>
      <c r="F220" s="5" t="str">
        <f>IFERROR(VLOOKUP(E220,Procedimentos!A:C,2,),"")</f>
        <v>DIRETRIZES DE IMUNIZAÇÃO OCUPACIONAL</v>
      </c>
      <c r="G220" s="4" t="s">
        <v>22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4.25" customHeight="1">
      <c r="A221" s="4">
        <v>14525</v>
      </c>
      <c r="B221" s="4" t="str">
        <f>IFERROR(VLOOKUP(A221,Colaboradores!A:D,2,),"")</f>
        <v>IANKA PRAZERES CUNHA</v>
      </c>
      <c r="C221" s="4" t="str">
        <f>IFERROR(VLOOKUP(A221,Colaboradores!A:D,3,),"")</f>
        <v>GESTÃO INTEGRADA</v>
      </c>
      <c r="D221" s="4" t="str">
        <f>IFERROR(VLOOKUP(A221,Colaboradores!A:D,4,),"")</f>
        <v>ANALISTA DE GESTÃO INTEGRADA</v>
      </c>
      <c r="E221" s="4" t="s">
        <v>55</v>
      </c>
      <c r="F221" s="5" t="str">
        <f>IFERROR(VLOOKUP(E221,Procedimentos!A:C,2,),"")</f>
        <v>DIRETRIZES PARA ACOMPANHAMENTO DE AFASTADOS</v>
      </c>
      <c r="G221" s="4" t="s">
        <v>22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4.25" customHeight="1">
      <c r="A222" s="4">
        <v>14525</v>
      </c>
      <c r="B222" s="4" t="str">
        <f>IFERROR(VLOOKUP(A222,Colaboradores!A:D,2,),"")</f>
        <v>IANKA PRAZERES CUNHA</v>
      </c>
      <c r="C222" s="4" t="str">
        <f>IFERROR(VLOOKUP(A222,Colaboradores!A:D,3,),"")</f>
        <v>GESTÃO INTEGRADA</v>
      </c>
      <c r="D222" s="4" t="str">
        <f>IFERROR(VLOOKUP(A222,Colaboradores!A:D,4,),"")</f>
        <v>ANALISTA DE GESTÃO INTEGRADA</v>
      </c>
      <c r="E222" s="4" t="s">
        <v>46</v>
      </c>
      <c r="F222" s="5" t="str">
        <f>IFERROR(VLOOKUP(E222,Procedimentos!A:C,2,),"")</f>
        <v>POLÍTICA DE SAÚDE E SEGURANÇA DO TRABALHO EMSERH</v>
      </c>
      <c r="G222" s="4" t="s">
        <v>22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4.25" customHeight="1">
      <c r="A223" s="4">
        <v>14525</v>
      </c>
      <c r="B223" s="4" t="str">
        <f>IFERROR(VLOOKUP(A223,Colaboradores!A:D,2,),"")</f>
        <v>IANKA PRAZERES CUNHA</v>
      </c>
      <c r="C223" s="4" t="str">
        <f>IFERROR(VLOOKUP(A223,Colaboradores!A:D,3,),"")</f>
        <v>GESTÃO INTEGRADA</v>
      </c>
      <c r="D223" s="4" t="str">
        <f>IFERROR(VLOOKUP(A223,Colaboradores!A:D,4,),"")</f>
        <v>ANALISTA DE GESTÃO INTEGRADA</v>
      </c>
      <c r="E223" s="4" t="s">
        <v>41</v>
      </c>
      <c r="F223" s="5" t="str">
        <f>IFERROR(VLOOKUP(E223,Procedimentos!A:C,2,),"")</f>
        <v>DIRETRIZES PARA COMUNICAÇÃO E INVESTIGAÇÃO DE ACIDENTES</v>
      </c>
      <c r="G223" s="4" t="s">
        <v>22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4.25" customHeight="1">
      <c r="A224" s="4">
        <v>14525</v>
      </c>
      <c r="B224" s="4" t="str">
        <f>IFERROR(VLOOKUP(A224,Colaboradores!A:D,2,),"")</f>
        <v>IANKA PRAZERES CUNHA</v>
      </c>
      <c r="C224" s="4" t="str">
        <f>IFERROR(VLOOKUP(A224,Colaboradores!A:D,3,),"")</f>
        <v>GESTÃO INTEGRADA</v>
      </c>
      <c r="D224" s="4" t="str">
        <f>IFERROR(VLOOKUP(A224,Colaboradores!A:D,4,),"")</f>
        <v>ANALISTA DE GESTÃO INTEGRADA</v>
      </c>
      <c r="E224" s="4" t="s">
        <v>43</v>
      </c>
      <c r="F224" s="5" t="str">
        <f>IFERROR(VLOOKUP(E224,Procedimentos!A:C,2,),"")</f>
        <v>DIÁLOGO DE SAÚDE E SEGURANÇA - DSS</v>
      </c>
      <c r="G224" s="4" t="s">
        <v>22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4.25" customHeight="1">
      <c r="A225" s="4">
        <v>14525</v>
      </c>
      <c r="B225" s="4" t="str">
        <f>IFERROR(VLOOKUP(A225,Colaboradores!A:D,2,),"")</f>
        <v>IANKA PRAZERES CUNHA</v>
      </c>
      <c r="C225" s="4" t="str">
        <f>IFERROR(VLOOKUP(A225,Colaboradores!A:D,3,),"")</f>
        <v>GESTÃO INTEGRADA</v>
      </c>
      <c r="D225" s="4" t="str">
        <f>IFERROR(VLOOKUP(A225,Colaboradores!A:D,4,),"")</f>
        <v>ANALISTA DE GESTÃO INTEGRADA</v>
      </c>
      <c r="E225" s="4" t="s">
        <v>44</v>
      </c>
      <c r="F225" s="5" t="str">
        <f>IFERROR(VLOOKUP(E225,Procedimentos!A:C,2,),"")</f>
        <v>DIRETRIZES PARA GESTÃO DE EQUIPAMENTOS DE PROTEÇÃO INDIVIDUAL - EPI'S</v>
      </c>
      <c r="G225" s="4" t="s">
        <v>22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4.25" customHeight="1">
      <c r="A226" s="4">
        <v>14525</v>
      </c>
      <c r="B226" s="4" t="str">
        <f>IFERROR(VLOOKUP(A226,Colaboradores!A:D,2,),"")</f>
        <v>IANKA PRAZERES CUNHA</v>
      </c>
      <c r="C226" s="4" t="str">
        <f>IFERROR(VLOOKUP(A226,Colaboradores!A:D,3,),"")</f>
        <v>GESTÃO INTEGRADA</v>
      </c>
      <c r="D226" s="4" t="str">
        <f>IFERROR(VLOOKUP(A226,Colaboradores!A:D,4,),"")</f>
        <v>ANALISTA DE GESTÃO INTEGRADA</v>
      </c>
      <c r="E226" s="4" t="s">
        <v>45</v>
      </c>
      <c r="F226" s="5" t="str">
        <f>IFERROR(VLOOKUP(E226,Procedimentos!A:C,2,),"")</f>
        <v>CONSTITUIÇÃO INTERNA DE PREVENÇÃO DE ACIDENTES E DE ASSÉDIOS - CIPA</v>
      </c>
      <c r="G226" s="4" t="s">
        <v>22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4.25" customHeight="1">
      <c r="A227" s="4">
        <v>13750</v>
      </c>
      <c r="B227" s="4" t="str">
        <f>IFERROR(VLOOKUP(A227,Colaboradores!A:D,2,),"")</f>
        <v>JOSE ANTONIO ALVES MAGALHAES</v>
      </c>
      <c r="C227" s="4" t="str">
        <f>IFERROR(VLOOKUP(A227,Colaboradores!A:D,3,),"")</f>
        <v>GESTÃO INTEGRADA</v>
      </c>
      <c r="D227" s="4" t="str">
        <f>IFERROR(VLOOKUP(A227,Colaboradores!A:D,4,),"")</f>
        <v>GERENTE DE GESTÃO INTEGRADA</v>
      </c>
      <c r="E227" s="4" t="s">
        <v>66</v>
      </c>
      <c r="F227" s="5" t="str">
        <f>IFERROR(VLOOKUP(E227,Procedimentos!A:C,2,),"")</f>
        <v>PROCEDIMENTO DE GERENCIAMENTO DE RISCOS</v>
      </c>
      <c r="G227" s="4" t="s">
        <v>22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4.25" customHeight="1">
      <c r="A228" s="4">
        <v>13750</v>
      </c>
      <c r="B228" s="4" t="str">
        <f>IFERROR(VLOOKUP(A228,Colaboradores!A:D,2,),"")</f>
        <v>JOSE ANTONIO ALVES MAGALHAES</v>
      </c>
      <c r="C228" s="4" t="str">
        <f>IFERROR(VLOOKUP(A228,Colaboradores!A:D,3,),"")</f>
        <v>GESTÃO INTEGRADA</v>
      </c>
      <c r="D228" s="4" t="str">
        <f>IFERROR(VLOOKUP(A228,Colaboradores!A:D,4,),"")</f>
        <v>GERENTE DE GESTÃO INTEGRADA</v>
      </c>
      <c r="E228" s="4" t="s">
        <v>58</v>
      </c>
      <c r="F228" s="5" t="str">
        <f>IFERROR(VLOOKUP(E228,Procedimentos!A:C,2,),"")</f>
        <v>POLÍTICA DE QUALIDADE DA DIRETORIA</v>
      </c>
      <c r="G228" s="4" t="s">
        <v>22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4.25" customHeight="1">
      <c r="A229" s="4">
        <v>13750</v>
      </c>
      <c r="B229" s="4" t="str">
        <f>IFERROR(VLOOKUP(A229,Colaboradores!A:D,2,),"")</f>
        <v>JOSE ANTONIO ALVES MAGALHAES</v>
      </c>
      <c r="C229" s="4" t="str">
        <f>IFERROR(VLOOKUP(A229,Colaboradores!A:D,3,),"")</f>
        <v>GESTÃO INTEGRADA</v>
      </c>
      <c r="D229" s="4" t="str">
        <f>IFERROR(VLOOKUP(A229,Colaboradores!A:D,4,),"")</f>
        <v>GERENTE DE GESTÃO INTEGRADA</v>
      </c>
      <c r="E229" s="4" t="s">
        <v>19</v>
      </c>
      <c r="F229" s="5" t="str">
        <f>IFERROR(VLOOKUP(E229,Procedimentos!A:C,2,),"")</f>
        <v>DIRETRIZES PARA DOCUMENTOS NORMATIVOS</v>
      </c>
      <c r="G229" s="4" t="s">
        <v>22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4.25" customHeight="1">
      <c r="A230" s="4">
        <v>13750</v>
      </c>
      <c r="B230" s="4" t="str">
        <f>IFERROR(VLOOKUP(A230,Colaboradores!A:D,2,),"")</f>
        <v>JOSE ANTONIO ALVES MAGALHAES</v>
      </c>
      <c r="C230" s="4" t="str">
        <f>IFERROR(VLOOKUP(A230,Colaboradores!A:D,3,),"")</f>
        <v>GESTÃO INTEGRADA</v>
      </c>
      <c r="D230" s="4" t="str">
        <f>IFERROR(VLOOKUP(A230,Colaboradores!A:D,4,),"")</f>
        <v>GERENTE DE GESTÃO INTEGRADA</v>
      </c>
      <c r="E230" s="4" t="s">
        <v>24</v>
      </c>
      <c r="F230" s="5" t="str">
        <f>IFERROR(VLOOKUP(E230,Procedimentos!A:C,2,),"")</f>
        <v>DIRETRIZES  PARA PROGRAMA 5S</v>
      </c>
      <c r="G230" s="4" t="s">
        <v>22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4.25" customHeight="1">
      <c r="A231" s="4">
        <v>13750</v>
      </c>
      <c r="B231" s="4" t="str">
        <f>IFERROR(VLOOKUP(A231,Colaboradores!A:D,2,),"")</f>
        <v>JOSE ANTONIO ALVES MAGALHAES</v>
      </c>
      <c r="C231" s="4" t="str">
        <f>IFERROR(VLOOKUP(A231,Colaboradores!A:D,3,),"")</f>
        <v>GESTÃO INTEGRADA</v>
      </c>
      <c r="D231" s="4" t="str">
        <f>IFERROR(VLOOKUP(A231,Colaboradores!A:D,4,),"")</f>
        <v>GERENTE DE GESTÃO INTEGRADA</v>
      </c>
      <c r="E231" s="4" t="s">
        <v>67</v>
      </c>
      <c r="F231" s="5" t="str">
        <f>IFERROR(VLOOKUP(E231,Procedimentos!A:C,2,),"")</f>
        <v>SISTEMATICA DE ROTINA DE REUNIÕES DA DESSMA</v>
      </c>
      <c r="G231" s="4" t="s">
        <v>22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4.25" customHeight="1">
      <c r="A232" s="4">
        <v>13750</v>
      </c>
      <c r="B232" s="4" t="str">
        <f>IFERROR(VLOOKUP(A232,Colaboradores!A:D,2,),"")</f>
        <v>JOSE ANTONIO ALVES MAGALHAES</v>
      </c>
      <c r="C232" s="4" t="str">
        <f>IFERROR(VLOOKUP(A232,Colaboradores!A:D,3,),"")</f>
        <v>GESTÃO INTEGRADA</v>
      </c>
      <c r="D232" s="4" t="str">
        <f>IFERROR(VLOOKUP(A232,Colaboradores!A:D,4,),"")</f>
        <v>GERENTE DE GESTÃO INTEGRADA</v>
      </c>
      <c r="E232" s="4" t="s">
        <v>25</v>
      </c>
      <c r="F232" s="5" t="str">
        <f>IFERROR(VLOOKUP(E232,Procedimentos!A:C,2,),"")</f>
        <v>GARANTIA DA QUALIDADE</v>
      </c>
      <c r="G232" s="4" t="s">
        <v>22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4.25" customHeight="1">
      <c r="A233" s="4">
        <v>13750</v>
      </c>
      <c r="B233" s="4" t="str">
        <f>IFERROR(VLOOKUP(A233,Colaboradores!A:D,2,),"")</f>
        <v>JOSE ANTONIO ALVES MAGALHAES</v>
      </c>
      <c r="C233" s="4" t="str">
        <f>IFERROR(VLOOKUP(A233,Colaboradores!A:D,3,),"")</f>
        <v>GESTÃO INTEGRADA</v>
      </c>
      <c r="D233" s="4" t="str">
        <f>IFERROR(VLOOKUP(A233,Colaboradores!A:D,4,),"")</f>
        <v>GERENTE DE GESTÃO INTEGRADA</v>
      </c>
      <c r="E233" s="4" t="s">
        <v>68</v>
      </c>
      <c r="F233" s="5" t="str">
        <f>IFERROR(VLOOKUP(E233,Procedimentos!A:C,2,),"")</f>
        <v>GESTÃO INDICADORES</v>
      </c>
      <c r="G233" s="4" t="s">
        <v>22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4.25" customHeight="1">
      <c r="A234" s="4">
        <v>13750</v>
      </c>
      <c r="B234" s="4" t="str">
        <f>IFERROR(VLOOKUP(A234,Colaboradores!A:D,2,),"")</f>
        <v>JOSE ANTONIO ALVES MAGALHAES</v>
      </c>
      <c r="C234" s="4" t="str">
        <f>IFERROR(VLOOKUP(A234,Colaboradores!A:D,3,),"")</f>
        <v>GESTÃO INTEGRADA</v>
      </c>
      <c r="D234" s="4" t="str">
        <f>IFERROR(VLOOKUP(A234,Colaboradores!A:D,4,),"")</f>
        <v>GERENTE DE GESTÃO INTEGRADA</v>
      </c>
      <c r="E234" s="4" t="s">
        <v>26</v>
      </c>
      <c r="F234" s="5" t="str">
        <f>IFERROR(VLOOKUP(E234,Procedimentos!A:C,2,),"")</f>
        <v>RESPONSABILIDADES E AUTORIDADES DO SGQ</v>
      </c>
      <c r="G234" s="4" t="s">
        <v>22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4.25" customHeight="1">
      <c r="A235" s="4">
        <v>13750</v>
      </c>
      <c r="B235" s="4" t="str">
        <f>IFERROR(VLOOKUP(A235,Colaboradores!A:D,2,),"")</f>
        <v>JOSE ANTONIO ALVES MAGALHAES</v>
      </c>
      <c r="C235" s="4" t="str">
        <f>IFERROR(VLOOKUP(A235,Colaboradores!A:D,3,),"")</f>
        <v>GESTÃO INTEGRADA</v>
      </c>
      <c r="D235" s="4" t="str">
        <f>IFERROR(VLOOKUP(A235,Colaboradores!A:D,4,),"")</f>
        <v>GERENTE DE GESTÃO INTEGRADA</v>
      </c>
      <c r="E235" s="4" t="s">
        <v>69</v>
      </c>
      <c r="F235" s="5" t="str">
        <f>IFERROR(VLOOKUP(E235,Procedimentos!A:C,2,),"")</f>
        <v>PROCEDIMENTO GESTÃO DE MUDANÇA SGQ</v>
      </c>
      <c r="G235" s="4" t="s">
        <v>22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4.25" customHeight="1">
      <c r="A236" s="4">
        <v>13750</v>
      </c>
      <c r="B236" s="4" t="str">
        <f>IFERROR(VLOOKUP(A236,Colaboradores!A:D,2,),"")</f>
        <v>JOSE ANTONIO ALVES MAGALHAES</v>
      </c>
      <c r="C236" s="4" t="str">
        <f>IFERROR(VLOOKUP(A236,Colaboradores!A:D,3,),"")</f>
        <v>GESTÃO INTEGRADA</v>
      </c>
      <c r="D236" s="4" t="str">
        <f>IFERROR(VLOOKUP(A236,Colaboradores!A:D,4,),"")</f>
        <v>GERENTE DE GESTÃO INTEGRADA</v>
      </c>
      <c r="E236" s="4" t="s">
        <v>64</v>
      </c>
      <c r="F236" s="5" t="str">
        <f>IFERROR(VLOOKUP(E236,Procedimentos!A:C,2,),"")</f>
        <v>AVALIAÇÃO DESEMPENHO</v>
      </c>
      <c r="G236" s="4" t="s">
        <v>22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4.25" customHeight="1">
      <c r="A237" s="4">
        <v>13750</v>
      </c>
      <c r="B237" s="4" t="str">
        <f>IFERROR(VLOOKUP(A237,Colaboradores!A:D,2,),"")</f>
        <v>JOSE ANTONIO ALVES MAGALHAES</v>
      </c>
      <c r="C237" s="4" t="str">
        <f>IFERROR(VLOOKUP(A237,Colaboradores!A:D,3,),"")</f>
        <v>GESTÃO INTEGRADA</v>
      </c>
      <c r="D237" s="4" t="str">
        <f>IFERROR(VLOOKUP(A237,Colaboradores!A:D,4,),"")</f>
        <v>GERENTE DE GESTÃO INTEGRADA</v>
      </c>
      <c r="E237" s="4" t="s">
        <v>73</v>
      </c>
      <c r="F237" s="5" t="str">
        <f>IFERROR(VLOOKUP(E237,Procedimentos!A:C,2,),"")</f>
        <v>AQUISIÇÃO DE BENS E SERVIÇOS E AVALIAÇÃO PROVEDORES EXTERNOS</v>
      </c>
      <c r="G237" s="4" t="s">
        <v>22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4.25" customHeight="1">
      <c r="A238" s="4">
        <v>13750</v>
      </c>
      <c r="B238" s="4" t="str">
        <f>IFERROR(VLOOKUP(A238,Colaboradores!A:D,2,),"")</f>
        <v>JOSE ANTONIO ALVES MAGALHAES</v>
      </c>
      <c r="C238" s="4" t="str">
        <f>IFERROR(VLOOKUP(A238,Colaboradores!A:D,3,),"")</f>
        <v>GESTÃO INTEGRADA</v>
      </c>
      <c r="D238" s="4" t="str">
        <f>IFERROR(VLOOKUP(A238,Colaboradores!A:D,4,),"")</f>
        <v>GERENTE DE GESTÃO INTEGRADA</v>
      </c>
      <c r="E238" s="4" t="s">
        <v>48</v>
      </c>
      <c r="F238" s="5" t="str">
        <f>IFERROR(VLOOKUP(E238,Procedimentos!A:C,2,),"")</f>
        <v>POLÍTICA MEIO AMBIENTE EMSERH</v>
      </c>
      <c r="G238" s="4" t="s">
        <v>22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4.25" customHeight="1">
      <c r="A239" s="4">
        <v>13750</v>
      </c>
      <c r="B239" s="4" t="str">
        <f>IFERROR(VLOOKUP(A239,Colaboradores!A:D,2,),"")</f>
        <v>JOSE ANTONIO ALVES MAGALHAES</v>
      </c>
      <c r="C239" s="4" t="str">
        <f>IFERROR(VLOOKUP(A239,Colaboradores!A:D,3,),"")</f>
        <v>GESTÃO INTEGRADA</v>
      </c>
      <c r="D239" s="4" t="str">
        <f>IFERROR(VLOOKUP(A239,Colaboradores!A:D,4,),"")</f>
        <v>GERENTE DE GESTÃO INTEGRADA</v>
      </c>
      <c r="E239" s="4" t="s">
        <v>29</v>
      </c>
      <c r="F239" s="5" t="str">
        <f>IFERROR(VLOOKUP(E239,Procedimentos!A:C,2,),"")</f>
        <v>COLETA SELETIVA DESSMA</v>
      </c>
      <c r="G239" s="4" t="s">
        <v>22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4.25" customHeight="1">
      <c r="A240" s="4">
        <v>13750</v>
      </c>
      <c r="B240" s="4" t="str">
        <f>IFERROR(VLOOKUP(A240,Colaboradores!A:D,2,),"")</f>
        <v>JOSE ANTONIO ALVES MAGALHAES</v>
      </c>
      <c r="C240" s="4" t="str">
        <f>IFERROR(VLOOKUP(A240,Colaboradores!A:D,3,),"")</f>
        <v>GESTÃO INTEGRADA</v>
      </c>
      <c r="D240" s="4" t="str">
        <f>IFERROR(VLOOKUP(A240,Colaboradores!A:D,4,),"")</f>
        <v>GERENTE DE GESTÃO INTEGRADA</v>
      </c>
      <c r="E240" s="4" t="s">
        <v>32</v>
      </c>
      <c r="F240" s="5" t="str">
        <f>IFERROR(VLOOKUP(E240,Procedimentos!A:C,2,),"")</f>
        <v>GESTÃO DE LEVANTAMENTO DE ASPECTOS E IMPACTOS AMBIENTAIS</v>
      </c>
      <c r="G240" s="4" t="s">
        <v>22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4.25" customHeight="1">
      <c r="A241" s="4">
        <v>13750</v>
      </c>
      <c r="B241" s="4" t="str">
        <f>IFERROR(VLOOKUP(A241,Colaboradores!A:D,2,),"")</f>
        <v>JOSE ANTONIO ALVES MAGALHAES</v>
      </c>
      <c r="C241" s="4" t="str">
        <f>IFERROR(VLOOKUP(A241,Colaboradores!A:D,3,),"")</f>
        <v>GESTÃO INTEGRADA</v>
      </c>
      <c r="D241" s="4" t="str">
        <f>IFERROR(VLOOKUP(A241,Colaboradores!A:D,4,),"")</f>
        <v>GERENTE DE GESTÃO INTEGRADA</v>
      </c>
      <c r="E241" s="4" t="s">
        <v>31</v>
      </c>
      <c r="F241" s="5" t="str">
        <f>IFERROR(VLOOKUP(E241,Procedimentos!A:C,2,),"")</f>
        <v>GESTÃO DE COMUNICAÇÃO, CLASSIFICAÇÃO E INVESTIGAÇÃO DE OCORRÊNCIAS AMBIENTAIS</v>
      </c>
      <c r="G241" s="4" t="s">
        <v>22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4.25" customHeight="1">
      <c r="A242" s="4">
        <v>13750</v>
      </c>
      <c r="B242" s="4" t="str">
        <f>IFERROR(VLOOKUP(A242,Colaboradores!A:D,2,),"")</f>
        <v>JOSE ANTONIO ALVES MAGALHAES</v>
      </c>
      <c r="C242" s="4" t="str">
        <f>IFERROR(VLOOKUP(A242,Colaboradores!A:D,3,),"")</f>
        <v>GESTÃO INTEGRADA</v>
      </c>
      <c r="D242" s="4" t="str">
        <f>IFERROR(VLOOKUP(A242,Colaboradores!A:D,4,),"")</f>
        <v>GERENTE DE GESTÃO INTEGRADA</v>
      </c>
      <c r="E242" s="4" t="s">
        <v>33</v>
      </c>
      <c r="F242" s="5" t="str">
        <f>IFERROR(VLOOKUP(E242,Procedimentos!A:C,2,),"")</f>
        <v>GESTÃO DE INSPEÇÕES AMBIENTAIS</v>
      </c>
      <c r="G242" s="4" t="s">
        <v>22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4.25" customHeight="1">
      <c r="A243" s="4">
        <v>13750</v>
      </c>
      <c r="B243" s="4" t="str">
        <f>IFERROR(VLOOKUP(A243,Colaboradores!A:D,2,),"")</f>
        <v>JOSE ANTONIO ALVES MAGALHAES</v>
      </c>
      <c r="C243" s="4" t="str">
        <f>IFERROR(VLOOKUP(A243,Colaboradores!A:D,3,),"")</f>
        <v>GESTÃO INTEGRADA</v>
      </c>
      <c r="D243" s="4" t="str">
        <f>IFERROR(VLOOKUP(A243,Colaboradores!A:D,4,),"")</f>
        <v>GERENTE DE GESTÃO INTEGRADA</v>
      </c>
      <c r="E243" s="4" t="s">
        <v>49</v>
      </c>
      <c r="F243" s="5" t="str">
        <f>IFERROR(VLOOKUP(E243,Procedimentos!A:C,2,),"")</f>
        <v>DIRETRIZES PARA REALIZAÇÃO DE EXAMES OCUPACIONAIS</v>
      </c>
      <c r="G243" s="4" t="s">
        <v>22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4.25" customHeight="1">
      <c r="A244" s="4">
        <v>13750</v>
      </c>
      <c r="B244" s="4" t="str">
        <f>IFERROR(VLOOKUP(A244,Colaboradores!A:D,2,),"")</f>
        <v>JOSE ANTONIO ALVES MAGALHAES</v>
      </c>
      <c r="C244" s="4" t="str">
        <f>IFERROR(VLOOKUP(A244,Colaboradores!A:D,3,),"")</f>
        <v>GESTÃO INTEGRADA</v>
      </c>
      <c r="D244" s="4" t="str">
        <f>IFERROR(VLOOKUP(A244,Colaboradores!A:D,4,),"")</f>
        <v>GERENTE DE GESTÃO INTEGRADA</v>
      </c>
      <c r="E244" s="4" t="s">
        <v>51</v>
      </c>
      <c r="F244" s="5" t="str">
        <f>IFERROR(VLOOKUP(E244,Procedimentos!A:C,2,),"")</f>
        <v>DIRETRIZES PARA ENTREGA DE ATESTADOS MÉDICOS E ODONTOLÓGICOS</v>
      </c>
      <c r="G244" s="4" t="s">
        <v>22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4.25" customHeight="1">
      <c r="A245" s="4">
        <v>13750</v>
      </c>
      <c r="B245" s="4" t="str">
        <f>IFERROR(VLOOKUP(A245,Colaboradores!A:D,2,),"")</f>
        <v>JOSE ANTONIO ALVES MAGALHAES</v>
      </c>
      <c r="C245" s="4" t="str">
        <f>IFERROR(VLOOKUP(A245,Colaboradores!A:D,3,),"")</f>
        <v>GESTÃO INTEGRADA</v>
      </c>
      <c r="D245" s="4" t="str">
        <f>IFERROR(VLOOKUP(A245,Colaboradores!A:D,4,),"")</f>
        <v>GERENTE DE GESTÃO INTEGRADA</v>
      </c>
      <c r="E245" s="4" t="s">
        <v>52</v>
      </c>
      <c r="F245" s="5" t="str">
        <f>IFERROR(VLOOKUP(E245,Procedimentos!A:C,2,),"")</f>
        <v>DIRETRIZES E ACOMPANHAMENTO  DE ACIDENTE COM MATERIAL BIOLOGICO</v>
      </c>
      <c r="G245" s="4" t="s">
        <v>28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4.25" customHeight="1">
      <c r="A246" s="4">
        <v>13750</v>
      </c>
      <c r="B246" s="4" t="str">
        <f>IFERROR(VLOOKUP(A246,Colaboradores!A:D,2,),"")</f>
        <v>JOSE ANTONIO ALVES MAGALHAES</v>
      </c>
      <c r="C246" s="4" t="str">
        <f>IFERROR(VLOOKUP(A246,Colaboradores!A:D,3,),"")</f>
        <v>GESTÃO INTEGRADA</v>
      </c>
      <c r="D246" s="4" t="str">
        <f>IFERROR(VLOOKUP(A246,Colaboradores!A:D,4,),"")</f>
        <v>GERENTE DE GESTÃO INTEGRADA</v>
      </c>
      <c r="E246" s="4" t="s">
        <v>53</v>
      </c>
      <c r="F246" s="5" t="str">
        <f>IFERROR(VLOOKUP(E246,Procedimentos!A:C,2,),"")</f>
        <v>DIRETRIZES PARA MONITORAMENTO DE GESTANTE</v>
      </c>
      <c r="G246" s="4" t="s">
        <v>22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4.25" customHeight="1">
      <c r="A247" s="4">
        <v>13750</v>
      </c>
      <c r="B247" s="4" t="str">
        <f>IFERROR(VLOOKUP(A247,Colaboradores!A:D,2,),"")</f>
        <v>JOSE ANTONIO ALVES MAGALHAES</v>
      </c>
      <c r="C247" s="4" t="str">
        <f>IFERROR(VLOOKUP(A247,Colaboradores!A:D,3,),"")</f>
        <v>GESTÃO INTEGRADA</v>
      </c>
      <c r="D247" s="4" t="str">
        <f>IFERROR(VLOOKUP(A247,Colaboradores!A:D,4,),"")</f>
        <v>GERENTE DE GESTÃO INTEGRADA</v>
      </c>
      <c r="E247" s="4" t="s">
        <v>54</v>
      </c>
      <c r="F247" s="5" t="str">
        <f>IFERROR(VLOOKUP(E247,Procedimentos!A:C,2,),"")</f>
        <v>DIRETRIZES DE IMUNIZAÇÃO OCUPACIONAL</v>
      </c>
      <c r="G247" s="4" t="s">
        <v>22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4.25" customHeight="1">
      <c r="A248" s="4">
        <v>13750</v>
      </c>
      <c r="B248" s="4" t="str">
        <f>IFERROR(VLOOKUP(A248,Colaboradores!A:D,2,),"")</f>
        <v>JOSE ANTONIO ALVES MAGALHAES</v>
      </c>
      <c r="C248" s="4" t="str">
        <f>IFERROR(VLOOKUP(A248,Colaboradores!A:D,3,),"")</f>
        <v>GESTÃO INTEGRADA</v>
      </c>
      <c r="D248" s="4" t="str">
        <f>IFERROR(VLOOKUP(A248,Colaboradores!A:D,4,),"")</f>
        <v>GERENTE DE GESTÃO INTEGRADA</v>
      </c>
      <c r="E248" s="4" t="s">
        <v>55</v>
      </c>
      <c r="F248" s="5" t="str">
        <f>IFERROR(VLOOKUP(E248,Procedimentos!A:C,2,),"")</f>
        <v>DIRETRIZES PARA ACOMPANHAMENTO DE AFASTADOS</v>
      </c>
      <c r="G248" s="4" t="s">
        <v>22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4.25" customHeight="1">
      <c r="A249" s="4">
        <v>13750</v>
      </c>
      <c r="B249" s="4" t="str">
        <f>IFERROR(VLOOKUP(A249,Colaboradores!A:D,2,),"")</f>
        <v>JOSE ANTONIO ALVES MAGALHAES</v>
      </c>
      <c r="C249" s="4" t="str">
        <f>IFERROR(VLOOKUP(A249,Colaboradores!A:D,3,),"")</f>
        <v>GESTÃO INTEGRADA</v>
      </c>
      <c r="D249" s="4" t="str">
        <f>IFERROR(VLOOKUP(A249,Colaboradores!A:D,4,),"")</f>
        <v>GERENTE DE GESTÃO INTEGRADA</v>
      </c>
      <c r="E249" s="4" t="s">
        <v>46</v>
      </c>
      <c r="F249" s="5" t="str">
        <f>IFERROR(VLOOKUP(E249,Procedimentos!A:C,2,),"")</f>
        <v>POLÍTICA DE SAÚDE E SEGURANÇA DO TRABALHO EMSERH</v>
      </c>
      <c r="G249" s="4" t="s">
        <v>22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4.25" customHeight="1">
      <c r="A250" s="4">
        <v>13750</v>
      </c>
      <c r="B250" s="4" t="str">
        <f>IFERROR(VLOOKUP(A250,Colaboradores!A:D,2,),"")</f>
        <v>JOSE ANTONIO ALVES MAGALHAES</v>
      </c>
      <c r="C250" s="4" t="str">
        <f>IFERROR(VLOOKUP(A250,Colaboradores!A:D,3,),"")</f>
        <v>GESTÃO INTEGRADA</v>
      </c>
      <c r="D250" s="4" t="str">
        <f>IFERROR(VLOOKUP(A250,Colaboradores!A:D,4,),"")</f>
        <v>GERENTE DE GESTÃO INTEGRADA</v>
      </c>
      <c r="E250" s="4" t="s">
        <v>41</v>
      </c>
      <c r="F250" s="5" t="str">
        <f>IFERROR(VLOOKUP(E250,Procedimentos!A:C,2,),"")</f>
        <v>DIRETRIZES PARA COMUNICAÇÃO E INVESTIGAÇÃO DE ACIDENTES</v>
      </c>
      <c r="G250" s="4" t="s">
        <v>22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4.25" customHeight="1">
      <c r="A251" s="4">
        <v>13750</v>
      </c>
      <c r="B251" s="4" t="str">
        <f>IFERROR(VLOOKUP(A251,Colaboradores!A:D,2,),"")</f>
        <v>JOSE ANTONIO ALVES MAGALHAES</v>
      </c>
      <c r="C251" s="4" t="str">
        <f>IFERROR(VLOOKUP(A251,Colaboradores!A:D,3,),"")</f>
        <v>GESTÃO INTEGRADA</v>
      </c>
      <c r="D251" s="4" t="str">
        <f>IFERROR(VLOOKUP(A251,Colaboradores!A:D,4,),"")</f>
        <v>GERENTE DE GESTÃO INTEGRADA</v>
      </c>
      <c r="E251" s="4" t="s">
        <v>43</v>
      </c>
      <c r="F251" s="5" t="str">
        <f>IFERROR(VLOOKUP(E251,Procedimentos!A:C,2,),"")</f>
        <v>DIÁLOGO DE SAÚDE E SEGURANÇA - DSS</v>
      </c>
      <c r="G251" s="4" t="s">
        <v>22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4.25" customHeight="1">
      <c r="A252" s="4">
        <v>13750</v>
      </c>
      <c r="B252" s="4" t="str">
        <f>IFERROR(VLOOKUP(A252,Colaboradores!A:D,2,),"")</f>
        <v>JOSE ANTONIO ALVES MAGALHAES</v>
      </c>
      <c r="C252" s="4" t="str">
        <f>IFERROR(VLOOKUP(A252,Colaboradores!A:D,3,),"")</f>
        <v>GESTÃO INTEGRADA</v>
      </c>
      <c r="D252" s="4" t="str">
        <f>IFERROR(VLOOKUP(A252,Colaboradores!A:D,4,),"")</f>
        <v>GERENTE DE GESTÃO INTEGRADA</v>
      </c>
      <c r="E252" s="4" t="s">
        <v>44</v>
      </c>
      <c r="F252" s="5" t="str">
        <f>IFERROR(VLOOKUP(E252,Procedimentos!A:C,2,),"")</f>
        <v>DIRETRIZES PARA GESTÃO DE EQUIPAMENTOS DE PROTEÇÃO INDIVIDUAL - EPI'S</v>
      </c>
      <c r="G252" s="4" t="s">
        <v>22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4.25" customHeight="1">
      <c r="A253" s="4">
        <v>13750</v>
      </c>
      <c r="B253" s="4" t="str">
        <f>IFERROR(VLOOKUP(A253,Colaboradores!A:D,2,),"")</f>
        <v>JOSE ANTONIO ALVES MAGALHAES</v>
      </c>
      <c r="C253" s="4" t="str">
        <f>IFERROR(VLOOKUP(A253,Colaboradores!A:D,3,),"")</f>
        <v>GESTÃO INTEGRADA</v>
      </c>
      <c r="D253" s="4" t="str">
        <f>IFERROR(VLOOKUP(A253,Colaboradores!A:D,4,),"")</f>
        <v>GERENTE DE GESTÃO INTEGRADA</v>
      </c>
      <c r="E253" s="4" t="s">
        <v>45</v>
      </c>
      <c r="F253" s="5" t="str">
        <f>IFERROR(VLOOKUP(E253,Procedimentos!A:C,2,),"")</f>
        <v>CONSTITUIÇÃO INTERNA DE PREVENÇÃO DE ACIDENTES E DE ASSÉDIOS - CIPA</v>
      </c>
      <c r="G253" s="4" t="s">
        <v>22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4.25" customHeight="1">
      <c r="A254" s="4">
        <v>12712</v>
      </c>
      <c r="B254" s="4" t="str">
        <f>IFERROR(VLOOKUP(A254,Colaboradores!A:D,2,),"")</f>
        <v>JOYCE CLEIA MIRANDA BARROS</v>
      </c>
      <c r="C254" s="4" t="str">
        <f>IFERROR(VLOOKUP(A254,Colaboradores!A:D,3,),"")</f>
        <v>GESTÃO INTEGRADA</v>
      </c>
      <c r="D254" s="4" t="str">
        <f>IFERROR(VLOOKUP(A254,Colaboradores!A:D,4,),"")</f>
        <v>ANALISTA DE GESTÃO INTEGRADA</v>
      </c>
      <c r="E254" s="4" t="s">
        <v>58</v>
      </c>
      <c r="F254" s="5" t="str">
        <f>IFERROR(VLOOKUP(E254,Procedimentos!A:C,2,),"")</f>
        <v>POLÍTICA DE QUALIDADE DA DIRETORIA</v>
      </c>
      <c r="G254" s="4" t="s">
        <v>22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4.25" customHeight="1">
      <c r="A255" s="4">
        <v>12712</v>
      </c>
      <c r="B255" s="4" t="str">
        <f>IFERROR(VLOOKUP(A255,Colaboradores!A:D,2,),"")</f>
        <v>JOYCE CLEIA MIRANDA BARROS</v>
      </c>
      <c r="C255" s="4" t="str">
        <f>IFERROR(VLOOKUP(A255,Colaboradores!A:D,3,),"")</f>
        <v>GESTÃO INTEGRADA</v>
      </c>
      <c r="D255" s="4" t="str">
        <f>IFERROR(VLOOKUP(A255,Colaboradores!A:D,4,),"")</f>
        <v>ANALISTA DE GESTÃO INTEGRADA</v>
      </c>
      <c r="E255" s="4" t="s">
        <v>19</v>
      </c>
      <c r="F255" s="5" t="str">
        <f>IFERROR(VLOOKUP(E255,Procedimentos!A:C,2,),"")</f>
        <v>DIRETRIZES PARA DOCUMENTOS NORMATIVOS</v>
      </c>
      <c r="G255" s="4" t="s">
        <v>22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4.25" customHeight="1">
      <c r="A256" s="4">
        <v>12712</v>
      </c>
      <c r="B256" s="4" t="str">
        <f>IFERROR(VLOOKUP(A256,Colaboradores!A:D,2,),"")</f>
        <v>JOYCE CLEIA MIRANDA BARROS</v>
      </c>
      <c r="C256" s="4" t="str">
        <f>IFERROR(VLOOKUP(A256,Colaboradores!A:D,3,),"")</f>
        <v>GESTÃO INTEGRADA</v>
      </c>
      <c r="D256" s="4" t="str">
        <f>IFERROR(VLOOKUP(A256,Colaboradores!A:D,4,),"")</f>
        <v>ANALISTA DE GESTÃO INTEGRADA</v>
      </c>
      <c r="E256" s="4" t="s">
        <v>24</v>
      </c>
      <c r="F256" s="5" t="str">
        <f>IFERROR(VLOOKUP(E256,Procedimentos!A:C,2,),"")</f>
        <v>DIRETRIZES  PARA PROGRAMA 5S</v>
      </c>
      <c r="G256" s="4" t="s">
        <v>22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4.25" customHeight="1">
      <c r="A257" s="4">
        <v>12712</v>
      </c>
      <c r="B257" s="4" t="str">
        <f>IFERROR(VLOOKUP(A257,Colaboradores!A:D,2,),"")</f>
        <v>JOYCE CLEIA MIRANDA BARROS</v>
      </c>
      <c r="C257" s="4" t="str">
        <f>IFERROR(VLOOKUP(A257,Colaboradores!A:D,3,),"")</f>
        <v>GESTÃO INTEGRADA</v>
      </c>
      <c r="D257" s="4" t="str">
        <f>IFERROR(VLOOKUP(A257,Colaboradores!A:D,4,),"")</f>
        <v>ANALISTA DE GESTÃO INTEGRADA</v>
      </c>
      <c r="E257" s="4" t="s">
        <v>67</v>
      </c>
      <c r="F257" s="5" t="str">
        <f>IFERROR(VLOOKUP(E257,Procedimentos!A:C,2,),"")</f>
        <v>SISTEMATICA DE ROTINA DE REUNIÕES DA DESSMA</v>
      </c>
      <c r="G257" s="4" t="s">
        <v>22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4.25" customHeight="1">
      <c r="A258" s="4">
        <v>12712</v>
      </c>
      <c r="B258" s="4" t="str">
        <f>IFERROR(VLOOKUP(A258,Colaboradores!A:D,2,),"")</f>
        <v>JOYCE CLEIA MIRANDA BARROS</v>
      </c>
      <c r="C258" s="4" t="str">
        <f>IFERROR(VLOOKUP(A258,Colaboradores!A:D,3,),"")</f>
        <v>GESTÃO INTEGRADA</v>
      </c>
      <c r="D258" s="4" t="str">
        <f>IFERROR(VLOOKUP(A258,Colaboradores!A:D,4,),"")</f>
        <v>ANALISTA DE GESTÃO INTEGRADA</v>
      </c>
      <c r="E258" s="4" t="s">
        <v>25</v>
      </c>
      <c r="F258" s="5" t="str">
        <f>IFERROR(VLOOKUP(E258,Procedimentos!A:C,2,),"")</f>
        <v>GARANTIA DA QUALIDADE</v>
      </c>
      <c r="G258" s="4" t="s">
        <v>22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4.25" customHeight="1">
      <c r="A259" s="4">
        <v>12712</v>
      </c>
      <c r="B259" s="4" t="str">
        <f>IFERROR(VLOOKUP(A259,Colaboradores!A:D,2,),"")</f>
        <v>JOYCE CLEIA MIRANDA BARROS</v>
      </c>
      <c r="C259" s="4" t="str">
        <f>IFERROR(VLOOKUP(A259,Colaboradores!A:D,3,),"")</f>
        <v>GESTÃO INTEGRADA</v>
      </c>
      <c r="D259" s="4" t="str">
        <f>IFERROR(VLOOKUP(A259,Colaboradores!A:D,4,),"")</f>
        <v>ANALISTA DE GESTÃO INTEGRADA</v>
      </c>
      <c r="E259" s="4" t="s">
        <v>68</v>
      </c>
      <c r="F259" s="5" t="str">
        <f>IFERROR(VLOOKUP(E259,Procedimentos!A:C,2,),"")</f>
        <v>GESTÃO INDICADORES</v>
      </c>
      <c r="G259" s="4" t="s">
        <v>22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4.25" customHeight="1">
      <c r="A260" s="4">
        <v>12712</v>
      </c>
      <c r="B260" s="4" t="str">
        <f>IFERROR(VLOOKUP(A260,Colaboradores!A:D,2,),"")</f>
        <v>JOYCE CLEIA MIRANDA BARROS</v>
      </c>
      <c r="C260" s="4" t="str">
        <f>IFERROR(VLOOKUP(A260,Colaboradores!A:D,3,),"")</f>
        <v>GESTÃO INTEGRADA</v>
      </c>
      <c r="D260" s="4" t="str">
        <f>IFERROR(VLOOKUP(A260,Colaboradores!A:D,4,),"")</f>
        <v>ANALISTA DE GESTÃO INTEGRADA</v>
      </c>
      <c r="E260" s="4" t="s">
        <v>26</v>
      </c>
      <c r="F260" s="5" t="str">
        <f>IFERROR(VLOOKUP(E260,Procedimentos!A:C,2,),"")</f>
        <v>RESPONSABILIDADES E AUTORIDADES DO SGQ</v>
      </c>
      <c r="G260" s="4" t="s">
        <v>22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4.25" customHeight="1">
      <c r="A261" s="4">
        <v>12712</v>
      </c>
      <c r="B261" s="4" t="str">
        <f>IFERROR(VLOOKUP(A261,Colaboradores!A:D,2,),"")</f>
        <v>JOYCE CLEIA MIRANDA BARROS</v>
      </c>
      <c r="C261" s="4" t="str">
        <f>IFERROR(VLOOKUP(A261,Colaboradores!A:D,3,),"")</f>
        <v>GESTÃO INTEGRADA</v>
      </c>
      <c r="D261" s="4" t="str">
        <f>IFERROR(VLOOKUP(A261,Colaboradores!A:D,4,),"")</f>
        <v>ANALISTA DE GESTÃO INTEGRADA</v>
      </c>
      <c r="E261" s="4" t="s">
        <v>69</v>
      </c>
      <c r="F261" s="5" t="str">
        <f>IFERROR(VLOOKUP(E261,Procedimentos!A:C,2,),"")</f>
        <v>PROCEDIMENTO GESTÃO DE MUDANÇA SGQ</v>
      </c>
      <c r="G261" s="4" t="s">
        <v>22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4.25" customHeight="1">
      <c r="A262" s="4">
        <v>12712</v>
      </c>
      <c r="B262" s="4" t="str">
        <f>IFERROR(VLOOKUP(A262,Colaboradores!A:D,2,),"")</f>
        <v>JOYCE CLEIA MIRANDA BARROS</v>
      </c>
      <c r="C262" s="4" t="str">
        <f>IFERROR(VLOOKUP(A262,Colaboradores!A:D,3,),"")</f>
        <v>GESTÃO INTEGRADA</v>
      </c>
      <c r="D262" s="4" t="str">
        <f>IFERROR(VLOOKUP(A262,Colaboradores!A:D,4,),"")</f>
        <v>ANALISTA DE GESTÃO INTEGRADA</v>
      </c>
      <c r="E262" s="4" t="s">
        <v>64</v>
      </c>
      <c r="F262" s="5" t="str">
        <f>IFERROR(VLOOKUP(E262,Procedimentos!A:C,2,),"")</f>
        <v>AVALIAÇÃO DESEMPENHO</v>
      </c>
      <c r="G262" s="4" t="s">
        <v>22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4.25" customHeight="1">
      <c r="A263" s="4">
        <v>12712</v>
      </c>
      <c r="B263" s="4" t="str">
        <f>IFERROR(VLOOKUP(A263,Colaboradores!A:D,2,),"")</f>
        <v>JOYCE CLEIA MIRANDA BARROS</v>
      </c>
      <c r="C263" s="4" t="str">
        <f>IFERROR(VLOOKUP(A263,Colaboradores!A:D,3,),"")</f>
        <v>GESTÃO INTEGRADA</v>
      </c>
      <c r="D263" s="4" t="str">
        <f>IFERROR(VLOOKUP(A263,Colaboradores!A:D,4,),"")</f>
        <v>ANALISTA DE GESTÃO INTEGRADA</v>
      </c>
      <c r="E263" s="4" t="s">
        <v>48</v>
      </c>
      <c r="F263" s="5" t="str">
        <f>IFERROR(VLOOKUP(E263,Procedimentos!A:C,2,),"")</f>
        <v>POLÍTICA MEIO AMBIENTE EMSERH</v>
      </c>
      <c r="G263" s="4" t="s">
        <v>22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4.25" customHeight="1">
      <c r="A264" s="4">
        <v>12712</v>
      </c>
      <c r="B264" s="4" t="str">
        <f>IFERROR(VLOOKUP(A264,Colaboradores!A:D,2,),"")</f>
        <v>JOYCE CLEIA MIRANDA BARROS</v>
      </c>
      <c r="C264" s="4" t="str">
        <f>IFERROR(VLOOKUP(A264,Colaboradores!A:D,3,),"")</f>
        <v>GESTÃO INTEGRADA</v>
      </c>
      <c r="D264" s="4" t="str">
        <f>IFERROR(VLOOKUP(A264,Colaboradores!A:D,4,),"")</f>
        <v>ANALISTA DE GESTÃO INTEGRADA</v>
      </c>
      <c r="E264" s="4" t="s">
        <v>73</v>
      </c>
      <c r="F264" s="9" t="str">
        <f>IFERROR(VLOOKUP(E264,Procedimentos!A:C,2,),"")</f>
        <v>AQUISIÇÃO DE BENS E SERVIÇOS E AVALIAÇÃO PROVEDORES EXTERNOS</v>
      </c>
      <c r="G264" s="4" t="s">
        <v>22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4">
        <v>12712</v>
      </c>
      <c r="B265" s="4" t="str">
        <f>IFERROR(VLOOKUP(A265,Colaboradores!A:D,2,),"")</f>
        <v>JOYCE CLEIA MIRANDA BARROS</v>
      </c>
      <c r="C265" s="4" t="str">
        <f>IFERROR(VLOOKUP(A265,Colaboradores!A:D,3,),"")</f>
        <v>GESTÃO INTEGRADA</v>
      </c>
      <c r="D265" s="4" t="str">
        <f>IFERROR(VLOOKUP(A265,Colaboradores!A:D,4,),"")</f>
        <v>ANALISTA DE GESTÃO INTEGRADA</v>
      </c>
      <c r="E265" s="4" t="s">
        <v>29</v>
      </c>
      <c r="F265" s="5" t="str">
        <f>IFERROR(VLOOKUP(E265,Procedimentos!A:C,2,),"")</f>
        <v>COLETA SELETIVA DESSMA</v>
      </c>
      <c r="G265" s="4" t="s">
        <v>22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4.25" customHeight="1">
      <c r="A266" s="4">
        <v>12712</v>
      </c>
      <c r="B266" s="4" t="str">
        <f>IFERROR(VLOOKUP(A266,Colaboradores!A:D,2,),"")</f>
        <v>JOYCE CLEIA MIRANDA BARROS</v>
      </c>
      <c r="C266" s="4" t="str">
        <f>IFERROR(VLOOKUP(A266,Colaboradores!A:D,3,),"")</f>
        <v>GESTÃO INTEGRADA</v>
      </c>
      <c r="D266" s="4" t="str">
        <f>IFERROR(VLOOKUP(A266,Colaboradores!A:D,4,),"")</f>
        <v>ANALISTA DE GESTÃO INTEGRADA</v>
      </c>
      <c r="E266" s="4" t="s">
        <v>32</v>
      </c>
      <c r="F266" s="5" t="str">
        <f>IFERROR(VLOOKUP(E266,Procedimentos!A:C,2,),"")</f>
        <v>GESTÃO DE LEVANTAMENTO DE ASPECTOS E IMPACTOS AMBIENTAIS</v>
      </c>
      <c r="G266" s="4" t="s">
        <v>22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4.25" customHeight="1">
      <c r="A267" s="4">
        <v>12712</v>
      </c>
      <c r="B267" s="4" t="str">
        <f>IFERROR(VLOOKUP(A267,Colaboradores!A:D,2,),"")</f>
        <v>JOYCE CLEIA MIRANDA BARROS</v>
      </c>
      <c r="C267" s="4" t="str">
        <f>IFERROR(VLOOKUP(A267,Colaboradores!A:D,3,),"")</f>
        <v>GESTÃO INTEGRADA</v>
      </c>
      <c r="D267" s="4" t="str">
        <f>IFERROR(VLOOKUP(A267,Colaboradores!A:D,4,),"")</f>
        <v>ANALISTA DE GESTÃO INTEGRADA</v>
      </c>
      <c r="E267" s="4" t="s">
        <v>31</v>
      </c>
      <c r="F267" s="5" t="str">
        <f>IFERROR(VLOOKUP(E267,Procedimentos!A:C,2,),"")</f>
        <v>GESTÃO DE COMUNICAÇÃO, CLASSIFICAÇÃO E INVESTIGAÇÃO DE OCORRÊNCIAS AMBIENTAIS</v>
      </c>
      <c r="G267" s="4" t="s">
        <v>22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4.25" customHeight="1">
      <c r="A268" s="4">
        <v>12712</v>
      </c>
      <c r="B268" s="4" t="str">
        <f>IFERROR(VLOOKUP(A268,Colaboradores!A:D,2,),"")</f>
        <v>JOYCE CLEIA MIRANDA BARROS</v>
      </c>
      <c r="C268" s="4" t="str">
        <f>IFERROR(VLOOKUP(A268,Colaboradores!A:D,3,),"")</f>
        <v>GESTÃO INTEGRADA</v>
      </c>
      <c r="D268" s="4" t="str">
        <f>IFERROR(VLOOKUP(A268,Colaboradores!A:D,4,),"")</f>
        <v>ANALISTA DE GESTÃO INTEGRADA</v>
      </c>
      <c r="E268" s="4" t="s">
        <v>33</v>
      </c>
      <c r="F268" s="5" t="str">
        <f>IFERROR(VLOOKUP(E268,Procedimentos!A:C,2,),"")</f>
        <v>GESTÃO DE INSPEÇÕES AMBIENTAIS</v>
      </c>
      <c r="G268" s="4" t="s">
        <v>22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4.25" customHeight="1">
      <c r="A269" s="4">
        <v>12712</v>
      </c>
      <c r="B269" s="4" t="str">
        <f>IFERROR(VLOOKUP(A269,Colaboradores!A:D,2,),"")</f>
        <v>JOYCE CLEIA MIRANDA BARROS</v>
      </c>
      <c r="C269" s="4" t="str">
        <f>IFERROR(VLOOKUP(A269,Colaboradores!A:D,3,),"")</f>
        <v>GESTÃO INTEGRADA</v>
      </c>
      <c r="D269" s="4" t="str">
        <f>IFERROR(VLOOKUP(A269,Colaboradores!A:D,4,),"")</f>
        <v>ANALISTA DE GESTÃO INTEGRADA</v>
      </c>
      <c r="E269" s="4" t="s">
        <v>49</v>
      </c>
      <c r="F269" s="5" t="str">
        <f>IFERROR(VLOOKUP(E269,Procedimentos!A:C,2,),"")</f>
        <v>DIRETRIZES PARA REALIZAÇÃO DE EXAMES OCUPACIONAIS</v>
      </c>
      <c r="G269" s="4" t="s">
        <v>22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4.25" customHeight="1">
      <c r="A270" s="4">
        <v>12712</v>
      </c>
      <c r="B270" s="4" t="str">
        <f>IFERROR(VLOOKUP(A270,Colaboradores!A:D,2,),"")</f>
        <v>JOYCE CLEIA MIRANDA BARROS</v>
      </c>
      <c r="C270" s="4" t="str">
        <f>IFERROR(VLOOKUP(A270,Colaboradores!A:D,3,),"")</f>
        <v>GESTÃO INTEGRADA</v>
      </c>
      <c r="D270" s="4" t="str">
        <f>IFERROR(VLOOKUP(A270,Colaboradores!A:D,4,),"")</f>
        <v>ANALISTA DE GESTÃO INTEGRADA</v>
      </c>
      <c r="E270" s="4" t="s">
        <v>51</v>
      </c>
      <c r="F270" s="5" t="str">
        <f>IFERROR(VLOOKUP(E270,Procedimentos!A:C,2,),"")</f>
        <v>DIRETRIZES PARA ENTREGA DE ATESTADOS MÉDICOS E ODONTOLÓGICOS</v>
      </c>
      <c r="G270" s="4" t="s">
        <v>22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4.25" customHeight="1">
      <c r="A271" s="4">
        <v>12712</v>
      </c>
      <c r="B271" s="4" t="str">
        <f>IFERROR(VLOOKUP(A271,Colaboradores!A:D,2,),"")</f>
        <v>JOYCE CLEIA MIRANDA BARROS</v>
      </c>
      <c r="C271" s="4" t="str">
        <f>IFERROR(VLOOKUP(A271,Colaboradores!A:D,3,),"")</f>
        <v>GESTÃO INTEGRADA</v>
      </c>
      <c r="D271" s="4" t="str">
        <f>IFERROR(VLOOKUP(A271,Colaboradores!A:D,4,),"")</f>
        <v>ANALISTA DE GESTÃO INTEGRADA</v>
      </c>
      <c r="E271" s="4" t="s">
        <v>52</v>
      </c>
      <c r="F271" s="5" t="str">
        <f>IFERROR(VLOOKUP(E271,Procedimentos!A:C,2,),"")</f>
        <v>DIRETRIZES E ACOMPANHAMENTO  DE ACIDENTE COM MATERIAL BIOLOGICO</v>
      </c>
      <c r="G271" s="4" t="s">
        <v>28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4.25" customHeight="1">
      <c r="A272" s="4">
        <v>12712</v>
      </c>
      <c r="B272" s="4" t="str">
        <f>IFERROR(VLOOKUP(A272,Colaboradores!A:D,2,),"")</f>
        <v>JOYCE CLEIA MIRANDA BARROS</v>
      </c>
      <c r="C272" s="4" t="str">
        <f>IFERROR(VLOOKUP(A272,Colaboradores!A:D,3,),"")</f>
        <v>GESTÃO INTEGRADA</v>
      </c>
      <c r="D272" s="4" t="str">
        <f>IFERROR(VLOOKUP(A272,Colaboradores!A:D,4,),"")</f>
        <v>ANALISTA DE GESTÃO INTEGRADA</v>
      </c>
      <c r="E272" s="4" t="s">
        <v>53</v>
      </c>
      <c r="F272" s="5" t="str">
        <f>IFERROR(VLOOKUP(E272,Procedimentos!A:C,2,),"")</f>
        <v>DIRETRIZES PARA MONITORAMENTO DE GESTANTE</v>
      </c>
      <c r="G272" s="4" t="s">
        <v>22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4.25" customHeight="1">
      <c r="A273" s="4">
        <v>12712</v>
      </c>
      <c r="B273" s="4" t="str">
        <f>IFERROR(VLOOKUP(A273,Colaboradores!A:D,2,),"")</f>
        <v>JOYCE CLEIA MIRANDA BARROS</v>
      </c>
      <c r="C273" s="4" t="str">
        <f>IFERROR(VLOOKUP(A273,Colaboradores!A:D,3,),"")</f>
        <v>GESTÃO INTEGRADA</v>
      </c>
      <c r="D273" s="4" t="str">
        <f>IFERROR(VLOOKUP(A273,Colaboradores!A:D,4,),"")</f>
        <v>ANALISTA DE GESTÃO INTEGRADA</v>
      </c>
      <c r="E273" s="4" t="s">
        <v>54</v>
      </c>
      <c r="F273" s="5" t="str">
        <f>IFERROR(VLOOKUP(E273,Procedimentos!A:C,2,),"")</f>
        <v>DIRETRIZES DE IMUNIZAÇÃO OCUPACIONAL</v>
      </c>
      <c r="G273" s="4" t="s">
        <v>22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4.25" customHeight="1">
      <c r="A274" s="4">
        <v>12712</v>
      </c>
      <c r="B274" s="4" t="str">
        <f>IFERROR(VLOOKUP(A274,Colaboradores!A:D,2,),"")</f>
        <v>JOYCE CLEIA MIRANDA BARROS</v>
      </c>
      <c r="C274" s="4" t="str">
        <f>IFERROR(VLOOKUP(A274,Colaboradores!A:D,3,),"")</f>
        <v>GESTÃO INTEGRADA</v>
      </c>
      <c r="D274" s="4" t="str">
        <f>IFERROR(VLOOKUP(A274,Colaboradores!A:D,4,),"")</f>
        <v>ANALISTA DE GESTÃO INTEGRADA</v>
      </c>
      <c r="E274" s="4" t="s">
        <v>55</v>
      </c>
      <c r="F274" s="5" t="str">
        <f>IFERROR(VLOOKUP(E274,Procedimentos!A:C,2,),"")</f>
        <v>DIRETRIZES PARA ACOMPANHAMENTO DE AFASTADOS</v>
      </c>
      <c r="G274" s="4" t="s">
        <v>22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4.25" customHeight="1">
      <c r="A275" s="4">
        <v>12712</v>
      </c>
      <c r="B275" s="4" t="str">
        <f>IFERROR(VLOOKUP(A275,Colaboradores!A:D,2,),"")</f>
        <v>JOYCE CLEIA MIRANDA BARROS</v>
      </c>
      <c r="C275" s="4" t="str">
        <f>IFERROR(VLOOKUP(A275,Colaboradores!A:D,3,),"")</f>
        <v>GESTÃO INTEGRADA</v>
      </c>
      <c r="D275" s="4" t="str">
        <f>IFERROR(VLOOKUP(A275,Colaboradores!A:D,4,),"")</f>
        <v>ANALISTA DE GESTÃO INTEGRADA</v>
      </c>
      <c r="E275" s="4" t="s">
        <v>46</v>
      </c>
      <c r="F275" s="5" t="str">
        <f>IFERROR(VLOOKUP(E275,Procedimentos!A:C,2,),"")</f>
        <v>POLÍTICA DE SAÚDE E SEGURANÇA DO TRABALHO EMSERH</v>
      </c>
      <c r="G275" s="4" t="s">
        <v>22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4.25" customHeight="1">
      <c r="A276" s="4">
        <v>12712</v>
      </c>
      <c r="B276" s="4" t="str">
        <f>IFERROR(VLOOKUP(A276,Colaboradores!A:D,2,),"")</f>
        <v>JOYCE CLEIA MIRANDA BARROS</v>
      </c>
      <c r="C276" s="4" t="str">
        <f>IFERROR(VLOOKUP(A276,Colaboradores!A:D,3,),"")</f>
        <v>GESTÃO INTEGRADA</v>
      </c>
      <c r="D276" s="4" t="str">
        <f>IFERROR(VLOOKUP(A276,Colaboradores!A:D,4,),"")</f>
        <v>ANALISTA DE GESTÃO INTEGRADA</v>
      </c>
      <c r="E276" s="4" t="s">
        <v>41</v>
      </c>
      <c r="F276" s="5" t="str">
        <f>IFERROR(VLOOKUP(E276,Procedimentos!A:C,2,),"")</f>
        <v>DIRETRIZES PARA COMUNICAÇÃO E INVESTIGAÇÃO DE ACIDENTES</v>
      </c>
      <c r="G276" s="4" t="s">
        <v>22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4.25" customHeight="1">
      <c r="A277" s="4">
        <v>12712</v>
      </c>
      <c r="B277" s="4" t="str">
        <f>IFERROR(VLOOKUP(A277,Colaboradores!A:D,2,),"")</f>
        <v>JOYCE CLEIA MIRANDA BARROS</v>
      </c>
      <c r="C277" s="4" t="str">
        <f>IFERROR(VLOOKUP(A277,Colaboradores!A:D,3,),"")</f>
        <v>GESTÃO INTEGRADA</v>
      </c>
      <c r="D277" s="4" t="str">
        <f>IFERROR(VLOOKUP(A277,Colaboradores!A:D,4,),"")</f>
        <v>ANALISTA DE GESTÃO INTEGRADA</v>
      </c>
      <c r="E277" s="4" t="s">
        <v>43</v>
      </c>
      <c r="F277" s="5" t="str">
        <f>IFERROR(VLOOKUP(E277,Procedimentos!A:C,2,),"")</f>
        <v>DIÁLOGO DE SAÚDE E SEGURANÇA - DSS</v>
      </c>
      <c r="G277" s="4" t="s">
        <v>22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4.25" customHeight="1">
      <c r="A278" s="4">
        <v>12712</v>
      </c>
      <c r="B278" s="4" t="str">
        <f>IFERROR(VLOOKUP(A278,Colaboradores!A:D,2,),"")</f>
        <v>JOYCE CLEIA MIRANDA BARROS</v>
      </c>
      <c r="C278" s="4" t="str">
        <f>IFERROR(VLOOKUP(A278,Colaboradores!A:D,3,),"")</f>
        <v>GESTÃO INTEGRADA</v>
      </c>
      <c r="D278" s="4" t="str">
        <f>IFERROR(VLOOKUP(A278,Colaboradores!A:D,4,),"")</f>
        <v>ANALISTA DE GESTÃO INTEGRADA</v>
      </c>
      <c r="E278" s="4" t="s">
        <v>44</v>
      </c>
      <c r="F278" s="5" t="str">
        <f>IFERROR(VLOOKUP(E278,Procedimentos!A:C,2,),"")</f>
        <v>DIRETRIZES PARA GESTÃO DE EQUIPAMENTOS DE PROTEÇÃO INDIVIDUAL - EPI'S</v>
      </c>
      <c r="G278" s="4" t="s">
        <v>22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4.25" customHeight="1">
      <c r="A279" s="4">
        <v>12712</v>
      </c>
      <c r="B279" s="4" t="str">
        <f>IFERROR(VLOOKUP(A279,Colaboradores!A:D,2,),"")</f>
        <v>JOYCE CLEIA MIRANDA BARROS</v>
      </c>
      <c r="C279" s="4" t="str">
        <f>IFERROR(VLOOKUP(A279,Colaboradores!A:D,3,),"")</f>
        <v>GESTÃO INTEGRADA</v>
      </c>
      <c r="D279" s="4" t="str">
        <f>IFERROR(VLOOKUP(A279,Colaboradores!A:D,4,),"")</f>
        <v>ANALISTA DE GESTÃO INTEGRADA</v>
      </c>
      <c r="E279" s="4" t="s">
        <v>45</v>
      </c>
      <c r="F279" s="5" t="str">
        <f>IFERROR(VLOOKUP(E279,Procedimentos!A:C,2,),"")</f>
        <v>CONSTITUIÇÃO INTERNA DE PREVENÇÃO DE ACIDENTES E DE ASSÉDIOS - CIPA</v>
      </c>
      <c r="G279" s="4" t="s">
        <v>22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4.25" customHeight="1">
      <c r="A280" s="4">
        <v>13787</v>
      </c>
      <c r="B280" s="4" t="str">
        <f>IFERROR(VLOOKUP(A280,Colaboradores!A:D,2,),"")</f>
        <v>KELLE SOCORRO MENDES GUIGNONI</v>
      </c>
      <c r="C280" s="4" t="str">
        <f>IFERROR(VLOOKUP(A280,Colaboradores!A:D,3,),"")</f>
        <v>GESTÃO INTEGRADA</v>
      </c>
      <c r="D280" s="4" t="str">
        <f>IFERROR(VLOOKUP(A280,Colaboradores!A:D,4,),"")</f>
        <v>ANALISTA DE GESTÃO INTEGRADA</v>
      </c>
      <c r="E280" s="4" t="s">
        <v>58</v>
      </c>
      <c r="F280" s="5" t="str">
        <f>IFERROR(VLOOKUP(E280,Procedimentos!A:C,2,),"")</f>
        <v>POLÍTICA DE QUALIDADE DA DIRETORIA</v>
      </c>
      <c r="G280" s="4" t="s">
        <v>22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4.25" customHeight="1">
      <c r="A281" s="4">
        <v>13787</v>
      </c>
      <c r="B281" s="4" t="str">
        <f>IFERROR(VLOOKUP(A281,Colaboradores!A:D,2,),"")</f>
        <v>KELLE SOCORRO MENDES GUIGNONI</v>
      </c>
      <c r="C281" s="4" t="str">
        <f>IFERROR(VLOOKUP(A281,Colaboradores!A:D,3,),"")</f>
        <v>GESTÃO INTEGRADA</v>
      </c>
      <c r="D281" s="4" t="str">
        <f>IFERROR(VLOOKUP(A281,Colaboradores!A:D,4,),"")</f>
        <v>ANALISTA DE GESTÃO INTEGRADA</v>
      </c>
      <c r="E281" s="4" t="s">
        <v>19</v>
      </c>
      <c r="F281" s="5" t="str">
        <f>IFERROR(VLOOKUP(E281,Procedimentos!A:C,2,),"")</f>
        <v>DIRETRIZES PARA DOCUMENTOS NORMATIVOS</v>
      </c>
      <c r="G281" s="4" t="s">
        <v>22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4.25" customHeight="1">
      <c r="A282" s="4">
        <v>13787</v>
      </c>
      <c r="B282" s="4" t="str">
        <f>IFERROR(VLOOKUP(A282,Colaboradores!A:D,2,),"")</f>
        <v>KELLE SOCORRO MENDES GUIGNONI</v>
      </c>
      <c r="C282" s="4" t="str">
        <f>IFERROR(VLOOKUP(A282,Colaboradores!A:D,3,),"")</f>
        <v>GESTÃO INTEGRADA</v>
      </c>
      <c r="D282" s="4" t="str">
        <f>IFERROR(VLOOKUP(A282,Colaboradores!A:D,4,),"")</f>
        <v>ANALISTA DE GESTÃO INTEGRADA</v>
      </c>
      <c r="E282" s="4" t="s">
        <v>24</v>
      </c>
      <c r="F282" s="5" t="str">
        <f>IFERROR(VLOOKUP(E282,Procedimentos!A:C,2,),"")</f>
        <v>DIRETRIZES  PARA PROGRAMA 5S</v>
      </c>
      <c r="G282" s="4" t="s">
        <v>22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4.25" customHeight="1">
      <c r="A283" s="4">
        <v>13787</v>
      </c>
      <c r="B283" s="4" t="str">
        <f>IFERROR(VLOOKUP(A283,Colaboradores!A:D,2,),"")</f>
        <v>KELLE SOCORRO MENDES GUIGNONI</v>
      </c>
      <c r="C283" s="4" t="str">
        <f>IFERROR(VLOOKUP(A283,Colaboradores!A:D,3,),"")</f>
        <v>GESTÃO INTEGRADA</v>
      </c>
      <c r="D283" s="4" t="str">
        <f>IFERROR(VLOOKUP(A283,Colaboradores!A:D,4,),"")</f>
        <v>ANALISTA DE GESTÃO INTEGRADA</v>
      </c>
      <c r="E283" s="4" t="s">
        <v>67</v>
      </c>
      <c r="F283" s="5" t="str">
        <f>IFERROR(VLOOKUP(E283,Procedimentos!A:C,2,),"")</f>
        <v>SISTEMATICA DE ROTINA DE REUNIÕES DA DESSMA</v>
      </c>
      <c r="G283" s="4" t="s">
        <v>22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4.25" customHeight="1">
      <c r="A284" s="4">
        <v>13787</v>
      </c>
      <c r="B284" s="4" t="str">
        <f>IFERROR(VLOOKUP(A284,Colaboradores!A:D,2,),"")</f>
        <v>KELLE SOCORRO MENDES GUIGNONI</v>
      </c>
      <c r="C284" s="4" t="str">
        <f>IFERROR(VLOOKUP(A284,Colaboradores!A:D,3,),"")</f>
        <v>GESTÃO INTEGRADA</v>
      </c>
      <c r="D284" s="4" t="str">
        <f>IFERROR(VLOOKUP(A284,Colaboradores!A:D,4,),"")</f>
        <v>ANALISTA DE GESTÃO INTEGRADA</v>
      </c>
      <c r="E284" s="4" t="s">
        <v>25</v>
      </c>
      <c r="F284" s="5" t="str">
        <f>IFERROR(VLOOKUP(E284,Procedimentos!A:C,2,),"")</f>
        <v>GARANTIA DA QUALIDADE</v>
      </c>
      <c r="G284" s="4" t="s">
        <v>22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4.25" customHeight="1">
      <c r="A285" s="4">
        <v>13787</v>
      </c>
      <c r="B285" s="4" t="str">
        <f>IFERROR(VLOOKUP(A285,Colaboradores!A:D,2,),"")</f>
        <v>KELLE SOCORRO MENDES GUIGNONI</v>
      </c>
      <c r="C285" s="4" t="str">
        <f>IFERROR(VLOOKUP(A285,Colaboradores!A:D,3,),"")</f>
        <v>GESTÃO INTEGRADA</v>
      </c>
      <c r="D285" s="4" t="str">
        <f>IFERROR(VLOOKUP(A285,Colaboradores!A:D,4,),"")</f>
        <v>ANALISTA DE GESTÃO INTEGRADA</v>
      </c>
      <c r="E285" s="4" t="s">
        <v>68</v>
      </c>
      <c r="F285" s="5" t="str">
        <f>IFERROR(VLOOKUP(E285,Procedimentos!A:C,2,),"")</f>
        <v>GESTÃO INDICADORES</v>
      </c>
      <c r="G285" s="4" t="s">
        <v>22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4.25" customHeight="1">
      <c r="A286" s="4">
        <v>13787</v>
      </c>
      <c r="B286" s="4" t="str">
        <f>IFERROR(VLOOKUP(A286,Colaboradores!A:D,2,),"")</f>
        <v>KELLE SOCORRO MENDES GUIGNONI</v>
      </c>
      <c r="C286" s="4" t="str">
        <f>IFERROR(VLOOKUP(A286,Colaboradores!A:D,3,),"")</f>
        <v>GESTÃO INTEGRADA</v>
      </c>
      <c r="D286" s="4" t="str">
        <f>IFERROR(VLOOKUP(A286,Colaboradores!A:D,4,),"")</f>
        <v>ANALISTA DE GESTÃO INTEGRADA</v>
      </c>
      <c r="E286" s="4" t="s">
        <v>26</v>
      </c>
      <c r="F286" s="5" t="str">
        <f>IFERROR(VLOOKUP(E286,Procedimentos!A:C,2,),"")</f>
        <v>RESPONSABILIDADES E AUTORIDADES DO SGQ</v>
      </c>
      <c r="G286" s="4" t="s">
        <v>22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4.25" customHeight="1">
      <c r="A287" s="4">
        <v>13787</v>
      </c>
      <c r="B287" s="4" t="str">
        <f>IFERROR(VLOOKUP(A287,Colaboradores!A:D,2,),"")</f>
        <v>KELLE SOCORRO MENDES GUIGNONI</v>
      </c>
      <c r="C287" s="4" t="str">
        <f>IFERROR(VLOOKUP(A287,Colaboradores!A:D,3,),"")</f>
        <v>GESTÃO INTEGRADA</v>
      </c>
      <c r="D287" s="4" t="str">
        <f>IFERROR(VLOOKUP(A287,Colaboradores!A:D,4,),"")</f>
        <v>ANALISTA DE GESTÃO INTEGRADA</v>
      </c>
      <c r="E287" s="4" t="s">
        <v>69</v>
      </c>
      <c r="F287" s="5" t="str">
        <f>IFERROR(VLOOKUP(E287,Procedimentos!A:C,2,),"")</f>
        <v>PROCEDIMENTO GESTÃO DE MUDANÇA SGQ</v>
      </c>
      <c r="G287" s="4" t="s">
        <v>22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4.25" customHeight="1">
      <c r="A288" s="4">
        <v>13787</v>
      </c>
      <c r="B288" s="4" t="str">
        <f>IFERROR(VLOOKUP(A288,Colaboradores!A:D,2,),"")</f>
        <v>KELLE SOCORRO MENDES GUIGNONI</v>
      </c>
      <c r="C288" s="4" t="str">
        <f>IFERROR(VLOOKUP(A288,Colaboradores!A:D,3,),"")</f>
        <v>GESTÃO INTEGRADA</v>
      </c>
      <c r="D288" s="4" t="str">
        <f>IFERROR(VLOOKUP(A288,Colaboradores!A:D,4,),"")</f>
        <v>ANALISTA DE GESTÃO INTEGRADA</v>
      </c>
      <c r="E288" s="4" t="s">
        <v>64</v>
      </c>
      <c r="F288" s="5" t="str">
        <f>IFERROR(VLOOKUP(E288,Procedimentos!A:C,2,),"")</f>
        <v>AVALIAÇÃO DESEMPENHO</v>
      </c>
      <c r="G288" s="4" t="s">
        <v>22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4.25" customHeight="1">
      <c r="A289" s="4">
        <v>13787</v>
      </c>
      <c r="B289" s="4" t="str">
        <f>IFERROR(VLOOKUP(A289,Colaboradores!A:D,2,),"")</f>
        <v>KELLE SOCORRO MENDES GUIGNONI</v>
      </c>
      <c r="C289" s="4" t="str">
        <f>IFERROR(VLOOKUP(A289,Colaboradores!A:D,3,),"")</f>
        <v>GESTÃO INTEGRADA</v>
      </c>
      <c r="D289" s="4" t="str">
        <f>IFERROR(VLOOKUP(A289,Colaboradores!A:D,4,),"")</f>
        <v>ANALISTA DE GESTÃO INTEGRADA</v>
      </c>
      <c r="E289" s="4" t="s">
        <v>73</v>
      </c>
      <c r="F289" s="5" t="str">
        <f>IFERROR(VLOOKUP(E289,Procedimentos!A:C,2,),"")</f>
        <v>AQUISIÇÃO DE BENS E SERVIÇOS E AVALIAÇÃO PROVEDORES EXTERNOS</v>
      </c>
      <c r="G289" s="4" t="s">
        <v>22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4.25" customHeight="1">
      <c r="A290" s="4">
        <v>13787</v>
      </c>
      <c r="B290" s="4" t="str">
        <f>IFERROR(VLOOKUP(A290,Colaboradores!A:D,2,),"")</f>
        <v>KELLE SOCORRO MENDES GUIGNONI</v>
      </c>
      <c r="C290" s="4" t="str">
        <f>IFERROR(VLOOKUP(A290,Colaboradores!A:D,3,),"")</f>
        <v>GESTÃO INTEGRADA</v>
      </c>
      <c r="D290" s="4" t="str">
        <f>IFERROR(VLOOKUP(A290,Colaboradores!A:D,4,),"")</f>
        <v>ANALISTA DE GESTÃO INTEGRADA</v>
      </c>
      <c r="E290" s="4" t="s">
        <v>48</v>
      </c>
      <c r="F290" s="5" t="str">
        <f>IFERROR(VLOOKUP(E290,Procedimentos!A:C,2,),"")</f>
        <v>POLÍTICA MEIO AMBIENTE EMSERH</v>
      </c>
      <c r="G290" s="4" t="s">
        <v>22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4.25" customHeight="1">
      <c r="A291" s="4">
        <v>13787</v>
      </c>
      <c r="B291" s="4" t="str">
        <f>IFERROR(VLOOKUP(A291,Colaboradores!A:D,2,),"")</f>
        <v>KELLE SOCORRO MENDES GUIGNONI</v>
      </c>
      <c r="C291" s="4" t="str">
        <f>IFERROR(VLOOKUP(A291,Colaboradores!A:D,3,),"")</f>
        <v>GESTÃO INTEGRADA</v>
      </c>
      <c r="D291" s="4" t="str">
        <f>IFERROR(VLOOKUP(A291,Colaboradores!A:D,4,),"")</f>
        <v>ANALISTA DE GESTÃO INTEGRADA</v>
      </c>
      <c r="E291" s="4" t="s">
        <v>29</v>
      </c>
      <c r="F291" s="5" t="str">
        <f>IFERROR(VLOOKUP(E291,Procedimentos!A:C,2,),"")</f>
        <v>COLETA SELETIVA DESSMA</v>
      </c>
      <c r="G291" s="4" t="s">
        <v>22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4.25" customHeight="1">
      <c r="A292" s="4">
        <v>13787</v>
      </c>
      <c r="B292" s="4" t="str">
        <f>IFERROR(VLOOKUP(A292,Colaboradores!A:D,2,),"")</f>
        <v>KELLE SOCORRO MENDES GUIGNONI</v>
      </c>
      <c r="C292" s="4" t="str">
        <f>IFERROR(VLOOKUP(A292,Colaboradores!A:D,3,),"")</f>
        <v>GESTÃO INTEGRADA</v>
      </c>
      <c r="D292" s="4" t="str">
        <f>IFERROR(VLOOKUP(A292,Colaboradores!A:D,4,),"")</f>
        <v>ANALISTA DE GESTÃO INTEGRADA</v>
      </c>
      <c r="E292" s="4" t="s">
        <v>32</v>
      </c>
      <c r="F292" s="5" t="str">
        <f>IFERROR(VLOOKUP(E292,Procedimentos!A:C,2,),"")</f>
        <v>GESTÃO DE LEVANTAMENTO DE ASPECTOS E IMPACTOS AMBIENTAIS</v>
      </c>
      <c r="G292" s="4" t="s">
        <v>22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4.25" customHeight="1">
      <c r="A293" s="4">
        <v>13787</v>
      </c>
      <c r="B293" s="4" t="str">
        <f>IFERROR(VLOOKUP(A293,Colaboradores!A:D,2,),"")</f>
        <v>KELLE SOCORRO MENDES GUIGNONI</v>
      </c>
      <c r="C293" s="4" t="str">
        <f>IFERROR(VLOOKUP(A293,Colaboradores!A:D,3,),"")</f>
        <v>GESTÃO INTEGRADA</v>
      </c>
      <c r="D293" s="4" t="str">
        <f>IFERROR(VLOOKUP(A293,Colaboradores!A:D,4,),"")</f>
        <v>ANALISTA DE GESTÃO INTEGRADA</v>
      </c>
      <c r="E293" s="4" t="s">
        <v>31</v>
      </c>
      <c r="F293" s="5" t="str">
        <f>IFERROR(VLOOKUP(E293,Procedimentos!A:C,2,),"")</f>
        <v>GESTÃO DE COMUNICAÇÃO, CLASSIFICAÇÃO E INVESTIGAÇÃO DE OCORRÊNCIAS AMBIENTAIS</v>
      </c>
      <c r="G293" s="4" t="s">
        <v>22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4.25" customHeight="1">
      <c r="A294" s="4">
        <v>13787</v>
      </c>
      <c r="B294" s="4" t="str">
        <f>IFERROR(VLOOKUP(A294,Colaboradores!A:D,2,),"")</f>
        <v>KELLE SOCORRO MENDES GUIGNONI</v>
      </c>
      <c r="C294" s="4" t="str">
        <f>IFERROR(VLOOKUP(A294,Colaboradores!A:D,3,),"")</f>
        <v>GESTÃO INTEGRADA</v>
      </c>
      <c r="D294" s="4" t="str">
        <f>IFERROR(VLOOKUP(A294,Colaboradores!A:D,4,),"")</f>
        <v>ANALISTA DE GESTÃO INTEGRADA</v>
      </c>
      <c r="E294" s="4" t="s">
        <v>33</v>
      </c>
      <c r="F294" s="5" t="str">
        <f>IFERROR(VLOOKUP(E294,Procedimentos!A:C,2,),"")</f>
        <v>GESTÃO DE INSPEÇÕES AMBIENTAIS</v>
      </c>
      <c r="G294" s="4" t="s">
        <v>22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4.25" customHeight="1">
      <c r="A295" s="4">
        <v>13787</v>
      </c>
      <c r="B295" s="4" t="str">
        <f>IFERROR(VLOOKUP(A295,Colaboradores!A:D,2,),"")</f>
        <v>KELLE SOCORRO MENDES GUIGNONI</v>
      </c>
      <c r="C295" s="4" t="str">
        <f>IFERROR(VLOOKUP(A295,Colaboradores!A:D,3,),"")</f>
        <v>GESTÃO INTEGRADA</v>
      </c>
      <c r="D295" s="4" t="str">
        <f>IFERROR(VLOOKUP(A295,Colaboradores!A:D,4,),"")</f>
        <v>ANALISTA DE GESTÃO INTEGRADA</v>
      </c>
      <c r="E295" s="4" t="s">
        <v>49</v>
      </c>
      <c r="F295" s="5" t="str">
        <f>IFERROR(VLOOKUP(E295,Procedimentos!A:C,2,),"")</f>
        <v>DIRETRIZES PARA REALIZAÇÃO DE EXAMES OCUPACIONAIS</v>
      </c>
      <c r="G295" s="4" t="s">
        <v>22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4.25" customHeight="1">
      <c r="A296" s="4">
        <v>13787</v>
      </c>
      <c r="B296" s="4" t="str">
        <f>IFERROR(VLOOKUP(A296,Colaboradores!A:D,2,),"")</f>
        <v>KELLE SOCORRO MENDES GUIGNONI</v>
      </c>
      <c r="C296" s="4" t="str">
        <f>IFERROR(VLOOKUP(A296,Colaboradores!A:D,3,),"")</f>
        <v>GESTÃO INTEGRADA</v>
      </c>
      <c r="D296" s="4" t="str">
        <f>IFERROR(VLOOKUP(A296,Colaboradores!A:D,4,),"")</f>
        <v>ANALISTA DE GESTÃO INTEGRADA</v>
      </c>
      <c r="E296" s="4" t="s">
        <v>51</v>
      </c>
      <c r="F296" s="5" t="str">
        <f>IFERROR(VLOOKUP(E296,Procedimentos!A:C,2,),"")</f>
        <v>DIRETRIZES PARA ENTREGA DE ATESTADOS MÉDICOS E ODONTOLÓGICOS</v>
      </c>
      <c r="G296" s="4" t="s">
        <v>22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4.25" customHeight="1">
      <c r="A297" s="4">
        <v>13787</v>
      </c>
      <c r="B297" s="4" t="str">
        <f>IFERROR(VLOOKUP(A297,Colaboradores!A:D,2,),"")</f>
        <v>KELLE SOCORRO MENDES GUIGNONI</v>
      </c>
      <c r="C297" s="4" t="str">
        <f>IFERROR(VLOOKUP(A297,Colaboradores!A:D,3,),"")</f>
        <v>GESTÃO INTEGRADA</v>
      </c>
      <c r="D297" s="4" t="str">
        <f>IFERROR(VLOOKUP(A297,Colaboradores!A:D,4,),"")</f>
        <v>ANALISTA DE GESTÃO INTEGRADA</v>
      </c>
      <c r="E297" s="4" t="s">
        <v>52</v>
      </c>
      <c r="F297" s="5" t="str">
        <f>IFERROR(VLOOKUP(E297,Procedimentos!A:C,2,),"")</f>
        <v>DIRETRIZES E ACOMPANHAMENTO  DE ACIDENTE COM MATERIAL BIOLOGICO</v>
      </c>
      <c r="G297" s="4" t="s">
        <v>28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4.25" customHeight="1">
      <c r="A298" s="4">
        <v>13787</v>
      </c>
      <c r="B298" s="4" t="str">
        <f>IFERROR(VLOOKUP(A298,Colaboradores!A:D,2,),"")</f>
        <v>KELLE SOCORRO MENDES GUIGNONI</v>
      </c>
      <c r="C298" s="4" t="str">
        <f>IFERROR(VLOOKUP(A298,Colaboradores!A:D,3,),"")</f>
        <v>GESTÃO INTEGRADA</v>
      </c>
      <c r="D298" s="4" t="str">
        <f>IFERROR(VLOOKUP(A298,Colaboradores!A:D,4,),"")</f>
        <v>ANALISTA DE GESTÃO INTEGRADA</v>
      </c>
      <c r="E298" s="4" t="s">
        <v>53</v>
      </c>
      <c r="F298" s="5" t="str">
        <f>IFERROR(VLOOKUP(E298,Procedimentos!A:C,2,),"")</f>
        <v>DIRETRIZES PARA MONITORAMENTO DE GESTANTE</v>
      </c>
      <c r="G298" s="4" t="s">
        <v>22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4.25" customHeight="1">
      <c r="A299" s="4">
        <v>13787</v>
      </c>
      <c r="B299" s="4" t="str">
        <f>IFERROR(VLOOKUP(A299,Colaboradores!A:D,2,),"")</f>
        <v>KELLE SOCORRO MENDES GUIGNONI</v>
      </c>
      <c r="C299" s="4" t="str">
        <f>IFERROR(VLOOKUP(A299,Colaboradores!A:D,3,),"")</f>
        <v>GESTÃO INTEGRADA</v>
      </c>
      <c r="D299" s="4" t="str">
        <f>IFERROR(VLOOKUP(A299,Colaboradores!A:D,4,),"")</f>
        <v>ANALISTA DE GESTÃO INTEGRADA</v>
      </c>
      <c r="E299" s="4" t="s">
        <v>54</v>
      </c>
      <c r="F299" s="5" t="str">
        <f>IFERROR(VLOOKUP(E299,Procedimentos!A:C,2,),"")</f>
        <v>DIRETRIZES DE IMUNIZAÇÃO OCUPACIONAL</v>
      </c>
      <c r="G299" s="4" t="s">
        <v>22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4.25" customHeight="1">
      <c r="A300" s="4">
        <v>13787</v>
      </c>
      <c r="B300" s="4" t="str">
        <f>IFERROR(VLOOKUP(A300,Colaboradores!A:D,2,),"")</f>
        <v>KELLE SOCORRO MENDES GUIGNONI</v>
      </c>
      <c r="C300" s="4" t="str">
        <f>IFERROR(VLOOKUP(A300,Colaboradores!A:D,3,),"")</f>
        <v>GESTÃO INTEGRADA</v>
      </c>
      <c r="D300" s="4" t="str">
        <f>IFERROR(VLOOKUP(A300,Colaboradores!A:D,4,),"")</f>
        <v>ANALISTA DE GESTÃO INTEGRADA</v>
      </c>
      <c r="E300" s="4" t="s">
        <v>55</v>
      </c>
      <c r="F300" s="5" t="str">
        <f>IFERROR(VLOOKUP(E300,Procedimentos!A:C,2,),"")</f>
        <v>DIRETRIZES PARA ACOMPANHAMENTO DE AFASTADOS</v>
      </c>
      <c r="G300" s="4" t="s">
        <v>22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4.25" customHeight="1">
      <c r="A301" s="4">
        <v>13787</v>
      </c>
      <c r="B301" s="4" t="str">
        <f>IFERROR(VLOOKUP(A301,Colaboradores!A:D,2,),"")</f>
        <v>KELLE SOCORRO MENDES GUIGNONI</v>
      </c>
      <c r="C301" s="4" t="str">
        <f>IFERROR(VLOOKUP(A301,Colaboradores!A:D,3,),"")</f>
        <v>GESTÃO INTEGRADA</v>
      </c>
      <c r="D301" s="4" t="str">
        <f>IFERROR(VLOOKUP(A301,Colaboradores!A:D,4,),"")</f>
        <v>ANALISTA DE GESTÃO INTEGRADA</v>
      </c>
      <c r="E301" s="4" t="s">
        <v>46</v>
      </c>
      <c r="F301" s="5" t="str">
        <f>IFERROR(VLOOKUP(E301,Procedimentos!A:C,2,),"")</f>
        <v>POLÍTICA DE SAÚDE E SEGURANÇA DO TRABALHO EMSERH</v>
      </c>
      <c r="G301" s="4" t="s">
        <v>22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4.25" customHeight="1">
      <c r="A302" s="4">
        <v>13787</v>
      </c>
      <c r="B302" s="4" t="str">
        <f>IFERROR(VLOOKUP(A302,Colaboradores!A:D,2,),"")</f>
        <v>KELLE SOCORRO MENDES GUIGNONI</v>
      </c>
      <c r="C302" s="4" t="str">
        <f>IFERROR(VLOOKUP(A302,Colaboradores!A:D,3,),"")</f>
        <v>GESTÃO INTEGRADA</v>
      </c>
      <c r="D302" s="4" t="str">
        <f>IFERROR(VLOOKUP(A302,Colaboradores!A:D,4,),"")</f>
        <v>ANALISTA DE GESTÃO INTEGRADA</v>
      </c>
      <c r="E302" s="4" t="s">
        <v>41</v>
      </c>
      <c r="F302" s="5" t="str">
        <f>IFERROR(VLOOKUP(E302,Procedimentos!A:C,2,),"")</f>
        <v>DIRETRIZES PARA COMUNICAÇÃO E INVESTIGAÇÃO DE ACIDENTES</v>
      </c>
      <c r="G302" s="4" t="s">
        <v>22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4.25" customHeight="1">
      <c r="A303" s="4">
        <v>13787</v>
      </c>
      <c r="B303" s="4" t="str">
        <f>IFERROR(VLOOKUP(A303,Colaboradores!A:D,2,),"")</f>
        <v>KELLE SOCORRO MENDES GUIGNONI</v>
      </c>
      <c r="C303" s="4" t="str">
        <f>IFERROR(VLOOKUP(A303,Colaboradores!A:D,3,),"")</f>
        <v>GESTÃO INTEGRADA</v>
      </c>
      <c r="D303" s="4" t="str">
        <f>IFERROR(VLOOKUP(A303,Colaboradores!A:D,4,),"")</f>
        <v>ANALISTA DE GESTÃO INTEGRADA</v>
      </c>
      <c r="E303" s="4" t="s">
        <v>43</v>
      </c>
      <c r="F303" s="5" t="str">
        <f>IFERROR(VLOOKUP(E303,Procedimentos!A:C,2,),"")</f>
        <v>DIÁLOGO DE SAÚDE E SEGURANÇA - DSS</v>
      </c>
      <c r="G303" s="4" t="s">
        <v>22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4.25" customHeight="1">
      <c r="A304" s="4">
        <v>13787</v>
      </c>
      <c r="B304" s="4" t="str">
        <f>IFERROR(VLOOKUP(A304,Colaboradores!A:D,2,),"")</f>
        <v>KELLE SOCORRO MENDES GUIGNONI</v>
      </c>
      <c r="C304" s="4" t="str">
        <f>IFERROR(VLOOKUP(A304,Colaboradores!A:D,3,),"")</f>
        <v>GESTÃO INTEGRADA</v>
      </c>
      <c r="D304" s="4" t="str">
        <f>IFERROR(VLOOKUP(A304,Colaboradores!A:D,4,),"")</f>
        <v>ANALISTA DE GESTÃO INTEGRADA</v>
      </c>
      <c r="E304" s="4" t="s">
        <v>44</v>
      </c>
      <c r="F304" s="5" t="str">
        <f>IFERROR(VLOOKUP(E304,Procedimentos!A:C,2,),"")</f>
        <v>DIRETRIZES PARA GESTÃO DE EQUIPAMENTOS DE PROTEÇÃO INDIVIDUAL - EPI'S</v>
      </c>
      <c r="G304" s="4" t="s">
        <v>22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4.25" customHeight="1">
      <c r="A305" s="4">
        <v>13787</v>
      </c>
      <c r="B305" s="4" t="str">
        <f>IFERROR(VLOOKUP(A305,Colaboradores!A:D,2,),"")</f>
        <v>KELLE SOCORRO MENDES GUIGNONI</v>
      </c>
      <c r="C305" s="4" t="str">
        <f>IFERROR(VLOOKUP(A305,Colaboradores!A:D,3,),"")</f>
        <v>GESTÃO INTEGRADA</v>
      </c>
      <c r="D305" s="4" t="str">
        <f>IFERROR(VLOOKUP(A305,Colaboradores!A:D,4,),"")</f>
        <v>ANALISTA DE GESTÃO INTEGRADA</v>
      </c>
      <c r="E305" s="4" t="s">
        <v>45</v>
      </c>
      <c r="F305" s="5" t="str">
        <f>IFERROR(VLOOKUP(E305,Procedimentos!A:C,2,),"")</f>
        <v>CONSTITUIÇÃO INTERNA DE PREVENÇÃO DE ACIDENTES E DE ASSÉDIOS - CIPA</v>
      </c>
      <c r="G305" s="4" t="s">
        <v>22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4.25" customHeight="1">
      <c r="A306" s="4">
        <v>12685</v>
      </c>
      <c r="B306" s="4" t="str">
        <f>IFERROR(VLOOKUP(A306,Colaboradores!A:D,2,),"")</f>
        <v>LIDIANA CRISTINA MIRANDA FERREIRA</v>
      </c>
      <c r="C306" s="4" t="str">
        <f>IFERROR(VLOOKUP(A306,Colaboradores!A:D,3,),"")</f>
        <v>GESTÃO INTEGRADA</v>
      </c>
      <c r="D306" s="4" t="str">
        <f>IFERROR(VLOOKUP(A306,Colaboradores!A:D,4,),"")</f>
        <v>COORDENADOR DE GESTÃO INTEGRADA</v>
      </c>
      <c r="E306" s="4" t="s">
        <v>66</v>
      </c>
      <c r="F306" s="5" t="str">
        <f>IFERROR(VLOOKUP(E306,Procedimentos!A:C,2,),"")</f>
        <v>PROCEDIMENTO DE GERENCIAMENTO DE RISCOS</v>
      </c>
      <c r="G306" s="4" t="s">
        <v>22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4.25" customHeight="1">
      <c r="A307" s="4">
        <v>12685</v>
      </c>
      <c r="B307" s="4" t="str">
        <f>IFERROR(VLOOKUP(A307,Colaboradores!A:D,2,),"")</f>
        <v>LIDIANA CRISTINA MIRANDA FERREIRA</v>
      </c>
      <c r="C307" s="4" t="str">
        <f>IFERROR(VLOOKUP(A307,Colaboradores!A:D,3,),"")</f>
        <v>GESTÃO INTEGRADA</v>
      </c>
      <c r="D307" s="4" t="str">
        <f>IFERROR(VLOOKUP(A307,Colaboradores!A:D,4,),"")</f>
        <v>COORDENADOR DE GESTÃO INTEGRADA</v>
      </c>
      <c r="E307" s="4" t="s">
        <v>58</v>
      </c>
      <c r="F307" s="5" t="str">
        <f>IFERROR(VLOOKUP(E307,Procedimentos!A:C,2,),"")</f>
        <v>POLÍTICA DE QUALIDADE DA DIRETORIA</v>
      </c>
      <c r="G307" s="4" t="s">
        <v>22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4.25" customHeight="1">
      <c r="A308" s="4">
        <v>12685</v>
      </c>
      <c r="B308" s="4" t="str">
        <f>IFERROR(VLOOKUP(A308,Colaboradores!A:D,2,),"")</f>
        <v>LIDIANA CRISTINA MIRANDA FERREIRA</v>
      </c>
      <c r="C308" s="4" t="str">
        <f>IFERROR(VLOOKUP(A308,Colaboradores!A:D,3,),"")</f>
        <v>GESTÃO INTEGRADA</v>
      </c>
      <c r="D308" s="4" t="str">
        <f>IFERROR(VLOOKUP(A308,Colaboradores!A:D,4,),"")</f>
        <v>COORDENADOR DE GESTÃO INTEGRADA</v>
      </c>
      <c r="E308" s="4" t="s">
        <v>19</v>
      </c>
      <c r="F308" s="5" t="str">
        <f>IFERROR(VLOOKUP(E308,Procedimentos!A:C,2,),"")</f>
        <v>DIRETRIZES PARA DOCUMENTOS NORMATIVOS</v>
      </c>
      <c r="G308" s="4" t="s">
        <v>22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4.25" customHeight="1">
      <c r="A309" s="4">
        <v>12685</v>
      </c>
      <c r="B309" s="4" t="str">
        <f>IFERROR(VLOOKUP(A309,Colaboradores!A:D,2,),"")</f>
        <v>LIDIANA CRISTINA MIRANDA FERREIRA</v>
      </c>
      <c r="C309" s="4" t="str">
        <f>IFERROR(VLOOKUP(A309,Colaboradores!A:D,3,),"")</f>
        <v>GESTÃO INTEGRADA</v>
      </c>
      <c r="D309" s="4" t="str">
        <f>IFERROR(VLOOKUP(A309,Colaboradores!A:D,4,),"")</f>
        <v>COORDENADOR DE GESTÃO INTEGRADA</v>
      </c>
      <c r="E309" s="4" t="s">
        <v>24</v>
      </c>
      <c r="F309" s="5" t="str">
        <f>IFERROR(VLOOKUP(E309,Procedimentos!A:C,2,),"")</f>
        <v>DIRETRIZES  PARA PROGRAMA 5S</v>
      </c>
      <c r="G309" s="4" t="s">
        <v>22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4.25" customHeight="1">
      <c r="A310" s="4">
        <v>12685</v>
      </c>
      <c r="B310" s="4" t="str">
        <f>IFERROR(VLOOKUP(A310,Colaboradores!A:D,2,),"")</f>
        <v>LIDIANA CRISTINA MIRANDA FERREIRA</v>
      </c>
      <c r="C310" s="4" t="str">
        <f>IFERROR(VLOOKUP(A310,Colaboradores!A:D,3,),"")</f>
        <v>GESTÃO INTEGRADA</v>
      </c>
      <c r="D310" s="4" t="str">
        <f>IFERROR(VLOOKUP(A310,Colaboradores!A:D,4,),"")</f>
        <v>COORDENADOR DE GESTÃO INTEGRADA</v>
      </c>
      <c r="E310" s="4" t="s">
        <v>67</v>
      </c>
      <c r="F310" s="5" t="str">
        <f>IFERROR(VLOOKUP(E310,Procedimentos!A:C,2,),"")</f>
        <v>SISTEMATICA DE ROTINA DE REUNIÕES DA DESSMA</v>
      </c>
      <c r="G310" s="4" t="s">
        <v>22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4.25" customHeight="1">
      <c r="A311" s="4">
        <v>12685</v>
      </c>
      <c r="B311" s="4" t="str">
        <f>IFERROR(VLOOKUP(A311,Colaboradores!A:D,2,),"")</f>
        <v>LIDIANA CRISTINA MIRANDA FERREIRA</v>
      </c>
      <c r="C311" s="4" t="str">
        <f>IFERROR(VLOOKUP(A311,Colaboradores!A:D,3,),"")</f>
        <v>GESTÃO INTEGRADA</v>
      </c>
      <c r="D311" s="4" t="str">
        <f>IFERROR(VLOOKUP(A311,Colaboradores!A:D,4,),"")</f>
        <v>COORDENADOR DE GESTÃO INTEGRADA</v>
      </c>
      <c r="E311" s="4" t="s">
        <v>25</v>
      </c>
      <c r="F311" s="5" t="str">
        <f>IFERROR(VLOOKUP(E311,Procedimentos!A:C,2,),"")</f>
        <v>GARANTIA DA QUALIDADE</v>
      </c>
      <c r="G311" s="4" t="s">
        <v>22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4.25" customHeight="1">
      <c r="A312" s="4">
        <v>12685</v>
      </c>
      <c r="B312" s="4" t="str">
        <f>IFERROR(VLOOKUP(A312,Colaboradores!A:D,2,),"")</f>
        <v>LIDIANA CRISTINA MIRANDA FERREIRA</v>
      </c>
      <c r="C312" s="4" t="str">
        <f>IFERROR(VLOOKUP(A312,Colaboradores!A:D,3,),"")</f>
        <v>GESTÃO INTEGRADA</v>
      </c>
      <c r="D312" s="4" t="str">
        <f>IFERROR(VLOOKUP(A312,Colaboradores!A:D,4,),"")</f>
        <v>COORDENADOR DE GESTÃO INTEGRADA</v>
      </c>
      <c r="E312" s="4" t="s">
        <v>68</v>
      </c>
      <c r="F312" s="5" t="str">
        <f>IFERROR(VLOOKUP(E312,Procedimentos!A:C,2,),"")</f>
        <v>GESTÃO INDICADORES</v>
      </c>
      <c r="G312" s="4" t="s">
        <v>22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4.25" customHeight="1">
      <c r="A313" s="4">
        <v>12685</v>
      </c>
      <c r="B313" s="4" t="str">
        <f>IFERROR(VLOOKUP(A313,Colaboradores!A:D,2,),"")</f>
        <v>LIDIANA CRISTINA MIRANDA FERREIRA</v>
      </c>
      <c r="C313" s="4" t="str">
        <f>IFERROR(VLOOKUP(A313,Colaboradores!A:D,3,),"")</f>
        <v>GESTÃO INTEGRADA</v>
      </c>
      <c r="D313" s="4" t="str">
        <f>IFERROR(VLOOKUP(A313,Colaboradores!A:D,4,),"")</f>
        <v>COORDENADOR DE GESTÃO INTEGRADA</v>
      </c>
      <c r="E313" s="4" t="s">
        <v>26</v>
      </c>
      <c r="F313" s="5" t="str">
        <f>IFERROR(VLOOKUP(E313,Procedimentos!A:C,2,),"")</f>
        <v>RESPONSABILIDADES E AUTORIDADES DO SGQ</v>
      </c>
      <c r="G313" s="4" t="s">
        <v>22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4.25" customHeight="1">
      <c r="A314" s="4">
        <v>12685</v>
      </c>
      <c r="B314" s="4" t="str">
        <f>IFERROR(VLOOKUP(A314,Colaboradores!A:D,2,),"")</f>
        <v>LIDIANA CRISTINA MIRANDA FERREIRA</v>
      </c>
      <c r="C314" s="4" t="str">
        <f>IFERROR(VLOOKUP(A314,Colaboradores!A:D,3,),"")</f>
        <v>GESTÃO INTEGRADA</v>
      </c>
      <c r="D314" s="4" t="str">
        <f>IFERROR(VLOOKUP(A314,Colaboradores!A:D,4,),"")</f>
        <v>COORDENADOR DE GESTÃO INTEGRADA</v>
      </c>
      <c r="E314" s="4" t="s">
        <v>69</v>
      </c>
      <c r="F314" s="5" t="str">
        <f>IFERROR(VLOOKUP(E314,Procedimentos!A:C,2,),"")</f>
        <v>PROCEDIMENTO GESTÃO DE MUDANÇA SGQ</v>
      </c>
      <c r="G314" s="4" t="s">
        <v>22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4.25" customHeight="1">
      <c r="A315" s="4">
        <v>12685</v>
      </c>
      <c r="B315" s="4" t="str">
        <f>IFERROR(VLOOKUP(A315,Colaboradores!A:D,2,),"")</f>
        <v>LIDIANA CRISTINA MIRANDA FERREIRA</v>
      </c>
      <c r="C315" s="4" t="str">
        <f>IFERROR(VLOOKUP(A315,Colaboradores!A:D,3,),"")</f>
        <v>GESTÃO INTEGRADA</v>
      </c>
      <c r="D315" s="4" t="str">
        <f>IFERROR(VLOOKUP(A315,Colaboradores!A:D,4,),"")</f>
        <v>COORDENADOR DE GESTÃO INTEGRADA</v>
      </c>
      <c r="E315" s="4" t="s">
        <v>64</v>
      </c>
      <c r="F315" s="5" t="str">
        <f>IFERROR(VLOOKUP(E315,Procedimentos!A:C,2,),"")</f>
        <v>AVALIAÇÃO DESEMPENHO</v>
      </c>
      <c r="G315" s="4" t="s">
        <v>22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4.25" customHeight="1">
      <c r="A316" s="4">
        <v>12685</v>
      </c>
      <c r="B316" s="4" t="str">
        <f>IFERROR(VLOOKUP(A316,Colaboradores!A:D,2,),"")</f>
        <v>LIDIANA CRISTINA MIRANDA FERREIRA</v>
      </c>
      <c r="C316" s="4" t="str">
        <f>IFERROR(VLOOKUP(A316,Colaboradores!A:D,3,),"")</f>
        <v>GESTÃO INTEGRADA</v>
      </c>
      <c r="D316" s="4" t="str">
        <f>IFERROR(VLOOKUP(A316,Colaboradores!A:D,4,),"")</f>
        <v>COORDENADOR DE GESTÃO INTEGRADA</v>
      </c>
      <c r="E316" s="4" t="s">
        <v>73</v>
      </c>
      <c r="F316" s="5" t="str">
        <f>IFERROR(VLOOKUP(E316,Procedimentos!A:C,2,),"")</f>
        <v>AQUISIÇÃO DE BENS E SERVIÇOS E AVALIAÇÃO PROVEDORES EXTERNOS</v>
      </c>
      <c r="G316" s="4" t="s">
        <v>22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4.25" customHeight="1">
      <c r="A317" s="4">
        <v>12685</v>
      </c>
      <c r="B317" s="4" t="str">
        <f>IFERROR(VLOOKUP(A317,Colaboradores!A:D,2,),"")</f>
        <v>LIDIANA CRISTINA MIRANDA FERREIRA</v>
      </c>
      <c r="C317" s="4" t="str">
        <f>IFERROR(VLOOKUP(A317,Colaboradores!A:D,3,),"")</f>
        <v>GESTÃO INTEGRADA</v>
      </c>
      <c r="D317" s="4" t="str">
        <f>IFERROR(VLOOKUP(A317,Colaboradores!A:D,4,),"")</f>
        <v>COORDENADOR DE GESTÃO INTEGRADA</v>
      </c>
      <c r="E317" s="4" t="s">
        <v>48</v>
      </c>
      <c r="F317" s="5" t="str">
        <f>IFERROR(VLOOKUP(E317,Procedimentos!A:C,2,),"")</f>
        <v>POLÍTICA MEIO AMBIENTE EMSERH</v>
      </c>
      <c r="G317" s="4" t="s">
        <v>22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4.25" customHeight="1">
      <c r="A318" s="4">
        <v>12685</v>
      </c>
      <c r="B318" s="4" t="str">
        <f>IFERROR(VLOOKUP(A318,Colaboradores!A:D,2,),"")</f>
        <v>LIDIANA CRISTINA MIRANDA FERREIRA</v>
      </c>
      <c r="C318" s="4" t="str">
        <f>IFERROR(VLOOKUP(A318,Colaboradores!A:D,3,),"")</f>
        <v>GESTÃO INTEGRADA</v>
      </c>
      <c r="D318" s="4" t="str">
        <f>IFERROR(VLOOKUP(A318,Colaboradores!A:D,4,),"")</f>
        <v>COORDENADOR DE GESTÃO INTEGRADA</v>
      </c>
      <c r="E318" s="4" t="s">
        <v>29</v>
      </c>
      <c r="F318" s="5" t="str">
        <f>IFERROR(VLOOKUP(E318,Procedimentos!A:C,2,),"")</f>
        <v>COLETA SELETIVA DESSMA</v>
      </c>
      <c r="G318" s="4" t="s">
        <v>22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4.25" customHeight="1">
      <c r="A319" s="4">
        <v>12685</v>
      </c>
      <c r="B319" s="4" t="str">
        <f>IFERROR(VLOOKUP(A319,Colaboradores!A:D,2,),"")</f>
        <v>LIDIANA CRISTINA MIRANDA FERREIRA</v>
      </c>
      <c r="C319" s="4" t="str">
        <f>IFERROR(VLOOKUP(A319,Colaboradores!A:D,3,),"")</f>
        <v>GESTÃO INTEGRADA</v>
      </c>
      <c r="D319" s="4" t="str">
        <f>IFERROR(VLOOKUP(A319,Colaboradores!A:D,4,),"")</f>
        <v>COORDENADOR DE GESTÃO INTEGRADA</v>
      </c>
      <c r="E319" s="4" t="s">
        <v>32</v>
      </c>
      <c r="F319" s="5" t="str">
        <f>IFERROR(VLOOKUP(E319,Procedimentos!A:C,2,),"")</f>
        <v>GESTÃO DE LEVANTAMENTO DE ASPECTOS E IMPACTOS AMBIENTAIS</v>
      </c>
      <c r="G319" s="4" t="s">
        <v>22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4.25" customHeight="1">
      <c r="A320" s="4">
        <v>12685</v>
      </c>
      <c r="B320" s="4" t="str">
        <f>IFERROR(VLOOKUP(A320,Colaboradores!A:D,2,),"")</f>
        <v>LIDIANA CRISTINA MIRANDA FERREIRA</v>
      </c>
      <c r="C320" s="4" t="str">
        <f>IFERROR(VLOOKUP(A320,Colaboradores!A:D,3,),"")</f>
        <v>GESTÃO INTEGRADA</v>
      </c>
      <c r="D320" s="4" t="str">
        <f>IFERROR(VLOOKUP(A320,Colaboradores!A:D,4,),"")</f>
        <v>COORDENADOR DE GESTÃO INTEGRADA</v>
      </c>
      <c r="E320" s="4" t="s">
        <v>31</v>
      </c>
      <c r="F320" s="5" t="str">
        <f>IFERROR(VLOOKUP(E320,Procedimentos!A:C,2,),"")</f>
        <v>GESTÃO DE COMUNICAÇÃO, CLASSIFICAÇÃO E INVESTIGAÇÃO DE OCORRÊNCIAS AMBIENTAIS</v>
      </c>
      <c r="G320" s="4" t="s">
        <v>22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4.25" customHeight="1">
      <c r="A321" s="4">
        <v>12685</v>
      </c>
      <c r="B321" s="4" t="str">
        <f>IFERROR(VLOOKUP(A321,Colaboradores!A:D,2,),"")</f>
        <v>LIDIANA CRISTINA MIRANDA FERREIRA</v>
      </c>
      <c r="C321" s="4" t="str">
        <f>IFERROR(VLOOKUP(A321,Colaboradores!A:D,3,),"")</f>
        <v>GESTÃO INTEGRADA</v>
      </c>
      <c r="D321" s="4" t="str">
        <f>IFERROR(VLOOKUP(A321,Colaboradores!A:D,4,),"")</f>
        <v>COORDENADOR DE GESTÃO INTEGRADA</v>
      </c>
      <c r="E321" s="4" t="s">
        <v>33</v>
      </c>
      <c r="F321" s="5" t="str">
        <f>IFERROR(VLOOKUP(E321,Procedimentos!A:C,2,),"")</f>
        <v>GESTÃO DE INSPEÇÕES AMBIENTAIS</v>
      </c>
      <c r="G321" s="4" t="s">
        <v>22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4.25" customHeight="1">
      <c r="A322" s="4">
        <v>12685</v>
      </c>
      <c r="B322" s="4" t="str">
        <f>IFERROR(VLOOKUP(A322,Colaboradores!A:D,2,),"")</f>
        <v>LIDIANA CRISTINA MIRANDA FERREIRA</v>
      </c>
      <c r="C322" s="4" t="str">
        <f>IFERROR(VLOOKUP(A322,Colaboradores!A:D,3,),"")</f>
        <v>GESTÃO INTEGRADA</v>
      </c>
      <c r="D322" s="4" t="str">
        <f>IFERROR(VLOOKUP(A322,Colaboradores!A:D,4,),"")</f>
        <v>COORDENADOR DE GESTÃO INTEGRADA</v>
      </c>
      <c r="E322" s="4" t="s">
        <v>49</v>
      </c>
      <c r="F322" s="5" t="str">
        <f>IFERROR(VLOOKUP(E322,Procedimentos!A:C,2,),"")</f>
        <v>DIRETRIZES PARA REALIZAÇÃO DE EXAMES OCUPACIONAIS</v>
      </c>
      <c r="G322" s="4" t="s">
        <v>22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4.25" customHeight="1">
      <c r="A323" s="4">
        <v>12685</v>
      </c>
      <c r="B323" s="4" t="str">
        <f>IFERROR(VLOOKUP(A323,Colaboradores!A:D,2,),"")</f>
        <v>LIDIANA CRISTINA MIRANDA FERREIRA</v>
      </c>
      <c r="C323" s="4" t="str">
        <f>IFERROR(VLOOKUP(A323,Colaboradores!A:D,3,),"")</f>
        <v>GESTÃO INTEGRADA</v>
      </c>
      <c r="D323" s="4" t="str">
        <f>IFERROR(VLOOKUP(A323,Colaboradores!A:D,4,),"")</f>
        <v>COORDENADOR DE GESTÃO INTEGRADA</v>
      </c>
      <c r="E323" s="4" t="s">
        <v>51</v>
      </c>
      <c r="F323" s="5" t="str">
        <f>IFERROR(VLOOKUP(E323,Procedimentos!A:C,2,),"")</f>
        <v>DIRETRIZES PARA ENTREGA DE ATESTADOS MÉDICOS E ODONTOLÓGICOS</v>
      </c>
      <c r="G323" s="4" t="s">
        <v>22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4.25" customHeight="1">
      <c r="A324" s="4">
        <v>12685</v>
      </c>
      <c r="B324" s="4" t="str">
        <f>IFERROR(VLOOKUP(A324,Colaboradores!A:D,2,),"")</f>
        <v>LIDIANA CRISTINA MIRANDA FERREIRA</v>
      </c>
      <c r="C324" s="4" t="str">
        <f>IFERROR(VLOOKUP(A324,Colaboradores!A:D,3,),"")</f>
        <v>GESTÃO INTEGRADA</v>
      </c>
      <c r="D324" s="4" t="str">
        <f>IFERROR(VLOOKUP(A324,Colaboradores!A:D,4,),"")</f>
        <v>COORDENADOR DE GESTÃO INTEGRADA</v>
      </c>
      <c r="E324" s="4" t="s">
        <v>52</v>
      </c>
      <c r="F324" s="5" t="str">
        <f>IFERROR(VLOOKUP(E324,Procedimentos!A:C,2,),"")</f>
        <v>DIRETRIZES E ACOMPANHAMENTO  DE ACIDENTE COM MATERIAL BIOLOGICO</v>
      </c>
      <c r="G324" s="4" t="s">
        <v>28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4.25" customHeight="1">
      <c r="A325" s="4">
        <v>12685</v>
      </c>
      <c r="B325" s="4" t="str">
        <f>IFERROR(VLOOKUP(A325,Colaboradores!A:D,2,),"")</f>
        <v>LIDIANA CRISTINA MIRANDA FERREIRA</v>
      </c>
      <c r="C325" s="4" t="str">
        <f>IFERROR(VLOOKUP(A325,Colaboradores!A:D,3,),"")</f>
        <v>GESTÃO INTEGRADA</v>
      </c>
      <c r="D325" s="4" t="str">
        <f>IFERROR(VLOOKUP(A325,Colaboradores!A:D,4,),"")</f>
        <v>COORDENADOR DE GESTÃO INTEGRADA</v>
      </c>
      <c r="E325" s="4" t="s">
        <v>53</v>
      </c>
      <c r="F325" s="5" t="str">
        <f>IFERROR(VLOOKUP(E325,Procedimentos!A:C,2,),"")</f>
        <v>DIRETRIZES PARA MONITORAMENTO DE GESTANTE</v>
      </c>
      <c r="G325" s="4" t="s">
        <v>22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4.25" customHeight="1">
      <c r="A326" s="4">
        <v>12685</v>
      </c>
      <c r="B326" s="4" t="str">
        <f>IFERROR(VLOOKUP(A326,Colaboradores!A:D,2,),"")</f>
        <v>LIDIANA CRISTINA MIRANDA FERREIRA</v>
      </c>
      <c r="C326" s="4" t="str">
        <f>IFERROR(VLOOKUP(A326,Colaboradores!A:D,3,),"")</f>
        <v>GESTÃO INTEGRADA</v>
      </c>
      <c r="D326" s="4" t="str">
        <f>IFERROR(VLOOKUP(A326,Colaboradores!A:D,4,),"")</f>
        <v>COORDENADOR DE GESTÃO INTEGRADA</v>
      </c>
      <c r="E326" s="4" t="s">
        <v>54</v>
      </c>
      <c r="F326" s="5" t="str">
        <f>IFERROR(VLOOKUP(E326,Procedimentos!A:C,2,),"")</f>
        <v>DIRETRIZES DE IMUNIZAÇÃO OCUPACIONAL</v>
      </c>
      <c r="G326" s="4" t="s">
        <v>22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4.25" customHeight="1">
      <c r="A327" s="4">
        <v>12685</v>
      </c>
      <c r="B327" s="4" t="str">
        <f>IFERROR(VLOOKUP(A327,Colaboradores!A:D,2,),"")</f>
        <v>LIDIANA CRISTINA MIRANDA FERREIRA</v>
      </c>
      <c r="C327" s="4" t="str">
        <f>IFERROR(VLOOKUP(A327,Colaboradores!A:D,3,),"")</f>
        <v>GESTÃO INTEGRADA</v>
      </c>
      <c r="D327" s="4" t="str">
        <f>IFERROR(VLOOKUP(A327,Colaboradores!A:D,4,),"")</f>
        <v>COORDENADOR DE GESTÃO INTEGRADA</v>
      </c>
      <c r="E327" s="4" t="s">
        <v>55</v>
      </c>
      <c r="F327" s="5" t="str">
        <f>IFERROR(VLOOKUP(E327,Procedimentos!A:C,2,),"")</f>
        <v>DIRETRIZES PARA ACOMPANHAMENTO DE AFASTADOS</v>
      </c>
      <c r="G327" s="4" t="s">
        <v>22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4.25" customHeight="1">
      <c r="A328" s="4">
        <v>12685</v>
      </c>
      <c r="B328" s="4" t="str">
        <f>IFERROR(VLOOKUP(A328,Colaboradores!A:D,2,),"")</f>
        <v>LIDIANA CRISTINA MIRANDA FERREIRA</v>
      </c>
      <c r="C328" s="4" t="str">
        <f>IFERROR(VLOOKUP(A328,Colaboradores!A:D,3,),"")</f>
        <v>GESTÃO INTEGRADA</v>
      </c>
      <c r="D328" s="4" t="str">
        <f>IFERROR(VLOOKUP(A328,Colaboradores!A:D,4,),"")</f>
        <v>COORDENADOR DE GESTÃO INTEGRADA</v>
      </c>
      <c r="E328" s="4" t="s">
        <v>46</v>
      </c>
      <c r="F328" s="5" t="str">
        <f>IFERROR(VLOOKUP(E328,Procedimentos!A:C,2,),"")</f>
        <v>POLÍTICA DE SAÚDE E SEGURANÇA DO TRABALHO EMSERH</v>
      </c>
      <c r="G328" s="4" t="s">
        <v>22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4.25" customHeight="1">
      <c r="A329" s="4">
        <v>12685</v>
      </c>
      <c r="B329" s="4" t="str">
        <f>IFERROR(VLOOKUP(A329,Colaboradores!A:D,2,),"")</f>
        <v>LIDIANA CRISTINA MIRANDA FERREIRA</v>
      </c>
      <c r="C329" s="4" t="str">
        <f>IFERROR(VLOOKUP(A329,Colaboradores!A:D,3,),"")</f>
        <v>GESTÃO INTEGRADA</v>
      </c>
      <c r="D329" s="4" t="str">
        <f>IFERROR(VLOOKUP(A329,Colaboradores!A:D,4,),"")</f>
        <v>COORDENADOR DE GESTÃO INTEGRADA</v>
      </c>
      <c r="E329" s="4" t="s">
        <v>41</v>
      </c>
      <c r="F329" s="5" t="str">
        <f>IFERROR(VLOOKUP(E329,Procedimentos!A:C,2,),"")</f>
        <v>DIRETRIZES PARA COMUNICAÇÃO E INVESTIGAÇÃO DE ACIDENTES</v>
      </c>
      <c r="G329" s="4" t="s">
        <v>22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4.25" customHeight="1">
      <c r="A330" s="4">
        <v>12685</v>
      </c>
      <c r="B330" s="4" t="str">
        <f>IFERROR(VLOOKUP(A330,Colaboradores!A:D,2,),"")</f>
        <v>LIDIANA CRISTINA MIRANDA FERREIRA</v>
      </c>
      <c r="C330" s="4" t="str">
        <f>IFERROR(VLOOKUP(A330,Colaboradores!A:D,3,),"")</f>
        <v>GESTÃO INTEGRADA</v>
      </c>
      <c r="D330" s="4" t="str">
        <f>IFERROR(VLOOKUP(A330,Colaboradores!A:D,4,),"")</f>
        <v>COORDENADOR DE GESTÃO INTEGRADA</v>
      </c>
      <c r="E330" s="4" t="s">
        <v>43</v>
      </c>
      <c r="F330" s="5" t="str">
        <f>IFERROR(VLOOKUP(E330,Procedimentos!A:C,2,),"")</f>
        <v>DIÁLOGO DE SAÚDE E SEGURANÇA - DSS</v>
      </c>
      <c r="G330" s="4" t="s">
        <v>22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4.25" customHeight="1">
      <c r="A331" s="4">
        <v>12685</v>
      </c>
      <c r="B331" s="4" t="str">
        <f>IFERROR(VLOOKUP(A331,Colaboradores!A:D,2,),"")</f>
        <v>LIDIANA CRISTINA MIRANDA FERREIRA</v>
      </c>
      <c r="C331" s="4" t="str">
        <f>IFERROR(VLOOKUP(A331,Colaboradores!A:D,3,),"")</f>
        <v>GESTÃO INTEGRADA</v>
      </c>
      <c r="D331" s="4" t="str">
        <f>IFERROR(VLOOKUP(A331,Colaboradores!A:D,4,),"")</f>
        <v>COORDENADOR DE GESTÃO INTEGRADA</v>
      </c>
      <c r="E331" s="4" t="s">
        <v>44</v>
      </c>
      <c r="F331" s="5" t="str">
        <f>IFERROR(VLOOKUP(E331,Procedimentos!A:C,2,),"")</f>
        <v>DIRETRIZES PARA GESTÃO DE EQUIPAMENTOS DE PROTEÇÃO INDIVIDUAL - EPI'S</v>
      </c>
      <c r="G331" s="4" t="s">
        <v>22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4.25" customHeight="1">
      <c r="A332" s="4">
        <v>12685</v>
      </c>
      <c r="B332" s="4" t="str">
        <f>IFERROR(VLOOKUP(A332,Colaboradores!A:D,2,),"")</f>
        <v>LIDIANA CRISTINA MIRANDA FERREIRA</v>
      </c>
      <c r="C332" s="4" t="str">
        <f>IFERROR(VLOOKUP(A332,Colaboradores!A:D,3,),"")</f>
        <v>GESTÃO INTEGRADA</v>
      </c>
      <c r="D332" s="4" t="str">
        <f>IFERROR(VLOOKUP(A332,Colaboradores!A:D,4,),"")</f>
        <v>COORDENADOR DE GESTÃO INTEGRADA</v>
      </c>
      <c r="E332" s="4" t="s">
        <v>45</v>
      </c>
      <c r="F332" s="5" t="str">
        <f>IFERROR(VLOOKUP(E332,Procedimentos!A:C,2,),"")</f>
        <v>CONSTITUIÇÃO INTERNA DE PREVENÇÃO DE ACIDENTES E DE ASSÉDIOS - CIPA</v>
      </c>
      <c r="G332" s="4" t="s">
        <v>22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4.25" customHeight="1">
      <c r="A333" s="4">
        <v>15068</v>
      </c>
      <c r="B333" s="4" t="str">
        <f>IFERROR(VLOOKUP(A333,Colaboradores!A:D,2,),"")</f>
        <v>TASSO CHAVES DE OLIVEIRA</v>
      </c>
      <c r="C333" s="4" t="str">
        <f>IFERROR(VLOOKUP(A333,Colaboradores!A:D,3,),"")</f>
        <v>GESTÃO INTEGRADA</v>
      </c>
      <c r="D333" s="4" t="str">
        <f>IFERROR(VLOOKUP(A333,Colaboradores!A:D,4,),"")</f>
        <v>ASSESSOR DE GESTÃO INTEGRADA</v>
      </c>
      <c r="E333" s="4" t="s">
        <v>58</v>
      </c>
      <c r="F333" s="5" t="str">
        <f>IFERROR(VLOOKUP(E333,Procedimentos!A:C,2,),"")</f>
        <v>POLÍTICA DE QUALIDADE DA DIRETORIA</v>
      </c>
      <c r="G333" s="4" t="s">
        <v>22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4.25" customHeight="1">
      <c r="A334" s="4">
        <v>15068</v>
      </c>
      <c r="B334" s="4" t="str">
        <f>IFERROR(VLOOKUP(A334,Colaboradores!A:D,2,),"")</f>
        <v>TASSO CHAVES DE OLIVEIRA</v>
      </c>
      <c r="C334" s="4" t="str">
        <f>IFERROR(VLOOKUP(A334,Colaboradores!A:D,3,),"")</f>
        <v>GESTÃO INTEGRADA</v>
      </c>
      <c r="D334" s="4" t="str">
        <f>IFERROR(VLOOKUP(A334,Colaboradores!A:D,4,),"")</f>
        <v>ASSESSOR DE GESTÃO INTEGRADA</v>
      </c>
      <c r="E334" s="4" t="s">
        <v>19</v>
      </c>
      <c r="F334" s="5" t="str">
        <f>IFERROR(VLOOKUP(E334,Procedimentos!A:C,2,),"")</f>
        <v>DIRETRIZES PARA DOCUMENTOS NORMATIVOS</v>
      </c>
      <c r="G334" s="4" t="s">
        <v>22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4.25" customHeight="1">
      <c r="A335" s="4">
        <v>15068</v>
      </c>
      <c r="B335" s="4" t="str">
        <f>IFERROR(VLOOKUP(A335,Colaboradores!A:D,2,),"")</f>
        <v>TASSO CHAVES DE OLIVEIRA</v>
      </c>
      <c r="C335" s="4" t="str">
        <f>IFERROR(VLOOKUP(A335,Colaboradores!A:D,3,),"")</f>
        <v>GESTÃO INTEGRADA</v>
      </c>
      <c r="D335" s="4" t="str">
        <f>IFERROR(VLOOKUP(A335,Colaboradores!A:D,4,),"")</f>
        <v>ASSESSOR DE GESTÃO INTEGRADA</v>
      </c>
      <c r="E335" s="4" t="s">
        <v>24</v>
      </c>
      <c r="F335" s="5" t="str">
        <f>IFERROR(VLOOKUP(E335,Procedimentos!A:C,2,),"")</f>
        <v>DIRETRIZES  PARA PROGRAMA 5S</v>
      </c>
      <c r="G335" s="4" t="s">
        <v>22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4.25" customHeight="1">
      <c r="A336" s="4">
        <v>15068</v>
      </c>
      <c r="B336" s="4" t="str">
        <f>IFERROR(VLOOKUP(A336,Colaboradores!A:D,2,),"")</f>
        <v>TASSO CHAVES DE OLIVEIRA</v>
      </c>
      <c r="C336" s="4" t="str">
        <f>IFERROR(VLOOKUP(A336,Colaboradores!A:D,3,),"")</f>
        <v>GESTÃO INTEGRADA</v>
      </c>
      <c r="D336" s="4" t="str">
        <f>IFERROR(VLOOKUP(A336,Colaboradores!A:D,4,),"")</f>
        <v>ASSESSOR DE GESTÃO INTEGRADA</v>
      </c>
      <c r="E336" s="4" t="s">
        <v>67</v>
      </c>
      <c r="F336" s="5" t="str">
        <f>IFERROR(VLOOKUP(E336,Procedimentos!A:C,2,),"")</f>
        <v>SISTEMATICA DE ROTINA DE REUNIÕES DA DESSMA</v>
      </c>
      <c r="G336" s="4" t="s">
        <v>22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4.25" customHeight="1">
      <c r="A337" s="4">
        <v>15068</v>
      </c>
      <c r="B337" s="4" t="str">
        <f>IFERROR(VLOOKUP(A337,Colaboradores!A:D,2,),"")</f>
        <v>TASSO CHAVES DE OLIVEIRA</v>
      </c>
      <c r="C337" s="4" t="str">
        <f>IFERROR(VLOOKUP(A337,Colaboradores!A:D,3,),"")</f>
        <v>GESTÃO INTEGRADA</v>
      </c>
      <c r="D337" s="4" t="str">
        <f>IFERROR(VLOOKUP(A337,Colaboradores!A:D,4,),"")</f>
        <v>ASSESSOR DE GESTÃO INTEGRADA</v>
      </c>
      <c r="E337" s="4" t="s">
        <v>25</v>
      </c>
      <c r="F337" s="5" t="str">
        <f>IFERROR(VLOOKUP(E337,Procedimentos!A:C,2,),"")</f>
        <v>GARANTIA DA QUALIDADE</v>
      </c>
      <c r="G337" s="4" t="s">
        <v>22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4.25" customHeight="1">
      <c r="A338" s="4">
        <v>15068</v>
      </c>
      <c r="B338" s="4" t="str">
        <f>IFERROR(VLOOKUP(A338,Colaboradores!A:D,2,),"")</f>
        <v>TASSO CHAVES DE OLIVEIRA</v>
      </c>
      <c r="C338" s="4" t="str">
        <f>IFERROR(VLOOKUP(A338,Colaboradores!A:D,3,),"")</f>
        <v>GESTÃO INTEGRADA</v>
      </c>
      <c r="D338" s="4" t="str">
        <f>IFERROR(VLOOKUP(A338,Colaboradores!A:D,4,),"")</f>
        <v>ASSESSOR DE GESTÃO INTEGRADA</v>
      </c>
      <c r="E338" s="4" t="s">
        <v>68</v>
      </c>
      <c r="F338" s="5" t="str">
        <f>IFERROR(VLOOKUP(E338,Procedimentos!A:C,2,),"")</f>
        <v>GESTÃO INDICADORES</v>
      </c>
      <c r="G338" s="4" t="s">
        <v>22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4.25" customHeight="1">
      <c r="A339" s="4">
        <v>15068</v>
      </c>
      <c r="B339" s="4" t="str">
        <f>IFERROR(VLOOKUP(A339,Colaboradores!A:D,2,),"")</f>
        <v>TASSO CHAVES DE OLIVEIRA</v>
      </c>
      <c r="C339" s="4" t="str">
        <f>IFERROR(VLOOKUP(A339,Colaboradores!A:D,3,),"")</f>
        <v>GESTÃO INTEGRADA</v>
      </c>
      <c r="D339" s="4" t="str">
        <f>IFERROR(VLOOKUP(A339,Colaboradores!A:D,4,),"")</f>
        <v>ASSESSOR DE GESTÃO INTEGRADA</v>
      </c>
      <c r="E339" s="4" t="s">
        <v>26</v>
      </c>
      <c r="F339" s="5" t="str">
        <f>IFERROR(VLOOKUP(E339,Procedimentos!A:C,2,),"")</f>
        <v>RESPONSABILIDADES E AUTORIDADES DO SGQ</v>
      </c>
      <c r="G339" s="4" t="s">
        <v>22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4.25" customHeight="1">
      <c r="A340" s="4">
        <v>15068</v>
      </c>
      <c r="B340" s="4" t="str">
        <f>IFERROR(VLOOKUP(A340,Colaboradores!A:D,2,),"")</f>
        <v>TASSO CHAVES DE OLIVEIRA</v>
      </c>
      <c r="C340" s="4" t="str">
        <f>IFERROR(VLOOKUP(A340,Colaboradores!A:D,3,),"")</f>
        <v>GESTÃO INTEGRADA</v>
      </c>
      <c r="D340" s="4" t="str">
        <f>IFERROR(VLOOKUP(A340,Colaboradores!A:D,4,),"")</f>
        <v>ASSESSOR DE GESTÃO INTEGRADA</v>
      </c>
      <c r="E340" s="4" t="s">
        <v>69</v>
      </c>
      <c r="F340" s="5" t="str">
        <f>IFERROR(VLOOKUP(E340,Procedimentos!A:C,2,),"")</f>
        <v>PROCEDIMENTO GESTÃO DE MUDANÇA SGQ</v>
      </c>
      <c r="G340" s="4" t="s">
        <v>22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4.25" customHeight="1">
      <c r="A341" s="4">
        <v>15068</v>
      </c>
      <c r="B341" s="4" t="str">
        <f>IFERROR(VLOOKUP(A341,Colaboradores!A:D,2,),"")</f>
        <v>TASSO CHAVES DE OLIVEIRA</v>
      </c>
      <c r="C341" s="4" t="str">
        <f>IFERROR(VLOOKUP(A341,Colaboradores!A:D,3,),"")</f>
        <v>GESTÃO INTEGRADA</v>
      </c>
      <c r="D341" s="4" t="str">
        <f>IFERROR(VLOOKUP(A341,Colaboradores!A:D,4,),"")</f>
        <v>ASSESSOR DE GESTÃO INTEGRADA</v>
      </c>
      <c r="E341" s="4" t="s">
        <v>64</v>
      </c>
      <c r="F341" s="5" t="str">
        <f>IFERROR(VLOOKUP(E341,Procedimentos!A:C,2,),"")</f>
        <v>AVALIAÇÃO DESEMPENHO</v>
      </c>
      <c r="G341" s="4" t="s">
        <v>22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4.25" customHeight="1">
      <c r="A342" s="4">
        <v>15068</v>
      </c>
      <c r="B342" s="4" t="str">
        <f>IFERROR(VLOOKUP(A342,Colaboradores!A:D,2,),"")</f>
        <v>TASSO CHAVES DE OLIVEIRA</v>
      </c>
      <c r="C342" s="4" t="str">
        <f>IFERROR(VLOOKUP(A342,Colaboradores!A:D,3,),"")</f>
        <v>GESTÃO INTEGRADA</v>
      </c>
      <c r="D342" s="4" t="str">
        <f>IFERROR(VLOOKUP(A342,Colaboradores!A:D,4,),"")</f>
        <v>ASSESSOR DE GESTÃO INTEGRADA</v>
      </c>
      <c r="E342" s="4" t="s">
        <v>73</v>
      </c>
      <c r="F342" s="5" t="str">
        <f>IFERROR(VLOOKUP(E342,Procedimentos!A:C,2,),"")</f>
        <v>AQUISIÇÃO DE BENS E SERVIÇOS E AVALIAÇÃO PROVEDORES EXTERNOS</v>
      </c>
      <c r="G342" s="4" t="s">
        <v>22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4.25" customHeight="1">
      <c r="A343" s="4">
        <v>15068</v>
      </c>
      <c r="B343" s="4" t="str">
        <f>IFERROR(VLOOKUP(A343,Colaboradores!A:D,2,),"")</f>
        <v>TASSO CHAVES DE OLIVEIRA</v>
      </c>
      <c r="C343" s="4" t="str">
        <f>IFERROR(VLOOKUP(A343,Colaboradores!A:D,3,),"")</f>
        <v>GESTÃO INTEGRADA</v>
      </c>
      <c r="D343" s="4" t="str">
        <f>IFERROR(VLOOKUP(A343,Colaboradores!A:D,4,),"")</f>
        <v>ASSESSOR DE GESTÃO INTEGRADA</v>
      </c>
      <c r="E343" s="4" t="s">
        <v>48</v>
      </c>
      <c r="F343" s="5" t="str">
        <f>IFERROR(VLOOKUP(E343,Procedimentos!A:C,2,),"")</f>
        <v>POLÍTICA MEIO AMBIENTE EMSERH</v>
      </c>
      <c r="G343" s="4" t="s">
        <v>22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4.25" customHeight="1">
      <c r="A344" s="4">
        <v>15068</v>
      </c>
      <c r="B344" s="4" t="str">
        <f>IFERROR(VLOOKUP(A344,Colaboradores!A:D,2,),"")</f>
        <v>TASSO CHAVES DE OLIVEIRA</v>
      </c>
      <c r="C344" s="4" t="str">
        <f>IFERROR(VLOOKUP(A344,Colaboradores!A:D,3,),"")</f>
        <v>GESTÃO INTEGRADA</v>
      </c>
      <c r="D344" s="4" t="str">
        <f>IFERROR(VLOOKUP(A344,Colaboradores!A:D,4,),"")</f>
        <v>ASSESSOR DE GESTÃO INTEGRADA</v>
      </c>
      <c r="E344" s="4" t="s">
        <v>29</v>
      </c>
      <c r="F344" s="5" t="str">
        <f>IFERROR(VLOOKUP(E344,Procedimentos!A:C,2,),"")</f>
        <v>COLETA SELETIVA DESSMA</v>
      </c>
      <c r="G344" s="4" t="s">
        <v>22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4.25" customHeight="1">
      <c r="A345" s="4">
        <v>15068</v>
      </c>
      <c r="B345" s="4" t="str">
        <f>IFERROR(VLOOKUP(A345,Colaboradores!A:D,2,),"")</f>
        <v>TASSO CHAVES DE OLIVEIRA</v>
      </c>
      <c r="C345" s="4" t="str">
        <f>IFERROR(VLOOKUP(A345,Colaboradores!A:D,3,),"")</f>
        <v>GESTÃO INTEGRADA</v>
      </c>
      <c r="D345" s="4" t="str">
        <f>IFERROR(VLOOKUP(A345,Colaboradores!A:D,4,),"")</f>
        <v>ASSESSOR DE GESTÃO INTEGRADA</v>
      </c>
      <c r="E345" s="4" t="s">
        <v>32</v>
      </c>
      <c r="F345" s="5" t="str">
        <f>IFERROR(VLOOKUP(E345,Procedimentos!A:C,2,),"")</f>
        <v>GESTÃO DE LEVANTAMENTO DE ASPECTOS E IMPACTOS AMBIENTAIS</v>
      </c>
      <c r="G345" s="4" t="s">
        <v>22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4.25" customHeight="1">
      <c r="A346" s="4">
        <v>15068</v>
      </c>
      <c r="B346" s="4" t="str">
        <f>IFERROR(VLOOKUP(A346,Colaboradores!A:D,2,),"")</f>
        <v>TASSO CHAVES DE OLIVEIRA</v>
      </c>
      <c r="C346" s="4" t="str">
        <f>IFERROR(VLOOKUP(A346,Colaboradores!A:D,3,),"")</f>
        <v>GESTÃO INTEGRADA</v>
      </c>
      <c r="D346" s="4" t="str">
        <f>IFERROR(VLOOKUP(A346,Colaboradores!A:D,4,),"")</f>
        <v>ASSESSOR DE GESTÃO INTEGRADA</v>
      </c>
      <c r="E346" s="4" t="s">
        <v>31</v>
      </c>
      <c r="F346" s="5" t="str">
        <f>IFERROR(VLOOKUP(E346,Procedimentos!A:C,2,),"")</f>
        <v>GESTÃO DE COMUNICAÇÃO, CLASSIFICAÇÃO E INVESTIGAÇÃO DE OCORRÊNCIAS AMBIENTAIS</v>
      </c>
      <c r="G346" s="4" t="s">
        <v>22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4.25" customHeight="1">
      <c r="A347" s="4">
        <v>15068</v>
      </c>
      <c r="B347" s="4" t="str">
        <f>IFERROR(VLOOKUP(A347,Colaboradores!A:D,2,),"")</f>
        <v>TASSO CHAVES DE OLIVEIRA</v>
      </c>
      <c r="C347" s="4" t="str">
        <f>IFERROR(VLOOKUP(A347,Colaboradores!A:D,3,),"")</f>
        <v>GESTÃO INTEGRADA</v>
      </c>
      <c r="D347" s="4" t="str">
        <f>IFERROR(VLOOKUP(A347,Colaboradores!A:D,4,),"")</f>
        <v>ASSESSOR DE GESTÃO INTEGRADA</v>
      </c>
      <c r="E347" s="4" t="s">
        <v>33</v>
      </c>
      <c r="F347" s="5" t="str">
        <f>IFERROR(VLOOKUP(E347,Procedimentos!A:C,2,),"")</f>
        <v>GESTÃO DE INSPEÇÕES AMBIENTAIS</v>
      </c>
      <c r="G347" s="4" t="s">
        <v>22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4.25" customHeight="1">
      <c r="A348" s="4">
        <v>15068</v>
      </c>
      <c r="B348" s="4" t="str">
        <f>IFERROR(VLOOKUP(A348,Colaboradores!A:D,2,),"")</f>
        <v>TASSO CHAVES DE OLIVEIRA</v>
      </c>
      <c r="C348" s="4" t="str">
        <f>IFERROR(VLOOKUP(A348,Colaboradores!A:D,3,),"")</f>
        <v>GESTÃO INTEGRADA</v>
      </c>
      <c r="D348" s="4" t="str">
        <f>IFERROR(VLOOKUP(A348,Colaboradores!A:D,4,),"")</f>
        <v>ASSESSOR DE GESTÃO INTEGRADA</v>
      </c>
      <c r="E348" s="4" t="s">
        <v>49</v>
      </c>
      <c r="F348" s="5" t="str">
        <f>IFERROR(VLOOKUP(E348,Procedimentos!A:C,2,),"")</f>
        <v>DIRETRIZES PARA REALIZAÇÃO DE EXAMES OCUPACIONAIS</v>
      </c>
      <c r="G348" s="4" t="s">
        <v>22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4.25" customHeight="1">
      <c r="A349" s="4">
        <v>15068</v>
      </c>
      <c r="B349" s="4" t="str">
        <f>IFERROR(VLOOKUP(A349,Colaboradores!A:D,2,),"")</f>
        <v>TASSO CHAVES DE OLIVEIRA</v>
      </c>
      <c r="C349" s="4" t="str">
        <f>IFERROR(VLOOKUP(A349,Colaboradores!A:D,3,),"")</f>
        <v>GESTÃO INTEGRADA</v>
      </c>
      <c r="D349" s="4" t="str">
        <f>IFERROR(VLOOKUP(A349,Colaboradores!A:D,4,),"")</f>
        <v>ASSESSOR DE GESTÃO INTEGRADA</v>
      </c>
      <c r="E349" s="4" t="s">
        <v>51</v>
      </c>
      <c r="F349" s="5" t="str">
        <f>IFERROR(VLOOKUP(E349,Procedimentos!A:C,2,),"")</f>
        <v>DIRETRIZES PARA ENTREGA DE ATESTADOS MÉDICOS E ODONTOLÓGICOS</v>
      </c>
      <c r="G349" s="4" t="s">
        <v>22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4.25" customHeight="1">
      <c r="A350" s="4">
        <v>15068</v>
      </c>
      <c r="B350" s="4" t="str">
        <f>IFERROR(VLOOKUP(A350,Colaboradores!A:D,2,),"")</f>
        <v>TASSO CHAVES DE OLIVEIRA</v>
      </c>
      <c r="C350" s="4" t="str">
        <f>IFERROR(VLOOKUP(A350,Colaboradores!A:D,3,),"")</f>
        <v>GESTÃO INTEGRADA</v>
      </c>
      <c r="D350" s="4" t="str">
        <f>IFERROR(VLOOKUP(A350,Colaboradores!A:D,4,),"")</f>
        <v>ASSESSOR DE GESTÃO INTEGRADA</v>
      </c>
      <c r="E350" s="4" t="s">
        <v>52</v>
      </c>
      <c r="F350" s="5" t="str">
        <f>IFERROR(VLOOKUP(E350,Procedimentos!A:C,2,),"")</f>
        <v>DIRETRIZES E ACOMPANHAMENTO  DE ACIDENTE COM MATERIAL BIOLOGICO</v>
      </c>
      <c r="G350" s="4" t="s">
        <v>28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4.25" customHeight="1">
      <c r="A351" s="4">
        <v>15068</v>
      </c>
      <c r="B351" s="4" t="str">
        <f>IFERROR(VLOOKUP(A351,Colaboradores!A:D,2,),"")</f>
        <v>TASSO CHAVES DE OLIVEIRA</v>
      </c>
      <c r="C351" s="4" t="str">
        <f>IFERROR(VLOOKUP(A351,Colaboradores!A:D,3,),"")</f>
        <v>GESTÃO INTEGRADA</v>
      </c>
      <c r="D351" s="4" t="str">
        <f>IFERROR(VLOOKUP(A351,Colaboradores!A:D,4,),"")</f>
        <v>ASSESSOR DE GESTÃO INTEGRADA</v>
      </c>
      <c r="E351" s="4" t="s">
        <v>53</v>
      </c>
      <c r="F351" s="5" t="str">
        <f>IFERROR(VLOOKUP(E351,Procedimentos!A:C,2,),"")</f>
        <v>DIRETRIZES PARA MONITORAMENTO DE GESTANTE</v>
      </c>
      <c r="G351" s="4" t="s">
        <v>22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4.25" customHeight="1">
      <c r="A352" s="4">
        <v>15068</v>
      </c>
      <c r="B352" s="4" t="str">
        <f>IFERROR(VLOOKUP(A352,Colaboradores!A:D,2,),"")</f>
        <v>TASSO CHAVES DE OLIVEIRA</v>
      </c>
      <c r="C352" s="4" t="str">
        <f>IFERROR(VLOOKUP(A352,Colaboradores!A:D,3,),"")</f>
        <v>GESTÃO INTEGRADA</v>
      </c>
      <c r="D352" s="4" t="str">
        <f>IFERROR(VLOOKUP(A352,Colaboradores!A:D,4,),"")</f>
        <v>ASSESSOR DE GESTÃO INTEGRADA</v>
      </c>
      <c r="E352" s="4" t="s">
        <v>54</v>
      </c>
      <c r="F352" s="5" t="str">
        <f>IFERROR(VLOOKUP(E352,Procedimentos!A:C,2,),"")</f>
        <v>DIRETRIZES DE IMUNIZAÇÃO OCUPACIONAL</v>
      </c>
      <c r="G352" s="4" t="s">
        <v>22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4.25" customHeight="1">
      <c r="A353" s="4">
        <v>15068</v>
      </c>
      <c r="B353" s="4" t="str">
        <f>IFERROR(VLOOKUP(A353,Colaboradores!A:D,2,),"")</f>
        <v>TASSO CHAVES DE OLIVEIRA</v>
      </c>
      <c r="C353" s="4" t="str">
        <f>IFERROR(VLOOKUP(A353,Colaboradores!A:D,3,),"")</f>
        <v>GESTÃO INTEGRADA</v>
      </c>
      <c r="D353" s="4" t="str">
        <f>IFERROR(VLOOKUP(A353,Colaboradores!A:D,4,),"")</f>
        <v>ASSESSOR DE GESTÃO INTEGRADA</v>
      </c>
      <c r="E353" s="4" t="s">
        <v>55</v>
      </c>
      <c r="F353" s="5" t="str">
        <f>IFERROR(VLOOKUP(E353,Procedimentos!A:C,2,),"")</f>
        <v>DIRETRIZES PARA ACOMPANHAMENTO DE AFASTADOS</v>
      </c>
      <c r="G353" s="4" t="s">
        <v>22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4.25" customHeight="1">
      <c r="A354" s="4">
        <v>15068</v>
      </c>
      <c r="B354" s="4" t="str">
        <f>IFERROR(VLOOKUP(A354,Colaboradores!A:D,2,),"")</f>
        <v>TASSO CHAVES DE OLIVEIRA</v>
      </c>
      <c r="C354" s="4" t="str">
        <f>IFERROR(VLOOKUP(A354,Colaboradores!A:D,3,),"")</f>
        <v>GESTÃO INTEGRADA</v>
      </c>
      <c r="D354" s="4" t="str">
        <f>IFERROR(VLOOKUP(A354,Colaboradores!A:D,4,),"")</f>
        <v>ASSESSOR DE GESTÃO INTEGRADA</v>
      </c>
      <c r="E354" s="4" t="s">
        <v>46</v>
      </c>
      <c r="F354" s="5" t="str">
        <f>IFERROR(VLOOKUP(E354,Procedimentos!A:C,2,),"")</f>
        <v>POLÍTICA DE SAÚDE E SEGURANÇA DO TRABALHO EMSERH</v>
      </c>
      <c r="G354" s="4" t="s">
        <v>22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4.25" customHeight="1">
      <c r="A355" s="4">
        <v>15068</v>
      </c>
      <c r="B355" s="4" t="str">
        <f>IFERROR(VLOOKUP(A355,Colaboradores!A:D,2,),"")</f>
        <v>TASSO CHAVES DE OLIVEIRA</v>
      </c>
      <c r="C355" s="4" t="str">
        <f>IFERROR(VLOOKUP(A355,Colaboradores!A:D,3,),"")</f>
        <v>GESTÃO INTEGRADA</v>
      </c>
      <c r="D355" s="4" t="str">
        <f>IFERROR(VLOOKUP(A355,Colaboradores!A:D,4,),"")</f>
        <v>ASSESSOR DE GESTÃO INTEGRADA</v>
      </c>
      <c r="E355" s="4" t="s">
        <v>41</v>
      </c>
      <c r="F355" s="5" t="str">
        <f>IFERROR(VLOOKUP(E355,Procedimentos!A:C,2,),"")</f>
        <v>DIRETRIZES PARA COMUNICAÇÃO E INVESTIGAÇÃO DE ACIDENTES</v>
      </c>
      <c r="G355" s="4" t="s">
        <v>22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4.25" customHeight="1">
      <c r="A356" s="4">
        <v>15068</v>
      </c>
      <c r="B356" s="4" t="str">
        <f>IFERROR(VLOOKUP(A356,Colaboradores!A:D,2,),"")</f>
        <v>TASSO CHAVES DE OLIVEIRA</v>
      </c>
      <c r="C356" s="4" t="str">
        <f>IFERROR(VLOOKUP(A356,Colaboradores!A:D,3,),"")</f>
        <v>GESTÃO INTEGRADA</v>
      </c>
      <c r="D356" s="4" t="str">
        <f>IFERROR(VLOOKUP(A356,Colaboradores!A:D,4,),"")</f>
        <v>ASSESSOR DE GESTÃO INTEGRADA</v>
      </c>
      <c r="E356" s="4" t="s">
        <v>43</v>
      </c>
      <c r="F356" s="5" t="str">
        <f>IFERROR(VLOOKUP(E356,Procedimentos!A:C,2,),"")</f>
        <v>DIÁLOGO DE SAÚDE E SEGURANÇA - DSS</v>
      </c>
      <c r="G356" s="4" t="s">
        <v>22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4.25" customHeight="1">
      <c r="A357" s="4">
        <v>15068</v>
      </c>
      <c r="B357" s="4" t="str">
        <f>IFERROR(VLOOKUP(A357,Colaboradores!A:D,2,),"")</f>
        <v>TASSO CHAVES DE OLIVEIRA</v>
      </c>
      <c r="C357" s="4" t="str">
        <f>IFERROR(VLOOKUP(A357,Colaboradores!A:D,3,),"")</f>
        <v>GESTÃO INTEGRADA</v>
      </c>
      <c r="D357" s="4" t="str">
        <f>IFERROR(VLOOKUP(A357,Colaboradores!A:D,4,),"")</f>
        <v>ASSESSOR DE GESTÃO INTEGRADA</v>
      </c>
      <c r="E357" s="4" t="s">
        <v>44</v>
      </c>
      <c r="F357" s="5" t="str">
        <f>IFERROR(VLOOKUP(E357,Procedimentos!A:C,2,),"")</f>
        <v>DIRETRIZES PARA GESTÃO DE EQUIPAMENTOS DE PROTEÇÃO INDIVIDUAL - EPI'S</v>
      </c>
      <c r="G357" s="4" t="s">
        <v>22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4.25" customHeight="1">
      <c r="A358" s="4">
        <v>15068</v>
      </c>
      <c r="B358" s="4" t="str">
        <f>IFERROR(VLOOKUP(A358,Colaboradores!A:D,2,),"")</f>
        <v>TASSO CHAVES DE OLIVEIRA</v>
      </c>
      <c r="C358" s="4" t="str">
        <f>IFERROR(VLOOKUP(A358,Colaboradores!A:D,3,),"")</f>
        <v>GESTÃO INTEGRADA</v>
      </c>
      <c r="D358" s="4" t="str">
        <f>IFERROR(VLOOKUP(A358,Colaboradores!A:D,4,),"")</f>
        <v>ASSESSOR DE GESTÃO INTEGRADA</v>
      </c>
      <c r="E358" s="4" t="s">
        <v>45</v>
      </c>
      <c r="F358" s="5" t="str">
        <f>IFERROR(VLOOKUP(E358,Procedimentos!A:C,2,),"")</f>
        <v>CONSTITUIÇÃO INTERNA DE PREVENÇÃO DE ACIDENTES E DE ASSÉDIOS - CIPA</v>
      </c>
      <c r="G358" s="4" t="s">
        <v>22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4.25" customHeight="1">
      <c r="A359" s="4">
        <v>14014</v>
      </c>
      <c r="B359" s="4" t="str">
        <f>IFERROR(VLOOKUP(A359,Colaboradores!A:D,2,),"")</f>
        <v/>
      </c>
      <c r="C359" s="4" t="str">
        <f>IFERROR(VLOOKUP(A359,Colaboradores!A:D,3,),"")</f>
        <v/>
      </c>
      <c r="D359" s="4" t="str">
        <f>IFERROR(VLOOKUP(A359,Colaboradores!A:D,4,),"")</f>
        <v/>
      </c>
      <c r="E359" s="4" t="s">
        <v>58</v>
      </c>
      <c r="F359" s="5" t="str">
        <f>IFERROR(VLOOKUP(E359,Procedimentos!A:C,2,),"")</f>
        <v>POLÍTICA DE QUALIDADE DA DIRETORIA</v>
      </c>
      <c r="G359" s="4" t="s">
        <v>22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4.25" customHeight="1">
      <c r="A360" s="4">
        <v>14014</v>
      </c>
      <c r="B360" s="4" t="str">
        <f>IFERROR(VLOOKUP(A360,Colaboradores!A:D,2,),"")</f>
        <v/>
      </c>
      <c r="C360" s="4" t="str">
        <f>IFERROR(VLOOKUP(A360,Colaboradores!A:D,3,),"")</f>
        <v/>
      </c>
      <c r="D360" s="4" t="str">
        <f>IFERROR(VLOOKUP(A360,Colaboradores!A:D,4,),"")</f>
        <v/>
      </c>
      <c r="E360" s="4" t="s">
        <v>19</v>
      </c>
      <c r="F360" s="5" t="str">
        <f>IFERROR(VLOOKUP(E360,Procedimentos!A:C,2,),"")</f>
        <v>DIRETRIZES PARA DOCUMENTOS NORMATIVOS</v>
      </c>
      <c r="G360" s="4" t="s">
        <v>22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4.25" customHeight="1">
      <c r="A361" s="4">
        <v>14014</v>
      </c>
      <c r="B361" s="4" t="str">
        <f>IFERROR(VLOOKUP(A361,Colaboradores!A:D,2,),"")</f>
        <v/>
      </c>
      <c r="C361" s="4" t="str">
        <f>IFERROR(VLOOKUP(A361,Colaboradores!A:D,3,),"")</f>
        <v/>
      </c>
      <c r="D361" s="4" t="str">
        <f>IFERROR(VLOOKUP(A361,Colaboradores!A:D,4,),"")</f>
        <v/>
      </c>
      <c r="E361" s="4" t="s">
        <v>24</v>
      </c>
      <c r="F361" s="5" t="str">
        <f>IFERROR(VLOOKUP(E361,Procedimentos!A:C,2,),"")</f>
        <v>DIRETRIZES  PARA PROGRAMA 5S</v>
      </c>
      <c r="G361" s="4" t="s">
        <v>22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4.25" customHeight="1">
      <c r="A362" s="4">
        <v>14014</v>
      </c>
      <c r="B362" s="4" t="str">
        <f>IFERROR(VLOOKUP(A362,Colaboradores!A:D,2,),"")</f>
        <v/>
      </c>
      <c r="C362" s="4" t="str">
        <f>IFERROR(VLOOKUP(A362,Colaboradores!A:D,3,),"")</f>
        <v/>
      </c>
      <c r="D362" s="4" t="str">
        <f>IFERROR(VLOOKUP(A362,Colaboradores!A:D,4,),"")</f>
        <v/>
      </c>
      <c r="E362" s="4" t="s">
        <v>25</v>
      </c>
      <c r="F362" s="5" t="str">
        <f>IFERROR(VLOOKUP(E362,Procedimentos!A:C,2,),"")</f>
        <v>GARANTIA DA QUALIDADE</v>
      </c>
      <c r="G362" s="4" t="s">
        <v>22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4.25" customHeight="1">
      <c r="A363" s="4">
        <v>14014</v>
      </c>
      <c r="B363" s="4" t="str">
        <f>IFERROR(VLOOKUP(A363,Colaboradores!A:D,2,),"")</f>
        <v/>
      </c>
      <c r="C363" s="4" t="str">
        <f>IFERROR(VLOOKUP(A363,Colaboradores!A:D,3,),"")</f>
        <v/>
      </c>
      <c r="D363" s="4" t="str">
        <f>IFERROR(VLOOKUP(A363,Colaboradores!A:D,4,),"")</f>
        <v/>
      </c>
      <c r="E363" s="4" t="s">
        <v>26</v>
      </c>
      <c r="F363" s="5" t="str">
        <f>IFERROR(VLOOKUP(E363,Procedimentos!A:C,2,),"")</f>
        <v>RESPONSABILIDADES E AUTORIDADES DO SGQ</v>
      </c>
      <c r="G363" s="4" t="s">
        <v>22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4.25" customHeight="1">
      <c r="A364" s="4">
        <v>14014</v>
      </c>
      <c r="B364" s="4" t="str">
        <f>IFERROR(VLOOKUP(A364,Colaboradores!A:D,2,),"")</f>
        <v/>
      </c>
      <c r="C364" s="4" t="str">
        <f>IFERROR(VLOOKUP(A364,Colaboradores!A:D,3,),"")</f>
        <v/>
      </c>
      <c r="D364" s="4" t="str">
        <f>IFERROR(VLOOKUP(A364,Colaboradores!A:D,4,),"")</f>
        <v/>
      </c>
      <c r="E364" s="4" t="s">
        <v>73</v>
      </c>
      <c r="F364" s="5" t="str">
        <f>IFERROR(VLOOKUP(E364,Procedimentos!A:C,2,),"")</f>
        <v>AQUISIÇÃO DE BENS E SERVIÇOS E AVALIAÇÃO PROVEDORES EXTERNOS</v>
      </c>
      <c r="G364" s="4" t="s">
        <v>22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4.25" customHeight="1">
      <c r="A365" s="4">
        <v>14014</v>
      </c>
      <c r="B365" s="4" t="str">
        <f>IFERROR(VLOOKUP(A365,Colaboradores!A:D,2,),"")</f>
        <v/>
      </c>
      <c r="C365" s="4" t="str">
        <f>IFERROR(VLOOKUP(A365,Colaboradores!A:D,3,),"")</f>
        <v/>
      </c>
      <c r="D365" s="4" t="str">
        <f>IFERROR(VLOOKUP(A365,Colaboradores!A:D,4,),"")</f>
        <v/>
      </c>
      <c r="E365" s="4" t="s">
        <v>79</v>
      </c>
      <c r="F365" s="5" t="str">
        <f>IFERROR(VLOOKUP(E365,Procedimentos!A:C,2,),"")</f>
        <v>ABERTURA DE PROCESSO DE PAGAMENTO</v>
      </c>
      <c r="G365" s="4" t="s">
        <v>22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4.25" customHeight="1">
      <c r="A366" s="4">
        <v>14014</v>
      </c>
      <c r="B366" s="4" t="str">
        <f>IFERROR(VLOOKUP(A366,Colaboradores!A:D,2,),"")</f>
        <v/>
      </c>
      <c r="C366" s="4" t="str">
        <f>IFERROR(VLOOKUP(A366,Colaboradores!A:D,3,),"")</f>
        <v/>
      </c>
      <c r="D366" s="4" t="str">
        <f>IFERROR(VLOOKUP(A366,Colaboradores!A:D,4,),"")</f>
        <v/>
      </c>
      <c r="E366" s="4" t="s">
        <v>48</v>
      </c>
      <c r="F366" s="5" t="str">
        <f>IFERROR(VLOOKUP(E366,Procedimentos!A:C,2,),"")</f>
        <v>POLÍTICA MEIO AMBIENTE EMSERH</v>
      </c>
      <c r="G366" s="4" t="s">
        <v>22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4.25" customHeight="1">
      <c r="A367" s="4">
        <v>14014</v>
      </c>
      <c r="B367" s="4" t="str">
        <f>IFERROR(VLOOKUP(A367,Colaboradores!A:D,2,),"")</f>
        <v/>
      </c>
      <c r="C367" s="4" t="str">
        <f>IFERROR(VLOOKUP(A367,Colaboradores!A:D,3,),"")</f>
        <v/>
      </c>
      <c r="D367" s="4" t="str">
        <f>IFERROR(VLOOKUP(A367,Colaboradores!A:D,4,),"")</f>
        <v/>
      </c>
      <c r="E367" s="4" t="s">
        <v>29</v>
      </c>
      <c r="F367" s="5" t="str">
        <f>IFERROR(VLOOKUP(E367,Procedimentos!A:C,2,),"")</f>
        <v>COLETA SELETIVA DESSMA</v>
      </c>
      <c r="G367" s="4" t="s">
        <v>22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4.25" customHeight="1">
      <c r="A368" s="4">
        <v>14014</v>
      </c>
      <c r="B368" s="4" t="str">
        <f>IFERROR(VLOOKUP(A368,Colaboradores!A:D,2,),"")</f>
        <v/>
      </c>
      <c r="C368" s="4" t="str">
        <f>IFERROR(VLOOKUP(A368,Colaboradores!A:D,3,),"")</f>
        <v/>
      </c>
      <c r="D368" s="4" t="str">
        <f>IFERROR(VLOOKUP(A368,Colaboradores!A:D,4,),"")</f>
        <v/>
      </c>
      <c r="E368" s="4" t="s">
        <v>36</v>
      </c>
      <c r="F368" s="5" t="str">
        <f>IFERROR(VLOOKUP(E368,Procedimentos!A:C,2,),"")</f>
        <v>GESTÃO DE PRODUTOS QUÍMICOS</v>
      </c>
      <c r="G368" s="4" t="s">
        <v>22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4.25" customHeight="1">
      <c r="A369" s="4">
        <v>14014</v>
      </c>
      <c r="B369" s="4" t="str">
        <f>IFERROR(VLOOKUP(A369,Colaboradores!A:D,2,),"")</f>
        <v/>
      </c>
      <c r="C369" s="4" t="str">
        <f>IFERROR(VLOOKUP(A369,Colaboradores!A:D,3,),"")</f>
        <v/>
      </c>
      <c r="D369" s="4" t="str">
        <f>IFERROR(VLOOKUP(A369,Colaboradores!A:D,4,),"")</f>
        <v/>
      </c>
      <c r="E369" s="4" t="s">
        <v>32</v>
      </c>
      <c r="F369" s="5" t="str">
        <f>IFERROR(VLOOKUP(E369,Procedimentos!A:C,2,),"")</f>
        <v>GESTÃO DE LEVANTAMENTO DE ASPECTOS E IMPACTOS AMBIENTAIS</v>
      </c>
      <c r="G369" s="4" t="s">
        <v>22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4.25" customHeight="1">
      <c r="A370" s="4">
        <v>14014</v>
      </c>
      <c r="B370" s="4" t="str">
        <f>IFERROR(VLOOKUP(A370,Colaboradores!A:D,2,),"")</f>
        <v/>
      </c>
      <c r="C370" s="4" t="str">
        <f>IFERROR(VLOOKUP(A370,Colaboradores!A:D,3,),"")</f>
        <v/>
      </c>
      <c r="D370" s="4" t="str">
        <f>IFERROR(VLOOKUP(A370,Colaboradores!A:D,4,),"")</f>
        <v/>
      </c>
      <c r="E370" s="4" t="s">
        <v>31</v>
      </c>
      <c r="F370" s="5" t="str">
        <f>IFERROR(VLOOKUP(E370,Procedimentos!A:C,2,),"")</f>
        <v>GESTÃO DE COMUNICAÇÃO, CLASSIFICAÇÃO E INVESTIGAÇÃO DE OCORRÊNCIAS AMBIENTAIS</v>
      </c>
      <c r="G370" s="4" t="s">
        <v>22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4.25" customHeight="1">
      <c r="A371" s="4">
        <v>14014</v>
      </c>
      <c r="B371" s="4" t="str">
        <f>IFERROR(VLOOKUP(A371,Colaboradores!A:D,2,),"")</f>
        <v/>
      </c>
      <c r="C371" s="4" t="str">
        <f>IFERROR(VLOOKUP(A371,Colaboradores!A:D,3,),"")</f>
        <v/>
      </c>
      <c r="D371" s="4" t="str">
        <f>IFERROR(VLOOKUP(A371,Colaboradores!A:D,4,),"")</f>
        <v/>
      </c>
      <c r="E371" s="4" t="s">
        <v>33</v>
      </c>
      <c r="F371" s="5" t="str">
        <f>IFERROR(VLOOKUP(E371,Procedimentos!A:C,2,),"")</f>
        <v>GESTÃO DE INSPEÇÕES AMBIENTAIS</v>
      </c>
      <c r="G371" s="4" t="s">
        <v>22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4.25" customHeight="1">
      <c r="A372" s="4">
        <v>14014</v>
      </c>
      <c r="B372" s="4" t="str">
        <f>IFERROR(VLOOKUP(A372,Colaboradores!A:D,2,),"")</f>
        <v/>
      </c>
      <c r="C372" s="4" t="str">
        <f>IFERROR(VLOOKUP(A372,Colaboradores!A:D,3,),"")</f>
        <v/>
      </c>
      <c r="D372" s="4" t="str">
        <f>IFERROR(VLOOKUP(A372,Colaboradores!A:D,4,),"")</f>
        <v/>
      </c>
      <c r="E372" s="4" t="s">
        <v>39</v>
      </c>
      <c r="F372" s="5" t="str">
        <f>IFERROR(VLOOKUP(E372,Procedimentos!A:C,2,),"")</f>
        <v>GESTÃO DE ÁGUAS E EFLUENTES</v>
      </c>
      <c r="G372" s="4" t="s">
        <v>22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4.25" customHeight="1">
      <c r="A373" s="4">
        <v>14014</v>
      </c>
      <c r="B373" s="4" t="str">
        <f>IFERROR(VLOOKUP(A373,Colaboradores!A:D,2,),"")</f>
        <v/>
      </c>
      <c r="C373" s="4" t="str">
        <f>IFERROR(VLOOKUP(A373,Colaboradores!A:D,3,),"")</f>
        <v/>
      </c>
      <c r="D373" s="4" t="str">
        <f>IFERROR(VLOOKUP(A373,Colaboradores!A:D,4,),"")</f>
        <v/>
      </c>
      <c r="E373" s="4" t="s">
        <v>34</v>
      </c>
      <c r="F373" s="5" t="str">
        <f>IFERROR(VLOOKUP(E373,Procedimentos!A:C,2,),"")</f>
        <v>GESTÃO DE LICENCIAMENTO AMBIENTAL</v>
      </c>
      <c r="G373" s="4" t="s">
        <v>22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4.25" customHeight="1">
      <c r="A374" s="4">
        <v>14014</v>
      </c>
      <c r="B374" s="4" t="str">
        <f>IFERROR(VLOOKUP(A374,Colaboradores!A:D,2,),"")</f>
        <v/>
      </c>
      <c r="C374" s="4" t="str">
        <f>IFERROR(VLOOKUP(A374,Colaboradores!A:D,3,),"")</f>
        <v/>
      </c>
      <c r="D374" s="4" t="str">
        <f>IFERROR(VLOOKUP(A374,Colaboradores!A:D,4,),"")</f>
        <v/>
      </c>
      <c r="E374" s="4" t="s">
        <v>38</v>
      </c>
      <c r="F374" s="5" t="str">
        <f>IFERROR(VLOOKUP(E374,Procedimentos!A:C,2,),"")</f>
        <v>GESTÃO DE CONDICIONANTES DE LICENCIAMENTO AMBIENTAL</v>
      </c>
      <c r="G374" s="4" t="s">
        <v>22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4.25" customHeight="1">
      <c r="A375" s="4">
        <v>14014</v>
      </c>
      <c r="B375" s="4" t="str">
        <f>IFERROR(VLOOKUP(A375,Colaboradores!A:D,2,),"")</f>
        <v/>
      </c>
      <c r="C375" s="4" t="str">
        <f>IFERROR(VLOOKUP(A375,Colaboradores!A:D,3,),"")</f>
        <v/>
      </c>
      <c r="D375" s="4" t="str">
        <f>IFERROR(VLOOKUP(A375,Colaboradores!A:D,4,),"")</f>
        <v/>
      </c>
      <c r="E375" s="4" t="s">
        <v>37</v>
      </c>
      <c r="F375" s="5" t="str">
        <f>IFERROR(VLOOKUP(E375,Procedimentos!A:C,2,),"")</f>
        <v>GESTÃO DE RESÍDUOS SÓLIDOS DE SERVIÇOS DE SAÚDE</v>
      </c>
      <c r="G375" s="4" t="s">
        <v>22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4.25" customHeight="1">
      <c r="A376" s="4">
        <v>14014</v>
      </c>
      <c r="B376" s="4" t="str">
        <f>IFERROR(VLOOKUP(A376,Colaboradores!A:D,2,),"")</f>
        <v/>
      </c>
      <c r="C376" s="4" t="str">
        <f>IFERROR(VLOOKUP(A376,Colaboradores!A:D,3,),"")</f>
        <v/>
      </c>
      <c r="D376" s="4" t="str">
        <f>IFERROR(VLOOKUP(A376,Colaboradores!A:D,4,),"")</f>
        <v/>
      </c>
      <c r="E376" s="4" t="s">
        <v>35</v>
      </c>
      <c r="F376" s="5" t="str">
        <f>IFERROR(VLOOKUP(E376,Procedimentos!A:C,2,),"")</f>
        <v>PROCEDIMENTO DE AFERIÇÃO DE FUMAÇA PRETA</v>
      </c>
      <c r="G376" s="4" t="s">
        <v>22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4.25" customHeight="1">
      <c r="A377" s="4">
        <v>14014</v>
      </c>
      <c r="B377" s="4" t="str">
        <f>IFERROR(VLOOKUP(A377,Colaboradores!A:D,2,),"")</f>
        <v/>
      </c>
      <c r="C377" s="4" t="str">
        <f>IFERROR(VLOOKUP(A377,Colaboradores!A:D,3,),"")</f>
        <v/>
      </c>
      <c r="D377" s="4" t="str">
        <f>IFERROR(VLOOKUP(A377,Colaboradores!A:D,4,),"")</f>
        <v/>
      </c>
      <c r="E377" s="4" t="s">
        <v>49</v>
      </c>
      <c r="F377" s="5" t="str">
        <f>IFERROR(VLOOKUP(E377,Procedimentos!A:C,2,),"")</f>
        <v>DIRETRIZES PARA REALIZAÇÃO DE EXAMES OCUPACIONAIS</v>
      </c>
      <c r="G377" s="4" t="s">
        <v>22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4.25" customHeight="1">
      <c r="A378" s="4">
        <v>14014</v>
      </c>
      <c r="B378" s="4" t="str">
        <f>IFERROR(VLOOKUP(A378,Colaboradores!A:D,2,),"")</f>
        <v/>
      </c>
      <c r="C378" s="4" t="str">
        <f>IFERROR(VLOOKUP(A378,Colaboradores!A:D,3,),"")</f>
        <v/>
      </c>
      <c r="D378" s="4" t="str">
        <f>IFERROR(VLOOKUP(A378,Colaboradores!A:D,4,),"")</f>
        <v/>
      </c>
      <c r="E378" s="4" t="s">
        <v>51</v>
      </c>
      <c r="F378" s="5" t="str">
        <f>IFERROR(VLOOKUP(E378,Procedimentos!A:C,2,),"")</f>
        <v>DIRETRIZES PARA ENTREGA DE ATESTADOS MÉDICOS E ODONTOLÓGICOS</v>
      </c>
      <c r="G378" s="4" t="s">
        <v>22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4.25" customHeight="1">
      <c r="A379" s="4">
        <v>14014</v>
      </c>
      <c r="B379" s="4" t="str">
        <f>IFERROR(VLOOKUP(A379,Colaboradores!A:D,2,),"")</f>
        <v/>
      </c>
      <c r="C379" s="4" t="str">
        <f>IFERROR(VLOOKUP(A379,Colaboradores!A:D,3,),"")</f>
        <v/>
      </c>
      <c r="D379" s="4" t="str">
        <f>IFERROR(VLOOKUP(A379,Colaboradores!A:D,4,),"")</f>
        <v/>
      </c>
      <c r="E379" s="4" t="s">
        <v>52</v>
      </c>
      <c r="F379" s="5" t="str">
        <f>IFERROR(VLOOKUP(E379,Procedimentos!A:C,2,),"")</f>
        <v>DIRETRIZES E ACOMPANHAMENTO  DE ACIDENTE COM MATERIAL BIOLOGICO</v>
      </c>
      <c r="G379" s="4" t="s">
        <v>22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4.25" customHeight="1">
      <c r="A380" s="4">
        <v>14014</v>
      </c>
      <c r="B380" s="4" t="str">
        <f>IFERROR(VLOOKUP(A380,Colaboradores!A:D,2,),"")</f>
        <v/>
      </c>
      <c r="C380" s="4" t="str">
        <f>IFERROR(VLOOKUP(A380,Colaboradores!A:D,3,),"")</f>
        <v/>
      </c>
      <c r="D380" s="4" t="str">
        <f>IFERROR(VLOOKUP(A380,Colaboradores!A:D,4,),"")</f>
        <v/>
      </c>
      <c r="E380" s="4" t="s">
        <v>53</v>
      </c>
      <c r="F380" s="5" t="str">
        <f>IFERROR(VLOOKUP(E380,Procedimentos!A:C,2,),"")</f>
        <v>DIRETRIZES PARA MONITORAMENTO DE GESTANTE</v>
      </c>
      <c r="G380" s="4" t="s">
        <v>22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4.25" customHeight="1">
      <c r="A381" s="4">
        <v>14014</v>
      </c>
      <c r="B381" s="4" t="str">
        <f>IFERROR(VLOOKUP(A381,Colaboradores!A:D,2,),"")</f>
        <v/>
      </c>
      <c r="C381" s="4" t="str">
        <f>IFERROR(VLOOKUP(A381,Colaboradores!A:D,3,),"")</f>
        <v/>
      </c>
      <c r="D381" s="4" t="str">
        <f>IFERROR(VLOOKUP(A381,Colaboradores!A:D,4,),"")</f>
        <v/>
      </c>
      <c r="E381" s="4" t="s">
        <v>54</v>
      </c>
      <c r="F381" s="5" t="str">
        <f>IFERROR(VLOOKUP(E381,Procedimentos!A:C,2,),"")</f>
        <v>DIRETRIZES DE IMUNIZAÇÃO OCUPACIONAL</v>
      </c>
      <c r="G381" s="4" t="s">
        <v>22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4.25" customHeight="1">
      <c r="A382" s="4">
        <v>14014</v>
      </c>
      <c r="B382" s="4" t="str">
        <f>IFERROR(VLOOKUP(A382,Colaboradores!A:D,2,),"")</f>
        <v/>
      </c>
      <c r="C382" s="4" t="str">
        <f>IFERROR(VLOOKUP(A382,Colaboradores!A:D,3,),"")</f>
        <v/>
      </c>
      <c r="D382" s="4" t="str">
        <f>IFERROR(VLOOKUP(A382,Colaboradores!A:D,4,),"")</f>
        <v/>
      </c>
      <c r="E382" s="4" t="s">
        <v>55</v>
      </c>
      <c r="F382" s="5" t="str">
        <f>IFERROR(VLOOKUP(E382,Procedimentos!A:C,2,),"")</f>
        <v>DIRETRIZES PARA ACOMPANHAMENTO DE AFASTADOS</v>
      </c>
      <c r="G382" s="4" t="s">
        <v>22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4.25" customHeight="1">
      <c r="A383" s="4">
        <v>14014</v>
      </c>
      <c r="B383" s="4" t="str">
        <f>IFERROR(VLOOKUP(A383,Colaboradores!A:D,2,),"")</f>
        <v/>
      </c>
      <c r="C383" s="4" t="str">
        <f>IFERROR(VLOOKUP(A383,Colaboradores!A:D,3,),"")</f>
        <v/>
      </c>
      <c r="D383" s="4" t="str">
        <f>IFERROR(VLOOKUP(A383,Colaboradores!A:D,4,),"")</f>
        <v/>
      </c>
      <c r="E383" s="4" t="s">
        <v>46</v>
      </c>
      <c r="F383" s="5" t="str">
        <f>IFERROR(VLOOKUP(E383,Procedimentos!A:C,2,),"")</f>
        <v>POLÍTICA DE SAÚDE E SEGURANÇA DO TRABALHO EMSERH</v>
      </c>
      <c r="G383" s="4" t="s">
        <v>22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4.25" customHeight="1">
      <c r="A384" s="4">
        <v>14014</v>
      </c>
      <c r="B384" s="4" t="str">
        <f>IFERROR(VLOOKUP(A384,Colaboradores!A:D,2,),"")</f>
        <v/>
      </c>
      <c r="C384" s="4" t="str">
        <f>IFERROR(VLOOKUP(A384,Colaboradores!A:D,3,),"")</f>
        <v/>
      </c>
      <c r="D384" s="4" t="str">
        <f>IFERROR(VLOOKUP(A384,Colaboradores!A:D,4,),"")</f>
        <v/>
      </c>
      <c r="E384" s="4" t="s">
        <v>41</v>
      </c>
      <c r="F384" s="5" t="str">
        <f>IFERROR(VLOOKUP(E384,Procedimentos!A:C,2,),"")</f>
        <v>DIRETRIZES PARA COMUNICAÇÃO E INVESTIGAÇÃO DE ACIDENTES</v>
      </c>
      <c r="G384" s="4" t="s">
        <v>22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4.25" customHeight="1">
      <c r="A385" s="4">
        <v>14014</v>
      </c>
      <c r="B385" s="4" t="str">
        <f>IFERROR(VLOOKUP(A385,Colaboradores!A:D,2,),"")</f>
        <v/>
      </c>
      <c r="C385" s="4" t="str">
        <f>IFERROR(VLOOKUP(A385,Colaboradores!A:D,3,),"")</f>
        <v/>
      </c>
      <c r="D385" s="4" t="str">
        <f>IFERROR(VLOOKUP(A385,Colaboradores!A:D,4,),"")</f>
        <v/>
      </c>
      <c r="E385" s="4" t="s">
        <v>43</v>
      </c>
      <c r="F385" s="5" t="str">
        <f>IFERROR(VLOOKUP(E385,Procedimentos!A:C,2,),"")</f>
        <v>DIÁLOGO DE SAÚDE E SEGURANÇA - DSS</v>
      </c>
      <c r="G385" s="4" t="s">
        <v>22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4.25" customHeight="1">
      <c r="A386" s="4">
        <v>14014</v>
      </c>
      <c r="B386" s="4" t="str">
        <f>IFERROR(VLOOKUP(A386,Colaboradores!A:D,2,),"")</f>
        <v/>
      </c>
      <c r="C386" s="4" t="str">
        <f>IFERROR(VLOOKUP(A386,Colaboradores!A:D,3,),"")</f>
        <v/>
      </c>
      <c r="D386" s="4" t="str">
        <f>IFERROR(VLOOKUP(A386,Colaboradores!A:D,4,),"")</f>
        <v/>
      </c>
      <c r="E386" s="4" t="s">
        <v>44</v>
      </c>
      <c r="F386" s="5" t="str">
        <f>IFERROR(VLOOKUP(E386,Procedimentos!A:C,2,),"")</f>
        <v>DIRETRIZES PARA GESTÃO DE EQUIPAMENTOS DE PROTEÇÃO INDIVIDUAL - EPI'S</v>
      </c>
      <c r="G386" s="4" t="s">
        <v>22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4.25" customHeight="1">
      <c r="A387" s="4">
        <v>14014</v>
      </c>
      <c r="B387" s="4" t="str">
        <f>IFERROR(VLOOKUP(A387,Colaboradores!A:D,2,),"")</f>
        <v/>
      </c>
      <c r="C387" s="4" t="str">
        <f>IFERROR(VLOOKUP(A387,Colaboradores!A:D,3,),"")</f>
        <v/>
      </c>
      <c r="D387" s="4" t="str">
        <f>IFERROR(VLOOKUP(A387,Colaboradores!A:D,4,),"")</f>
        <v/>
      </c>
      <c r="E387" s="4" t="s">
        <v>45</v>
      </c>
      <c r="F387" s="5" t="str">
        <f>IFERROR(VLOOKUP(E387,Procedimentos!A:C,2,),"")</f>
        <v>CONSTITUIÇÃO INTERNA DE PREVENÇÃO DE ACIDENTES E DE ASSÉDIOS - CIPA</v>
      </c>
      <c r="G387" s="4" t="s">
        <v>22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4.25" customHeight="1">
      <c r="A388" s="4">
        <v>12486</v>
      </c>
      <c r="B388" s="4" t="str">
        <f>IFERROR(VLOOKUP(A388,Colaboradores!A:D,2,),"")</f>
        <v>ENEAS GALVAO MAGALHAES BRITO</v>
      </c>
      <c r="C388" s="4" t="str">
        <f>IFERROR(VLOOKUP(A388,Colaboradores!A:D,3,),"")</f>
        <v>MEIO AMBIENTE</v>
      </c>
      <c r="D388" s="4" t="str">
        <f>IFERROR(VLOOKUP(A388,Colaboradores!A:D,4,),"")</f>
        <v>ENGENHEIRO DE MEIO AMBIENTE</v>
      </c>
      <c r="E388" s="4" t="s">
        <v>58</v>
      </c>
      <c r="F388" s="5" t="str">
        <f>IFERROR(VLOOKUP(E388,Procedimentos!A:C,2,),"")</f>
        <v>POLÍTICA DE QUALIDADE DA DIRETORIA</v>
      </c>
      <c r="G388" s="4" t="s">
        <v>22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4.25" customHeight="1">
      <c r="A389" s="4">
        <v>12486</v>
      </c>
      <c r="B389" s="4" t="str">
        <f>IFERROR(VLOOKUP(A389,Colaboradores!A:D,2,),"")</f>
        <v>ENEAS GALVAO MAGALHAES BRITO</v>
      </c>
      <c r="C389" s="4" t="str">
        <f>IFERROR(VLOOKUP(A389,Colaboradores!A:D,3,),"")</f>
        <v>MEIO AMBIENTE</v>
      </c>
      <c r="D389" s="4" t="str">
        <f>IFERROR(VLOOKUP(A389,Colaboradores!A:D,4,),"")</f>
        <v>ENGENHEIRO DE MEIO AMBIENTE</v>
      </c>
      <c r="E389" s="4" t="s">
        <v>19</v>
      </c>
      <c r="F389" s="5" t="str">
        <f>IFERROR(VLOOKUP(E389,Procedimentos!A:C,2,),"")</f>
        <v>DIRETRIZES PARA DOCUMENTOS NORMATIVOS</v>
      </c>
      <c r="G389" s="4" t="s">
        <v>22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4.25" customHeight="1">
      <c r="A390" s="4">
        <v>12486</v>
      </c>
      <c r="B390" s="4" t="str">
        <f>IFERROR(VLOOKUP(A390,Colaboradores!A:D,2,),"")</f>
        <v>ENEAS GALVAO MAGALHAES BRITO</v>
      </c>
      <c r="C390" s="4" t="str">
        <f>IFERROR(VLOOKUP(A390,Colaboradores!A:D,3,),"")</f>
        <v>MEIO AMBIENTE</v>
      </c>
      <c r="D390" s="4" t="str">
        <f>IFERROR(VLOOKUP(A390,Colaboradores!A:D,4,),"")</f>
        <v>ENGENHEIRO DE MEIO AMBIENTE</v>
      </c>
      <c r="E390" s="4" t="s">
        <v>24</v>
      </c>
      <c r="F390" s="5" t="str">
        <f>IFERROR(VLOOKUP(E390,Procedimentos!A:C,2,),"")</f>
        <v>DIRETRIZES  PARA PROGRAMA 5S</v>
      </c>
      <c r="G390" s="4" t="s">
        <v>22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4.25" customHeight="1">
      <c r="A391" s="4">
        <v>12486</v>
      </c>
      <c r="B391" s="4" t="str">
        <f>IFERROR(VLOOKUP(A391,Colaboradores!A:D,2,),"")</f>
        <v>ENEAS GALVAO MAGALHAES BRITO</v>
      </c>
      <c r="C391" s="4" t="str">
        <f>IFERROR(VLOOKUP(A391,Colaboradores!A:D,3,),"")</f>
        <v>MEIO AMBIENTE</v>
      </c>
      <c r="D391" s="4" t="str">
        <f>IFERROR(VLOOKUP(A391,Colaboradores!A:D,4,),"")</f>
        <v>ENGENHEIRO DE MEIO AMBIENTE</v>
      </c>
      <c r="E391" s="4" t="s">
        <v>25</v>
      </c>
      <c r="F391" s="5" t="str">
        <f>IFERROR(VLOOKUP(E391,Procedimentos!A:C,2,),"")</f>
        <v>GARANTIA DA QUALIDADE</v>
      </c>
      <c r="G391" s="4" t="s">
        <v>22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4.25" customHeight="1">
      <c r="A392" s="4">
        <v>12486</v>
      </c>
      <c r="B392" s="4" t="str">
        <f>IFERROR(VLOOKUP(A392,Colaboradores!A:D,2,),"")</f>
        <v>ENEAS GALVAO MAGALHAES BRITO</v>
      </c>
      <c r="C392" s="4" t="str">
        <f>IFERROR(VLOOKUP(A392,Colaboradores!A:D,3,),"")</f>
        <v>MEIO AMBIENTE</v>
      </c>
      <c r="D392" s="4" t="str">
        <f>IFERROR(VLOOKUP(A392,Colaboradores!A:D,4,),"")</f>
        <v>ENGENHEIRO DE MEIO AMBIENTE</v>
      </c>
      <c r="E392" s="4" t="s">
        <v>26</v>
      </c>
      <c r="F392" s="5" t="str">
        <f>IFERROR(VLOOKUP(E392,Procedimentos!A:C,2,),"")</f>
        <v>RESPONSABILIDADES E AUTORIDADES DO SGQ</v>
      </c>
      <c r="G392" s="4" t="s">
        <v>22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4.25" customHeight="1">
      <c r="A393" s="4">
        <v>12486</v>
      </c>
      <c r="B393" s="4" t="str">
        <f>IFERROR(VLOOKUP(A393,Colaboradores!A:D,2,),"")</f>
        <v>ENEAS GALVAO MAGALHAES BRITO</v>
      </c>
      <c r="C393" s="4" t="str">
        <f>IFERROR(VLOOKUP(A393,Colaboradores!A:D,3,),"")</f>
        <v>MEIO AMBIENTE</v>
      </c>
      <c r="D393" s="4" t="str">
        <f>IFERROR(VLOOKUP(A393,Colaboradores!A:D,4,),"")</f>
        <v>ENGENHEIRO DE MEIO AMBIENTE</v>
      </c>
      <c r="E393" s="4" t="s">
        <v>73</v>
      </c>
      <c r="F393" s="5" t="str">
        <f>IFERROR(VLOOKUP(E393,Procedimentos!A:C,2,),"")</f>
        <v>AQUISIÇÃO DE BENS E SERVIÇOS E AVALIAÇÃO PROVEDORES EXTERNOS</v>
      </c>
      <c r="G393" s="4" t="s">
        <v>22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4.25" customHeight="1">
      <c r="A394" s="4">
        <v>12486</v>
      </c>
      <c r="B394" s="4" t="str">
        <f>IFERROR(VLOOKUP(A394,Colaboradores!A:D,2,),"")</f>
        <v>ENEAS GALVAO MAGALHAES BRITO</v>
      </c>
      <c r="C394" s="4" t="str">
        <f>IFERROR(VLOOKUP(A394,Colaboradores!A:D,3,),"")</f>
        <v>MEIO AMBIENTE</v>
      </c>
      <c r="D394" s="4" t="str">
        <f>IFERROR(VLOOKUP(A394,Colaboradores!A:D,4,),"")</f>
        <v>ENGENHEIRO DE MEIO AMBIENTE</v>
      </c>
      <c r="E394" s="4" t="s">
        <v>79</v>
      </c>
      <c r="F394" s="5" t="str">
        <f>IFERROR(VLOOKUP(E394,Procedimentos!A:C,2,),"")</f>
        <v>ABERTURA DE PROCESSO DE PAGAMENTO</v>
      </c>
      <c r="G394" s="4" t="s">
        <v>22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4.25" customHeight="1">
      <c r="A395" s="4">
        <v>12486</v>
      </c>
      <c r="B395" s="4" t="str">
        <f>IFERROR(VLOOKUP(A395,Colaboradores!A:D,2,),"")</f>
        <v>ENEAS GALVAO MAGALHAES BRITO</v>
      </c>
      <c r="C395" s="4" t="str">
        <f>IFERROR(VLOOKUP(A395,Colaboradores!A:D,3,),"")</f>
        <v>MEIO AMBIENTE</v>
      </c>
      <c r="D395" s="4" t="str">
        <f>IFERROR(VLOOKUP(A395,Colaboradores!A:D,4,),"")</f>
        <v>ENGENHEIRO DE MEIO AMBIENTE</v>
      </c>
      <c r="E395" s="4" t="s">
        <v>48</v>
      </c>
      <c r="F395" s="5" t="str">
        <f>IFERROR(VLOOKUP(E395,Procedimentos!A:C,2,),"")</f>
        <v>POLÍTICA MEIO AMBIENTE EMSERH</v>
      </c>
      <c r="G395" s="4" t="s">
        <v>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4.25" customHeight="1">
      <c r="A396" s="4">
        <v>12486</v>
      </c>
      <c r="B396" s="4" t="str">
        <f>IFERROR(VLOOKUP(A396,Colaboradores!A:D,2,),"")</f>
        <v>ENEAS GALVAO MAGALHAES BRITO</v>
      </c>
      <c r="C396" s="4" t="str">
        <f>IFERROR(VLOOKUP(A396,Colaboradores!A:D,3,),"")</f>
        <v>MEIO AMBIENTE</v>
      </c>
      <c r="D396" s="4" t="str">
        <f>IFERROR(VLOOKUP(A396,Colaboradores!A:D,4,),"")</f>
        <v>ENGENHEIRO DE MEIO AMBIENTE</v>
      </c>
      <c r="E396" s="4" t="s">
        <v>29</v>
      </c>
      <c r="F396" s="5" t="str">
        <f>IFERROR(VLOOKUP(E396,Procedimentos!A:C,2,),"")</f>
        <v>COLETA SELETIVA DESSMA</v>
      </c>
      <c r="G396" s="4" t="s">
        <v>22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4.25" customHeight="1">
      <c r="A397" s="4">
        <v>12486</v>
      </c>
      <c r="B397" s="4" t="str">
        <f>IFERROR(VLOOKUP(A397,Colaboradores!A:D,2,),"")</f>
        <v>ENEAS GALVAO MAGALHAES BRITO</v>
      </c>
      <c r="C397" s="4" t="str">
        <f>IFERROR(VLOOKUP(A397,Colaboradores!A:D,3,),"")</f>
        <v>MEIO AMBIENTE</v>
      </c>
      <c r="D397" s="4" t="str">
        <f>IFERROR(VLOOKUP(A397,Colaboradores!A:D,4,),"")</f>
        <v>ENGENHEIRO DE MEIO AMBIENTE</v>
      </c>
      <c r="E397" s="4" t="s">
        <v>36</v>
      </c>
      <c r="F397" s="5" t="str">
        <f>IFERROR(VLOOKUP(E397,Procedimentos!A:C,2,),"")</f>
        <v>GESTÃO DE PRODUTOS QUÍMICOS</v>
      </c>
      <c r="G397" s="4" t="s">
        <v>22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4.25" customHeight="1">
      <c r="A398" s="4">
        <v>12486</v>
      </c>
      <c r="B398" s="4" t="str">
        <f>IFERROR(VLOOKUP(A398,Colaboradores!A:D,2,),"")</f>
        <v>ENEAS GALVAO MAGALHAES BRITO</v>
      </c>
      <c r="C398" s="4" t="str">
        <f>IFERROR(VLOOKUP(A398,Colaboradores!A:D,3,),"")</f>
        <v>MEIO AMBIENTE</v>
      </c>
      <c r="D398" s="4" t="str">
        <f>IFERROR(VLOOKUP(A398,Colaboradores!A:D,4,),"")</f>
        <v>ENGENHEIRO DE MEIO AMBIENTE</v>
      </c>
      <c r="E398" s="4" t="s">
        <v>32</v>
      </c>
      <c r="F398" s="5" t="str">
        <f>IFERROR(VLOOKUP(E398,Procedimentos!A:C,2,),"")</f>
        <v>GESTÃO DE LEVANTAMENTO DE ASPECTOS E IMPACTOS AMBIENTAIS</v>
      </c>
      <c r="G398" s="4" t="s">
        <v>22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4.25" customHeight="1">
      <c r="A399" s="4">
        <v>12486</v>
      </c>
      <c r="B399" s="4" t="str">
        <f>IFERROR(VLOOKUP(A399,Colaboradores!A:D,2,),"")</f>
        <v>ENEAS GALVAO MAGALHAES BRITO</v>
      </c>
      <c r="C399" s="4" t="str">
        <f>IFERROR(VLOOKUP(A399,Colaboradores!A:D,3,),"")</f>
        <v>MEIO AMBIENTE</v>
      </c>
      <c r="D399" s="4" t="str">
        <f>IFERROR(VLOOKUP(A399,Colaboradores!A:D,4,),"")</f>
        <v>ENGENHEIRO DE MEIO AMBIENTE</v>
      </c>
      <c r="E399" s="4" t="s">
        <v>31</v>
      </c>
      <c r="F399" s="5" t="str">
        <f>IFERROR(VLOOKUP(E399,Procedimentos!A:C,2,),"")</f>
        <v>GESTÃO DE COMUNICAÇÃO, CLASSIFICAÇÃO E INVESTIGAÇÃO DE OCORRÊNCIAS AMBIENTAIS</v>
      </c>
      <c r="G399" s="4" t="s">
        <v>22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4.25" customHeight="1">
      <c r="A400" s="4">
        <v>12486</v>
      </c>
      <c r="B400" s="4" t="str">
        <f>IFERROR(VLOOKUP(A400,Colaboradores!A:D,2,),"")</f>
        <v>ENEAS GALVAO MAGALHAES BRITO</v>
      </c>
      <c r="C400" s="4" t="str">
        <f>IFERROR(VLOOKUP(A400,Colaboradores!A:D,3,),"")</f>
        <v>MEIO AMBIENTE</v>
      </c>
      <c r="D400" s="4" t="str">
        <f>IFERROR(VLOOKUP(A400,Colaboradores!A:D,4,),"")</f>
        <v>ENGENHEIRO DE MEIO AMBIENTE</v>
      </c>
      <c r="E400" s="4" t="s">
        <v>33</v>
      </c>
      <c r="F400" s="5" t="str">
        <f>IFERROR(VLOOKUP(E400,Procedimentos!A:C,2,),"")</f>
        <v>GESTÃO DE INSPEÇÕES AMBIENTAIS</v>
      </c>
      <c r="G400" s="4" t="s">
        <v>22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4.25" customHeight="1">
      <c r="A401" s="4">
        <v>12486</v>
      </c>
      <c r="B401" s="4" t="str">
        <f>IFERROR(VLOOKUP(A401,Colaboradores!A:D,2,),"")</f>
        <v>ENEAS GALVAO MAGALHAES BRITO</v>
      </c>
      <c r="C401" s="4" t="str">
        <f>IFERROR(VLOOKUP(A401,Colaboradores!A:D,3,),"")</f>
        <v>MEIO AMBIENTE</v>
      </c>
      <c r="D401" s="4" t="str">
        <f>IFERROR(VLOOKUP(A401,Colaboradores!A:D,4,),"")</f>
        <v>ENGENHEIRO DE MEIO AMBIENTE</v>
      </c>
      <c r="E401" s="4" t="s">
        <v>39</v>
      </c>
      <c r="F401" s="5" t="str">
        <f>IFERROR(VLOOKUP(E401,Procedimentos!A:C,2,),"")</f>
        <v>GESTÃO DE ÁGUAS E EFLUENTES</v>
      </c>
      <c r="G401" s="4" t="s">
        <v>22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4.25" customHeight="1">
      <c r="A402" s="4">
        <v>12486</v>
      </c>
      <c r="B402" s="4" t="str">
        <f>IFERROR(VLOOKUP(A402,Colaboradores!A:D,2,),"")</f>
        <v>ENEAS GALVAO MAGALHAES BRITO</v>
      </c>
      <c r="C402" s="4" t="str">
        <f>IFERROR(VLOOKUP(A402,Colaboradores!A:D,3,),"")</f>
        <v>MEIO AMBIENTE</v>
      </c>
      <c r="D402" s="4" t="str">
        <f>IFERROR(VLOOKUP(A402,Colaboradores!A:D,4,),"")</f>
        <v>ENGENHEIRO DE MEIO AMBIENTE</v>
      </c>
      <c r="E402" s="4" t="s">
        <v>34</v>
      </c>
      <c r="F402" s="5" t="str">
        <f>IFERROR(VLOOKUP(E402,Procedimentos!A:C,2,),"")</f>
        <v>GESTÃO DE LICENCIAMENTO AMBIENTAL</v>
      </c>
      <c r="G402" s="4" t="s">
        <v>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4.25" customHeight="1">
      <c r="A403" s="4">
        <v>12486</v>
      </c>
      <c r="B403" s="4" t="str">
        <f>IFERROR(VLOOKUP(A403,Colaboradores!A:D,2,),"")</f>
        <v>ENEAS GALVAO MAGALHAES BRITO</v>
      </c>
      <c r="C403" s="4" t="str">
        <f>IFERROR(VLOOKUP(A403,Colaboradores!A:D,3,),"")</f>
        <v>MEIO AMBIENTE</v>
      </c>
      <c r="D403" s="4" t="str">
        <f>IFERROR(VLOOKUP(A403,Colaboradores!A:D,4,),"")</f>
        <v>ENGENHEIRO DE MEIO AMBIENTE</v>
      </c>
      <c r="E403" s="4" t="s">
        <v>38</v>
      </c>
      <c r="F403" s="5" t="str">
        <f>IFERROR(VLOOKUP(E403,Procedimentos!A:C,2,),"")</f>
        <v>GESTÃO DE CONDICIONANTES DE LICENCIAMENTO AMBIENTAL</v>
      </c>
      <c r="G403" s="4" t="s">
        <v>22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4.25" customHeight="1">
      <c r="A404" s="4">
        <v>12486</v>
      </c>
      <c r="B404" s="4" t="str">
        <f>IFERROR(VLOOKUP(A404,Colaboradores!A:D,2,),"")</f>
        <v>ENEAS GALVAO MAGALHAES BRITO</v>
      </c>
      <c r="C404" s="4" t="str">
        <f>IFERROR(VLOOKUP(A404,Colaboradores!A:D,3,),"")</f>
        <v>MEIO AMBIENTE</v>
      </c>
      <c r="D404" s="4" t="str">
        <f>IFERROR(VLOOKUP(A404,Colaboradores!A:D,4,),"")</f>
        <v>ENGENHEIRO DE MEIO AMBIENTE</v>
      </c>
      <c r="E404" s="4" t="s">
        <v>37</v>
      </c>
      <c r="F404" s="5" t="str">
        <f>IFERROR(VLOOKUP(E404,Procedimentos!A:C,2,),"")</f>
        <v>GESTÃO DE RESÍDUOS SÓLIDOS DE SERVIÇOS DE SAÚDE</v>
      </c>
      <c r="G404" s="4" t="s">
        <v>22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4.25" customHeight="1">
      <c r="A405" s="4">
        <v>12486</v>
      </c>
      <c r="B405" s="4" t="str">
        <f>IFERROR(VLOOKUP(A405,Colaboradores!A:D,2,),"")</f>
        <v>ENEAS GALVAO MAGALHAES BRITO</v>
      </c>
      <c r="C405" s="4" t="str">
        <f>IFERROR(VLOOKUP(A405,Colaboradores!A:D,3,),"")</f>
        <v>MEIO AMBIENTE</v>
      </c>
      <c r="D405" s="4" t="str">
        <f>IFERROR(VLOOKUP(A405,Colaboradores!A:D,4,),"")</f>
        <v>ENGENHEIRO DE MEIO AMBIENTE</v>
      </c>
      <c r="E405" s="4" t="s">
        <v>35</v>
      </c>
      <c r="F405" s="5" t="str">
        <f>IFERROR(VLOOKUP(E405,Procedimentos!A:C,2,),"")</f>
        <v>PROCEDIMENTO DE AFERIÇÃO DE FUMAÇA PRETA</v>
      </c>
      <c r="G405" s="4" t="s">
        <v>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4.25" customHeight="1">
      <c r="A406" s="4">
        <v>12486</v>
      </c>
      <c r="B406" s="4" t="str">
        <f>IFERROR(VLOOKUP(A406,Colaboradores!A:D,2,),"")</f>
        <v>ENEAS GALVAO MAGALHAES BRITO</v>
      </c>
      <c r="C406" s="4" t="str">
        <f>IFERROR(VLOOKUP(A406,Colaboradores!A:D,3,),"")</f>
        <v>MEIO AMBIENTE</v>
      </c>
      <c r="D406" s="4" t="str">
        <f>IFERROR(VLOOKUP(A406,Colaboradores!A:D,4,),"")</f>
        <v>ENGENHEIRO DE MEIO AMBIENTE</v>
      </c>
      <c r="E406" s="4" t="s">
        <v>49</v>
      </c>
      <c r="F406" s="5" t="str">
        <f>IFERROR(VLOOKUP(E406,Procedimentos!A:C,2,),"")</f>
        <v>DIRETRIZES PARA REALIZAÇÃO DE EXAMES OCUPACIONAIS</v>
      </c>
      <c r="G406" s="4" t="s">
        <v>22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4.25" customHeight="1">
      <c r="A407" s="4">
        <v>12486</v>
      </c>
      <c r="B407" s="4" t="str">
        <f>IFERROR(VLOOKUP(A407,Colaboradores!A:D,2,),"")</f>
        <v>ENEAS GALVAO MAGALHAES BRITO</v>
      </c>
      <c r="C407" s="4" t="str">
        <f>IFERROR(VLOOKUP(A407,Colaboradores!A:D,3,),"")</f>
        <v>MEIO AMBIENTE</v>
      </c>
      <c r="D407" s="4" t="str">
        <f>IFERROR(VLOOKUP(A407,Colaboradores!A:D,4,),"")</f>
        <v>ENGENHEIRO DE MEIO AMBIENTE</v>
      </c>
      <c r="E407" s="4" t="s">
        <v>51</v>
      </c>
      <c r="F407" s="5" t="str">
        <f>IFERROR(VLOOKUP(E407,Procedimentos!A:C,2,),"")</f>
        <v>DIRETRIZES PARA ENTREGA DE ATESTADOS MÉDICOS E ODONTOLÓGICOS</v>
      </c>
      <c r="G407" s="4" t="s">
        <v>22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4.25" customHeight="1">
      <c r="A408" s="4">
        <v>12486</v>
      </c>
      <c r="B408" s="4" t="str">
        <f>IFERROR(VLOOKUP(A408,Colaboradores!A:D,2,),"")</f>
        <v>ENEAS GALVAO MAGALHAES BRITO</v>
      </c>
      <c r="C408" s="4" t="str">
        <f>IFERROR(VLOOKUP(A408,Colaboradores!A:D,3,),"")</f>
        <v>MEIO AMBIENTE</v>
      </c>
      <c r="D408" s="4" t="str">
        <f>IFERROR(VLOOKUP(A408,Colaboradores!A:D,4,),"")</f>
        <v>ENGENHEIRO DE MEIO AMBIENTE</v>
      </c>
      <c r="E408" s="4" t="s">
        <v>52</v>
      </c>
      <c r="F408" s="5" t="str">
        <f>IFERROR(VLOOKUP(E408,Procedimentos!A:C,2,),"")</f>
        <v>DIRETRIZES E ACOMPANHAMENTO  DE ACIDENTE COM MATERIAL BIOLOGICO</v>
      </c>
      <c r="G408" s="4" t="s">
        <v>22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4.25" customHeight="1">
      <c r="A409" s="4">
        <v>12486</v>
      </c>
      <c r="B409" s="4" t="str">
        <f>IFERROR(VLOOKUP(A409,Colaboradores!A:D,2,),"")</f>
        <v>ENEAS GALVAO MAGALHAES BRITO</v>
      </c>
      <c r="C409" s="4" t="str">
        <f>IFERROR(VLOOKUP(A409,Colaboradores!A:D,3,),"")</f>
        <v>MEIO AMBIENTE</v>
      </c>
      <c r="D409" s="4" t="str">
        <f>IFERROR(VLOOKUP(A409,Colaboradores!A:D,4,),"")</f>
        <v>ENGENHEIRO DE MEIO AMBIENTE</v>
      </c>
      <c r="E409" s="4" t="s">
        <v>53</v>
      </c>
      <c r="F409" s="5" t="str">
        <f>IFERROR(VLOOKUP(E409,Procedimentos!A:C,2,),"")</f>
        <v>DIRETRIZES PARA MONITORAMENTO DE GESTANTE</v>
      </c>
      <c r="G409" s="4" t="s">
        <v>22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4.25" customHeight="1">
      <c r="A410" s="4">
        <v>12486</v>
      </c>
      <c r="B410" s="4" t="str">
        <f>IFERROR(VLOOKUP(A410,Colaboradores!A:D,2,),"")</f>
        <v>ENEAS GALVAO MAGALHAES BRITO</v>
      </c>
      <c r="C410" s="4" t="str">
        <f>IFERROR(VLOOKUP(A410,Colaboradores!A:D,3,),"")</f>
        <v>MEIO AMBIENTE</v>
      </c>
      <c r="D410" s="4" t="str">
        <f>IFERROR(VLOOKUP(A410,Colaboradores!A:D,4,),"")</f>
        <v>ENGENHEIRO DE MEIO AMBIENTE</v>
      </c>
      <c r="E410" s="4" t="s">
        <v>54</v>
      </c>
      <c r="F410" s="5" t="str">
        <f>IFERROR(VLOOKUP(E410,Procedimentos!A:C,2,),"")</f>
        <v>DIRETRIZES DE IMUNIZAÇÃO OCUPACIONAL</v>
      </c>
      <c r="G410" s="4" t="s">
        <v>22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4.25" customHeight="1">
      <c r="A411" s="4">
        <v>12486</v>
      </c>
      <c r="B411" s="4" t="str">
        <f>IFERROR(VLOOKUP(A411,Colaboradores!A:D,2,),"")</f>
        <v>ENEAS GALVAO MAGALHAES BRITO</v>
      </c>
      <c r="C411" s="4" t="str">
        <f>IFERROR(VLOOKUP(A411,Colaboradores!A:D,3,),"")</f>
        <v>MEIO AMBIENTE</v>
      </c>
      <c r="D411" s="4" t="str">
        <f>IFERROR(VLOOKUP(A411,Colaboradores!A:D,4,),"")</f>
        <v>ENGENHEIRO DE MEIO AMBIENTE</v>
      </c>
      <c r="E411" s="4" t="s">
        <v>55</v>
      </c>
      <c r="F411" s="5" t="str">
        <f>IFERROR(VLOOKUP(E411,Procedimentos!A:C,2,),"")</f>
        <v>DIRETRIZES PARA ACOMPANHAMENTO DE AFASTADOS</v>
      </c>
      <c r="G411" s="4" t="s">
        <v>22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4.25" customHeight="1">
      <c r="A412" s="4">
        <v>12486</v>
      </c>
      <c r="B412" s="4" t="str">
        <f>IFERROR(VLOOKUP(A412,Colaboradores!A:D,2,),"")</f>
        <v>ENEAS GALVAO MAGALHAES BRITO</v>
      </c>
      <c r="C412" s="4" t="str">
        <f>IFERROR(VLOOKUP(A412,Colaboradores!A:D,3,),"")</f>
        <v>MEIO AMBIENTE</v>
      </c>
      <c r="D412" s="4" t="str">
        <f>IFERROR(VLOOKUP(A412,Colaboradores!A:D,4,),"")</f>
        <v>ENGENHEIRO DE MEIO AMBIENTE</v>
      </c>
      <c r="E412" s="4" t="s">
        <v>46</v>
      </c>
      <c r="F412" s="5" t="str">
        <f>IFERROR(VLOOKUP(E412,Procedimentos!A:C,2,),"")</f>
        <v>POLÍTICA DE SAÚDE E SEGURANÇA DO TRABALHO EMSERH</v>
      </c>
      <c r="G412" s="4" t="s">
        <v>22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4.25" customHeight="1">
      <c r="A413" s="4">
        <v>12486</v>
      </c>
      <c r="B413" s="4" t="str">
        <f>IFERROR(VLOOKUP(A413,Colaboradores!A:D,2,),"")</f>
        <v>ENEAS GALVAO MAGALHAES BRITO</v>
      </c>
      <c r="C413" s="4" t="str">
        <f>IFERROR(VLOOKUP(A413,Colaboradores!A:D,3,),"")</f>
        <v>MEIO AMBIENTE</v>
      </c>
      <c r="D413" s="4" t="str">
        <f>IFERROR(VLOOKUP(A413,Colaboradores!A:D,4,),"")</f>
        <v>ENGENHEIRO DE MEIO AMBIENTE</v>
      </c>
      <c r="E413" s="4" t="s">
        <v>41</v>
      </c>
      <c r="F413" s="5" t="str">
        <f>IFERROR(VLOOKUP(E413,Procedimentos!A:C,2,),"")</f>
        <v>DIRETRIZES PARA COMUNICAÇÃO E INVESTIGAÇÃO DE ACIDENTES</v>
      </c>
      <c r="G413" s="4" t="s">
        <v>22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4.25" customHeight="1">
      <c r="A414" s="4">
        <v>12486</v>
      </c>
      <c r="B414" s="4" t="str">
        <f>IFERROR(VLOOKUP(A414,Colaboradores!A:D,2,),"")</f>
        <v>ENEAS GALVAO MAGALHAES BRITO</v>
      </c>
      <c r="C414" s="4" t="str">
        <f>IFERROR(VLOOKUP(A414,Colaboradores!A:D,3,),"")</f>
        <v>MEIO AMBIENTE</v>
      </c>
      <c r="D414" s="4" t="str">
        <f>IFERROR(VLOOKUP(A414,Colaboradores!A:D,4,),"")</f>
        <v>ENGENHEIRO DE MEIO AMBIENTE</v>
      </c>
      <c r="E414" s="4" t="s">
        <v>43</v>
      </c>
      <c r="F414" s="5" t="str">
        <f>IFERROR(VLOOKUP(E414,Procedimentos!A:C,2,),"")</f>
        <v>DIÁLOGO DE SAÚDE E SEGURANÇA - DSS</v>
      </c>
      <c r="G414" s="4" t="s">
        <v>22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4.25" customHeight="1">
      <c r="A415" s="4">
        <v>12486</v>
      </c>
      <c r="B415" s="4" t="str">
        <f>IFERROR(VLOOKUP(A415,Colaboradores!A:D,2,),"")</f>
        <v>ENEAS GALVAO MAGALHAES BRITO</v>
      </c>
      <c r="C415" s="4" t="str">
        <f>IFERROR(VLOOKUP(A415,Colaboradores!A:D,3,),"")</f>
        <v>MEIO AMBIENTE</v>
      </c>
      <c r="D415" s="4" t="str">
        <f>IFERROR(VLOOKUP(A415,Colaboradores!A:D,4,),"")</f>
        <v>ENGENHEIRO DE MEIO AMBIENTE</v>
      </c>
      <c r="E415" s="4" t="s">
        <v>44</v>
      </c>
      <c r="F415" s="5" t="str">
        <f>IFERROR(VLOOKUP(E415,Procedimentos!A:C,2,),"")</f>
        <v>DIRETRIZES PARA GESTÃO DE EQUIPAMENTOS DE PROTEÇÃO INDIVIDUAL - EPI'S</v>
      </c>
      <c r="G415" s="4" t="s">
        <v>22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4.25" customHeight="1">
      <c r="A416" s="4">
        <v>12486</v>
      </c>
      <c r="B416" s="4" t="str">
        <f>IFERROR(VLOOKUP(A416,Colaboradores!A:D,2,),"")</f>
        <v>ENEAS GALVAO MAGALHAES BRITO</v>
      </c>
      <c r="C416" s="4" t="str">
        <f>IFERROR(VLOOKUP(A416,Colaboradores!A:D,3,),"")</f>
        <v>MEIO AMBIENTE</v>
      </c>
      <c r="D416" s="4" t="str">
        <f>IFERROR(VLOOKUP(A416,Colaboradores!A:D,4,),"")</f>
        <v>ENGENHEIRO DE MEIO AMBIENTE</v>
      </c>
      <c r="E416" s="4" t="s">
        <v>45</v>
      </c>
      <c r="F416" s="5" t="str">
        <f>IFERROR(VLOOKUP(E416,Procedimentos!A:C,2,),"")</f>
        <v>CONSTITUIÇÃO INTERNA DE PREVENÇÃO DE ACIDENTES E DE ASSÉDIOS - CIPA</v>
      </c>
      <c r="G416" s="4" t="s">
        <v>22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4.25" customHeight="1">
      <c r="A417" s="4">
        <v>14013</v>
      </c>
      <c r="B417" s="4" t="str">
        <f>IFERROR(VLOOKUP(A417,Colaboradores!A:D,2,),"")</f>
        <v>IGOR WARWICK SANTOS DE CASTRO</v>
      </c>
      <c r="C417" s="4" t="str">
        <f>IFERROR(VLOOKUP(A417,Colaboradores!A:D,3,),"")</f>
        <v>MEIO AMBIENTE</v>
      </c>
      <c r="D417" s="4" t="str">
        <f>IFERROR(VLOOKUP(A417,Colaboradores!A:D,4,),"")</f>
        <v>ASSISTENTE ADMINISTRATIVO</v>
      </c>
      <c r="E417" s="4" t="s">
        <v>58</v>
      </c>
      <c r="F417" s="5" t="str">
        <f>IFERROR(VLOOKUP(E417,Procedimentos!A:C,2,),"")</f>
        <v>POLÍTICA DE QUALIDADE DA DIRETORIA</v>
      </c>
      <c r="G417" s="4" t="s">
        <v>22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4.25" customHeight="1">
      <c r="A418" s="4">
        <v>14013</v>
      </c>
      <c r="B418" s="4" t="str">
        <f>IFERROR(VLOOKUP(A418,Colaboradores!A:D,2,),"")</f>
        <v>IGOR WARWICK SANTOS DE CASTRO</v>
      </c>
      <c r="C418" s="4" t="str">
        <f>IFERROR(VLOOKUP(A418,Colaboradores!A:D,3,),"")</f>
        <v>MEIO AMBIENTE</v>
      </c>
      <c r="D418" s="4" t="str">
        <f>IFERROR(VLOOKUP(A418,Colaboradores!A:D,4,),"")</f>
        <v>ASSISTENTE ADMINISTRATIVO</v>
      </c>
      <c r="E418" s="4" t="s">
        <v>19</v>
      </c>
      <c r="F418" s="5" t="str">
        <f>IFERROR(VLOOKUP(E418,Procedimentos!A:C,2,),"")</f>
        <v>DIRETRIZES PARA DOCUMENTOS NORMATIVOS</v>
      </c>
      <c r="G418" s="4" t="s">
        <v>22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4.25" customHeight="1">
      <c r="A419" s="4">
        <v>14013</v>
      </c>
      <c r="B419" s="4" t="str">
        <f>IFERROR(VLOOKUP(A419,Colaboradores!A:D,2,),"")</f>
        <v>IGOR WARWICK SANTOS DE CASTRO</v>
      </c>
      <c r="C419" s="4" t="str">
        <f>IFERROR(VLOOKUP(A419,Colaboradores!A:D,3,),"")</f>
        <v>MEIO AMBIENTE</v>
      </c>
      <c r="D419" s="4" t="str">
        <f>IFERROR(VLOOKUP(A419,Colaboradores!A:D,4,),"")</f>
        <v>ASSISTENTE ADMINISTRATIVO</v>
      </c>
      <c r="E419" s="4" t="s">
        <v>24</v>
      </c>
      <c r="F419" s="5" t="str">
        <f>IFERROR(VLOOKUP(E419,Procedimentos!A:C,2,),"")</f>
        <v>DIRETRIZES  PARA PROGRAMA 5S</v>
      </c>
      <c r="G419" s="4" t="s">
        <v>22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4.25" customHeight="1">
      <c r="A420" s="4">
        <v>14013</v>
      </c>
      <c r="B420" s="4" t="str">
        <f>IFERROR(VLOOKUP(A420,Colaboradores!A:D,2,),"")</f>
        <v>IGOR WARWICK SANTOS DE CASTRO</v>
      </c>
      <c r="C420" s="4" t="str">
        <f>IFERROR(VLOOKUP(A420,Colaboradores!A:D,3,),"")</f>
        <v>MEIO AMBIENTE</v>
      </c>
      <c r="D420" s="4" t="str">
        <f>IFERROR(VLOOKUP(A420,Colaboradores!A:D,4,),"")</f>
        <v>ASSISTENTE ADMINISTRATIVO</v>
      </c>
      <c r="E420" s="4" t="s">
        <v>25</v>
      </c>
      <c r="F420" s="5" t="str">
        <f>IFERROR(VLOOKUP(E420,Procedimentos!A:C,2,),"")</f>
        <v>GARANTIA DA QUALIDADE</v>
      </c>
      <c r="G420" s="4" t="s">
        <v>22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4.25" customHeight="1">
      <c r="A421" s="4">
        <v>14013</v>
      </c>
      <c r="B421" s="4" t="str">
        <f>IFERROR(VLOOKUP(A421,Colaboradores!A:D,2,),"")</f>
        <v>IGOR WARWICK SANTOS DE CASTRO</v>
      </c>
      <c r="C421" s="4" t="str">
        <f>IFERROR(VLOOKUP(A421,Colaboradores!A:D,3,),"")</f>
        <v>MEIO AMBIENTE</v>
      </c>
      <c r="D421" s="4" t="str">
        <f>IFERROR(VLOOKUP(A421,Colaboradores!A:D,4,),"")</f>
        <v>ASSISTENTE ADMINISTRATIVO</v>
      </c>
      <c r="E421" s="4" t="s">
        <v>26</v>
      </c>
      <c r="F421" s="5" t="str">
        <f>IFERROR(VLOOKUP(E421,Procedimentos!A:C,2,),"")</f>
        <v>RESPONSABILIDADES E AUTORIDADES DO SGQ</v>
      </c>
      <c r="G421" s="4" t="s">
        <v>22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4.25" customHeight="1">
      <c r="A422" s="4">
        <v>14013</v>
      </c>
      <c r="B422" s="4" t="str">
        <f>IFERROR(VLOOKUP(A422,Colaboradores!A:D,2,),"")</f>
        <v>IGOR WARWICK SANTOS DE CASTRO</v>
      </c>
      <c r="C422" s="4" t="str">
        <f>IFERROR(VLOOKUP(A422,Colaboradores!A:D,3,),"")</f>
        <v>MEIO AMBIENTE</v>
      </c>
      <c r="D422" s="4" t="str">
        <f>IFERROR(VLOOKUP(A422,Colaboradores!A:D,4,),"")</f>
        <v>ASSISTENTE ADMINISTRATIVO</v>
      </c>
      <c r="E422" s="4" t="s">
        <v>73</v>
      </c>
      <c r="F422" s="5" t="str">
        <f>IFERROR(VLOOKUP(E422,Procedimentos!A:C,2,),"")</f>
        <v>AQUISIÇÃO DE BENS E SERVIÇOS E AVALIAÇÃO PROVEDORES EXTERNOS</v>
      </c>
      <c r="G422" s="4" t="s">
        <v>22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4.25" customHeight="1">
      <c r="A423" s="4">
        <v>14013</v>
      </c>
      <c r="B423" s="4" t="str">
        <f>IFERROR(VLOOKUP(A423,Colaboradores!A:D,2,),"")</f>
        <v>IGOR WARWICK SANTOS DE CASTRO</v>
      </c>
      <c r="C423" s="4" t="str">
        <f>IFERROR(VLOOKUP(A423,Colaboradores!A:D,3,),"")</f>
        <v>MEIO AMBIENTE</v>
      </c>
      <c r="D423" s="4" t="str">
        <f>IFERROR(VLOOKUP(A423,Colaboradores!A:D,4,),"")</f>
        <v>ASSISTENTE ADMINISTRATIVO</v>
      </c>
      <c r="E423" s="4" t="s">
        <v>79</v>
      </c>
      <c r="F423" s="5" t="str">
        <f>IFERROR(VLOOKUP(E423,Procedimentos!A:C,2,),"")</f>
        <v>ABERTURA DE PROCESSO DE PAGAMENTO</v>
      </c>
      <c r="G423" s="4" t="s">
        <v>22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4.25" customHeight="1">
      <c r="A424" s="4">
        <v>14013</v>
      </c>
      <c r="B424" s="4" t="str">
        <f>IFERROR(VLOOKUP(A424,Colaboradores!A:D,2,),"")</f>
        <v>IGOR WARWICK SANTOS DE CASTRO</v>
      </c>
      <c r="C424" s="4" t="str">
        <f>IFERROR(VLOOKUP(A424,Colaboradores!A:D,3,),"")</f>
        <v>MEIO AMBIENTE</v>
      </c>
      <c r="D424" s="4" t="str">
        <f>IFERROR(VLOOKUP(A424,Colaboradores!A:D,4,),"")</f>
        <v>ASSISTENTE ADMINISTRATIVO</v>
      </c>
      <c r="E424" s="4" t="s">
        <v>48</v>
      </c>
      <c r="F424" s="5" t="str">
        <f>IFERROR(VLOOKUP(E424,Procedimentos!A:C,2,),"")</f>
        <v>POLÍTICA MEIO AMBIENTE EMSERH</v>
      </c>
      <c r="G424" s="4" t="s">
        <v>22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4.25" customHeight="1">
      <c r="A425" s="4">
        <v>14013</v>
      </c>
      <c r="B425" s="4" t="str">
        <f>IFERROR(VLOOKUP(A425,Colaboradores!A:D,2,),"")</f>
        <v>IGOR WARWICK SANTOS DE CASTRO</v>
      </c>
      <c r="C425" s="4" t="str">
        <f>IFERROR(VLOOKUP(A425,Colaboradores!A:D,3,),"")</f>
        <v>MEIO AMBIENTE</v>
      </c>
      <c r="D425" s="4" t="str">
        <f>IFERROR(VLOOKUP(A425,Colaboradores!A:D,4,),"")</f>
        <v>ASSISTENTE ADMINISTRATIVO</v>
      </c>
      <c r="E425" s="4" t="s">
        <v>29</v>
      </c>
      <c r="F425" s="5" t="str">
        <f>IFERROR(VLOOKUP(E425,Procedimentos!A:C,2,),"")</f>
        <v>COLETA SELETIVA DESSMA</v>
      </c>
      <c r="G425" s="4" t="s">
        <v>22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4.25" customHeight="1">
      <c r="A426" s="4">
        <v>14013</v>
      </c>
      <c r="B426" s="4" t="str">
        <f>IFERROR(VLOOKUP(A426,Colaboradores!A:D,2,),"")</f>
        <v>IGOR WARWICK SANTOS DE CASTRO</v>
      </c>
      <c r="C426" s="4" t="str">
        <f>IFERROR(VLOOKUP(A426,Colaboradores!A:D,3,),"")</f>
        <v>MEIO AMBIENTE</v>
      </c>
      <c r="D426" s="4" t="str">
        <f>IFERROR(VLOOKUP(A426,Colaboradores!A:D,4,),"")</f>
        <v>ASSISTENTE ADMINISTRATIVO</v>
      </c>
      <c r="E426" s="4" t="s">
        <v>36</v>
      </c>
      <c r="F426" s="5" t="str">
        <f>IFERROR(VLOOKUP(E426,Procedimentos!A:C,2,),"")</f>
        <v>GESTÃO DE PRODUTOS QUÍMICOS</v>
      </c>
      <c r="G426" s="4" t="s">
        <v>22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4.25" customHeight="1">
      <c r="A427" s="4">
        <v>14013</v>
      </c>
      <c r="B427" s="4" t="str">
        <f>IFERROR(VLOOKUP(A427,Colaboradores!A:D,2,),"")</f>
        <v>IGOR WARWICK SANTOS DE CASTRO</v>
      </c>
      <c r="C427" s="4" t="str">
        <f>IFERROR(VLOOKUP(A427,Colaboradores!A:D,3,),"")</f>
        <v>MEIO AMBIENTE</v>
      </c>
      <c r="D427" s="4" t="str">
        <f>IFERROR(VLOOKUP(A427,Colaboradores!A:D,4,),"")</f>
        <v>ASSISTENTE ADMINISTRATIVO</v>
      </c>
      <c r="E427" s="4" t="s">
        <v>32</v>
      </c>
      <c r="F427" s="5" t="str">
        <f>IFERROR(VLOOKUP(E427,Procedimentos!A:C,2,),"")</f>
        <v>GESTÃO DE LEVANTAMENTO DE ASPECTOS E IMPACTOS AMBIENTAIS</v>
      </c>
      <c r="G427" s="4" t="s">
        <v>22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4.25" customHeight="1">
      <c r="A428" s="4">
        <v>14013</v>
      </c>
      <c r="B428" s="4" t="str">
        <f>IFERROR(VLOOKUP(A428,Colaboradores!A:D,2,),"")</f>
        <v>IGOR WARWICK SANTOS DE CASTRO</v>
      </c>
      <c r="C428" s="4" t="str">
        <f>IFERROR(VLOOKUP(A428,Colaboradores!A:D,3,),"")</f>
        <v>MEIO AMBIENTE</v>
      </c>
      <c r="D428" s="4" t="str">
        <f>IFERROR(VLOOKUP(A428,Colaboradores!A:D,4,),"")</f>
        <v>ASSISTENTE ADMINISTRATIVO</v>
      </c>
      <c r="E428" s="4" t="s">
        <v>31</v>
      </c>
      <c r="F428" s="5" t="str">
        <f>IFERROR(VLOOKUP(E428,Procedimentos!A:C,2,),"")</f>
        <v>GESTÃO DE COMUNICAÇÃO, CLASSIFICAÇÃO E INVESTIGAÇÃO DE OCORRÊNCIAS AMBIENTAIS</v>
      </c>
      <c r="G428" s="4" t="s">
        <v>22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4.25" customHeight="1">
      <c r="A429" s="4">
        <v>14013</v>
      </c>
      <c r="B429" s="4" t="str">
        <f>IFERROR(VLOOKUP(A429,Colaboradores!A:D,2,),"")</f>
        <v>IGOR WARWICK SANTOS DE CASTRO</v>
      </c>
      <c r="C429" s="4" t="str">
        <f>IFERROR(VLOOKUP(A429,Colaboradores!A:D,3,),"")</f>
        <v>MEIO AMBIENTE</v>
      </c>
      <c r="D429" s="4" t="str">
        <f>IFERROR(VLOOKUP(A429,Colaboradores!A:D,4,),"")</f>
        <v>ASSISTENTE ADMINISTRATIVO</v>
      </c>
      <c r="E429" s="4" t="s">
        <v>33</v>
      </c>
      <c r="F429" s="5" t="str">
        <f>IFERROR(VLOOKUP(E429,Procedimentos!A:C,2,),"")</f>
        <v>GESTÃO DE INSPEÇÕES AMBIENTAIS</v>
      </c>
      <c r="G429" s="4" t="s">
        <v>22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4.25" customHeight="1">
      <c r="A430" s="4">
        <v>14013</v>
      </c>
      <c r="B430" s="4" t="str">
        <f>IFERROR(VLOOKUP(A430,Colaboradores!A:D,2,),"")</f>
        <v>IGOR WARWICK SANTOS DE CASTRO</v>
      </c>
      <c r="C430" s="4" t="str">
        <f>IFERROR(VLOOKUP(A430,Colaboradores!A:D,3,),"")</f>
        <v>MEIO AMBIENTE</v>
      </c>
      <c r="D430" s="4" t="str">
        <f>IFERROR(VLOOKUP(A430,Colaboradores!A:D,4,),"")</f>
        <v>ASSISTENTE ADMINISTRATIVO</v>
      </c>
      <c r="E430" s="4" t="s">
        <v>39</v>
      </c>
      <c r="F430" s="5" t="str">
        <f>IFERROR(VLOOKUP(E430,Procedimentos!A:C,2,),"")</f>
        <v>GESTÃO DE ÁGUAS E EFLUENTES</v>
      </c>
      <c r="G430" s="4" t="s">
        <v>22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4.25" customHeight="1">
      <c r="A431" s="4">
        <v>14013</v>
      </c>
      <c r="B431" s="4" t="str">
        <f>IFERROR(VLOOKUP(A431,Colaboradores!A:D,2,),"")</f>
        <v>IGOR WARWICK SANTOS DE CASTRO</v>
      </c>
      <c r="C431" s="4" t="str">
        <f>IFERROR(VLOOKUP(A431,Colaboradores!A:D,3,),"")</f>
        <v>MEIO AMBIENTE</v>
      </c>
      <c r="D431" s="4" t="str">
        <f>IFERROR(VLOOKUP(A431,Colaboradores!A:D,4,),"")</f>
        <v>ASSISTENTE ADMINISTRATIVO</v>
      </c>
      <c r="E431" s="4" t="s">
        <v>34</v>
      </c>
      <c r="F431" s="5" t="str">
        <f>IFERROR(VLOOKUP(E431,Procedimentos!A:C,2,),"")</f>
        <v>GESTÃO DE LICENCIAMENTO AMBIENTAL</v>
      </c>
      <c r="G431" s="4" t="s">
        <v>22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4.25" customHeight="1">
      <c r="A432" s="4">
        <v>14013</v>
      </c>
      <c r="B432" s="4" t="str">
        <f>IFERROR(VLOOKUP(A432,Colaboradores!A:D,2,),"")</f>
        <v>IGOR WARWICK SANTOS DE CASTRO</v>
      </c>
      <c r="C432" s="4" t="str">
        <f>IFERROR(VLOOKUP(A432,Colaboradores!A:D,3,),"")</f>
        <v>MEIO AMBIENTE</v>
      </c>
      <c r="D432" s="4" t="str">
        <f>IFERROR(VLOOKUP(A432,Colaboradores!A:D,4,),"")</f>
        <v>ASSISTENTE ADMINISTRATIVO</v>
      </c>
      <c r="E432" s="4" t="s">
        <v>38</v>
      </c>
      <c r="F432" s="5" t="str">
        <f>IFERROR(VLOOKUP(E432,Procedimentos!A:C,2,),"")</f>
        <v>GESTÃO DE CONDICIONANTES DE LICENCIAMENTO AMBIENTAL</v>
      </c>
      <c r="G432" s="4" t="s">
        <v>22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4.25" customHeight="1">
      <c r="A433" s="4">
        <v>14013</v>
      </c>
      <c r="B433" s="4" t="str">
        <f>IFERROR(VLOOKUP(A433,Colaboradores!A:D,2,),"")</f>
        <v>IGOR WARWICK SANTOS DE CASTRO</v>
      </c>
      <c r="C433" s="4" t="str">
        <f>IFERROR(VLOOKUP(A433,Colaboradores!A:D,3,),"")</f>
        <v>MEIO AMBIENTE</v>
      </c>
      <c r="D433" s="4" t="str">
        <f>IFERROR(VLOOKUP(A433,Colaboradores!A:D,4,),"")</f>
        <v>ASSISTENTE ADMINISTRATIVO</v>
      </c>
      <c r="E433" s="4" t="s">
        <v>37</v>
      </c>
      <c r="F433" s="5" t="str">
        <f>IFERROR(VLOOKUP(E433,Procedimentos!A:C,2,),"")</f>
        <v>GESTÃO DE RESÍDUOS SÓLIDOS DE SERVIÇOS DE SAÚDE</v>
      </c>
      <c r="G433" s="4" t="s">
        <v>22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4.25" customHeight="1">
      <c r="A434" s="4">
        <v>14013</v>
      </c>
      <c r="B434" s="4" t="str">
        <f>IFERROR(VLOOKUP(A434,Colaboradores!A:D,2,),"")</f>
        <v>IGOR WARWICK SANTOS DE CASTRO</v>
      </c>
      <c r="C434" s="4" t="str">
        <f>IFERROR(VLOOKUP(A434,Colaboradores!A:D,3,),"")</f>
        <v>MEIO AMBIENTE</v>
      </c>
      <c r="D434" s="4" t="str">
        <f>IFERROR(VLOOKUP(A434,Colaboradores!A:D,4,),"")</f>
        <v>ASSISTENTE ADMINISTRATIVO</v>
      </c>
      <c r="E434" s="4" t="s">
        <v>35</v>
      </c>
      <c r="F434" s="5" t="str">
        <f>IFERROR(VLOOKUP(E434,Procedimentos!A:C,2,),"")</f>
        <v>PROCEDIMENTO DE AFERIÇÃO DE FUMAÇA PRETA</v>
      </c>
      <c r="G434" s="4" t="s">
        <v>22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4.25" customHeight="1">
      <c r="A435" s="4">
        <v>14013</v>
      </c>
      <c r="B435" s="4" t="str">
        <f>IFERROR(VLOOKUP(A435,Colaboradores!A:D,2,),"")</f>
        <v>IGOR WARWICK SANTOS DE CASTRO</v>
      </c>
      <c r="C435" s="4" t="str">
        <f>IFERROR(VLOOKUP(A435,Colaboradores!A:D,3,),"")</f>
        <v>MEIO AMBIENTE</v>
      </c>
      <c r="D435" s="4" t="str">
        <f>IFERROR(VLOOKUP(A435,Colaboradores!A:D,4,),"")</f>
        <v>ASSISTENTE ADMINISTRATIVO</v>
      </c>
      <c r="E435" s="4" t="s">
        <v>49</v>
      </c>
      <c r="F435" s="5" t="str">
        <f>IFERROR(VLOOKUP(E435,Procedimentos!A:C,2,),"")</f>
        <v>DIRETRIZES PARA REALIZAÇÃO DE EXAMES OCUPACIONAIS</v>
      </c>
      <c r="G435" s="4" t="s">
        <v>22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4.25" customHeight="1">
      <c r="A436" s="4">
        <v>14013</v>
      </c>
      <c r="B436" s="4" t="str">
        <f>IFERROR(VLOOKUP(A436,Colaboradores!A:D,2,),"")</f>
        <v>IGOR WARWICK SANTOS DE CASTRO</v>
      </c>
      <c r="C436" s="4" t="str">
        <f>IFERROR(VLOOKUP(A436,Colaboradores!A:D,3,),"")</f>
        <v>MEIO AMBIENTE</v>
      </c>
      <c r="D436" s="4" t="str">
        <f>IFERROR(VLOOKUP(A436,Colaboradores!A:D,4,),"")</f>
        <v>ASSISTENTE ADMINISTRATIVO</v>
      </c>
      <c r="E436" s="4" t="s">
        <v>51</v>
      </c>
      <c r="F436" s="5" t="str">
        <f>IFERROR(VLOOKUP(E436,Procedimentos!A:C,2,),"")</f>
        <v>DIRETRIZES PARA ENTREGA DE ATESTADOS MÉDICOS E ODONTOLÓGICOS</v>
      </c>
      <c r="G436" s="4" t="s">
        <v>22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4.25" customHeight="1">
      <c r="A437" s="4">
        <v>14013</v>
      </c>
      <c r="B437" s="4" t="str">
        <f>IFERROR(VLOOKUP(A437,Colaboradores!A:D,2,),"")</f>
        <v>IGOR WARWICK SANTOS DE CASTRO</v>
      </c>
      <c r="C437" s="4" t="str">
        <f>IFERROR(VLOOKUP(A437,Colaboradores!A:D,3,),"")</f>
        <v>MEIO AMBIENTE</v>
      </c>
      <c r="D437" s="4" t="str">
        <f>IFERROR(VLOOKUP(A437,Colaboradores!A:D,4,),"")</f>
        <v>ASSISTENTE ADMINISTRATIVO</v>
      </c>
      <c r="E437" s="4" t="s">
        <v>52</v>
      </c>
      <c r="F437" s="5" t="str">
        <f>IFERROR(VLOOKUP(E437,Procedimentos!A:C,2,),"")</f>
        <v>DIRETRIZES E ACOMPANHAMENTO  DE ACIDENTE COM MATERIAL BIOLOGICO</v>
      </c>
      <c r="G437" s="4" t="s">
        <v>22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4.25" customHeight="1">
      <c r="A438" s="4">
        <v>14013</v>
      </c>
      <c r="B438" s="4" t="str">
        <f>IFERROR(VLOOKUP(A438,Colaboradores!A:D,2,),"")</f>
        <v>IGOR WARWICK SANTOS DE CASTRO</v>
      </c>
      <c r="C438" s="4" t="str">
        <f>IFERROR(VLOOKUP(A438,Colaboradores!A:D,3,),"")</f>
        <v>MEIO AMBIENTE</v>
      </c>
      <c r="D438" s="4" t="str">
        <f>IFERROR(VLOOKUP(A438,Colaboradores!A:D,4,),"")</f>
        <v>ASSISTENTE ADMINISTRATIVO</v>
      </c>
      <c r="E438" s="4" t="s">
        <v>53</v>
      </c>
      <c r="F438" s="5" t="str">
        <f>IFERROR(VLOOKUP(E438,Procedimentos!A:C,2,),"")</f>
        <v>DIRETRIZES PARA MONITORAMENTO DE GESTANTE</v>
      </c>
      <c r="G438" s="4" t="s">
        <v>22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4.25" customHeight="1">
      <c r="A439" s="4">
        <v>14013</v>
      </c>
      <c r="B439" s="4" t="str">
        <f>IFERROR(VLOOKUP(A439,Colaboradores!A:D,2,),"")</f>
        <v>IGOR WARWICK SANTOS DE CASTRO</v>
      </c>
      <c r="C439" s="4" t="str">
        <f>IFERROR(VLOOKUP(A439,Colaboradores!A:D,3,),"")</f>
        <v>MEIO AMBIENTE</v>
      </c>
      <c r="D439" s="4" t="str">
        <f>IFERROR(VLOOKUP(A439,Colaboradores!A:D,4,),"")</f>
        <v>ASSISTENTE ADMINISTRATIVO</v>
      </c>
      <c r="E439" s="4" t="s">
        <v>54</v>
      </c>
      <c r="F439" s="5" t="str">
        <f>IFERROR(VLOOKUP(E439,Procedimentos!A:C,2,),"")</f>
        <v>DIRETRIZES DE IMUNIZAÇÃO OCUPACIONAL</v>
      </c>
      <c r="G439" s="4" t="s">
        <v>22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4.25" customHeight="1">
      <c r="A440" s="4">
        <v>14013</v>
      </c>
      <c r="B440" s="4" t="str">
        <f>IFERROR(VLOOKUP(A440,Colaboradores!A:D,2,),"")</f>
        <v>IGOR WARWICK SANTOS DE CASTRO</v>
      </c>
      <c r="C440" s="4" t="str">
        <f>IFERROR(VLOOKUP(A440,Colaboradores!A:D,3,),"")</f>
        <v>MEIO AMBIENTE</v>
      </c>
      <c r="D440" s="4" t="str">
        <f>IFERROR(VLOOKUP(A440,Colaboradores!A:D,4,),"")</f>
        <v>ASSISTENTE ADMINISTRATIVO</v>
      </c>
      <c r="E440" s="4" t="s">
        <v>55</v>
      </c>
      <c r="F440" s="5" t="str">
        <f>IFERROR(VLOOKUP(E440,Procedimentos!A:C,2,),"")</f>
        <v>DIRETRIZES PARA ACOMPANHAMENTO DE AFASTADOS</v>
      </c>
      <c r="G440" s="4" t="s">
        <v>22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4.25" customHeight="1">
      <c r="A441" s="4">
        <v>14013</v>
      </c>
      <c r="B441" s="4" t="str">
        <f>IFERROR(VLOOKUP(A441,Colaboradores!A:D,2,),"")</f>
        <v>IGOR WARWICK SANTOS DE CASTRO</v>
      </c>
      <c r="C441" s="4" t="str">
        <f>IFERROR(VLOOKUP(A441,Colaboradores!A:D,3,),"")</f>
        <v>MEIO AMBIENTE</v>
      </c>
      <c r="D441" s="4" t="str">
        <f>IFERROR(VLOOKUP(A441,Colaboradores!A:D,4,),"")</f>
        <v>ASSISTENTE ADMINISTRATIVO</v>
      </c>
      <c r="E441" s="4" t="s">
        <v>46</v>
      </c>
      <c r="F441" s="5" t="str">
        <f>IFERROR(VLOOKUP(E441,Procedimentos!A:C,2,),"")</f>
        <v>POLÍTICA DE SAÚDE E SEGURANÇA DO TRABALHO EMSERH</v>
      </c>
      <c r="G441" s="4" t="s">
        <v>22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4.25" customHeight="1">
      <c r="A442" s="4">
        <v>14013</v>
      </c>
      <c r="B442" s="4" t="str">
        <f>IFERROR(VLOOKUP(A442,Colaboradores!A:D,2,),"")</f>
        <v>IGOR WARWICK SANTOS DE CASTRO</v>
      </c>
      <c r="C442" s="4" t="str">
        <f>IFERROR(VLOOKUP(A442,Colaboradores!A:D,3,),"")</f>
        <v>MEIO AMBIENTE</v>
      </c>
      <c r="D442" s="4" t="str">
        <f>IFERROR(VLOOKUP(A442,Colaboradores!A:D,4,),"")</f>
        <v>ASSISTENTE ADMINISTRATIVO</v>
      </c>
      <c r="E442" s="4" t="s">
        <v>41</v>
      </c>
      <c r="F442" s="5" t="str">
        <f>IFERROR(VLOOKUP(E442,Procedimentos!A:C,2,),"")</f>
        <v>DIRETRIZES PARA COMUNICAÇÃO E INVESTIGAÇÃO DE ACIDENTES</v>
      </c>
      <c r="G442" s="4" t="s">
        <v>22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4.25" customHeight="1">
      <c r="A443" s="4">
        <v>14013</v>
      </c>
      <c r="B443" s="4" t="str">
        <f>IFERROR(VLOOKUP(A443,Colaboradores!A:D,2,),"")</f>
        <v>IGOR WARWICK SANTOS DE CASTRO</v>
      </c>
      <c r="C443" s="4" t="str">
        <f>IFERROR(VLOOKUP(A443,Colaboradores!A:D,3,),"")</f>
        <v>MEIO AMBIENTE</v>
      </c>
      <c r="D443" s="4" t="str">
        <f>IFERROR(VLOOKUP(A443,Colaboradores!A:D,4,),"")</f>
        <v>ASSISTENTE ADMINISTRATIVO</v>
      </c>
      <c r="E443" s="4" t="s">
        <v>43</v>
      </c>
      <c r="F443" s="5" t="str">
        <f>IFERROR(VLOOKUP(E443,Procedimentos!A:C,2,),"")</f>
        <v>DIÁLOGO DE SAÚDE E SEGURANÇA - DSS</v>
      </c>
      <c r="G443" s="4" t="s">
        <v>22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4.25" customHeight="1">
      <c r="A444" s="4">
        <v>14013</v>
      </c>
      <c r="B444" s="4" t="str">
        <f>IFERROR(VLOOKUP(A444,Colaboradores!A:D,2,),"")</f>
        <v>IGOR WARWICK SANTOS DE CASTRO</v>
      </c>
      <c r="C444" s="4" t="str">
        <f>IFERROR(VLOOKUP(A444,Colaboradores!A:D,3,),"")</f>
        <v>MEIO AMBIENTE</v>
      </c>
      <c r="D444" s="4" t="str">
        <f>IFERROR(VLOOKUP(A444,Colaboradores!A:D,4,),"")</f>
        <v>ASSISTENTE ADMINISTRATIVO</v>
      </c>
      <c r="E444" s="4" t="s">
        <v>44</v>
      </c>
      <c r="F444" s="5" t="str">
        <f>IFERROR(VLOOKUP(E444,Procedimentos!A:C,2,),"")</f>
        <v>DIRETRIZES PARA GESTÃO DE EQUIPAMENTOS DE PROTEÇÃO INDIVIDUAL - EPI'S</v>
      </c>
      <c r="G444" s="4" t="s">
        <v>22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4.25" customHeight="1">
      <c r="A445" s="4">
        <v>14013</v>
      </c>
      <c r="B445" s="4" t="str">
        <f>IFERROR(VLOOKUP(A445,Colaboradores!A:D,2,),"")</f>
        <v>IGOR WARWICK SANTOS DE CASTRO</v>
      </c>
      <c r="C445" s="4" t="str">
        <f>IFERROR(VLOOKUP(A445,Colaboradores!A:D,3,),"")</f>
        <v>MEIO AMBIENTE</v>
      </c>
      <c r="D445" s="4" t="str">
        <f>IFERROR(VLOOKUP(A445,Colaboradores!A:D,4,),"")</f>
        <v>ASSISTENTE ADMINISTRATIVO</v>
      </c>
      <c r="E445" s="4" t="s">
        <v>45</v>
      </c>
      <c r="F445" s="5" t="str">
        <f>IFERROR(VLOOKUP(E445,Procedimentos!A:C,2,),"")</f>
        <v>CONSTITUIÇÃO INTERNA DE PREVENÇÃO DE ACIDENTES E DE ASSÉDIOS - CIPA</v>
      </c>
      <c r="G445" s="4" t="s">
        <v>22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4.25" customHeight="1">
      <c r="A446" s="4">
        <v>12684</v>
      </c>
      <c r="B446" s="4" t="str">
        <f>IFERROR(VLOOKUP(A446,Colaboradores!A:D,2,),"")</f>
        <v>JACIARA VIEIRA DA CRUZ DE AGUIAR</v>
      </c>
      <c r="C446" s="4" t="str">
        <f>IFERROR(VLOOKUP(A446,Colaboradores!A:D,3,),"")</f>
        <v>MEIO AMBIENTE</v>
      </c>
      <c r="D446" s="4" t="str">
        <f>IFERROR(VLOOKUP(A446,Colaboradores!A:D,4,),"")</f>
        <v>GERENTE DE MEIO AMBIENTE</v>
      </c>
      <c r="E446" s="4" t="s">
        <v>66</v>
      </c>
      <c r="F446" s="5" t="str">
        <f>IFERROR(VLOOKUP(E446,Procedimentos!A:C,2,),"")</f>
        <v>PROCEDIMENTO DE GERENCIAMENTO DE RISCOS</v>
      </c>
      <c r="G446" s="4" t="s">
        <v>22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4.25" customHeight="1">
      <c r="A447" s="4">
        <v>12684</v>
      </c>
      <c r="B447" s="4" t="str">
        <f>IFERROR(VLOOKUP(A447,Colaboradores!A:D,2,),"")</f>
        <v>JACIARA VIEIRA DA CRUZ DE AGUIAR</v>
      </c>
      <c r="C447" s="4" t="str">
        <f>IFERROR(VLOOKUP(A447,Colaboradores!A:D,3,),"")</f>
        <v>MEIO AMBIENTE</v>
      </c>
      <c r="D447" s="4" t="str">
        <f>IFERROR(VLOOKUP(A447,Colaboradores!A:D,4,),"")</f>
        <v>GERENTE DE MEIO AMBIENTE</v>
      </c>
      <c r="E447" s="4" t="s">
        <v>58</v>
      </c>
      <c r="F447" s="5" t="str">
        <f>IFERROR(VLOOKUP(E447,Procedimentos!A:C,2,),"")</f>
        <v>POLÍTICA DE QUALIDADE DA DIRETORIA</v>
      </c>
      <c r="G447" s="4" t="s">
        <v>22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4.25" customHeight="1">
      <c r="A448" s="4">
        <v>12684</v>
      </c>
      <c r="B448" s="4" t="str">
        <f>IFERROR(VLOOKUP(A448,Colaboradores!A:D,2,),"")</f>
        <v>JACIARA VIEIRA DA CRUZ DE AGUIAR</v>
      </c>
      <c r="C448" s="4" t="str">
        <f>IFERROR(VLOOKUP(A448,Colaboradores!A:D,3,),"")</f>
        <v>MEIO AMBIENTE</v>
      </c>
      <c r="D448" s="4" t="str">
        <f>IFERROR(VLOOKUP(A448,Colaboradores!A:D,4,),"")</f>
        <v>GERENTE DE MEIO AMBIENTE</v>
      </c>
      <c r="E448" s="4" t="s">
        <v>19</v>
      </c>
      <c r="F448" s="5" t="str">
        <f>IFERROR(VLOOKUP(E448,Procedimentos!A:C,2,),"")</f>
        <v>DIRETRIZES PARA DOCUMENTOS NORMATIVOS</v>
      </c>
      <c r="G448" s="4" t="s">
        <v>22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4.25" customHeight="1">
      <c r="A449" s="4">
        <v>12684</v>
      </c>
      <c r="B449" s="4" t="str">
        <f>IFERROR(VLOOKUP(A449,Colaboradores!A:D,2,),"")</f>
        <v>JACIARA VIEIRA DA CRUZ DE AGUIAR</v>
      </c>
      <c r="C449" s="4" t="str">
        <f>IFERROR(VLOOKUP(A449,Colaboradores!A:D,3,),"")</f>
        <v>MEIO AMBIENTE</v>
      </c>
      <c r="D449" s="4" t="str">
        <f>IFERROR(VLOOKUP(A449,Colaboradores!A:D,4,),"")</f>
        <v>GERENTE DE MEIO AMBIENTE</v>
      </c>
      <c r="E449" s="4" t="s">
        <v>24</v>
      </c>
      <c r="F449" s="5" t="str">
        <f>IFERROR(VLOOKUP(E449,Procedimentos!A:C,2,),"")</f>
        <v>DIRETRIZES  PARA PROGRAMA 5S</v>
      </c>
      <c r="G449" s="4" t="s">
        <v>22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4.25" customHeight="1">
      <c r="A450" s="4">
        <v>12684</v>
      </c>
      <c r="B450" s="4" t="str">
        <f>IFERROR(VLOOKUP(A450,Colaboradores!A:D,2,),"")</f>
        <v>JACIARA VIEIRA DA CRUZ DE AGUIAR</v>
      </c>
      <c r="C450" s="4" t="str">
        <f>IFERROR(VLOOKUP(A450,Colaboradores!A:D,3,),"")</f>
        <v>MEIO AMBIENTE</v>
      </c>
      <c r="D450" s="4" t="str">
        <f>IFERROR(VLOOKUP(A450,Colaboradores!A:D,4,),"")</f>
        <v>GERENTE DE MEIO AMBIENTE</v>
      </c>
      <c r="E450" s="4" t="s">
        <v>67</v>
      </c>
      <c r="F450" s="5" t="str">
        <f>IFERROR(VLOOKUP(E450,Procedimentos!A:C,2,),"")</f>
        <v>SISTEMATICA DE ROTINA DE REUNIÕES DA DESSMA</v>
      </c>
      <c r="G450" s="4" t="s">
        <v>22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4.25" customHeight="1">
      <c r="A451" s="4">
        <v>12684</v>
      </c>
      <c r="B451" s="4" t="str">
        <f>IFERROR(VLOOKUP(A451,Colaboradores!A:D,2,),"")</f>
        <v>JACIARA VIEIRA DA CRUZ DE AGUIAR</v>
      </c>
      <c r="C451" s="4" t="str">
        <f>IFERROR(VLOOKUP(A451,Colaboradores!A:D,3,),"")</f>
        <v>MEIO AMBIENTE</v>
      </c>
      <c r="D451" s="4" t="str">
        <f>IFERROR(VLOOKUP(A451,Colaboradores!A:D,4,),"")</f>
        <v>GERENTE DE MEIO AMBIENTE</v>
      </c>
      <c r="E451" s="4" t="s">
        <v>25</v>
      </c>
      <c r="F451" s="5" t="str">
        <f>IFERROR(VLOOKUP(E451,Procedimentos!A:C,2,),"")</f>
        <v>GARANTIA DA QUALIDADE</v>
      </c>
      <c r="G451" s="4" t="s">
        <v>22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4.25" customHeight="1">
      <c r="A452" s="4">
        <v>12684</v>
      </c>
      <c r="B452" s="4" t="str">
        <f>IFERROR(VLOOKUP(A452,Colaboradores!A:D,2,),"")</f>
        <v>JACIARA VIEIRA DA CRUZ DE AGUIAR</v>
      </c>
      <c r="C452" s="4" t="str">
        <f>IFERROR(VLOOKUP(A452,Colaboradores!A:D,3,),"")</f>
        <v>MEIO AMBIENTE</v>
      </c>
      <c r="D452" s="4" t="str">
        <f>IFERROR(VLOOKUP(A452,Colaboradores!A:D,4,),"")</f>
        <v>GERENTE DE MEIO AMBIENTE</v>
      </c>
      <c r="E452" s="4" t="s">
        <v>68</v>
      </c>
      <c r="F452" s="5" t="str">
        <f>IFERROR(VLOOKUP(E452,Procedimentos!A:C,2,),"")</f>
        <v>GESTÃO INDICADORES</v>
      </c>
      <c r="G452" s="4" t="s">
        <v>22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4.25" customHeight="1">
      <c r="A453" s="4">
        <v>12684</v>
      </c>
      <c r="B453" s="4" t="str">
        <f>IFERROR(VLOOKUP(A453,Colaboradores!A:D,2,),"")</f>
        <v>JACIARA VIEIRA DA CRUZ DE AGUIAR</v>
      </c>
      <c r="C453" s="4" t="str">
        <f>IFERROR(VLOOKUP(A453,Colaboradores!A:D,3,),"")</f>
        <v>MEIO AMBIENTE</v>
      </c>
      <c r="D453" s="4" t="str">
        <f>IFERROR(VLOOKUP(A453,Colaboradores!A:D,4,),"")</f>
        <v>GERENTE DE MEIO AMBIENTE</v>
      </c>
      <c r="E453" s="4" t="s">
        <v>26</v>
      </c>
      <c r="F453" s="5" t="str">
        <f>IFERROR(VLOOKUP(E453,Procedimentos!A:C,2,),"")</f>
        <v>RESPONSABILIDADES E AUTORIDADES DO SGQ</v>
      </c>
      <c r="G453" s="4" t="s">
        <v>22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4.25" customHeight="1">
      <c r="A454" s="4">
        <v>12684</v>
      </c>
      <c r="B454" s="4" t="str">
        <f>IFERROR(VLOOKUP(A454,Colaboradores!A:D,2,),"")</f>
        <v>JACIARA VIEIRA DA CRUZ DE AGUIAR</v>
      </c>
      <c r="C454" s="4" t="str">
        <f>IFERROR(VLOOKUP(A454,Colaboradores!A:D,3,),"")</f>
        <v>MEIO AMBIENTE</v>
      </c>
      <c r="D454" s="4" t="str">
        <f>IFERROR(VLOOKUP(A454,Colaboradores!A:D,4,),"")</f>
        <v>GERENTE DE MEIO AMBIENTE</v>
      </c>
      <c r="E454" s="4" t="s">
        <v>69</v>
      </c>
      <c r="F454" s="5" t="str">
        <f>IFERROR(VLOOKUP(E454,Procedimentos!A:C,2,),"")</f>
        <v>PROCEDIMENTO GESTÃO DE MUDANÇA SGQ</v>
      </c>
      <c r="G454" s="4" t="s">
        <v>22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4.25" customHeight="1">
      <c r="A455" s="4">
        <v>12684</v>
      </c>
      <c r="B455" s="4" t="str">
        <f>IFERROR(VLOOKUP(A455,Colaboradores!A:D,2,),"")</f>
        <v>JACIARA VIEIRA DA CRUZ DE AGUIAR</v>
      </c>
      <c r="C455" s="4" t="str">
        <f>IFERROR(VLOOKUP(A455,Colaboradores!A:D,3,),"")</f>
        <v>MEIO AMBIENTE</v>
      </c>
      <c r="D455" s="4" t="str">
        <f>IFERROR(VLOOKUP(A455,Colaboradores!A:D,4,),"")</f>
        <v>GERENTE DE MEIO AMBIENTE</v>
      </c>
      <c r="E455" s="4" t="s">
        <v>64</v>
      </c>
      <c r="F455" s="5" t="str">
        <f>IFERROR(VLOOKUP(E455,Procedimentos!A:C,2,),"")</f>
        <v>AVALIAÇÃO DESEMPENHO</v>
      </c>
      <c r="G455" s="4" t="s">
        <v>22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4.25" customHeight="1">
      <c r="A456" s="4">
        <v>12684</v>
      </c>
      <c r="B456" s="4" t="str">
        <f>IFERROR(VLOOKUP(A456,Colaboradores!A:D,2,),"")</f>
        <v>JACIARA VIEIRA DA CRUZ DE AGUIAR</v>
      </c>
      <c r="C456" s="4" t="str">
        <f>IFERROR(VLOOKUP(A456,Colaboradores!A:D,3,),"")</f>
        <v>MEIO AMBIENTE</v>
      </c>
      <c r="D456" s="4" t="str">
        <f>IFERROR(VLOOKUP(A456,Colaboradores!A:D,4,),"")</f>
        <v>GERENTE DE MEIO AMBIENTE</v>
      </c>
      <c r="E456" s="4" t="s">
        <v>73</v>
      </c>
      <c r="F456" s="5" t="str">
        <f>IFERROR(VLOOKUP(E456,Procedimentos!A:C,2,),"")</f>
        <v>AQUISIÇÃO DE BENS E SERVIÇOS E AVALIAÇÃO PROVEDORES EXTERNOS</v>
      </c>
      <c r="G456" s="4" t="s">
        <v>22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4.25" customHeight="1">
      <c r="A457" s="4">
        <v>12684</v>
      </c>
      <c r="B457" s="4" t="str">
        <f>IFERROR(VLOOKUP(A457,Colaboradores!A:D,2,),"")</f>
        <v>JACIARA VIEIRA DA CRUZ DE AGUIAR</v>
      </c>
      <c r="C457" s="4" t="str">
        <f>IFERROR(VLOOKUP(A457,Colaboradores!A:D,3,),"")</f>
        <v>MEIO AMBIENTE</v>
      </c>
      <c r="D457" s="4" t="str">
        <f>IFERROR(VLOOKUP(A457,Colaboradores!A:D,4,),"")</f>
        <v>GERENTE DE MEIO AMBIENTE</v>
      </c>
      <c r="E457" s="4" t="s">
        <v>79</v>
      </c>
      <c r="F457" s="5" t="str">
        <f>IFERROR(VLOOKUP(E457,Procedimentos!A:C,2,),"")</f>
        <v>ABERTURA DE PROCESSO DE PAGAMENTO</v>
      </c>
      <c r="G457" s="4" t="s">
        <v>22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4.25" customHeight="1">
      <c r="A458" s="4">
        <v>12684</v>
      </c>
      <c r="B458" s="4" t="str">
        <f>IFERROR(VLOOKUP(A458,Colaboradores!A:D,2,),"")</f>
        <v>JACIARA VIEIRA DA CRUZ DE AGUIAR</v>
      </c>
      <c r="C458" s="4" t="str">
        <f>IFERROR(VLOOKUP(A458,Colaboradores!A:D,3,),"")</f>
        <v>MEIO AMBIENTE</v>
      </c>
      <c r="D458" s="4" t="str">
        <f>IFERROR(VLOOKUP(A458,Colaboradores!A:D,4,),"")</f>
        <v>GERENTE DE MEIO AMBIENTE</v>
      </c>
      <c r="E458" s="4" t="s">
        <v>48</v>
      </c>
      <c r="F458" s="5" t="str">
        <f>IFERROR(VLOOKUP(E458,Procedimentos!A:C,2,),"")</f>
        <v>POLÍTICA MEIO AMBIENTE EMSERH</v>
      </c>
      <c r="G458" s="4" t="s">
        <v>22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4.25" customHeight="1">
      <c r="A459" s="4">
        <v>12684</v>
      </c>
      <c r="B459" s="4" t="str">
        <f>IFERROR(VLOOKUP(A459,Colaboradores!A:D,2,),"")</f>
        <v>JACIARA VIEIRA DA CRUZ DE AGUIAR</v>
      </c>
      <c r="C459" s="4" t="str">
        <f>IFERROR(VLOOKUP(A459,Colaboradores!A:D,3,),"")</f>
        <v>MEIO AMBIENTE</v>
      </c>
      <c r="D459" s="4" t="str">
        <f>IFERROR(VLOOKUP(A459,Colaboradores!A:D,4,),"")</f>
        <v>GERENTE DE MEIO AMBIENTE</v>
      </c>
      <c r="E459" s="4" t="s">
        <v>29</v>
      </c>
      <c r="F459" s="5" t="str">
        <f>IFERROR(VLOOKUP(E459,Procedimentos!A:C,2,),"")</f>
        <v>COLETA SELETIVA DESSMA</v>
      </c>
      <c r="G459" s="4" t="s">
        <v>22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4.25" customHeight="1">
      <c r="A460" s="4">
        <v>12684</v>
      </c>
      <c r="B460" s="4" t="str">
        <f>IFERROR(VLOOKUP(A460,Colaboradores!A:D,2,),"")</f>
        <v>JACIARA VIEIRA DA CRUZ DE AGUIAR</v>
      </c>
      <c r="C460" s="4" t="str">
        <f>IFERROR(VLOOKUP(A460,Colaboradores!A:D,3,),"")</f>
        <v>MEIO AMBIENTE</v>
      </c>
      <c r="D460" s="4" t="str">
        <f>IFERROR(VLOOKUP(A460,Colaboradores!A:D,4,),"")</f>
        <v>GERENTE DE MEIO AMBIENTE</v>
      </c>
      <c r="E460" s="4" t="s">
        <v>36</v>
      </c>
      <c r="F460" s="5" t="str">
        <f>IFERROR(VLOOKUP(E460,Procedimentos!A:C,2,),"")</f>
        <v>GESTÃO DE PRODUTOS QUÍMICOS</v>
      </c>
      <c r="G460" s="4" t="s">
        <v>22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4.25" customHeight="1">
      <c r="A461" s="4">
        <v>12684</v>
      </c>
      <c r="B461" s="4" t="str">
        <f>IFERROR(VLOOKUP(A461,Colaboradores!A:D,2,),"")</f>
        <v>JACIARA VIEIRA DA CRUZ DE AGUIAR</v>
      </c>
      <c r="C461" s="4" t="str">
        <f>IFERROR(VLOOKUP(A461,Colaboradores!A:D,3,),"")</f>
        <v>MEIO AMBIENTE</v>
      </c>
      <c r="D461" s="4" t="str">
        <f>IFERROR(VLOOKUP(A461,Colaboradores!A:D,4,),"")</f>
        <v>GERENTE DE MEIO AMBIENTE</v>
      </c>
      <c r="E461" s="4" t="s">
        <v>32</v>
      </c>
      <c r="F461" s="5" t="str">
        <f>IFERROR(VLOOKUP(E461,Procedimentos!A:C,2,),"")</f>
        <v>GESTÃO DE LEVANTAMENTO DE ASPECTOS E IMPACTOS AMBIENTAIS</v>
      </c>
      <c r="G461" s="4" t="s">
        <v>22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4.25" customHeight="1">
      <c r="A462" s="4">
        <v>12684</v>
      </c>
      <c r="B462" s="4" t="str">
        <f>IFERROR(VLOOKUP(A462,Colaboradores!A:D,2,),"")</f>
        <v>JACIARA VIEIRA DA CRUZ DE AGUIAR</v>
      </c>
      <c r="C462" s="4" t="str">
        <f>IFERROR(VLOOKUP(A462,Colaboradores!A:D,3,),"")</f>
        <v>MEIO AMBIENTE</v>
      </c>
      <c r="D462" s="4" t="str">
        <f>IFERROR(VLOOKUP(A462,Colaboradores!A:D,4,),"")</f>
        <v>GERENTE DE MEIO AMBIENTE</v>
      </c>
      <c r="E462" s="4" t="s">
        <v>31</v>
      </c>
      <c r="F462" s="5" t="str">
        <f>IFERROR(VLOOKUP(E462,Procedimentos!A:C,2,),"")</f>
        <v>GESTÃO DE COMUNICAÇÃO, CLASSIFICAÇÃO E INVESTIGAÇÃO DE OCORRÊNCIAS AMBIENTAIS</v>
      </c>
      <c r="G462" s="4" t="s">
        <v>22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4.25" customHeight="1">
      <c r="A463" s="4">
        <v>12684</v>
      </c>
      <c r="B463" s="4" t="str">
        <f>IFERROR(VLOOKUP(A463,Colaboradores!A:D,2,),"")</f>
        <v>JACIARA VIEIRA DA CRUZ DE AGUIAR</v>
      </c>
      <c r="C463" s="4" t="str">
        <f>IFERROR(VLOOKUP(A463,Colaboradores!A:D,3,),"")</f>
        <v>MEIO AMBIENTE</v>
      </c>
      <c r="D463" s="4" t="str">
        <f>IFERROR(VLOOKUP(A463,Colaboradores!A:D,4,),"")</f>
        <v>GERENTE DE MEIO AMBIENTE</v>
      </c>
      <c r="E463" s="4" t="s">
        <v>33</v>
      </c>
      <c r="F463" s="5" t="str">
        <f>IFERROR(VLOOKUP(E463,Procedimentos!A:C,2,),"")</f>
        <v>GESTÃO DE INSPEÇÕES AMBIENTAIS</v>
      </c>
      <c r="G463" s="4" t="s">
        <v>22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4.25" customHeight="1">
      <c r="A464" s="4">
        <v>12684</v>
      </c>
      <c r="B464" s="4" t="str">
        <f>IFERROR(VLOOKUP(A464,Colaboradores!A:D,2,),"")</f>
        <v>JACIARA VIEIRA DA CRUZ DE AGUIAR</v>
      </c>
      <c r="C464" s="4" t="str">
        <f>IFERROR(VLOOKUP(A464,Colaboradores!A:D,3,),"")</f>
        <v>MEIO AMBIENTE</v>
      </c>
      <c r="D464" s="4" t="str">
        <f>IFERROR(VLOOKUP(A464,Colaboradores!A:D,4,),"")</f>
        <v>GERENTE DE MEIO AMBIENTE</v>
      </c>
      <c r="E464" s="4" t="s">
        <v>39</v>
      </c>
      <c r="F464" s="5" t="str">
        <f>IFERROR(VLOOKUP(E464,Procedimentos!A:C,2,),"")</f>
        <v>GESTÃO DE ÁGUAS E EFLUENTES</v>
      </c>
      <c r="G464" s="4" t="s">
        <v>22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4.25" customHeight="1">
      <c r="A465" s="4">
        <v>12684</v>
      </c>
      <c r="B465" s="4" t="str">
        <f>IFERROR(VLOOKUP(A465,Colaboradores!A:D,2,),"")</f>
        <v>JACIARA VIEIRA DA CRUZ DE AGUIAR</v>
      </c>
      <c r="C465" s="4" t="str">
        <f>IFERROR(VLOOKUP(A465,Colaboradores!A:D,3,),"")</f>
        <v>MEIO AMBIENTE</v>
      </c>
      <c r="D465" s="4" t="str">
        <f>IFERROR(VLOOKUP(A465,Colaboradores!A:D,4,),"")</f>
        <v>GERENTE DE MEIO AMBIENTE</v>
      </c>
      <c r="E465" s="4" t="s">
        <v>34</v>
      </c>
      <c r="F465" s="5" t="str">
        <f>IFERROR(VLOOKUP(E465,Procedimentos!A:C,2,),"")</f>
        <v>GESTÃO DE LICENCIAMENTO AMBIENTAL</v>
      </c>
      <c r="G465" s="4" t="s">
        <v>22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4.25" customHeight="1">
      <c r="A466" s="4">
        <v>12684</v>
      </c>
      <c r="B466" s="4" t="str">
        <f>IFERROR(VLOOKUP(A466,Colaboradores!A:D,2,),"")</f>
        <v>JACIARA VIEIRA DA CRUZ DE AGUIAR</v>
      </c>
      <c r="C466" s="4" t="str">
        <f>IFERROR(VLOOKUP(A466,Colaboradores!A:D,3,),"")</f>
        <v>MEIO AMBIENTE</v>
      </c>
      <c r="D466" s="4" t="str">
        <f>IFERROR(VLOOKUP(A466,Colaboradores!A:D,4,),"")</f>
        <v>GERENTE DE MEIO AMBIENTE</v>
      </c>
      <c r="E466" s="4" t="s">
        <v>38</v>
      </c>
      <c r="F466" s="5" t="str">
        <f>IFERROR(VLOOKUP(E466,Procedimentos!A:C,2,),"")</f>
        <v>GESTÃO DE CONDICIONANTES DE LICENCIAMENTO AMBIENTAL</v>
      </c>
      <c r="G466" s="4" t="s">
        <v>22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4.25" customHeight="1">
      <c r="A467" s="4">
        <v>12684</v>
      </c>
      <c r="B467" s="4" t="str">
        <f>IFERROR(VLOOKUP(A467,Colaboradores!A:D,2,),"")</f>
        <v>JACIARA VIEIRA DA CRUZ DE AGUIAR</v>
      </c>
      <c r="C467" s="4" t="str">
        <f>IFERROR(VLOOKUP(A467,Colaboradores!A:D,3,),"")</f>
        <v>MEIO AMBIENTE</v>
      </c>
      <c r="D467" s="4" t="str">
        <f>IFERROR(VLOOKUP(A467,Colaboradores!A:D,4,),"")</f>
        <v>GERENTE DE MEIO AMBIENTE</v>
      </c>
      <c r="E467" s="4" t="s">
        <v>37</v>
      </c>
      <c r="F467" s="5" t="str">
        <f>IFERROR(VLOOKUP(E467,Procedimentos!A:C,2,),"")</f>
        <v>GESTÃO DE RESÍDUOS SÓLIDOS DE SERVIÇOS DE SAÚDE</v>
      </c>
      <c r="G467" s="4" t="s">
        <v>22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4.25" customHeight="1">
      <c r="A468" s="4">
        <v>12684</v>
      </c>
      <c r="B468" s="4" t="str">
        <f>IFERROR(VLOOKUP(A468,Colaboradores!A:D,2,),"")</f>
        <v>JACIARA VIEIRA DA CRUZ DE AGUIAR</v>
      </c>
      <c r="C468" s="4" t="str">
        <f>IFERROR(VLOOKUP(A468,Colaboradores!A:D,3,),"")</f>
        <v>MEIO AMBIENTE</v>
      </c>
      <c r="D468" s="4" t="str">
        <f>IFERROR(VLOOKUP(A468,Colaboradores!A:D,4,),"")</f>
        <v>GERENTE DE MEIO AMBIENTE</v>
      </c>
      <c r="E468" s="4" t="s">
        <v>35</v>
      </c>
      <c r="F468" s="5" t="str">
        <f>IFERROR(VLOOKUP(E468,Procedimentos!A:C,2,),"")</f>
        <v>PROCEDIMENTO DE AFERIÇÃO DE FUMAÇA PRETA</v>
      </c>
      <c r="G468" s="4" t="s">
        <v>22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4.25" customHeight="1">
      <c r="A469" s="4">
        <v>12684</v>
      </c>
      <c r="B469" s="4" t="str">
        <f>IFERROR(VLOOKUP(A469,Colaboradores!A:D,2,),"")</f>
        <v>JACIARA VIEIRA DA CRUZ DE AGUIAR</v>
      </c>
      <c r="C469" s="4" t="str">
        <f>IFERROR(VLOOKUP(A469,Colaboradores!A:D,3,),"")</f>
        <v>MEIO AMBIENTE</v>
      </c>
      <c r="D469" s="4" t="str">
        <f>IFERROR(VLOOKUP(A469,Colaboradores!A:D,4,),"")</f>
        <v>GERENTE DE MEIO AMBIENTE</v>
      </c>
      <c r="E469" s="4" t="s">
        <v>49</v>
      </c>
      <c r="F469" s="5" t="str">
        <f>IFERROR(VLOOKUP(E469,Procedimentos!A:C,2,),"")</f>
        <v>DIRETRIZES PARA REALIZAÇÃO DE EXAMES OCUPACIONAIS</v>
      </c>
      <c r="G469" s="4" t="s">
        <v>22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4.25" customHeight="1">
      <c r="A470" s="4">
        <v>12684</v>
      </c>
      <c r="B470" s="4" t="str">
        <f>IFERROR(VLOOKUP(A470,Colaboradores!A:D,2,),"")</f>
        <v>JACIARA VIEIRA DA CRUZ DE AGUIAR</v>
      </c>
      <c r="C470" s="4" t="str">
        <f>IFERROR(VLOOKUP(A470,Colaboradores!A:D,3,),"")</f>
        <v>MEIO AMBIENTE</v>
      </c>
      <c r="D470" s="4" t="str">
        <f>IFERROR(VLOOKUP(A470,Colaboradores!A:D,4,),"")</f>
        <v>GERENTE DE MEIO AMBIENTE</v>
      </c>
      <c r="E470" s="4" t="s">
        <v>51</v>
      </c>
      <c r="F470" s="5" t="str">
        <f>IFERROR(VLOOKUP(E470,Procedimentos!A:C,2,),"")</f>
        <v>DIRETRIZES PARA ENTREGA DE ATESTADOS MÉDICOS E ODONTOLÓGICOS</v>
      </c>
      <c r="G470" s="4" t="s">
        <v>22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4.25" customHeight="1">
      <c r="A471" s="4">
        <v>12684</v>
      </c>
      <c r="B471" s="4" t="str">
        <f>IFERROR(VLOOKUP(A471,Colaboradores!A:D,2,),"")</f>
        <v>JACIARA VIEIRA DA CRUZ DE AGUIAR</v>
      </c>
      <c r="C471" s="4" t="str">
        <f>IFERROR(VLOOKUP(A471,Colaboradores!A:D,3,),"")</f>
        <v>MEIO AMBIENTE</v>
      </c>
      <c r="D471" s="4" t="str">
        <f>IFERROR(VLOOKUP(A471,Colaboradores!A:D,4,),"")</f>
        <v>GERENTE DE MEIO AMBIENTE</v>
      </c>
      <c r="E471" s="4" t="s">
        <v>52</v>
      </c>
      <c r="F471" s="5" t="str">
        <f>IFERROR(VLOOKUP(E471,Procedimentos!A:C,2,),"")</f>
        <v>DIRETRIZES E ACOMPANHAMENTO  DE ACIDENTE COM MATERIAL BIOLOGICO</v>
      </c>
      <c r="G471" s="4" t="s">
        <v>22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4.25" customHeight="1">
      <c r="A472" s="4">
        <v>12684</v>
      </c>
      <c r="B472" s="4" t="str">
        <f>IFERROR(VLOOKUP(A472,Colaboradores!A:D,2,),"")</f>
        <v>JACIARA VIEIRA DA CRUZ DE AGUIAR</v>
      </c>
      <c r="C472" s="4" t="str">
        <f>IFERROR(VLOOKUP(A472,Colaboradores!A:D,3,),"")</f>
        <v>MEIO AMBIENTE</v>
      </c>
      <c r="D472" s="4" t="str">
        <f>IFERROR(VLOOKUP(A472,Colaboradores!A:D,4,),"")</f>
        <v>GERENTE DE MEIO AMBIENTE</v>
      </c>
      <c r="E472" s="4" t="s">
        <v>53</v>
      </c>
      <c r="F472" s="5" t="str">
        <f>IFERROR(VLOOKUP(E472,Procedimentos!A:C,2,),"")</f>
        <v>DIRETRIZES PARA MONITORAMENTO DE GESTANTE</v>
      </c>
      <c r="G472" s="4" t="s">
        <v>22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4.25" customHeight="1">
      <c r="A473" s="4">
        <v>12684</v>
      </c>
      <c r="B473" s="4" t="str">
        <f>IFERROR(VLOOKUP(A473,Colaboradores!A:D,2,),"")</f>
        <v>JACIARA VIEIRA DA CRUZ DE AGUIAR</v>
      </c>
      <c r="C473" s="4" t="str">
        <f>IFERROR(VLOOKUP(A473,Colaboradores!A:D,3,),"")</f>
        <v>MEIO AMBIENTE</v>
      </c>
      <c r="D473" s="4" t="str">
        <f>IFERROR(VLOOKUP(A473,Colaboradores!A:D,4,),"")</f>
        <v>GERENTE DE MEIO AMBIENTE</v>
      </c>
      <c r="E473" s="4" t="s">
        <v>54</v>
      </c>
      <c r="F473" s="5" t="str">
        <f>IFERROR(VLOOKUP(E473,Procedimentos!A:C,2,),"")</f>
        <v>DIRETRIZES DE IMUNIZAÇÃO OCUPACIONAL</v>
      </c>
      <c r="G473" s="4" t="s">
        <v>22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4.25" customHeight="1">
      <c r="A474" s="4">
        <v>12684</v>
      </c>
      <c r="B474" s="4" t="str">
        <f>IFERROR(VLOOKUP(A474,Colaboradores!A:D,2,),"")</f>
        <v>JACIARA VIEIRA DA CRUZ DE AGUIAR</v>
      </c>
      <c r="C474" s="4" t="str">
        <f>IFERROR(VLOOKUP(A474,Colaboradores!A:D,3,),"")</f>
        <v>MEIO AMBIENTE</v>
      </c>
      <c r="D474" s="4" t="str">
        <f>IFERROR(VLOOKUP(A474,Colaboradores!A:D,4,),"")</f>
        <v>GERENTE DE MEIO AMBIENTE</v>
      </c>
      <c r="E474" s="4" t="s">
        <v>55</v>
      </c>
      <c r="F474" s="5" t="str">
        <f>IFERROR(VLOOKUP(E474,Procedimentos!A:C,2,),"")</f>
        <v>DIRETRIZES PARA ACOMPANHAMENTO DE AFASTADOS</v>
      </c>
      <c r="G474" s="4" t="s">
        <v>22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4.25" customHeight="1">
      <c r="A475" s="4">
        <v>12684</v>
      </c>
      <c r="B475" s="4" t="str">
        <f>IFERROR(VLOOKUP(A475,Colaboradores!A:D,2,),"")</f>
        <v>JACIARA VIEIRA DA CRUZ DE AGUIAR</v>
      </c>
      <c r="C475" s="4" t="str">
        <f>IFERROR(VLOOKUP(A475,Colaboradores!A:D,3,),"")</f>
        <v>MEIO AMBIENTE</v>
      </c>
      <c r="D475" s="4" t="str">
        <f>IFERROR(VLOOKUP(A475,Colaboradores!A:D,4,),"")</f>
        <v>GERENTE DE MEIO AMBIENTE</v>
      </c>
      <c r="E475" s="4" t="s">
        <v>46</v>
      </c>
      <c r="F475" s="5" t="str">
        <f>IFERROR(VLOOKUP(E475,Procedimentos!A:C,2,),"")</f>
        <v>POLÍTICA DE SAÚDE E SEGURANÇA DO TRABALHO EMSERH</v>
      </c>
      <c r="G475" s="4" t="s">
        <v>22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4.25" customHeight="1">
      <c r="A476" s="4">
        <v>12684</v>
      </c>
      <c r="B476" s="4" t="str">
        <f>IFERROR(VLOOKUP(A476,Colaboradores!A:D,2,),"")</f>
        <v>JACIARA VIEIRA DA CRUZ DE AGUIAR</v>
      </c>
      <c r="C476" s="4" t="str">
        <f>IFERROR(VLOOKUP(A476,Colaboradores!A:D,3,),"")</f>
        <v>MEIO AMBIENTE</v>
      </c>
      <c r="D476" s="4" t="str">
        <f>IFERROR(VLOOKUP(A476,Colaboradores!A:D,4,),"")</f>
        <v>GERENTE DE MEIO AMBIENTE</v>
      </c>
      <c r="E476" s="4" t="s">
        <v>41</v>
      </c>
      <c r="F476" s="5" t="str">
        <f>IFERROR(VLOOKUP(E476,Procedimentos!A:C,2,),"")</f>
        <v>DIRETRIZES PARA COMUNICAÇÃO E INVESTIGAÇÃO DE ACIDENTES</v>
      </c>
      <c r="G476" s="4" t="s">
        <v>22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4.25" customHeight="1">
      <c r="A477" s="4">
        <v>12684</v>
      </c>
      <c r="B477" s="4" t="str">
        <f>IFERROR(VLOOKUP(A477,Colaboradores!A:D,2,),"")</f>
        <v>JACIARA VIEIRA DA CRUZ DE AGUIAR</v>
      </c>
      <c r="C477" s="4" t="str">
        <f>IFERROR(VLOOKUP(A477,Colaboradores!A:D,3,),"")</f>
        <v>MEIO AMBIENTE</v>
      </c>
      <c r="D477" s="4" t="str">
        <f>IFERROR(VLOOKUP(A477,Colaboradores!A:D,4,),"")</f>
        <v>GERENTE DE MEIO AMBIENTE</v>
      </c>
      <c r="E477" s="4" t="s">
        <v>43</v>
      </c>
      <c r="F477" s="5" t="str">
        <f>IFERROR(VLOOKUP(E477,Procedimentos!A:C,2,),"")</f>
        <v>DIÁLOGO DE SAÚDE E SEGURANÇA - DSS</v>
      </c>
      <c r="G477" s="4" t="s">
        <v>22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4.25" customHeight="1">
      <c r="A478" s="4">
        <v>12684</v>
      </c>
      <c r="B478" s="4" t="str">
        <f>IFERROR(VLOOKUP(A478,Colaboradores!A:D,2,),"")</f>
        <v>JACIARA VIEIRA DA CRUZ DE AGUIAR</v>
      </c>
      <c r="C478" s="4" t="str">
        <f>IFERROR(VLOOKUP(A478,Colaboradores!A:D,3,),"")</f>
        <v>MEIO AMBIENTE</v>
      </c>
      <c r="D478" s="4" t="str">
        <f>IFERROR(VLOOKUP(A478,Colaboradores!A:D,4,),"")</f>
        <v>GERENTE DE MEIO AMBIENTE</v>
      </c>
      <c r="E478" s="4" t="s">
        <v>44</v>
      </c>
      <c r="F478" s="5" t="str">
        <f>IFERROR(VLOOKUP(E478,Procedimentos!A:C,2,),"")</f>
        <v>DIRETRIZES PARA GESTÃO DE EQUIPAMENTOS DE PROTEÇÃO INDIVIDUAL - EPI'S</v>
      </c>
      <c r="G478" s="4" t="s">
        <v>22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4.25" customHeight="1">
      <c r="A479" s="4">
        <v>12684</v>
      </c>
      <c r="B479" s="4" t="str">
        <f>IFERROR(VLOOKUP(A479,Colaboradores!A:D,2,),"")</f>
        <v>JACIARA VIEIRA DA CRUZ DE AGUIAR</v>
      </c>
      <c r="C479" s="4" t="str">
        <f>IFERROR(VLOOKUP(A479,Colaboradores!A:D,3,),"")</f>
        <v>MEIO AMBIENTE</v>
      </c>
      <c r="D479" s="4" t="str">
        <f>IFERROR(VLOOKUP(A479,Colaboradores!A:D,4,),"")</f>
        <v>GERENTE DE MEIO AMBIENTE</v>
      </c>
      <c r="E479" s="4" t="s">
        <v>45</v>
      </c>
      <c r="F479" s="5" t="str">
        <f>IFERROR(VLOOKUP(E479,Procedimentos!A:C,2,),"")</f>
        <v>CONSTITUIÇÃO INTERNA DE PREVENÇÃO DE ACIDENTES E DE ASSÉDIOS - CIPA</v>
      </c>
      <c r="G479" s="4" t="s">
        <v>22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4.25" customHeight="1">
      <c r="A480" s="4">
        <v>13741</v>
      </c>
      <c r="B480" s="4" t="str">
        <f>IFERROR(VLOOKUP(A480,Colaboradores!A:D,2,),"")</f>
        <v>LUCAS LOPES VIEIRA</v>
      </c>
      <c r="C480" s="4" t="str">
        <f>IFERROR(VLOOKUP(A480,Colaboradores!A:D,3,),"")</f>
        <v>MEIO AMBIENTE</v>
      </c>
      <c r="D480" s="4" t="str">
        <f>IFERROR(VLOOKUP(A480,Colaboradores!A:D,4,),"")</f>
        <v>ENGENHEIRO DE MEIO AMBIENTE</v>
      </c>
      <c r="E480" s="4" t="s">
        <v>58</v>
      </c>
      <c r="F480" s="5" t="str">
        <f>IFERROR(VLOOKUP(E480,Procedimentos!A:C,2,),"")</f>
        <v>POLÍTICA DE QUALIDADE DA DIRETORIA</v>
      </c>
      <c r="G480" s="4" t="s">
        <v>22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4.25" customHeight="1">
      <c r="A481" s="4">
        <v>13741</v>
      </c>
      <c r="B481" s="4" t="str">
        <f>IFERROR(VLOOKUP(A481,Colaboradores!A:D,2,),"")</f>
        <v>LUCAS LOPES VIEIRA</v>
      </c>
      <c r="C481" s="4" t="str">
        <f>IFERROR(VLOOKUP(A481,Colaboradores!A:D,3,),"")</f>
        <v>MEIO AMBIENTE</v>
      </c>
      <c r="D481" s="4" t="str">
        <f>IFERROR(VLOOKUP(A481,Colaboradores!A:D,4,),"")</f>
        <v>ENGENHEIRO DE MEIO AMBIENTE</v>
      </c>
      <c r="E481" s="4" t="s">
        <v>19</v>
      </c>
      <c r="F481" s="5" t="str">
        <f>IFERROR(VLOOKUP(E481,Procedimentos!A:C,2,),"")</f>
        <v>DIRETRIZES PARA DOCUMENTOS NORMATIVOS</v>
      </c>
      <c r="G481" s="4" t="s">
        <v>22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4.25" customHeight="1">
      <c r="A482" s="4">
        <v>13741</v>
      </c>
      <c r="B482" s="4" t="str">
        <f>IFERROR(VLOOKUP(A482,Colaboradores!A:D,2,),"")</f>
        <v>LUCAS LOPES VIEIRA</v>
      </c>
      <c r="C482" s="4" t="str">
        <f>IFERROR(VLOOKUP(A482,Colaboradores!A:D,3,),"")</f>
        <v>MEIO AMBIENTE</v>
      </c>
      <c r="D482" s="4" t="str">
        <f>IFERROR(VLOOKUP(A482,Colaboradores!A:D,4,),"")</f>
        <v>ENGENHEIRO DE MEIO AMBIENTE</v>
      </c>
      <c r="E482" s="4" t="s">
        <v>24</v>
      </c>
      <c r="F482" s="5" t="str">
        <f>IFERROR(VLOOKUP(E482,Procedimentos!A:C,2,),"")</f>
        <v>DIRETRIZES  PARA PROGRAMA 5S</v>
      </c>
      <c r="G482" s="4" t="s">
        <v>22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4.25" customHeight="1">
      <c r="A483" s="4">
        <v>13741</v>
      </c>
      <c r="B483" s="4" t="str">
        <f>IFERROR(VLOOKUP(A483,Colaboradores!A:D,2,),"")</f>
        <v>LUCAS LOPES VIEIRA</v>
      </c>
      <c r="C483" s="4" t="str">
        <f>IFERROR(VLOOKUP(A483,Colaboradores!A:D,3,),"")</f>
        <v>MEIO AMBIENTE</v>
      </c>
      <c r="D483" s="4" t="str">
        <f>IFERROR(VLOOKUP(A483,Colaboradores!A:D,4,),"")</f>
        <v>ENGENHEIRO DE MEIO AMBIENTE</v>
      </c>
      <c r="E483" s="4" t="s">
        <v>25</v>
      </c>
      <c r="F483" s="5" t="str">
        <f>IFERROR(VLOOKUP(E483,Procedimentos!A:C,2,),"")</f>
        <v>GARANTIA DA QUALIDADE</v>
      </c>
      <c r="G483" s="4" t="s">
        <v>22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4.25" customHeight="1">
      <c r="A484" s="4">
        <v>13741</v>
      </c>
      <c r="B484" s="4" t="str">
        <f>IFERROR(VLOOKUP(A484,Colaboradores!A:D,2,),"")</f>
        <v>LUCAS LOPES VIEIRA</v>
      </c>
      <c r="C484" s="4" t="str">
        <f>IFERROR(VLOOKUP(A484,Colaboradores!A:D,3,),"")</f>
        <v>MEIO AMBIENTE</v>
      </c>
      <c r="D484" s="4" t="str">
        <f>IFERROR(VLOOKUP(A484,Colaboradores!A:D,4,),"")</f>
        <v>ENGENHEIRO DE MEIO AMBIENTE</v>
      </c>
      <c r="E484" s="4" t="s">
        <v>26</v>
      </c>
      <c r="F484" s="5" t="str">
        <f>IFERROR(VLOOKUP(E484,Procedimentos!A:C,2,),"")</f>
        <v>RESPONSABILIDADES E AUTORIDADES DO SGQ</v>
      </c>
      <c r="G484" s="4" t="s">
        <v>22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4.25" customHeight="1">
      <c r="A485" s="4">
        <v>13741</v>
      </c>
      <c r="B485" s="4" t="str">
        <f>IFERROR(VLOOKUP(A485,Colaboradores!A:D,2,),"")</f>
        <v>LUCAS LOPES VIEIRA</v>
      </c>
      <c r="C485" s="4" t="str">
        <f>IFERROR(VLOOKUP(A485,Colaboradores!A:D,3,),"")</f>
        <v>MEIO AMBIENTE</v>
      </c>
      <c r="D485" s="4" t="str">
        <f>IFERROR(VLOOKUP(A485,Colaboradores!A:D,4,),"")</f>
        <v>ENGENHEIRO DE MEIO AMBIENTE</v>
      </c>
      <c r="E485" s="4" t="s">
        <v>73</v>
      </c>
      <c r="F485" s="5" t="str">
        <f>IFERROR(VLOOKUP(E485,Procedimentos!A:C,2,),"")</f>
        <v>AQUISIÇÃO DE BENS E SERVIÇOS E AVALIAÇÃO PROVEDORES EXTERNOS</v>
      </c>
      <c r="G485" s="4" t="s">
        <v>22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4.25" customHeight="1">
      <c r="A486" s="4">
        <v>13741</v>
      </c>
      <c r="B486" s="4" t="str">
        <f>IFERROR(VLOOKUP(A486,Colaboradores!A:D,2,),"")</f>
        <v>LUCAS LOPES VIEIRA</v>
      </c>
      <c r="C486" s="4" t="str">
        <f>IFERROR(VLOOKUP(A486,Colaboradores!A:D,3,),"")</f>
        <v>MEIO AMBIENTE</v>
      </c>
      <c r="D486" s="4" t="str">
        <f>IFERROR(VLOOKUP(A486,Colaboradores!A:D,4,),"")</f>
        <v>ENGENHEIRO DE MEIO AMBIENTE</v>
      </c>
      <c r="E486" s="4" t="s">
        <v>79</v>
      </c>
      <c r="F486" s="5" t="str">
        <f>IFERROR(VLOOKUP(E486,Procedimentos!A:C,2,),"")</f>
        <v>ABERTURA DE PROCESSO DE PAGAMENTO</v>
      </c>
      <c r="G486" s="4" t="s">
        <v>22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4.25" customHeight="1">
      <c r="A487" s="4">
        <v>13741</v>
      </c>
      <c r="B487" s="4" t="str">
        <f>IFERROR(VLOOKUP(A487,Colaboradores!A:D,2,),"")</f>
        <v>LUCAS LOPES VIEIRA</v>
      </c>
      <c r="C487" s="4" t="str">
        <f>IFERROR(VLOOKUP(A487,Colaboradores!A:D,3,),"")</f>
        <v>MEIO AMBIENTE</v>
      </c>
      <c r="D487" s="4" t="str">
        <f>IFERROR(VLOOKUP(A487,Colaboradores!A:D,4,),"")</f>
        <v>ENGENHEIRO DE MEIO AMBIENTE</v>
      </c>
      <c r="E487" s="4" t="s">
        <v>48</v>
      </c>
      <c r="F487" s="5" t="str">
        <f>IFERROR(VLOOKUP(E487,Procedimentos!A:C,2,),"")</f>
        <v>POLÍTICA MEIO AMBIENTE EMSERH</v>
      </c>
      <c r="G487" s="4" t="s">
        <v>22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4.25" customHeight="1">
      <c r="A488" s="4">
        <v>13741</v>
      </c>
      <c r="B488" s="4" t="str">
        <f>IFERROR(VLOOKUP(A488,Colaboradores!A:D,2,),"")</f>
        <v>LUCAS LOPES VIEIRA</v>
      </c>
      <c r="C488" s="4" t="str">
        <f>IFERROR(VLOOKUP(A488,Colaboradores!A:D,3,),"")</f>
        <v>MEIO AMBIENTE</v>
      </c>
      <c r="D488" s="4" t="str">
        <f>IFERROR(VLOOKUP(A488,Colaboradores!A:D,4,),"")</f>
        <v>ENGENHEIRO DE MEIO AMBIENTE</v>
      </c>
      <c r="E488" s="4" t="s">
        <v>29</v>
      </c>
      <c r="F488" s="5" t="str">
        <f>IFERROR(VLOOKUP(E488,Procedimentos!A:C,2,),"")</f>
        <v>COLETA SELETIVA DESSMA</v>
      </c>
      <c r="G488" s="4" t="s">
        <v>22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4.25" customHeight="1">
      <c r="A489" s="4">
        <v>13741</v>
      </c>
      <c r="B489" s="4" t="str">
        <f>IFERROR(VLOOKUP(A489,Colaboradores!A:D,2,),"")</f>
        <v>LUCAS LOPES VIEIRA</v>
      </c>
      <c r="C489" s="4" t="str">
        <f>IFERROR(VLOOKUP(A489,Colaboradores!A:D,3,),"")</f>
        <v>MEIO AMBIENTE</v>
      </c>
      <c r="D489" s="4" t="str">
        <f>IFERROR(VLOOKUP(A489,Colaboradores!A:D,4,),"")</f>
        <v>ENGENHEIRO DE MEIO AMBIENTE</v>
      </c>
      <c r="E489" s="4" t="s">
        <v>36</v>
      </c>
      <c r="F489" s="5" t="str">
        <f>IFERROR(VLOOKUP(E489,Procedimentos!A:C,2,),"")</f>
        <v>GESTÃO DE PRODUTOS QUÍMICOS</v>
      </c>
      <c r="G489" s="4" t="s">
        <v>22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4.25" customHeight="1">
      <c r="A490" s="4">
        <v>13741</v>
      </c>
      <c r="B490" s="4" t="str">
        <f>IFERROR(VLOOKUP(A490,Colaboradores!A:D,2,),"")</f>
        <v>LUCAS LOPES VIEIRA</v>
      </c>
      <c r="C490" s="4" t="str">
        <f>IFERROR(VLOOKUP(A490,Colaboradores!A:D,3,),"")</f>
        <v>MEIO AMBIENTE</v>
      </c>
      <c r="D490" s="4" t="str">
        <f>IFERROR(VLOOKUP(A490,Colaboradores!A:D,4,),"")</f>
        <v>ENGENHEIRO DE MEIO AMBIENTE</v>
      </c>
      <c r="E490" s="4" t="s">
        <v>32</v>
      </c>
      <c r="F490" s="5" t="str">
        <f>IFERROR(VLOOKUP(E490,Procedimentos!A:C,2,),"")</f>
        <v>GESTÃO DE LEVANTAMENTO DE ASPECTOS E IMPACTOS AMBIENTAIS</v>
      </c>
      <c r="G490" s="4" t="s">
        <v>22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4.25" customHeight="1">
      <c r="A491" s="4">
        <v>13741</v>
      </c>
      <c r="B491" s="4" t="str">
        <f>IFERROR(VLOOKUP(A491,Colaboradores!A:D,2,),"")</f>
        <v>LUCAS LOPES VIEIRA</v>
      </c>
      <c r="C491" s="4" t="str">
        <f>IFERROR(VLOOKUP(A491,Colaboradores!A:D,3,),"")</f>
        <v>MEIO AMBIENTE</v>
      </c>
      <c r="D491" s="4" t="str">
        <f>IFERROR(VLOOKUP(A491,Colaboradores!A:D,4,),"")</f>
        <v>ENGENHEIRO DE MEIO AMBIENTE</v>
      </c>
      <c r="E491" s="4" t="s">
        <v>31</v>
      </c>
      <c r="F491" s="5" t="str">
        <f>IFERROR(VLOOKUP(E491,Procedimentos!A:C,2,),"")</f>
        <v>GESTÃO DE COMUNICAÇÃO, CLASSIFICAÇÃO E INVESTIGAÇÃO DE OCORRÊNCIAS AMBIENTAIS</v>
      </c>
      <c r="G491" s="4" t="s">
        <v>22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4.25" customHeight="1">
      <c r="A492" s="4">
        <v>13741</v>
      </c>
      <c r="B492" s="4" t="str">
        <f>IFERROR(VLOOKUP(A492,Colaboradores!A:D,2,),"")</f>
        <v>LUCAS LOPES VIEIRA</v>
      </c>
      <c r="C492" s="4" t="str">
        <f>IFERROR(VLOOKUP(A492,Colaboradores!A:D,3,),"")</f>
        <v>MEIO AMBIENTE</v>
      </c>
      <c r="D492" s="4" t="str">
        <f>IFERROR(VLOOKUP(A492,Colaboradores!A:D,4,),"")</f>
        <v>ENGENHEIRO DE MEIO AMBIENTE</v>
      </c>
      <c r="E492" s="4" t="s">
        <v>33</v>
      </c>
      <c r="F492" s="5" t="str">
        <f>IFERROR(VLOOKUP(E492,Procedimentos!A:C,2,),"")</f>
        <v>GESTÃO DE INSPEÇÕES AMBIENTAIS</v>
      </c>
      <c r="G492" s="4" t="s">
        <v>22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4.25" customHeight="1">
      <c r="A493" s="4">
        <v>13741</v>
      </c>
      <c r="B493" s="4" t="str">
        <f>IFERROR(VLOOKUP(A493,Colaboradores!A:D,2,),"")</f>
        <v>LUCAS LOPES VIEIRA</v>
      </c>
      <c r="C493" s="4" t="str">
        <f>IFERROR(VLOOKUP(A493,Colaboradores!A:D,3,),"")</f>
        <v>MEIO AMBIENTE</v>
      </c>
      <c r="D493" s="4" t="str">
        <f>IFERROR(VLOOKUP(A493,Colaboradores!A:D,4,),"")</f>
        <v>ENGENHEIRO DE MEIO AMBIENTE</v>
      </c>
      <c r="E493" s="4" t="s">
        <v>39</v>
      </c>
      <c r="F493" s="5" t="str">
        <f>IFERROR(VLOOKUP(E493,Procedimentos!A:C,2,),"")</f>
        <v>GESTÃO DE ÁGUAS E EFLUENTES</v>
      </c>
      <c r="G493" s="4" t="s">
        <v>22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4.25" customHeight="1">
      <c r="A494" s="4">
        <v>13741</v>
      </c>
      <c r="B494" s="4" t="str">
        <f>IFERROR(VLOOKUP(A494,Colaboradores!A:D,2,),"")</f>
        <v>LUCAS LOPES VIEIRA</v>
      </c>
      <c r="C494" s="4" t="str">
        <f>IFERROR(VLOOKUP(A494,Colaboradores!A:D,3,),"")</f>
        <v>MEIO AMBIENTE</v>
      </c>
      <c r="D494" s="4" t="str">
        <f>IFERROR(VLOOKUP(A494,Colaboradores!A:D,4,),"")</f>
        <v>ENGENHEIRO DE MEIO AMBIENTE</v>
      </c>
      <c r="E494" s="4" t="s">
        <v>34</v>
      </c>
      <c r="F494" s="5" t="str">
        <f>IFERROR(VLOOKUP(E494,Procedimentos!A:C,2,),"")</f>
        <v>GESTÃO DE LICENCIAMENTO AMBIENTAL</v>
      </c>
      <c r="G494" s="4" t="s">
        <v>22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4.25" customHeight="1">
      <c r="A495" s="4">
        <v>13741</v>
      </c>
      <c r="B495" s="4" t="str">
        <f>IFERROR(VLOOKUP(A495,Colaboradores!A:D,2,),"")</f>
        <v>LUCAS LOPES VIEIRA</v>
      </c>
      <c r="C495" s="4" t="str">
        <f>IFERROR(VLOOKUP(A495,Colaboradores!A:D,3,),"")</f>
        <v>MEIO AMBIENTE</v>
      </c>
      <c r="D495" s="4" t="str">
        <f>IFERROR(VLOOKUP(A495,Colaboradores!A:D,4,),"")</f>
        <v>ENGENHEIRO DE MEIO AMBIENTE</v>
      </c>
      <c r="E495" s="4" t="s">
        <v>38</v>
      </c>
      <c r="F495" s="5" t="str">
        <f>IFERROR(VLOOKUP(E495,Procedimentos!A:C,2,),"")</f>
        <v>GESTÃO DE CONDICIONANTES DE LICENCIAMENTO AMBIENTAL</v>
      </c>
      <c r="G495" s="4" t="s">
        <v>22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4.25" customHeight="1">
      <c r="A496" s="4">
        <v>13741</v>
      </c>
      <c r="B496" s="4" t="str">
        <f>IFERROR(VLOOKUP(A496,Colaboradores!A:D,2,),"")</f>
        <v>LUCAS LOPES VIEIRA</v>
      </c>
      <c r="C496" s="4" t="str">
        <f>IFERROR(VLOOKUP(A496,Colaboradores!A:D,3,),"")</f>
        <v>MEIO AMBIENTE</v>
      </c>
      <c r="D496" s="4" t="str">
        <f>IFERROR(VLOOKUP(A496,Colaboradores!A:D,4,),"")</f>
        <v>ENGENHEIRO DE MEIO AMBIENTE</v>
      </c>
      <c r="E496" s="4" t="s">
        <v>37</v>
      </c>
      <c r="F496" s="5" t="str">
        <f>IFERROR(VLOOKUP(E496,Procedimentos!A:C,2,),"")</f>
        <v>GESTÃO DE RESÍDUOS SÓLIDOS DE SERVIÇOS DE SAÚDE</v>
      </c>
      <c r="G496" s="4" t="s">
        <v>22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4.25" customHeight="1">
      <c r="A497" s="4">
        <v>13741</v>
      </c>
      <c r="B497" s="4" t="str">
        <f>IFERROR(VLOOKUP(A497,Colaboradores!A:D,2,),"")</f>
        <v>LUCAS LOPES VIEIRA</v>
      </c>
      <c r="C497" s="4" t="str">
        <f>IFERROR(VLOOKUP(A497,Colaboradores!A:D,3,),"")</f>
        <v>MEIO AMBIENTE</v>
      </c>
      <c r="D497" s="4" t="str">
        <f>IFERROR(VLOOKUP(A497,Colaboradores!A:D,4,),"")</f>
        <v>ENGENHEIRO DE MEIO AMBIENTE</v>
      </c>
      <c r="E497" s="4" t="s">
        <v>35</v>
      </c>
      <c r="F497" s="5" t="str">
        <f>IFERROR(VLOOKUP(E497,Procedimentos!A:C,2,),"")</f>
        <v>PROCEDIMENTO DE AFERIÇÃO DE FUMAÇA PRETA</v>
      </c>
      <c r="G497" s="4" t="s">
        <v>22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4.25" customHeight="1">
      <c r="A498" s="4">
        <v>13741</v>
      </c>
      <c r="B498" s="4" t="str">
        <f>IFERROR(VLOOKUP(A498,Colaboradores!A:D,2,),"")</f>
        <v>LUCAS LOPES VIEIRA</v>
      </c>
      <c r="C498" s="4" t="str">
        <f>IFERROR(VLOOKUP(A498,Colaboradores!A:D,3,),"")</f>
        <v>MEIO AMBIENTE</v>
      </c>
      <c r="D498" s="4" t="str">
        <f>IFERROR(VLOOKUP(A498,Colaboradores!A:D,4,),"")</f>
        <v>ENGENHEIRO DE MEIO AMBIENTE</v>
      </c>
      <c r="E498" s="4" t="s">
        <v>49</v>
      </c>
      <c r="F498" s="5" t="str">
        <f>IFERROR(VLOOKUP(E498,Procedimentos!A:C,2,),"")</f>
        <v>DIRETRIZES PARA REALIZAÇÃO DE EXAMES OCUPACIONAIS</v>
      </c>
      <c r="G498" s="4" t="s">
        <v>22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4.25" customHeight="1">
      <c r="A499" s="4">
        <v>13741</v>
      </c>
      <c r="B499" s="4" t="str">
        <f>IFERROR(VLOOKUP(A499,Colaboradores!A:D,2,),"")</f>
        <v>LUCAS LOPES VIEIRA</v>
      </c>
      <c r="C499" s="4" t="str">
        <f>IFERROR(VLOOKUP(A499,Colaboradores!A:D,3,),"")</f>
        <v>MEIO AMBIENTE</v>
      </c>
      <c r="D499" s="4" t="str">
        <f>IFERROR(VLOOKUP(A499,Colaboradores!A:D,4,),"")</f>
        <v>ENGENHEIRO DE MEIO AMBIENTE</v>
      </c>
      <c r="E499" s="4" t="s">
        <v>51</v>
      </c>
      <c r="F499" s="5" t="str">
        <f>IFERROR(VLOOKUP(E499,Procedimentos!A:C,2,),"")</f>
        <v>DIRETRIZES PARA ENTREGA DE ATESTADOS MÉDICOS E ODONTOLÓGICOS</v>
      </c>
      <c r="G499" s="4" t="s">
        <v>22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4.25" customHeight="1">
      <c r="A500" s="4">
        <v>13741</v>
      </c>
      <c r="B500" s="4" t="str">
        <f>IFERROR(VLOOKUP(A500,Colaboradores!A:D,2,),"")</f>
        <v>LUCAS LOPES VIEIRA</v>
      </c>
      <c r="C500" s="4" t="str">
        <f>IFERROR(VLOOKUP(A500,Colaboradores!A:D,3,),"")</f>
        <v>MEIO AMBIENTE</v>
      </c>
      <c r="D500" s="4" t="str">
        <f>IFERROR(VLOOKUP(A500,Colaboradores!A:D,4,),"")</f>
        <v>ENGENHEIRO DE MEIO AMBIENTE</v>
      </c>
      <c r="E500" s="4" t="s">
        <v>52</v>
      </c>
      <c r="F500" s="5" t="str">
        <f>IFERROR(VLOOKUP(E500,Procedimentos!A:C,2,),"")</f>
        <v>DIRETRIZES E ACOMPANHAMENTO  DE ACIDENTE COM MATERIAL BIOLOGICO</v>
      </c>
      <c r="G500" s="4" t="s">
        <v>22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4.25" customHeight="1">
      <c r="A501" s="4">
        <v>13741</v>
      </c>
      <c r="B501" s="4" t="str">
        <f>IFERROR(VLOOKUP(A501,Colaboradores!A:D,2,),"")</f>
        <v>LUCAS LOPES VIEIRA</v>
      </c>
      <c r="C501" s="4" t="str">
        <f>IFERROR(VLOOKUP(A501,Colaboradores!A:D,3,),"")</f>
        <v>MEIO AMBIENTE</v>
      </c>
      <c r="D501" s="4" t="str">
        <f>IFERROR(VLOOKUP(A501,Colaboradores!A:D,4,),"")</f>
        <v>ENGENHEIRO DE MEIO AMBIENTE</v>
      </c>
      <c r="E501" s="4" t="s">
        <v>53</v>
      </c>
      <c r="F501" s="5" t="str">
        <f>IFERROR(VLOOKUP(E501,Procedimentos!A:C,2,),"")</f>
        <v>DIRETRIZES PARA MONITORAMENTO DE GESTANTE</v>
      </c>
      <c r="G501" s="4" t="s">
        <v>22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4.25" customHeight="1">
      <c r="A502" s="4">
        <v>13741</v>
      </c>
      <c r="B502" s="4" t="str">
        <f>IFERROR(VLOOKUP(A502,Colaboradores!A:D,2,),"")</f>
        <v>LUCAS LOPES VIEIRA</v>
      </c>
      <c r="C502" s="4" t="str">
        <f>IFERROR(VLOOKUP(A502,Colaboradores!A:D,3,),"")</f>
        <v>MEIO AMBIENTE</v>
      </c>
      <c r="D502" s="4" t="str">
        <f>IFERROR(VLOOKUP(A502,Colaboradores!A:D,4,),"")</f>
        <v>ENGENHEIRO DE MEIO AMBIENTE</v>
      </c>
      <c r="E502" s="4" t="s">
        <v>54</v>
      </c>
      <c r="F502" s="5" t="str">
        <f>IFERROR(VLOOKUP(E502,Procedimentos!A:C,2,),"")</f>
        <v>DIRETRIZES DE IMUNIZAÇÃO OCUPACIONAL</v>
      </c>
      <c r="G502" s="4" t="s">
        <v>22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4.25" customHeight="1">
      <c r="A503" s="4">
        <v>13741</v>
      </c>
      <c r="B503" s="4" t="str">
        <f>IFERROR(VLOOKUP(A503,Colaboradores!A:D,2,),"")</f>
        <v>LUCAS LOPES VIEIRA</v>
      </c>
      <c r="C503" s="4" t="str">
        <f>IFERROR(VLOOKUP(A503,Colaboradores!A:D,3,),"")</f>
        <v>MEIO AMBIENTE</v>
      </c>
      <c r="D503" s="4" t="str">
        <f>IFERROR(VLOOKUP(A503,Colaboradores!A:D,4,),"")</f>
        <v>ENGENHEIRO DE MEIO AMBIENTE</v>
      </c>
      <c r="E503" s="4" t="s">
        <v>55</v>
      </c>
      <c r="F503" s="5" t="str">
        <f>IFERROR(VLOOKUP(E503,Procedimentos!A:C,2,),"")</f>
        <v>DIRETRIZES PARA ACOMPANHAMENTO DE AFASTADOS</v>
      </c>
      <c r="G503" s="4" t="s">
        <v>22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4.25" customHeight="1">
      <c r="A504" s="4">
        <v>13741</v>
      </c>
      <c r="B504" s="4" t="str">
        <f>IFERROR(VLOOKUP(A504,Colaboradores!A:D,2,),"")</f>
        <v>LUCAS LOPES VIEIRA</v>
      </c>
      <c r="C504" s="4" t="str">
        <f>IFERROR(VLOOKUP(A504,Colaboradores!A:D,3,),"")</f>
        <v>MEIO AMBIENTE</v>
      </c>
      <c r="D504" s="4" t="str">
        <f>IFERROR(VLOOKUP(A504,Colaboradores!A:D,4,),"")</f>
        <v>ENGENHEIRO DE MEIO AMBIENTE</v>
      </c>
      <c r="E504" s="4" t="s">
        <v>46</v>
      </c>
      <c r="F504" s="5" t="str">
        <f>IFERROR(VLOOKUP(E504,Procedimentos!A:C,2,),"")</f>
        <v>POLÍTICA DE SAÚDE E SEGURANÇA DO TRABALHO EMSERH</v>
      </c>
      <c r="G504" s="4" t="s">
        <v>22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4.25" customHeight="1">
      <c r="A505" s="4">
        <v>13741</v>
      </c>
      <c r="B505" s="4" t="str">
        <f>IFERROR(VLOOKUP(A505,Colaboradores!A:D,2,),"")</f>
        <v>LUCAS LOPES VIEIRA</v>
      </c>
      <c r="C505" s="4" t="str">
        <f>IFERROR(VLOOKUP(A505,Colaboradores!A:D,3,),"")</f>
        <v>MEIO AMBIENTE</v>
      </c>
      <c r="D505" s="4" t="str">
        <f>IFERROR(VLOOKUP(A505,Colaboradores!A:D,4,),"")</f>
        <v>ENGENHEIRO DE MEIO AMBIENTE</v>
      </c>
      <c r="E505" s="4" t="s">
        <v>41</v>
      </c>
      <c r="F505" s="5" t="str">
        <f>IFERROR(VLOOKUP(E505,Procedimentos!A:C,2,),"")</f>
        <v>DIRETRIZES PARA COMUNICAÇÃO E INVESTIGAÇÃO DE ACIDENTES</v>
      </c>
      <c r="G505" s="4" t="s">
        <v>22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4.25" customHeight="1">
      <c r="A506" s="4">
        <v>13741</v>
      </c>
      <c r="B506" s="4" t="str">
        <f>IFERROR(VLOOKUP(A506,Colaboradores!A:D,2,),"")</f>
        <v>LUCAS LOPES VIEIRA</v>
      </c>
      <c r="C506" s="4" t="str">
        <f>IFERROR(VLOOKUP(A506,Colaboradores!A:D,3,),"")</f>
        <v>MEIO AMBIENTE</v>
      </c>
      <c r="D506" s="4" t="str">
        <f>IFERROR(VLOOKUP(A506,Colaboradores!A:D,4,),"")</f>
        <v>ENGENHEIRO DE MEIO AMBIENTE</v>
      </c>
      <c r="E506" s="4" t="s">
        <v>43</v>
      </c>
      <c r="F506" s="5" t="str">
        <f>IFERROR(VLOOKUP(E506,Procedimentos!A:C,2,),"")</f>
        <v>DIÁLOGO DE SAÚDE E SEGURANÇA - DSS</v>
      </c>
      <c r="G506" s="4" t="s">
        <v>22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4.25" customHeight="1">
      <c r="A507" s="4">
        <v>13741</v>
      </c>
      <c r="B507" s="4" t="str">
        <f>IFERROR(VLOOKUP(A507,Colaboradores!A:D,2,),"")</f>
        <v>LUCAS LOPES VIEIRA</v>
      </c>
      <c r="C507" s="4" t="str">
        <f>IFERROR(VLOOKUP(A507,Colaboradores!A:D,3,),"")</f>
        <v>MEIO AMBIENTE</v>
      </c>
      <c r="D507" s="4" t="str">
        <f>IFERROR(VLOOKUP(A507,Colaboradores!A:D,4,),"")</f>
        <v>ENGENHEIRO DE MEIO AMBIENTE</v>
      </c>
      <c r="E507" s="4" t="s">
        <v>44</v>
      </c>
      <c r="F507" s="5" t="str">
        <f>IFERROR(VLOOKUP(E507,Procedimentos!A:C,2,),"")</f>
        <v>DIRETRIZES PARA GESTÃO DE EQUIPAMENTOS DE PROTEÇÃO INDIVIDUAL - EPI'S</v>
      </c>
      <c r="G507" s="4" t="s">
        <v>22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4.25" customHeight="1">
      <c r="A508" s="4">
        <v>13741</v>
      </c>
      <c r="B508" s="4" t="str">
        <f>IFERROR(VLOOKUP(A508,Colaboradores!A:D,2,),"")</f>
        <v>LUCAS LOPES VIEIRA</v>
      </c>
      <c r="C508" s="4" t="str">
        <f>IFERROR(VLOOKUP(A508,Colaboradores!A:D,3,),"")</f>
        <v>MEIO AMBIENTE</v>
      </c>
      <c r="D508" s="4" t="str">
        <f>IFERROR(VLOOKUP(A508,Colaboradores!A:D,4,),"")</f>
        <v>ENGENHEIRO DE MEIO AMBIENTE</v>
      </c>
      <c r="E508" s="4" t="s">
        <v>45</v>
      </c>
      <c r="F508" s="5" t="str">
        <f>IFERROR(VLOOKUP(E508,Procedimentos!A:C,2,),"")</f>
        <v>CONSTITUIÇÃO INTERNA DE PREVENÇÃO DE ACIDENTES E DE ASSÉDIOS - CIPA</v>
      </c>
      <c r="G508" s="4" t="s">
        <v>22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4.25" customHeight="1">
      <c r="A509" s="4">
        <v>14246</v>
      </c>
      <c r="B509" s="4" t="str">
        <f>IFERROR(VLOOKUP(A509,Colaboradores!A:D,2,),"")</f>
        <v>THIALISSON SILVA MORAES</v>
      </c>
      <c r="C509" s="4" t="str">
        <f>IFERROR(VLOOKUP(A509,Colaboradores!A:D,3,),"")</f>
        <v>MEIO AMBIENTE</v>
      </c>
      <c r="D509" s="4" t="str">
        <f>IFERROR(VLOOKUP(A509,Colaboradores!A:D,4,),"")</f>
        <v>ANALISTA DE MEIO AMBIENTE</v>
      </c>
      <c r="E509" s="4" t="s">
        <v>58</v>
      </c>
      <c r="F509" s="5" t="str">
        <f>IFERROR(VLOOKUP(E509,Procedimentos!A:C,2,),"")</f>
        <v>POLÍTICA DE QUALIDADE DA DIRETORIA</v>
      </c>
      <c r="G509" s="4" t="s">
        <v>22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4.25" customHeight="1">
      <c r="A510" s="4">
        <v>14246</v>
      </c>
      <c r="B510" s="4" t="str">
        <f>IFERROR(VLOOKUP(A510,Colaboradores!A:D,2,),"")</f>
        <v>THIALISSON SILVA MORAES</v>
      </c>
      <c r="C510" s="4" t="str">
        <f>IFERROR(VLOOKUP(A510,Colaboradores!A:D,3,),"")</f>
        <v>MEIO AMBIENTE</v>
      </c>
      <c r="D510" s="4" t="str">
        <f>IFERROR(VLOOKUP(A510,Colaboradores!A:D,4,),"")</f>
        <v>ANALISTA DE MEIO AMBIENTE</v>
      </c>
      <c r="E510" s="4" t="s">
        <v>19</v>
      </c>
      <c r="F510" s="5" t="str">
        <f>IFERROR(VLOOKUP(E510,Procedimentos!A:C,2,),"")</f>
        <v>DIRETRIZES PARA DOCUMENTOS NORMATIVOS</v>
      </c>
      <c r="G510" s="4" t="s">
        <v>22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4.25" customHeight="1">
      <c r="A511" s="4">
        <v>14246</v>
      </c>
      <c r="B511" s="4" t="str">
        <f>IFERROR(VLOOKUP(A511,Colaboradores!A:D,2,),"")</f>
        <v>THIALISSON SILVA MORAES</v>
      </c>
      <c r="C511" s="4" t="str">
        <f>IFERROR(VLOOKUP(A511,Colaboradores!A:D,3,),"")</f>
        <v>MEIO AMBIENTE</v>
      </c>
      <c r="D511" s="4" t="str">
        <f>IFERROR(VLOOKUP(A511,Colaboradores!A:D,4,),"")</f>
        <v>ANALISTA DE MEIO AMBIENTE</v>
      </c>
      <c r="E511" s="4" t="s">
        <v>24</v>
      </c>
      <c r="F511" s="5" t="str">
        <f>IFERROR(VLOOKUP(E511,Procedimentos!A:C,2,),"")</f>
        <v>DIRETRIZES  PARA PROGRAMA 5S</v>
      </c>
      <c r="G511" s="4" t="s">
        <v>22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4.25" customHeight="1">
      <c r="A512" s="4">
        <v>14246</v>
      </c>
      <c r="B512" s="4" t="str">
        <f>IFERROR(VLOOKUP(A512,Colaboradores!A:D,2,),"")</f>
        <v>THIALISSON SILVA MORAES</v>
      </c>
      <c r="C512" s="4" t="str">
        <f>IFERROR(VLOOKUP(A512,Colaboradores!A:D,3,),"")</f>
        <v>MEIO AMBIENTE</v>
      </c>
      <c r="D512" s="4" t="str">
        <f>IFERROR(VLOOKUP(A512,Colaboradores!A:D,4,),"")</f>
        <v>ANALISTA DE MEIO AMBIENTE</v>
      </c>
      <c r="E512" s="4" t="s">
        <v>25</v>
      </c>
      <c r="F512" s="5" t="str">
        <f>IFERROR(VLOOKUP(E512,Procedimentos!A:C,2,),"")</f>
        <v>GARANTIA DA QUALIDADE</v>
      </c>
      <c r="G512" s="4" t="s">
        <v>22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4.25" customHeight="1">
      <c r="A513" s="4">
        <v>14246</v>
      </c>
      <c r="B513" s="4" t="str">
        <f>IFERROR(VLOOKUP(A513,Colaboradores!A:D,2,),"")</f>
        <v>THIALISSON SILVA MORAES</v>
      </c>
      <c r="C513" s="4" t="str">
        <f>IFERROR(VLOOKUP(A513,Colaboradores!A:D,3,),"")</f>
        <v>MEIO AMBIENTE</v>
      </c>
      <c r="D513" s="4" t="str">
        <f>IFERROR(VLOOKUP(A513,Colaboradores!A:D,4,),"")</f>
        <v>ANALISTA DE MEIO AMBIENTE</v>
      </c>
      <c r="E513" s="4" t="s">
        <v>26</v>
      </c>
      <c r="F513" s="5" t="str">
        <f>IFERROR(VLOOKUP(E513,Procedimentos!A:C,2,),"")</f>
        <v>RESPONSABILIDADES E AUTORIDADES DO SGQ</v>
      </c>
      <c r="G513" s="4" t="s">
        <v>22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4.25" customHeight="1">
      <c r="A514" s="4">
        <v>14246</v>
      </c>
      <c r="B514" s="4" t="str">
        <f>IFERROR(VLOOKUP(A514,Colaboradores!A:D,2,),"")</f>
        <v>THIALISSON SILVA MORAES</v>
      </c>
      <c r="C514" s="4" t="str">
        <f>IFERROR(VLOOKUP(A514,Colaboradores!A:D,3,),"")</f>
        <v>MEIO AMBIENTE</v>
      </c>
      <c r="D514" s="4" t="str">
        <f>IFERROR(VLOOKUP(A514,Colaboradores!A:D,4,),"")</f>
        <v>ANALISTA DE MEIO AMBIENTE</v>
      </c>
      <c r="E514" s="4" t="s">
        <v>73</v>
      </c>
      <c r="F514" s="5" t="str">
        <f>IFERROR(VLOOKUP(E514,Procedimentos!A:C,2,),"")</f>
        <v>AQUISIÇÃO DE BENS E SERVIÇOS E AVALIAÇÃO PROVEDORES EXTERNOS</v>
      </c>
      <c r="G514" s="4" t="s">
        <v>22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4.25" customHeight="1">
      <c r="A515" s="4">
        <v>14246</v>
      </c>
      <c r="B515" s="4" t="str">
        <f>IFERROR(VLOOKUP(A515,Colaboradores!A:D,2,),"")</f>
        <v>THIALISSON SILVA MORAES</v>
      </c>
      <c r="C515" s="4" t="str">
        <f>IFERROR(VLOOKUP(A515,Colaboradores!A:D,3,),"")</f>
        <v>MEIO AMBIENTE</v>
      </c>
      <c r="D515" s="4" t="str">
        <f>IFERROR(VLOOKUP(A515,Colaboradores!A:D,4,),"")</f>
        <v>ANALISTA DE MEIO AMBIENTE</v>
      </c>
      <c r="E515" s="4" t="s">
        <v>79</v>
      </c>
      <c r="F515" s="5" t="str">
        <f>IFERROR(VLOOKUP(E515,Procedimentos!A:C,2,),"")</f>
        <v>ABERTURA DE PROCESSO DE PAGAMENTO</v>
      </c>
      <c r="G515" s="4" t="s">
        <v>22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4.25" customHeight="1">
      <c r="A516" s="4">
        <v>14246</v>
      </c>
      <c r="B516" s="4" t="str">
        <f>IFERROR(VLOOKUP(A516,Colaboradores!A:D,2,),"")</f>
        <v>THIALISSON SILVA MORAES</v>
      </c>
      <c r="C516" s="4" t="str">
        <f>IFERROR(VLOOKUP(A516,Colaboradores!A:D,3,),"")</f>
        <v>MEIO AMBIENTE</v>
      </c>
      <c r="D516" s="4" t="str">
        <f>IFERROR(VLOOKUP(A516,Colaboradores!A:D,4,),"")</f>
        <v>ANALISTA DE MEIO AMBIENTE</v>
      </c>
      <c r="E516" s="4" t="s">
        <v>48</v>
      </c>
      <c r="F516" s="5" t="str">
        <f>IFERROR(VLOOKUP(E516,Procedimentos!A:C,2,),"")</f>
        <v>POLÍTICA MEIO AMBIENTE EMSERH</v>
      </c>
      <c r="G516" s="4" t="s">
        <v>22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4.25" customHeight="1">
      <c r="A517" s="4">
        <v>14246</v>
      </c>
      <c r="B517" s="4" t="str">
        <f>IFERROR(VLOOKUP(A517,Colaboradores!A:D,2,),"")</f>
        <v>THIALISSON SILVA MORAES</v>
      </c>
      <c r="C517" s="4" t="str">
        <f>IFERROR(VLOOKUP(A517,Colaboradores!A:D,3,),"")</f>
        <v>MEIO AMBIENTE</v>
      </c>
      <c r="D517" s="4" t="str">
        <f>IFERROR(VLOOKUP(A517,Colaboradores!A:D,4,),"")</f>
        <v>ANALISTA DE MEIO AMBIENTE</v>
      </c>
      <c r="E517" s="4" t="s">
        <v>29</v>
      </c>
      <c r="F517" s="5" t="str">
        <f>IFERROR(VLOOKUP(E517,Procedimentos!A:C,2,),"")</f>
        <v>COLETA SELETIVA DESSMA</v>
      </c>
      <c r="G517" s="4" t="s">
        <v>22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4.25" customHeight="1">
      <c r="A518" s="4">
        <v>14246</v>
      </c>
      <c r="B518" s="4" t="str">
        <f>IFERROR(VLOOKUP(A518,Colaboradores!A:D,2,),"")</f>
        <v>THIALISSON SILVA MORAES</v>
      </c>
      <c r="C518" s="4" t="str">
        <f>IFERROR(VLOOKUP(A518,Colaboradores!A:D,3,),"")</f>
        <v>MEIO AMBIENTE</v>
      </c>
      <c r="D518" s="4" t="str">
        <f>IFERROR(VLOOKUP(A518,Colaboradores!A:D,4,),"")</f>
        <v>ANALISTA DE MEIO AMBIENTE</v>
      </c>
      <c r="E518" s="4" t="s">
        <v>36</v>
      </c>
      <c r="F518" s="5" t="str">
        <f>IFERROR(VLOOKUP(E518,Procedimentos!A:C,2,),"")</f>
        <v>GESTÃO DE PRODUTOS QUÍMICOS</v>
      </c>
      <c r="G518" s="4" t="s">
        <v>22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4.25" customHeight="1">
      <c r="A519" s="4">
        <v>14246</v>
      </c>
      <c r="B519" s="4" t="str">
        <f>IFERROR(VLOOKUP(A519,Colaboradores!A:D,2,),"")</f>
        <v>THIALISSON SILVA MORAES</v>
      </c>
      <c r="C519" s="4" t="str">
        <f>IFERROR(VLOOKUP(A519,Colaboradores!A:D,3,),"")</f>
        <v>MEIO AMBIENTE</v>
      </c>
      <c r="D519" s="4" t="str">
        <f>IFERROR(VLOOKUP(A519,Colaboradores!A:D,4,),"")</f>
        <v>ANALISTA DE MEIO AMBIENTE</v>
      </c>
      <c r="E519" s="4" t="s">
        <v>32</v>
      </c>
      <c r="F519" s="5" t="str">
        <f>IFERROR(VLOOKUP(E519,Procedimentos!A:C,2,),"")</f>
        <v>GESTÃO DE LEVANTAMENTO DE ASPECTOS E IMPACTOS AMBIENTAIS</v>
      </c>
      <c r="G519" s="4" t="s">
        <v>22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4.25" customHeight="1">
      <c r="A520" s="4">
        <v>14246</v>
      </c>
      <c r="B520" s="4" t="str">
        <f>IFERROR(VLOOKUP(A520,Colaboradores!A:D,2,),"")</f>
        <v>THIALISSON SILVA MORAES</v>
      </c>
      <c r="C520" s="4" t="str">
        <f>IFERROR(VLOOKUP(A520,Colaboradores!A:D,3,),"")</f>
        <v>MEIO AMBIENTE</v>
      </c>
      <c r="D520" s="4" t="str">
        <f>IFERROR(VLOOKUP(A520,Colaboradores!A:D,4,),"")</f>
        <v>ANALISTA DE MEIO AMBIENTE</v>
      </c>
      <c r="E520" s="4" t="s">
        <v>31</v>
      </c>
      <c r="F520" s="5" t="str">
        <f>IFERROR(VLOOKUP(E520,Procedimentos!A:C,2,),"")</f>
        <v>GESTÃO DE COMUNICAÇÃO, CLASSIFICAÇÃO E INVESTIGAÇÃO DE OCORRÊNCIAS AMBIENTAIS</v>
      </c>
      <c r="G520" s="4" t="s">
        <v>22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4.25" customHeight="1">
      <c r="A521" s="4">
        <v>14246</v>
      </c>
      <c r="B521" s="4" t="str">
        <f>IFERROR(VLOOKUP(A521,Colaboradores!A:D,2,),"")</f>
        <v>THIALISSON SILVA MORAES</v>
      </c>
      <c r="C521" s="4" t="str">
        <f>IFERROR(VLOOKUP(A521,Colaboradores!A:D,3,),"")</f>
        <v>MEIO AMBIENTE</v>
      </c>
      <c r="D521" s="4" t="str">
        <f>IFERROR(VLOOKUP(A521,Colaboradores!A:D,4,),"")</f>
        <v>ANALISTA DE MEIO AMBIENTE</v>
      </c>
      <c r="E521" s="4" t="s">
        <v>33</v>
      </c>
      <c r="F521" s="5" t="str">
        <f>IFERROR(VLOOKUP(E521,Procedimentos!A:C,2,),"")</f>
        <v>GESTÃO DE INSPEÇÕES AMBIENTAIS</v>
      </c>
      <c r="G521" s="4" t="s">
        <v>22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4.25" customHeight="1">
      <c r="A522" s="4">
        <v>14246</v>
      </c>
      <c r="B522" s="4" t="str">
        <f>IFERROR(VLOOKUP(A522,Colaboradores!A:D,2,),"")</f>
        <v>THIALISSON SILVA MORAES</v>
      </c>
      <c r="C522" s="4" t="str">
        <f>IFERROR(VLOOKUP(A522,Colaboradores!A:D,3,),"")</f>
        <v>MEIO AMBIENTE</v>
      </c>
      <c r="D522" s="4" t="str">
        <f>IFERROR(VLOOKUP(A522,Colaboradores!A:D,4,),"")</f>
        <v>ANALISTA DE MEIO AMBIENTE</v>
      </c>
      <c r="E522" s="4" t="s">
        <v>39</v>
      </c>
      <c r="F522" s="5" t="str">
        <f>IFERROR(VLOOKUP(E522,Procedimentos!A:C,2,),"")</f>
        <v>GESTÃO DE ÁGUAS E EFLUENTES</v>
      </c>
      <c r="G522" s="4" t="s">
        <v>22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4.25" customHeight="1">
      <c r="A523" s="4">
        <v>14246</v>
      </c>
      <c r="B523" s="4" t="str">
        <f>IFERROR(VLOOKUP(A523,Colaboradores!A:D,2,),"")</f>
        <v>THIALISSON SILVA MORAES</v>
      </c>
      <c r="C523" s="4" t="str">
        <f>IFERROR(VLOOKUP(A523,Colaboradores!A:D,3,),"")</f>
        <v>MEIO AMBIENTE</v>
      </c>
      <c r="D523" s="4" t="str">
        <f>IFERROR(VLOOKUP(A523,Colaboradores!A:D,4,),"")</f>
        <v>ANALISTA DE MEIO AMBIENTE</v>
      </c>
      <c r="E523" s="4" t="s">
        <v>34</v>
      </c>
      <c r="F523" s="5" t="str">
        <f>IFERROR(VLOOKUP(E523,Procedimentos!A:C,2,),"")</f>
        <v>GESTÃO DE LICENCIAMENTO AMBIENTAL</v>
      </c>
      <c r="G523" s="4" t="s">
        <v>22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4.25" customHeight="1">
      <c r="A524" s="4">
        <v>14246</v>
      </c>
      <c r="B524" s="4" t="str">
        <f>IFERROR(VLOOKUP(A524,Colaboradores!A:D,2,),"")</f>
        <v>THIALISSON SILVA MORAES</v>
      </c>
      <c r="C524" s="4" t="str">
        <f>IFERROR(VLOOKUP(A524,Colaboradores!A:D,3,),"")</f>
        <v>MEIO AMBIENTE</v>
      </c>
      <c r="D524" s="4" t="str">
        <f>IFERROR(VLOOKUP(A524,Colaboradores!A:D,4,),"")</f>
        <v>ANALISTA DE MEIO AMBIENTE</v>
      </c>
      <c r="E524" s="4" t="s">
        <v>38</v>
      </c>
      <c r="F524" s="5" t="str">
        <f>IFERROR(VLOOKUP(E524,Procedimentos!A:C,2,),"")</f>
        <v>GESTÃO DE CONDICIONANTES DE LICENCIAMENTO AMBIENTAL</v>
      </c>
      <c r="G524" s="4" t="s">
        <v>22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4.25" customHeight="1">
      <c r="A525" s="4">
        <v>14246</v>
      </c>
      <c r="B525" s="4" t="str">
        <f>IFERROR(VLOOKUP(A525,Colaboradores!A:D,2,),"")</f>
        <v>THIALISSON SILVA MORAES</v>
      </c>
      <c r="C525" s="4" t="str">
        <f>IFERROR(VLOOKUP(A525,Colaboradores!A:D,3,),"")</f>
        <v>MEIO AMBIENTE</v>
      </c>
      <c r="D525" s="4" t="str">
        <f>IFERROR(VLOOKUP(A525,Colaboradores!A:D,4,),"")</f>
        <v>ANALISTA DE MEIO AMBIENTE</v>
      </c>
      <c r="E525" s="4" t="s">
        <v>37</v>
      </c>
      <c r="F525" s="5" t="str">
        <f>IFERROR(VLOOKUP(E525,Procedimentos!A:C,2,),"")</f>
        <v>GESTÃO DE RESÍDUOS SÓLIDOS DE SERVIÇOS DE SAÚDE</v>
      </c>
      <c r="G525" s="4" t="s">
        <v>22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4.25" customHeight="1">
      <c r="A526" s="4">
        <v>14246</v>
      </c>
      <c r="B526" s="4" t="str">
        <f>IFERROR(VLOOKUP(A526,Colaboradores!A:D,2,),"")</f>
        <v>THIALISSON SILVA MORAES</v>
      </c>
      <c r="C526" s="4" t="str">
        <f>IFERROR(VLOOKUP(A526,Colaboradores!A:D,3,),"")</f>
        <v>MEIO AMBIENTE</v>
      </c>
      <c r="D526" s="4" t="str">
        <f>IFERROR(VLOOKUP(A526,Colaboradores!A:D,4,),"")</f>
        <v>ANALISTA DE MEIO AMBIENTE</v>
      </c>
      <c r="E526" s="4" t="s">
        <v>35</v>
      </c>
      <c r="F526" s="5" t="str">
        <f>IFERROR(VLOOKUP(E526,Procedimentos!A:C,2,),"")</f>
        <v>PROCEDIMENTO DE AFERIÇÃO DE FUMAÇA PRETA</v>
      </c>
      <c r="G526" s="4" t="s">
        <v>22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4.25" customHeight="1">
      <c r="A527" s="4">
        <v>14246</v>
      </c>
      <c r="B527" s="4" t="str">
        <f>IFERROR(VLOOKUP(A527,Colaboradores!A:D,2,),"")</f>
        <v>THIALISSON SILVA MORAES</v>
      </c>
      <c r="C527" s="4" t="str">
        <f>IFERROR(VLOOKUP(A527,Colaboradores!A:D,3,),"")</f>
        <v>MEIO AMBIENTE</v>
      </c>
      <c r="D527" s="4" t="str">
        <f>IFERROR(VLOOKUP(A527,Colaboradores!A:D,4,),"")</f>
        <v>ANALISTA DE MEIO AMBIENTE</v>
      </c>
      <c r="E527" s="4" t="s">
        <v>49</v>
      </c>
      <c r="F527" s="5" t="str">
        <f>IFERROR(VLOOKUP(E527,Procedimentos!A:C,2,),"")</f>
        <v>DIRETRIZES PARA REALIZAÇÃO DE EXAMES OCUPACIONAIS</v>
      </c>
      <c r="G527" s="4" t="s">
        <v>22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4.25" customHeight="1">
      <c r="A528" s="4">
        <v>14246</v>
      </c>
      <c r="B528" s="4" t="str">
        <f>IFERROR(VLOOKUP(A528,Colaboradores!A:D,2,),"")</f>
        <v>THIALISSON SILVA MORAES</v>
      </c>
      <c r="C528" s="4" t="str">
        <f>IFERROR(VLOOKUP(A528,Colaboradores!A:D,3,),"")</f>
        <v>MEIO AMBIENTE</v>
      </c>
      <c r="D528" s="4" t="str">
        <f>IFERROR(VLOOKUP(A528,Colaboradores!A:D,4,),"")</f>
        <v>ANALISTA DE MEIO AMBIENTE</v>
      </c>
      <c r="E528" s="4" t="s">
        <v>51</v>
      </c>
      <c r="F528" s="5" t="str">
        <f>IFERROR(VLOOKUP(E528,Procedimentos!A:C,2,),"")</f>
        <v>DIRETRIZES PARA ENTREGA DE ATESTADOS MÉDICOS E ODONTOLÓGICOS</v>
      </c>
      <c r="G528" s="4" t="s">
        <v>22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4.25" customHeight="1">
      <c r="A529" s="4">
        <v>14246</v>
      </c>
      <c r="B529" s="4" t="str">
        <f>IFERROR(VLOOKUP(A529,Colaboradores!A:D,2,),"")</f>
        <v>THIALISSON SILVA MORAES</v>
      </c>
      <c r="C529" s="4" t="str">
        <f>IFERROR(VLOOKUP(A529,Colaboradores!A:D,3,),"")</f>
        <v>MEIO AMBIENTE</v>
      </c>
      <c r="D529" s="4" t="str">
        <f>IFERROR(VLOOKUP(A529,Colaboradores!A:D,4,),"")</f>
        <v>ANALISTA DE MEIO AMBIENTE</v>
      </c>
      <c r="E529" s="4" t="s">
        <v>52</v>
      </c>
      <c r="F529" s="5" t="str">
        <f>IFERROR(VLOOKUP(E529,Procedimentos!A:C,2,),"")</f>
        <v>DIRETRIZES E ACOMPANHAMENTO  DE ACIDENTE COM MATERIAL BIOLOGICO</v>
      </c>
      <c r="G529" s="4" t="s">
        <v>22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4.25" customHeight="1">
      <c r="A530" s="4">
        <v>14246</v>
      </c>
      <c r="B530" s="4" t="str">
        <f>IFERROR(VLOOKUP(A530,Colaboradores!A:D,2,),"")</f>
        <v>THIALISSON SILVA MORAES</v>
      </c>
      <c r="C530" s="4" t="str">
        <f>IFERROR(VLOOKUP(A530,Colaboradores!A:D,3,),"")</f>
        <v>MEIO AMBIENTE</v>
      </c>
      <c r="D530" s="4" t="str">
        <f>IFERROR(VLOOKUP(A530,Colaboradores!A:D,4,),"")</f>
        <v>ANALISTA DE MEIO AMBIENTE</v>
      </c>
      <c r="E530" s="4" t="s">
        <v>53</v>
      </c>
      <c r="F530" s="5" t="str">
        <f>IFERROR(VLOOKUP(E530,Procedimentos!A:C,2,),"")</f>
        <v>DIRETRIZES PARA MONITORAMENTO DE GESTANTE</v>
      </c>
      <c r="G530" s="4" t="s">
        <v>22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4.25" customHeight="1">
      <c r="A531" s="4">
        <v>14246</v>
      </c>
      <c r="B531" s="4" t="str">
        <f>IFERROR(VLOOKUP(A531,Colaboradores!A:D,2,),"")</f>
        <v>THIALISSON SILVA MORAES</v>
      </c>
      <c r="C531" s="4" t="str">
        <f>IFERROR(VLOOKUP(A531,Colaboradores!A:D,3,),"")</f>
        <v>MEIO AMBIENTE</v>
      </c>
      <c r="D531" s="4" t="str">
        <f>IFERROR(VLOOKUP(A531,Colaboradores!A:D,4,),"")</f>
        <v>ANALISTA DE MEIO AMBIENTE</v>
      </c>
      <c r="E531" s="4" t="s">
        <v>54</v>
      </c>
      <c r="F531" s="5" t="str">
        <f>IFERROR(VLOOKUP(E531,Procedimentos!A:C,2,),"")</f>
        <v>DIRETRIZES DE IMUNIZAÇÃO OCUPACIONAL</v>
      </c>
      <c r="G531" s="4" t="s">
        <v>22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4.25" customHeight="1">
      <c r="A532" s="4">
        <v>14246</v>
      </c>
      <c r="B532" s="4" t="str">
        <f>IFERROR(VLOOKUP(A532,Colaboradores!A:D,2,),"")</f>
        <v>THIALISSON SILVA MORAES</v>
      </c>
      <c r="C532" s="4" t="str">
        <f>IFERROR(VLOOKUP(A532,Colaboradores!A:D,3,),"")</f>
        <v>MEIO AMBIENTE</v>
      </c>
      <c r="D532" s="4" t="str">
        <f>IFERROR(VLOOKUP(A532,Colaboradores!A:D,4,),"")</f>
        <v>ANALISTA DE MEIO AMBIENTE</v>
      </c>
      <c r="E532" s="4" t="s">
        <v>55</v>
      </c>
      <c r="F532" s="5" t="str">
        <f>IFERROR(VLOOKUP(E532,Procedimentos!A:C,2,),"")</f>
        <v>DIRETRIZES PARA ACOMPANHAMENTO DE AFASTADOS</v>
      </c>
      <c r="G532" s="4" t="s">
        <v>22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4.25" customHeight="1">
      <c r="A533" s="4">
        <v>14246</v>
      </c>
      <c r="B533" s="4" t="str">
        <f>IFERROR(VLOOKUP(A533,Colaboradores!A:D,2,),"")</f>
        <v>THIALISSON SILVA MORAES</v>
      </c>
      <c r="C533" s="4" t="str">
        <f>IFERROR(VLOOKUP(A533,Colaboradores!A:D,3,),"")</f>
        <v>MEIO AMBIENTE</v>
      </c>
      <c r="D533" s="4" t="str">
        <f>IFERROR(VLOOKUP(A533,Colaboradores!A:D,4,),"")</f>
        <v>ANALISTA DE MEIO AMBIENTE</v>
      </c>
      <c r="E533" s="4" t="s">
        <v>46</v>
      </c>
      <c r="F533" s="5" t="str">
        <f>IFERROR(VLOOKUP(E533,Procedimentos!A:C,2,),"")</f>
        <v>POLÍTICA DE SAÚDE E SEGURANÇA DO TRABALHO EMSERH</v>
      </c>
      <c r="G533" s="4" t="s">
        <v>22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4.25" customHeight="1">
      <c r="A534" s="4">
        <v>14246</v>
      </c>
      <c r="B534" s="4" t="str">
        <f>IFERROR(VLOOKUP(A534,Colaboradores!A:D,2,),"")</f>
        <v>THIALISSON SILVA MORAES</v>
      </c>
      <c r="C534" s="4" t="str">
        <f>IFERROR(VLOOKUP(A534,Colaboradores!A:D,3,),"")</f>
        <v>MEIO AMBIENTE</v>
      </c>
      <c r="D534" s="4" t="str">
        <f>IFERROR(VLOOKUP(A534,Colaboradores!A:D,4,),"")</f>
        <v>ANALISTA DE MEIO AMBIENTE</v>
      </c>
      <c r="E534" s="4" t="s">
        <v>41</v>
      </c>
      <c r="F534" s="5" t="str">
        <f>IFERROR(VLOOKUP(E534,Procedimentos!A:C,2,),"")</f>
        <v>DIRETRIZES PARA COMUNICAÇÃO E INVESTIGAÇÃO DE ACIDENTES</v>
      </c>
      <c r="G534" s="4" t="s">
        <v>22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4.25" customHeight="1">
      <c r="A535" s="4">
        <v>14246</v>
      </c>
      <c r="B535" s="4" t="str">
        <f>IFERROR(VLOOKUP(A535,Colaboradores!A:D,2,),"")</f>
        <v>THIALISSON SILVA MORAES</v>
      </c>
      <c r="C535" s="4" t="str">
        <f>IFERROR(VLOOKUP(A535,Colaboradores!A:D,3,),"")</f>
        <v>MEIO AMBIENTE</v>
      </c>
      <c r="D535" s="4" t="str">
        <f>IFERROR(VLOOKUP(A535,Colaboradores!A:D,4,),"")</f>
        <v>ANALISTA DE MEIO AMBIENTE</v>
      </c>
      <c r="E535" s="4" t="s">
        <v>43</v>
      </c>
      <c r="F535" s="5" t="str">
        <f>IFERROR(VLOOKUP(E535,Procedimentos!A:C,2,),"")</f>
        <v>DIÁLOGO DE SAÚDE E SEGURANÇA - DSS</v>
      </c>
      <c r="G535" s="4" t="s">
        <v>22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4.25" customHeight="1">
      <c r="A536" s="4">
        <v>14246</v>
      </c>
      <c r="B536" s="4" t="str">
        <f>IFERROR(VLOOKUP(A536,Colaboradores!A:D,2,),"")</f>
        <v>THIALISSON SILVA MORAES</v>
      </c>
      <c r="C536" s="4" t="str">
        <f>IFERROR(VLOOKUP(A536,Colaboradores!A:D,3,),"")</f>
        <v>MEIO AMBIENTE</v>
      </c>
      <c r="D536" s="4" t="str">
        <f>IFERROR(VLOOKUP(A536,Colaboradores!A:D,4,),"")</f>
        <v>ANALISTA DE MEIO AMBIENTE</v>
      </c>
      <c r="E536" s="4" t="s">
        <v>44</v>
      </c>
      <c r="F536" s="5" t="str">
        <f>IFERROR(VLOOKUP(E536,Procedimentos!A:C,2,),"")</f>
        <v>DIRETRIZES PARA GESTÃO DE EQUIPAMENTOS DE PROTEÇÃO INDIVIDUAL - EPI'S</v>
      </c>
      <c r="G536" s="4" t="s">
        <v>22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4.25" customHeight="1">
      <c r="A537" s="4">
        <v>14246</v>
      </c>
      <c r="B537" s="4" t="str">
        <f>IFERROR(VLOOKUP(A537,Colaboradores!A:D,2,),"")</f>
        <v>THIALISSON SILVA MORAES</v>
      </c>
      <c r="C537" s="4" t="str">
        <f>IFERROR(VLOOKUP(A537,Colaboradores!A:D,3,),"")</f>
        <v>MEIO AMBIENTE</v>
      </c>
      <c r="D537" s="4" t="str">
        <f>IFERROR(VLOOKUP(A537,Colaboradores!A:D,4,),"")</f>
        <v>ANALISTA DE MEIO AMBIENTE</v>
      </c>
      <c r="E537" s="4" t="s">
        <v>45</v>
      </c>
      <c r="F537" s="5" t="str">
        <f>IFERROR(VLOOKUP(E537,Procedimentos!A:C,2,),"")</f>
        <v>CONSTITUIÇÃO INTERNA DE PREVENÇÃO DE ACIDENTES E DE ASSÉDIOS - CIPA</v>
      </c>
      <c r="G537" s="4" t="s">
        <v>22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4.25" customHeight="1">
      <c r="A538" s="4">
        <v>14526</v>
      </c>
      <c r="B538" s="4" t="str">
        <f>IFERROR(VLOOKUP(A538,Colaboradores!A:D,2,),"")</f>
        <v>VINNICYUS ANTONIO DE CARVALHO RIBEIRO</v>
      </c>
      <c r="C538" s="4" t="str">
        <f>IFERROR(VLOOKUP(A538,Colaboradores!A:D,3,),"")</f>
        <v>MEIO AMBIENTE</v>
      </c>
      <c r="D538" s="4" t="str">
        <f>IFERROR(VLOOKUP(A538,Colaboradores!A:D,4,),"")</f>
        <v>ENGENHEIRO DE MEIO AMBIENTE</v>
      </c>
      <c r="E538" s="4" t="s">
        <v>58</v>
      </c>
      <c r="F538" s="5" t="str">
        <f>IFERROR(VLOOKUP(E538,Procedimentos!A:C,2,),"")</f>
        <v>POLÍTICA DE QUALIDADE DA DIRETORIA</v>
      </c>
      <c r="G538" s="4" t="s">
        <v>22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4.25" customHeight="1">
      <c r="A539" s="4">
        <v>14526</v>
      </c>
      <c r="B539" s="4" t="str">
        <f>IFERROR(VLOOKUP(A539,Colaboradores!A:D,2,),"")</f>
        <v>VINNICYUS ANTONIO DE CARVALHO RIBEIRO</v>
      </c>
      <c r="C539" s="4" t="str">
        <f>IFERROR(VLOOKUP(A539,Colaboradores!A:D,3,),"")</f>
        <v>MEIO AMBIENTE</v>
      </c>
      <c r="D539" s="4" t="str">
        <f>IFERROR(VLOOKUP(A539,Colaboradores!A:D,4,),"")</f>
        <v>ENGENHEIRO DE MEIO AMBIENTE</v>
      </c>
      <c r="E539" s="4" t="s">
        <v>19</v>
      </c>
      <c r="F539" s="5" t="str">
        <f>IFERROR(VLOOKUP(E539,Procedimentos!A:C,2,),"")</f>
        <v>DIRETRIZES PARA DOCUMENTOS NORMATIVOS</v>
      </c>
      <c r="G539" s="4" t="s">
        <v>22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4.25" customHeight="1">
      <c r="A540" s="4">
        <v>14526</v>
      </c>
      <c r="B540" s="4" t="str">
        <f>IFERROR(VLOOKUP(A540,Colaboradores!A:D,2,),"")</f>
        <v>VINNICYUS ANTONIO DE CARVALHO RIBEIRO</v>
      </c>
      <c r="C540" s="4" t="str">
        <f>IFERROR(VLOOKUP(A540,Colaboradores!A:D,3,),"")</f>
        <v>MEIO AMBIENTE</v>
      </c>
      <c r="D540" s="4" t="str">
        <f>IFERROR(VLOOKUP(A540,Colaboradores!A:D,4,),"")</f>
        <v>ENGENHEIRO DE MEIO AMBIENTE</v>
      </c>
      <c r="E540" s="4" t="s">
        <v>24</v>
      </c>
      <c r="F540" s="5" t="str">
        <f>IFERROR(VLOOKUP(E540,Procedimentos!A:C,2,),"")</f>
        <v>DIRETRIZES  PARA PROGRAMA 5S</v>
      </c>
      <c r="G540" s="4" t="s">
        <v>22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4.25" customHeight="1">
      <c r="A541" s="4">
        <v>14526</v>
      </c>
      <c r="B541" s="4" t="str">
        <f>IFERROR(VLOOKUP(A541,Colaboradores!A:D,2,),"")</f>
        <v>VINNICYUS ANTONIO DE CARVALHO RIBEIRO</v>
      </c>
      <c r="C541" s="4" t="str">
        <f>IFERROR(VLOOKUP(A541,Colaboradores!A:D,3,),"")</f>
        <v>MEIO AMBIENTE</v>
      </c>
      <c r="D541" s="4" t="str">
        <f>IFERROR(VLOOKUP(A541,Colaboradores!A:D,4,),"")</f>
        <v>ENGENHEIRO DE MEIO AMBIENTE</v>
      </c>
      <c r="E541" s="4" t="s">
        <v>25</v>
      </c>
      <c r="F541" s="5" t="str">
        <f>IFERROR(VLOOKUP(E541,Procedimentos!A:C,2,),"")</f>
        <v>GARANTIA DA QUALIDADE</v>
      </c>
      <c r="G541" s="4" t="s">
        <v>22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4.25" customHeight="1">
      <c r="A542" s="4">
        <v>14526</v>
      </c>
      <c r="B542" s="4" t="str">
        <f>IFERROR(VLOOKUP(A542,Colaboradores!A:D,2,),"")</f>
        <v>VINNICYUS ANTONIO DE CARVALHO RIBEIRO</v>
      </c>
      <c r="C542" s="4" t="str">
        <f>IFERROR(VLOOKUP(A542,Colaboradores!A:D,3,),"")</f>
        <v>MEIO AMBIENTE</v>
      </c>
      <c r="D542" s="4" t="str">
        <f>IFERROR(VLOOKUP(A542,Colaboradores!A:D,4,),"")</f>
        <v>ENGENHEIRO DE MEIO AMBIENTE</v>
      </c>
      <c r="E542" s="4" t="s">
        <v>26</v>
      </c>
      <c r="F542" s="5" t="str">
        <f>IFERROR(VLOOKUP(E542,Procedimentos!A:C,2,),"")</f>
        <v>RESPONSABILIDADES E AUTORIDADES DO SGQ</v>
      </c>
      <c r="G542" s="4" t="s">
        <v>22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4.25" customHeight="1">
      <c r="A543" s="4">
        <v>14526</v>
      </c>
      <c r="B543" s="4" t="str">
        <f>IFERROR(VLOOKUP(A543,Colaboradores!A:D,2,),"")</f>
        <v>VINNICYUS ANTONIO DE CARVALHO RIBEIRO</v>
      </c>
      <c r="C543" s="4" t="str">
        <f>IFERROR(VLOOKUP(A543,Colaboradores!A:D,3,),"")</f>
        <v>MEIO AMBIENTE</v>
      </c>
      <c r="D543" s="4" t="str">
        <f>IFERROR(VLOOKUP(A543,Colaboradores!A:D,4,),"")</f>
        <v>ENGENHEIRO DE MEIO AMBIENTE</v>
      </c>
      <c r="E543" s="4" t="s">
        <v>73</v>
      </c>
      <c r="F543" s="5" t="str">
        <f>IFERROR(VLOOKUP(E543,Procedimentos!A:C,2,),"")</f>
        <v>AQUISIÇÃO DE BENS E SERVIÇOS E AVALIAÇÃO PROVEDORES EXTERNOS</v>
      </c>
      <c r="G543" s="4" t="s">
        <v>22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4.25" customHeight="1">
      <c r="A544" s="4">
        <v>14526</v>
      </c>
      <c r="B544" s="4" t="str">
        <f>IFERROR(VLOOKUP(A544,Colaboradores!A:D,2,),"")</f>
        <v>VINNICYUS ANTONIO DE CARVALHO RIBEIRO</v>
      </c>
      <c r="C544" s="4" t="str">
        <f>IFERROR(VLOOKUP(A544,Colaboradores!A:D,3,),"")</f>
        <v>MEIO AMBIENTE</v>
      </c>
      <c r="D544" s="4" t="str">
        <f>IFERROR(VLOOKUP(A544,Colaboradores!A:D,4,),"")</f>
        <v>ENGENHEIRO DE MEIO AMBIENTE</v>
      </c>
      <c r="E544" s="4" t="s">
        <v>79</v>
      </c>
      <c r="F544" s="5" t="str">
        <f>IFERROR(VLOOKUP(E544,Procedimentos!A:C,2,),"")</f>
        <v>ABERTURA DE PROCESSO DE PAGAMENTO</v>
      </c>
      <c r="G544" s="4" t="s">
        <v>22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4.25" customHeight="1">
      <c r="A545" s="4">
        <v>14526</v>
      </c>
      <c r="B545" s="4" t="str">
        <f>IFERROR(VLOOKUP(A545,Colaboradores!A:D,2,),"")</f>
        <v>VINNICYUS ANTONIO DE CARVALHO RIBEIRO</v>
      </c>
      <c r="C545" s="4" t="str">
        <f>IFERROR(VLOOKUP(A545,Colaboradores!A:D,3,),"")</f>
        <v>MEIO AMBIENTE</v>
      </c>
      <c r="D545" s="4" t="str">
        <f>IFERROR(VLOOKUP(A545,Colaboradores!A:D,4,),"")</f>
        <v>ENGENHEIRO DE MEIO AMBIENTE</v>
      </c>
      <c r="E545" s="4" t="s">
        <v>48</v>
      </c>
      <c r="F545" s="5" t="str">
        <f>IFERROR(VLOOKUP(E545,Procedimentos!A:C,2,),"")</f>
        <v>POLÍTICA MEIO AMBIENTE EMSERH</v>
      </c>
      <c r="G545" s="4" t="s">
        <v>22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4.25" customHeight="1">
      <c r="A546" s="4">
        <v>14526</v>
      </c>
      <c r="B546" s="4" t="str">
        <f>IFERROR(VLOOKUP(A546,Colaboradores!A:D,2,),"")</f>
        <v>VINNICYUS ANTONIO DE CARVALHO RIBEIRO</v>
      </c>
      <c r="C546" s="4" t="str">
        <f>IFERROR(VLOOKUP(A546,Colaboradores!A:D,3,),"")</f>
        <v>MEIO AMBIENTE</v>
      </c>
      <c r="D546" s="4" t="str">
        <f>IFERROR(VLOOKUP(A546,Colaboradores!A:D,4,),"")</f>
        <v>ENGENHEIRO DE MEIO AMBIENTE</v>
      </c>
      <c r="E546" s="4" t="s">
        <v>29</v>
      </c>
      <c r="F546" s="5" t="str">
        <f>IFERROR(VLOOKUP(E546,Procedimentos!A:C,2,),"")</f>
        <v>COLETA SELETIVA DESSMA</v>
      </c>
      <c r="G546" s="4" t="s">
        <v>22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4.25" customHeight="1">
      <c r="A547" s="4">
        <v>14526</v>
      </c>
      <c r="B547" s="4" t="str">
        <f>IFERROR(VLOOKUP(A547,Colaboradores!A:D,2,),"")</f>
        <v>VINNICYUS ANTONIO DE CARVALHO RIBEIRO</v>
      </c>
      <c r="C547" s="4" t="str">
        <f>IFERROR(VLOOKUP(A547,Colaboradores!A:D,3,),"")</f>
        <v>MEIO AMBIENTE</v>
      </c>
      <c r="D547" s="4" t="str">
        <f>IFERROR(VLOOKUP(A547,Colaboradores!A:D,4,),"")</f>
        <v>ENGENHEIRO DE MEIO AMBIENTE</v>
      </c>
      <c r="E547" s="4" t="s">
        <v>36</v>
      </c>
      <c r="F547" s="5" t="str">
        <f>IFERROR(VLOOKUP(E547,Procedimentos!A:C,2,),"")</f>
        <v>GESTÃO DE PRODUTOS QUÍMICOS</v>
      </c>
      <c r="G547" s="4" t="s">
        <v>22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4.25" customHeight="1">
      <c r="A548" s="4">
        <v>14526</v>
      </c>
      <c r="B548" s="4" t="str">
        <f>IFERROR(VLOOKUP(A548,Colaboradores!A:D,2,),"")</f>
        <v>VINNICYUS ANTONIO DE CARVALHO RIBEIRO</v>
      </c>
      <c r="C548" s="4" t="str">
        <f>IFERROR(VLOOKUP(A548,Colaboradores!A:D,3,),"")</f>
        <v>MEIO AMBIENTE</v>
      </c>
      <c r="D548" s="4" t="str">
        <f>IFERROR(VLOOKUP(A548,Colaboradores!A:D,4,),"")</f>
        <v>ENGENHEIRO DE MEIO AMBIENTE</v>
      </c>
      <c r="E548" s="4" t="s">
        <v>32</v>
      </c>
      <c r="F548" s="5" t="str">
        <f>IFERROR(VLOOKUP(E548,Procedimentos!A:C,2,),"")</f>
        <v>GESTÃO DE LEVANTAMENTO DE ASPECTOS E IMPACTOS AMBIENTAIS</v>
      </c>
      <c r="G548" s="4" t="s">
        <v>22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4.25" customHeight="1">
      <c r="A549" s="4">
        <v>14526</v>
      </c>
      <c r="B549" s="4" t="str">
        <f>IFERROR(VLOOKUP(A549,Colaboradores!A:D,2,),"")</f>
        <v>VINNICYUS ANTONIO DE CARVALHO RIBEIRO</v>
      </c>
      <c r="C549" s="4" t="str">
        <f>IFERROR(VLOOKUP(A549,Colaboradores!A:D,3,),"")</f>
        <v>MEIO AMBIENTE</v>
      </c>
      <c r="D549" s="4" t="str">
        <f>IFERROR(VLOOKUP(A549,Colaboradores!A:D,4,),"")</f>
        <v>ENGENHEIRO DE MEIO AMBIENTE</v>
      </c>
      <c r="E549" s="4" t="s">
        <v>31</v>
      </c>
      <c r="F549" s="5" t="str">
        <f>IFERROR(VLOOKUP(E549,Procedimentos!A:C,2,),"")</f>
        <v>GESTÃO DE COMUNICAÇÃO, CLASSIFICAÇÃO E INVESTIGAÇÃO DE OCORRÊNCIAS AMBIENTAIS</v>
      </c>
      <c r="G549" s="4" t="s">
        <v>22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4.25" customHeight="1">
      <c r="A550" s="4">
        <v>14526</v>
      </c>
      <c r="B550" s="4" t="str">
        <f>IFERROR(VLOOKUP(A550,Colaboradores!A:D,2,),"")</f>
        <v>VINNICYUS ANTONIO DE CARVALHO RIBEIRO</v>
      </c>
      <c r="C550" s="4" t="str">
        <f>IFERROR(VLOOKUP(A550,Colaboradores!A:D,3,),"")</f>
        <v>MEIO AMBIENTE</v>
      </c>
      <c r="D550" s="4" t="str">
        <f>IFERROR(VLOOKUP(A550,Colaboradores!A:D,4,),"")</f>
        <v>ENGENHEIRO DE MEIO AMBIENTE</v>
      </c>
      <c r="E550" s="4" t="s">
        <v>33</v>
      </c>
      <c r="F550" s="5" t="str">
        <f>IFERROR(VLOOKUP(E550,Procedimentos!A:C,2,),"")</f>
        <v>GESTÃO DE INSPEÇÕES AMBIENTAIS</v>
      </c>
      <c r="G550" s="4" t="s">
        <v>22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4.25" customHeight="1">
      <c r="A551" s="4">
        <v>14526</v>
      </c>
      <c r="B551" s="4" t="str">
        <f>IFERROR(VLOOKUP(A551,Colaboradores!A:D,2,),"")</f>
        <v>VINNICYUS ANTONIO DE CARVALHO RIBEIRO</v>
      </c>
      <c r="C551" s="4" t="str">
        <f>IFERROR(VLOOKUP(A551,Colaboradores!A:D,3,),"")</f>
        <v>MEIO AMBIENTE</v>
      </c>
      <c r="D551" s="4" t="str">
        <f>IFERROR(VLOOKUP(A551,Colaboradores!A:D,4,),"")</f>
        <v>ENGENHEIRO DE MEIO AMBIENTE</v>
      </c>
      <c r="E551" s="4" t="s">
        <v>39</v>
      </c>
      <c r="F551" s="5" t="str">
        <f>IFERROR(VLOOKUP(E551,Procedimentos!A:C,2,),"")</f>
        <v>GESTÃO DE ÁGUAS E EFLUENTES</v>
      </c>
      <c r="G551" s="4" t="s">
        <v>22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4.25" customHeight="1">
      <c r="A552" s="4">
        <v>14526</v>
      </c>
      <c r="B552" s="4" t="str">
        <f>IFERROR(VLOOKUP(A552,Colaboradores!A:D,2,),"")</f>
        <v>VINNICYUS ANTONIO DE CARVALHO RIBEIRO</v>
      </c>
      <c r="C552" s="4" t="str">
        <f>IFERROR(VLOOKUP(A552,Colaboradores!A:D,3,),"")</f>
        <v>MEIO AMBIENTE</v>
      </c>
      <c r="D552" s="4" t="str">
        <f>IFERROR(VLOOKUP(A552,Colaboradores!A:D,4,),"")</f>
        <v>ENGENHEIRO DE MEIO AMBIENTE</v>
      </c>
      <c r="E552" s="4" t="s">
        <v>34</v>
      </c>
      <c r="F552" s="5" t="str">
        <f>IFERROR(VLOOKUP(E552,Procedimentos!A:C,2,),"")</f>
        <v>GESTÃO DE LICENCIAMENTO AMBIENTAL</v>
      </c>
      <c r="G552" s="4" t="s">
        <v>22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4.25" customHeight="1">
      <c r="A553" s="4">
        <v>14526</v>
      </c>
      <c r="B553" s="4" t="str">
        <f>IFERROR(VLOOKUP(A553,Colaboradores!A:D,2,),"")</f>
        <v>VINNICYUS ANTONIO DE CARVALHO RIBEIRO</v>
      </c>
      <c r="C553" s="4" t="str">
        <f>IFERROR(VLOOKUP(A553,Colaboradores!A:D,3,),"")</f>
        <v>MEIO AMBIENTE</v>
      </c>
      <c r="D553" s="4" t="str">
        <f>IFERROR(VLOOKUP(A553,Colaboradores!A:D,4,),"")</f>
        <v>ENGENHEIRO DE MEIO AMBIENTE</v>
      </c>
      <c r="E553" s="4" t="s">
        <v>38</v>
      </c>
      <c r="F553" s="5" t="str">
        <f>IFERROR(VLOOKUP(E553,Procedimentos!A:C,2,),"")</f>
        <v>GESTÃO DE CONDICIONANTES DE LICENCIAMENTO AMBIENTAL</v>
      </c>
      <c r="G553" s="4" t="s">
        <v>22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4.25" customHeight="1">
      <c r="A554" s="4">
        <v>14526</v>
      </c>
      <c r="B554" s="4" t="str">
        <f>IFERROR(VLOOKUP(A554,Colaboradores!A:D,2,),"")</f>
        <v>VINNICYUS ANTONIO DE CARVALHO RIBEIRO</v>
      </c>
      <c r="C554" s="4" t="str">
        <f>IFERROR(VLOOKUP(A554,Colaboradores!A:D,3,),"")</f>
        <v>MEIO AMBIENTE</v>
      </c>
      <c r="D554" s="4" t="str">
        <f>IFERROR(VLOOKUP(A554,Colaboradores!A:D,4,),"")</f>
        <v>ENGENHEIRO DE MEIO AMBIENTE</v>
      </c>
      <c r="E554" s="4" t="s">
        <v>37</v>
      </c>
      <c r="F554" s="5" t="str">
        <f>IFERROR(VLOOKUP(E554,Procedimentos!A:C,2,),"")</f>
        <v>GESTÃO DE RESÍDUOS SÓLIDOS DE SERVIÇOS DE SAÚDE</v>
      </c>
      <c r="G554" s="4" t="s">
        <v>22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4.25" customHeight="1">
      <c r="A555" s="4">
        <v>14526</v>
      </c>
      <c r="B555" s="4" t="str">
        <f>IFERROR(VLOOKUP(A555,Colaboradores!A:D,2,),"")</f>
        <v>VINNICYUS ANTONIO DE CARVALHO RIBEIRO</v>
      </c>
      <c r="C555" s="4" t="str">
        <f>IFERROR(VLOOKUP(A555,Colaboradores!A:D,3,),"")</f>
        <v>MEIO AMBIENTE</v>
      </c>
      <c r="D555" s="4" t="str">
        <f>IFERROR(VLOOKUP(A555,Colaboradores!A:D,4,),"")</f>
        <v>ENGENHEIRO DE MEIO AMBIENTE</v>
      </c>
      <c r="E555" s="4" t="s">
        <v>35</v>
      </c>
      <c r="F555" s="5" t="str">
        <f>IFERROR(VLOOKUP(E555,Procedimentos!A:C,2,),"")</f>
        <v>PROCEDIMENTO DE AFERIÇÃO DE FUMAÇA PRETA</v>
      </c>
      <c r="G555" s="4" t="s">
        <v>22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4.25" customHeight="1">
      <c r="A556" s="4">
        <v>14526</v>
      </c>
      <c r="B556" s="4" t="str">
        <f>IFERROR(VLOOKUP(A556,Colaboradores!A:D,2,),"")</f>
        <v>VINNICYUS ANTONIO DE CARVALHO RIBEIRO</v>
      </c>
      <c r="C556" s="4" t="str">
        <f>IFERROR(VLOOKUP(A556,Colaboradores!A:D,3,),"")</f>
        <v>MEIO AMBIENTE</v>
      </c>
      <c r="D556" s="4" t="str">
        <f>IFERROR(VLOOKUP(A556,Colaboradores!A:D,4,),"")</f>
        <v>ENGENHEIRO DE MEIO AMBIENTE</v>
      </c>
      <c r="E556" s="4" t="s">
        <v>49</v>
      </c>
      <c r="F556" s="5" t="str">
        <f>IFERROR(VLOOKUP(E556,Procedimentos!A:C,2,),"")</f>
        <v>DIRETRIZES PARA REALIZAÇÃO DE EXAMES OCUPACIONAIS</v>
      </c>
      <c r="G556" s="4" t="s">
        <v>22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4.25" customHeight="1">
      <c r="A557" s="4">
        <v>14526</v>
      </c>
      <c r="B557" s="4" t="str">
        <f>IFERROR(VLOOKUP(A557,Colaboradores!A:D,2,),"")</f>
        <v>VINNICYUS ANTONIO DE CARVALHO RIBEIRO</v>
      </c>
      <c r="C557" s="4" t="str">
        <f>IFERROR(VLOOKUP(A557,Colaboradores!A:D,3,),"")</f>
        <v>MEIO AMBIENTE</v>
      </c>
      <c r="D557" s="4" t="str">
        <f>IFERROR(VLOOKUP(A557,Colaboradores!A:D,4,),"")</f>
        <v>ENGENHEIRO DE MEIO AMBIENTE</v>
      </c>
      <c r="E557" s="4" t="s">
        <v>51</v>
      </c>
      <c r="F557" s="5" t="str">
        <f>IFERROR(VLOOKUP(E557,Procedimentos!A:C,2,),"")</f>
        <v>DIRETRIZES PARA ENTREGA DE ATESTADOS MÉDICOS E ODONTOLÓGICOS</v>
      </c>
      <c r="G557" s="4" t="s">
        <v>22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4.25" customHeight="1">
      <c r="A558" s="4">
        <v>14526</v>
      </c>
      <c r="B558" s="4" t="str">
        <f>IFERROR(VLOOKUP(A558,Colaboradores!A:D,2,),"")</f>
        <v>VINNICYUS ANTONIO DE CARVALHO RIBEIRO</v>
      </c>
      <c r="C558" s="4" t="str">
        <f>IFERROR(VLOOKUP(A558,Colaboradores!A:D,3,),"")</f>
        <v>MEIO AMBIENTE</v>
      </c>
      <c r="D558" s="4" t="str">
        <f>IFERROR(VLOOKUP(A558,Colaboradores!A:D,4,),"")</f>
        <v>ENGENHEIRO DE MEIO AMBIENTE</v>
      </c>
      <c r="E558" s="4" t="s">
        <v>52</v>
      </c>
      <c r="F558" s="5" t="str">
        <f>IFERROR(VLOOKUP(E558,Procedimentos!A:C,2,),"")</f>
        <v>DIRETRIZES E ACOMPANHAMENTO  DE ACIDENTE COM MATERIAL BIOLOGICO</v>
      </c>
      <c r="G558" s="4" t="s">
        <v>22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4.25" customHeight="1">
      <c r="A559" s="4">
        <v>14526</v>
      </c>
      <c r="B559" s="4" t="str">
        <f>IFERROR(VLOOKUP(A559,Colaboradores!A:D,2,),"")</f>
        <v>VINNICYUS ANTONIO DE CARVALHO RIBEIRO</v>
      </c>
      <c r="C559" s="4" t="str">
        <f>IFERROR(VLOOKUP(A559,Colaboradores!A:D,3,),"")</f>
        <v>MEIO AMBIENTE</v>
      </c>
      <c r="D559" s="4" t="str">
        <f>IFERROR(VLOOKUP(A559,Colaboradores!A:D,4,),"")</f>
        <v>ENGENHEIRO DE MEIO AMBIENTE</v>
      </c>
      <c r="E559" s="4" t="s">
        <v>53</v>
      </c>
      <c r="F559" s="5" t="str">
        <f>IFERROR(VLOOKUP(E559,Procedimentos!A:C,2,),"")</f>
        <v>DIRETRIZES PARA MONITORAMENTO DE GESTANTE</v>
      </c>
      <c r="G559" s="4" t="s">
        <v>22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4.25" customHeight="1">
      <c r="A560" s="4">
        <v>14526</v>
      </c>
      <c r="B560" s="4" t="str">
        <f>IFERROR(VLOOKUP(A560,Colaboradores!A:D,2,),"")</f>
        <v>VINNICYUS ANTONIO DE CARVALHO RIBEIRO</v>
      </c>
      <c r="C560" s="4" t="str">
        <f>IFERROR(VLOOKUP(A560,Colaboradores!A:D,3,),"")</f>
        <v>MEIO AMBIENTE</v>
      </c>
      <c r="D560" s="4" t="str">
        <f>IFERROR(VLOOKUP(A560,Colaboradores!A:D,4,),"")</f>
        <v>ENGENHEIRO DE MEIO AMBIENTE</v>
      </c>
      <c r="E560" s="4" t="s">
        <v>54</v>
      </c>
      <c r="F560" s="5" t="str">
        <f>IFERROR(VLOOKUP(E560,Procedimentos!A:C,2,),"")</f>
        <v>DIRETRIZES DE IMUNIZAÇÃO OCUPACIONAL</v>
      </c>
      <c r="G560" s="4" t="s">
        <v>22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4.25" customHeight="1">
      <c r="A561" s="4">
        <v>14526</v>
      </c>
      <c r="B561" s="4" t="str">
        <f>IFERROR(VLOOKUP(A561,Colaboradores!A:D,2,),"")</f>
        <v>VINNICYUS ANTONIO DE CARVALHO RIBEIRO</v>
      </c>
      <c r="C561" s="4" t="str">
        <f>IFERROR(VLOOKUP(A561,Colaboradores!A:D,3,),"")</f>
        <v>MEIO AMBIENTE</v>
      </c>
      <c r="D561" s="4" t="str">
        <f>IFERROR(VLOOKUP(A561,Colaboradores!A:D,4,),"")</f>
        <v>ENGENHEIRO DE MEIO AMBIENTE</v>
      </c>
      <c r="E561" s="4" t="s">
        <v>55</v>
      </c>
      <c r="F561" s="5" t="str">
        <f>IFERROR(VLOOKUP(E561,Procedimentos!A:C,2,),"")</f>
        <v>DIRETRIZES PARA ACOMPANHAMENTO DE AFASTADOS</v>
      </c>
      <c r="G561" s="4" t="s">
        <v>22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4.25" customHeight="1">
      <c r="A562" s="4">
        <v>14526</v>
      </c>
      <c r="B562" s="4" t="str">
        <f>IFERROR(VLOOKUP(A562,Colaboradores!A:D,2,),"")</f>
        <v>VINNICYUS ANTONIO DE CARVALHO RIBEIRO</v>
      </c>
      <c r="C562" s="4" t="str">
        <f>IFERROR(VLOOKUP(A562,Colaboradores!A:D,3,),"")</f>
        <v>MEIO AMBIENTE</v>
      </c>
      <c r="D562" s="4" t="str">
        <f>IFERROR(VLOOKUP(A562,Colaboradores!A:D,4,),"")</f>
        <v>ENGENHEIRO DE MEIO AMBIENTE</v>
      </c>
      <c r="E562" s="4" t="s">
        <v>46</v>
      </c>
      <c r="F562" s="5" t="str">
        <f>IFERROR(VLOOKUP(E562,Procedimentos!A:C,2,),"")</f>
        <v>POLÍTICA DE SAÚDE E SEGURANÇA DO TRABALHO EMSERH</v>
      </c>
      <c r="G562" s="4" t="s">
        <v>22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4.25" customHeight="1">
      <c r="A563" s="4">
        <v>14526</v>
      </c>
      <c r="B563" s="4" t="str">
        <f>IFERROR(VLOOKUP(A563,Colaboradores!A:D,2,),"")</f>
        <v>VINNICYUS ANTONIO DE CARVALHO RIBEIRO</v>
      </c>
      <c r="C563" s="4" t="str">
        <f>IFERROR(VLOOKUP(A563,Colaboradores!A:D,3,),"")</f>
        <v>MEIO AMBIENTE</v>
      </c>
      <c r="D563" s="4" t="str">
        <f>IFERROR(VLOOKUP(A563,Colaboradores!A:D,4,),"")</f>
        <v>ENGENHEIRO DE MEIO AMBIENTE</v>
      </c>
      <c r="E563" s="4" t="s">
        <v>41</v>
      </c>
      <c r="F563" s="5" t="str">
        <f>IFERROR(VLOOKUP(E563,Procedimentos!A:C,2,),"")</f>
        <v>DIRETRIZES PARA COMUNICAÇÃO E INVESTIGAÇÃO DE ACIDENTES</v>
      </c>
      <c r="G563" s="4" t="s">
        <v>22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4.25" customHeight="1">
      <c r="A564" s="4">
        <v>14526</v>
      </c>
      <c r="B564" s="4" t="str">
        <f>IFERROR(VLOOKUP(A564,Colaboradores!A:D,2,),"")</f>
        <v>VINNICYUS ANTONIO DE CARVALHO RIBEIRO</v>
      </c>
      <c r="C564" s="4" t="str">
        <f>IFERROR(VLOOKUP(A564,Colaboradores!A:D,3,),"")</f>
        <v>MEIO AMBIENTE</v>
      </c>
      <c r="D564" s="4" t="str">
        <f>IFERROR(VLOOKUP(A564,Colaboradores!A:D,4,),"")</f>
        <v>ENGENHEIRO DE MEIO AMBIENTE</v>
      </c>
      <c r="E564" s="4" t="s">
        <v>43</v>
      </c>
      <c r="F564" s="5" t="str">
        <f>IFERROR(VLOOKUP(E564,Procedimentos!A:C,2,),"")</f>
        <v>DIÁLOGO DE SAÚDE E SEGURANÇA - DSS</v>
      </c>
      <c r="G564" s="4" t="s">
        <v>22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4.25" customHeight="1">
      <c r="A565" s="4">
        <v>14526</v>
      </c>
      <c r="B565" s="4" t="str">
        <f>IFERROR(VLOOKUP(A565,Colaboradores!A:D,2,),"")</f>
        <v>VINNICYUS ANTONIO DE CARVALHO RIBEIRO</v>
      </c>
      <c r="C565" s="4" t="str">
        <f>IFERROR(VLOOKUP(A565,Colaboradores!A:D,3,),"")</f>
        <v>MEIO AMBIENTE</v>
      </c>
      <c r="D565" s="4" t="str">
        <f>IFERROR(VLOOKUP(A565,Colaboradores!A:D,4,),"")</f>
        <v>ENGENHEIRO DE MEIO AMBIENTE</v>
      </c>
      <c r="E565" s="4" t="s">
        <v>44</v>
      </c>
      <c r="F565" s="5" t="str">
        <f>IFERROR(VLOOKUP(E565,Procedimentos!A:C,2,),"")</f>
        <v>DIRETRIZES PARA GESTÃO DE EQUIPAMENTOS DE PROTEÇÃO INDIVIDUAL - EPI'S</v>
      </c>
      <c r="G565" s="4" t="s">
        <v>22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4.25" customHeight="1">
      <c r="A566" s="4">
        <v>14526</v>
      </c>
      <c r="B566" s="4" t="str">
        <f>IFERROR(VLOOKUP(A566,Colaboradores!A:D,2,),"")</f>
        <v>VINNICYUS ANTONIO DE CARVALHO RIBEIRO</v>
      </c>
      <c r="C566" s="4" t="str">
        <f>IFERROR(VLOOKUP(A566,Colaboradores!A:D,3,),"")</f>
        <v>MEIO AMBIENTE</v>
      </c>
      <c r="D566" s="4" t="str">
        <f>IFERROR(VLOOKUP(A566,Colaboradores!A:D,4,),"")</f>
        <v>ENGENHEIRO DE MEIO AMBIENTE</v>
      </c>
      <c r="E566" s="4" t="s">
        <v>45</v>
      </c>
      <c r="F566" s="5" t="str">
        <f>IFERROR(VLOOKUP(E566,Procedimentos!A:C,2,),"")</f>
        <v>CONSTITUIÇÃO INTERNA DE PREVENÇÃO DE ACIDENTES E DE ASSÉDIOS - CIPA</v>
      </c>
      <c r="G566" s="4" t="s">
        <v>22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4.25" customHeight="1">
      <c r="A567" s="4">
        <v>14565</v>
      </c>
      <c r="B567" s="4" t="str">
        <f>IFERROR(VLOOKUP(A567,Colaboradores!A:D,2,),"")</f>
        <v>CAMILA RODRIGUES GOMES</v>
      </c>
      <c r="C567" s="4" t="str">
        <f>IFERROR(VLOOKUP(A567,Colaboradores!A:D,3,),"")</f>
        <v>SEGURANÇA DO TRABALHO</v>
      </c>
      <c r="D567" s="4" t="str">
        <f>IFERROR(VLOOKUP(A567,Colaboradores!A:D,4,),"")</f>
        <v>TÉCNICO DE SEGURANÇA DO TRABALHO</v>
      </c>
      <c r="E567" s="4" t="s">
        <v>58</v>
      </c>
      <c r="F567" s="5" t="str">
        <f>IFERROR(VLOOKUP(E567,Procedimentos!A:C,2,),"")</f>
        <v>POLÍTICA DE QUALIDADE DA DIRETORIA</v>
      </c>
      <c r="G567" s="4" t="s">
        <v>22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4.25" customHeight="1">
      <c r="A568" s="4">
        <v>14565</v>
      </c>
      <c r="B568" s="4" t="str">
        <f>IFERROR(VLOOKUP(A568,Colaboradores!A:D,2,),"")</f>
        <v>CAMILA RODRIGUES GOMES</v>
      </c>
      <c r="C568" s="4" t="str">
        <f>IFERROR(VLOOKUP(A568,Colaboradores!A:D,3,),"")</f>
        <v>SEGURANÇA DO TRABALHO</v>
      </c>
      <c r="D568" s="4" t="str">
        <f>IFERROR(VLOOKUP(A568,Colaboradores!A:D,4,),"")</f>
        <v>TÉCNICO DE SEGURANÇA DO TRABALHO</v>
      </c>
      <c r="E568" s="4" t="s">
        <v>19</v>
      </c>
      <c r="F568" s="5" t="str">
        <f>IFERROR(VLOOKUP(E568,Procedimentos!A:C,2,),"")</f>
        <v>DIRETRIZES PARA DOCUMENTOS NORMATIVOS</v>
      </c>
      <c r="G568" s="4" t="s">
        <v>22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4.25" customHeight="1">
      <c r="A569" s="4">
        <v>14565</v>
      </c>
      <c r="B569" s="4" t="str">
        <f>IFERROR(VLOOKUP(A569,Colaboradores!A:D,2,),"")</f>
        <v>CAMILA RODRIGUES GOMES</v>
      </c>
      <c r="C569" s="4" t="str">
        <f>IFERROR(VLOOKUP(A569,Colaboradores!A:D,3,),"")</f>
        <v>SEGURANÇA DO TRABALHO</v>
      </c>
      <c r="D569" s="4" t="str">
        <f>IFERROR(VLOOKUP(A569,Colaboradores!A:D,4,),"")</f>
        <v>TÉCNICO DE SEGURANÇA DO TRABALHO</v>
      </c>
      <c r="E569" s="4" t="s">
        <v>24</v>
      </c>
      <c r="F569" s="5" t="str">
        <f>IFERROR(VLOOKUP(E569,Procedimentos!A:C,2,),"")</f>
        <v>DIRETRIZES  PARA PROGRAMA 5S</v>
      </c>
      <c r="G569" s="4" t="s">
        <v>22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4.25" customHeight="1">
      <c r="A570" s="4">
        <v>14565</v>
      </c>
      <c r="B570" s="4" t="str">
        <f>IFERROR(VLOOKUP(A570,Colaboradores!A:D,2,),"")</f>
        <v>CAMILA RODRIGUES GOMES</v>
      </c>
      <c r="C570" s="4" t="str">
        <f>IFERROR(VLOOKUP(A570,Colaboradores!A:D,3,),"")</f>
        <v>SEGURANÇA DO TRABALHO</v>
      </c>
      <c r="D570" s="4" t="str">
        <f>IFERROR(VLOOKUP(A570,Colaboradores!A:D,4,),"")</f>
        <v>TÉCNICO DE SEGURANÇA DO TRABALHO</v>
      </c>
      <c r="E570" s="4" t="s">
        <v>25</v>
      </c>
      <c r="F570" s="5" t="str">
        <f>IFERROR(VLOOKUP(E570,Procedimentos!A:C,2,),"")</f>
        <v>GARANTIA DA QUALIDADE</v>
      </c>
      <c r="G570" s="4" t="s">
        <v>22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4.25" customHeight="1">
      <c r="A571" s="4">
        <v>14565</v>
      </c>
      <c r="B571" s="4" t="str">
        <f>IFERROR(VLOOKUP(A571,Colaboradores!A:D,2,),"")</f>
        <v>CAMILA RODRIGUES GOMES</v>
      </c>
      <c r="C571" s="4" t="str">
        <f>IFERROR(VLOOKUP(A571,Colaboradores!A:D,3,),"")</f>
        <v>SEGURANÇA DO TRABALHO</v>
      </c>
      <c r="D571" s="4" t="str">
        <f>IFERROR(VLOOKUP(A571,Colaboradores!A:D,4,),"")</f>
        <v>TÉCNICO DE SEGURANÇA DO TRABALHO</v>
      </c>
      <c r="E571" s="4" t="s">
        <v>26</v>
      </c>
      <c r="F571" s="5" t="str">
        <f>IFERROR(VLOOKUP(E571,Procedimentos!A:C,2,),"")</f>
        <v>RESPONSABILIDADES E AUTORIDADES DO SGQ</v>
      </c>
      <c r="G571" s="4" t="s">
        <v>22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4.25" customHeight="1">
      <c r="A572" s="4">
        <v>14565</v>
      </c>
      <c r="B572" s="4" t="str">
        <f>IFERROR(VLOOKUP(A572,Colaboradores!A:D,2,),"")</f>
        <v>CAMILA RODRIGUES GOMES</v>
      </c>
      <c r="C572" s="4" t="str">
        <f>IFERROR(VLOOKUP(A572,Colaboradores!A:D,3,),"")</f>
        <v>SEGURANÇA DO TRABALHO</v>
      </c>
      <c r="D572" s="4" t="str">
        <f>IFERROR(VLOOKUP(A572,Colaboradores!A:D,4,),"")</f>
        <v>TÉCNICO DE SEGURANÇA DO TRABALHO</v>
      </c>
      <c r="E572" s="4" t="s">
        <v>73</v>
      </c>
      <c r="F572" s="5" t="str">
        <f>IFERROR(VLOOKUP(E572,Procedimentos!A:C,2,),"")</f>
        <v>AQUISIÇÃO DE BENS E SERVIÇOS E AVALIAÇÃO PROVEDORES EXTERNOS</v>
      </c>
      <c r="G572" s="4" t="s">
        <v>22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4.25" customHeight="1">
      <c r="A573" s="4">
        <v>14565</v>
      </c>
      <c r="B573" s="4" t="str">
        <f>IFERROR(VLOOKUP(A573,Colaboradores!A:D,2,),"")</f>
        <v>CAMILA RODRIGUES GOMES</v>
      </c>
      <c r="C573" s="4" t="str">
        <f>IFERROR(VLOOKUP(A573,Colaboradores!A:D,3,),"")</f>
        <v>SEGURANÇA DO TRABALHO</v>
      </c>
      <c r="D573" s="4" t="str">
        <f>IFERROR(VLOOKUP(A573,Colaboradores!A:D,4,),"")</f>
        <v>TÉCNICO DE SEGURANÇA DO TRABALHO</v>
      </c>
      <c r="E573" s="4" t="s">
        <v>48</v>
      </c>
      <c r="F573" s="5" t="str">
        <f>IFERROR(VLOOKUP(E573,Procedimentos!A:C,2,),"")</f>
        <v>POLÍTICA MEIO AMBIENTE EMSERH</v>
      </c>
      <c r="G573" s="4" t="s">
        <v>22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4.25" customHeight="1">
      <c r="A574" s="4">
        <v>14565</v>
      </c>
      <c r="B574" s="4" t="str">
        <f>IFERROR(VLOOKUP(A574,Colaboradores!A:D,2,),"")</f>
        <v>CAMILA RODRIGUES GOMES</v>
      </c>
      <c r="C574" s="4" t="str">
        <f>IFERROR(VLOOKUP(A574,Colaboradores!A:D,3,),"")</f>
        <v>SEGURANÇA DO TRABALHO</v>
      </c>
      <c r="D574" s="4" t="str">
        <f>IFERROR(VLOOKUP(A574,Colaboradores!A:D,4,),"")</f>
        <v>TÉCNICO DE SEGURANÇA DO TRABALHO</v>
      </c>
      <c r="E574" s="4" t="s">
        <v>29</v>
      </c>
      <c r="F574" s="5" t="str">
        <f>IFERROR(VLOOKUP(E574,Procedimentos!A:C,2,),"")</f>
        <v>COLETA SELETIVA DESSMA</v>
      </c>
      <c r="G574" s="4" t="s">
        <v>22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4.25" customHeight="1">
      <c r="A575" s="4">
        <v>14565</v>
      </c>
      <c r="B575" s="4" t="str">
        <f>IFERROR(VLOOKUP(A575,Colaboradores!A:D,2,),"")</f>
        <v>CAMILA RODRIGUES GOMES</v>
      </c>
      <c r="C575" s="4" t="str">
        <f>IFERROR(VLOOKUP(A575,Colaboradores!A:D,3,),"")</f>
        <v>SEGURANÇA DO TRABALHO</v>
      </c>
      <c r="D575" s="4" t="str">
        <f>IFERROR(VLOOKUP(A575,Colaboradores!A:D,4,),"")</f>
        <v>TÉCNICO DE SEGURANÇA DO TRABALHO</v>
      </c>
      <c r="E575" s="4" t="s">
        <v>32</v>
      </c>
      <c r="F575" s="5" t="str">
        <f>IFERROR(VLOOKUP(E575,Procedimentos!A:C,2,),"")</f>
        <v>GESTÃO DE LEVANTAMENTO DE ASPECTOS E IMPACTOS AMBIENTAIS</v>
      </c>
      <c r="G575" s="4" t="s">
        <v>22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4.25" customHeight="1">
      <c r="A576" s="4">
        <v>14565</v>
      </c>
      <c r="B576" s="4" t="str">
        <f>IFERROR(VLOOKUP(A576,Colaboradores!A:D,2,),"")</f>
        <v>CAMILA RODRIGUES GOMES</v>
      </c>
      <c r="C576" s="4" t="str">
        <f>IFERROR(VLOOKUP(A576,Colaboradores!A:D,3,),"")</f>
        <v>SEGURANÇA DO TRABALHO</v>
      </c>
      <c r="D576" s="4" t="str">
        <f>IFERROR(VLOOKUP(A576,Colaboradores!A:D,4,),"")</f>
        <v>TÉCNICO DE SEGURANÇA DO TRABALHO</v>
      </c>
      <c r="E576" s="4" t="s">
        <v>31</v>
      </c>
      <c r="F576" s="5" t="str">
        <f>IFERROR(VLOOKUP(E576,Procedimentos!A:C,2,),"")</f>
        <v>GESTÃO DE COMUNICAÇÃO, CLASSIFICAÇÃO E INVESTIGAÇÃO DE OCORRÊNCIAS AMBIENTAIS</v>
      </c>
      <c r="G576" s="4" t="s">
        <v>22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4.25" customHeight="1">
      <c r="A577" s="4">
        <v>14565</v>
      </c>
      <c r="B577" s="4" t="str">
        <f>IFERROR(VLOOKUP(A577,Colaboradores!A:D,2,),"")</f>
        <v>CAMILA RODRIGUES GOMES</v>
      </c>
      <c r="C577" s="4" t="str">
        <f>IFERROR(VLOOKUP(A577,Colaboradores!A:D,3,),"")</f>
        <v>SEGURANÇA DO TRABALHO</v>
      </c>
      <c r="D577" s="4" t="str">
        <f>IFERROR(VLOOKUP(A577,Colaboradores!A:D,4,),"")</f>
        <v>TÉCNICO DE SEGURANÇA DO TRABALHO</v>
      </c>
      <c r="E577" s="4" t="s">
        <v>33</v>
      </c>
      <c r="F577" s="5" t="str">
        <f>IFERROR(VLOOKUP(E577,Procedimentos!A:C,2,),"")</f>
        <v>GESTÃO DE INSPEÇÕES AMBIENTAIS</v>
      </c>
      <c r="G577" s="4" t="s">
        <v>22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4.25" customHeight="1">
      <c r="A578" s="4">
        <v>14565</v>
      </c>
      <c r="B578" s="4" t="str">
        <f>IFERROR(VLOOKUP(A578,Colaboradores!A:D,2,),"")</f>
        <v>CAMILA RODRIGUES GOMES</v>
      </c>
      <c r="C578" s="4" t="str">
        <f>IFERROR(VLOOKUP(A578,Colaboradores!A:D,3,),"")</f>
        <v>SEGURANÇA DO TRABALHO</v>
      </c>
      <c r="D578" s="4" t="str">
        <f>IFERROR(VLOOKUP(A578,Colaboradores!A:D,4,),"")</f>
        <v>TÉCNICO DE SEGURANÇA DO TRABALHO</v>
      </c>
      <c r="E578" s="4" t="s">
        <v>49</v>
      </c>
      <c r="F578" s="5" t="str">
        <f>IFERROR(VLOOKUP(E578,Procedimentos!A:C,2,),"")</f>
        <v>DIRETRIZES PARA REALIZAÇÃO DE EXAMES OCUPACIONAIS</v>
      </c>
      <c r="G578" s="4" t="s">
        <v>22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4.25" customHeight="1">
      <c r="A579" s="4">
        <v>14565</v>
      </c>
      <c r="B579" s="4" t="str">
        <f>IFERROR(VLOOKUP(A579,Colaboradores!A:D,2,),"")</f>
        <v>CAMILA RODRIGUES GOMES</v>
      </c>
      <c r="C579" s="4" t="str">
        <f>IFERROR(VLOOKUP(A579,Colaboradores!A:D,3,),"")</f>
        <v>SEGURANÇA DO TRABALHO</v>
      </c>
      <c r="D579" s="4" t="str">
        <f>IFERROR(VLOOKUP(A579,Colaboradores!A:D,4,),"")</f>
        <v>TÉCNICO DE SEGURANÇA DO TRABALHO</v>
      </c>
      <c r="E579" s="4" t="s">
        <v>51</v>
      </c>
      <c r="F579" s="5" t="str">
        <f>IFERROR(VLOOKUP(E579,Procedimentos!A:C,2,),"")</f>
        <v>DIRETRIZES PARA ENTREGA DE ATESTADOS MÉDICOS E ODONTOLÓGICOS</v>
      </c>
      <c r="G579" s="4" t="s">
        <v>22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4.25" customHeight="1">
      <c r="A580" s="4">
        <v>14565</v>
      </c>
      <c r="B580" s="4" t="str">
        <f>IFERROR(VLOOKUP(A580,Colaboradores!A:D,2,),"")</f>
        <v>CAMILA RODRIGUES GOMES</v>
      </c>
      <c r="C580" s="4" t="str">
        <f>IFERROR(VLOOKUP(A580,Colaboradores!A:D,3,),"")</f>
        <v>SEGURANÇA DO TRABALHO</v>
      </c>
      <c r="D580" s="4" t="str">
        <f>IFERROR(VLOOKUP(A580,Colaboradores!A:D,4,),"")</f>
        <v>TÉCNICO DE SEGURANÇA DO TRABALHO</v>
      </c>
      <c r="E580" s="4" t="s">
        <v>52</v>
      </c>
      <c r="F580" s="5" t="str">
        <f>IFERROR(VLOOKUP(E580,Procedimentos!A:C,2,),"")</f>
        <v>DIRETRIZES E ACOMPANHAMENTO  DE ACIDENTE COM MATERIAL BIOLOGICO</v>
      </c>
      <c r="G580" s="4" t="s">
        <v>22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4.25" customHeight="1">
      <c r="A581" s="4">
        <v>14565</v>
      </c>
      <c r="B581" s="4" t="str">
        <f>IFERROR(VLOOKUP(A581,Colaboradores!A:D,2,),"")</f>
        <v>CAMILA RODRIGUES GOMES</v>
      </c>
      <c r="C581" s="4" t="str">
        <f>IFERROR(VLOOKUP(A581,Colaboradores!A:D,3,),"")</f>
        <v>SEGURANÇA DO TRABALHO</v>
      </c>
      <c r="D581" s="4" t="str">
        <f>IFERROR(VLOOKUP(A581,Colaboradores!A:D,4,),"")</f>
        <v>TÉCNICO DE SEGURANÇA DO TRABALHO</v>
      </c>
      <c r="E581" s="4" t="s">
        <v>53</v>
      </c>
      <c r="F581" s="5" t="str">
        <f>IFERROR(VLOOKUP(E581,Procedimentos!A:C,2,),"")</f>
        <v>DIRETRIZES PARA MONITORAMENTO DE GESTANTE</v>
      </c>
      <c r="G581" s="4" t="s">
        <v>22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4.25" customHeight="1">
      <c r="A582" s="4">
        <v>14565</v>
      </c>
      <c r="B582" s="4" t="str">
        <f>IFERROR(VLOOKUP(A582,Colaboradores!A:D,2,),"")</f>
        <v>CAMILA RODRIGUES GOMES</v>
      </c>
      <c r="C582" s="4" t="str">
        <f>IFERROR(VLOOKUP(A582,Colaboradores!A:D,3,),"")</f>
        <v>SEGURANÇA DO TRABALHO</v>
      </c>
      <c r="D582" s="4" t="str">
        <f>IFERROR(VLOOKUP(A582,Colaboradores!A:D,4,),"")</f>
        <v>TÉCNICO DE SEGURANÇA DO TRABALHO</v>
      </c>
      <c r="E582" s="4" t="s">
        <v>54</v>
      </c>
      <c r="F582" s="5" t="str">
        <f>IFERROR(VLOOKUP(E582,Procedimentos!A:C,2,),"")</f>
        <v>DIRETRIZES DE IMUNIZAÇÃO OCUPACIONAL</v>
      </c>
      <c r="G582" s="4" t="s">
        <v>22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4.25" customHeight="1">
      <c r="A583" s="4">
        <v>14565</v>
      </c>
      <c r="B583" s="4" t="str">
        <f>IFERROR(VLOOKUP(A583,Colaboradores!A:D,2,),"")</f>
        <v>CAMILA RODRIGUES GOMES</v>
      </c>
      <c r="C583" s="4" t="str">
        <f>IFERROR(VLOOKUP(A583,Colaboradores!A:D,3,),"")</f>
        <v>SEGURANÇA DO TRABALHO</v>
      </c>
      <c r="D583" s="4" t="str">
        <f>IFERROR(VLOOKUP(A583,Colaboradores!A:D,4,),"")</f>
        <v>TÉCNICO DE SEGURANÇA DO TRABALHO</v>
      </c>
      <c r="E583" s="4" t="s">
        <v>55</v>
      </c>
      <c r="F583" s="5" t="str">
        <f>IFERROR(VLOOKUP(E583,Procedimentos!A:C,2,),"")</f>
        <v>DIRETRIZES PARA ACOMPANHAMENTO DE AFASTADOS</v>
      </c>
      <c r="G583" s="4" t="s">
        <v>22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4.25" customHeight="1">
      <c r="A584" s="4">
        <v>14565</v>
      </c>
      <c r="B584" s="4" t="str">
        <f>IFERROR(VLOOKUP(A584,Colaboradores!A:D,2,),"")</f>
        <v>CAMILA RODRIGUES GOMES</v>
      </c>
      <c r="C584" s="4" t="str">
        <f>IFERROR(VLOOKUP(A584,Colaboradores!A:D,3,),"")</f>
        <v>SEGURANÇA DO TRABALHO</v>
      </c>
      <c r="D584" s="4" t="str">
        <f>IFERROR(VLOOKUP(A584,Colaboradores!A:D,4,),"")</f>
        <v>TÉCNICO DE SEGURANÇA DO TRABALHO</v>
      </c>
      <c r="E584" s="4" t="s">
        <v>46</v>
      </c>
      <c r="F584" s="5" t="str">
        <f>IFERROR(VLOOKUP(E584,Procedimentos!A:C,2,),"")</f>
        <v>POLÍTICA DE SAÚDE E SEGURANÇA DO TRABALHO EMSERH</v>
      </c>
      <c r="G584" s="4" t="s">
        <v>22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4.25" customHeight="1">
      <c r="A585" s="4">
        <v>14565</v>
      </c>
      <c r="B585" s="4" t="str">
        <f>IFERROR(VLOOKUP(A585,Colaboradores!A:D,2,),"")</f>
        <v>CAMILA RODRIGUES GOMES</v>
      </c>
      <c r="C585" s="4" t="str">
        <f>IFERROR(VLOOKUP(A585,Colaboradores!A:D,3,),"")</f>
        <v>SEGURANÇA DO TRABALHO</v>
      </c>
      <c r="D585" s="4" t="str">
        <f>IFERROR(VLOOKUP(A585,Colaboradores!A:D,4,),"")</f>
        <v>TÉCNICO DE SEGURANÇA DO TRABALHO</v>
      </c>
      <c r="E585" s="4" t="s">
        <v>41</v>
      </c>
      <c r="F585" s="5" t="str">
        <f>IFERROR(VLOOKUP(E585,Procedimentos!A:C,2,),"")</f>
        <v>DIRETRIZES PARA COMUNICAÇÃO E INVESTIGAÇÃO DE ACIDENTES</v>
      </c>
      <c r="G585" s="4" t="s">
        <v>22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4.25" customHeight="1">
      <c r="A586" s="4">
        <v>14565</v>
      </c>
      <c r="B586" s="4" t="str">
        <f>IFERROR(VLOOKUP(A586,Colaboradores!A:D,2,),"")</f>
        <v>CAMILA RODRIGUES GOMES</v>
      </c>
      <c r="C586" s="4" t="str">
        <f>IFERROR(VLOOKUP(A586,Colaboradores!A:D,3,),"")</f>
        <v>SEGURANÇA DO TRABALHO</v>
      </c>
      <c r="D586" s="4" t="str">
        <f>IFERROR(VLOOKUP(A586,Colaboradores!A:D,4,),"")</f>
        <v>TÉCNICO DE SEGURANÇA DO TRABALHO</v>
      </c>
      <c r="E586" s="4" t="s">
        <v>43</v>
      </c>
      <c r="F586" s="5" t="str">
        <f>IFERROR(VLOOKUP(E586,Procedimentos!A:C,2,),"")</f>
        <v>DIÁLOGO DE SAÚDE E SEGURANÇA - DSS</v>
      </c>
      <c r="G586" s="4" t="s">
        <v>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4.25" customHeight="1">
      <c r="A587" s="4">
        <v>14565</v>
      </c>
      <c r="B587" s="4" t="str">
        <f>IFERROR(VLOOKUP(A587,Colaboradores!A:D,2,),"")</f>
        <v>CAMILA RODRIGUES GOMES</v>
      </c>
      <c r="C587" s="4" t="str">
        <f>IFERROR(VLOOKUP(A587,Colaboradores!A:D,3,),"")</f>
        <v>SEGURANÇA DO TRABALHO</v>
      </c>
      <c r="D587" s="4" t="str">
        <f>IFERROR(VLOOKUP(A587,Colaboradores!A:D,4,),"")</f>
        <v>TÉCNICO DE SEGURANÇA DO TRABALHO</v>
      </c>
      <c r="E587" s="4" t="s">
        <v>44</v>
      </c>
      <c r="F587" s="5" t="str">
        <f>IFERROR(VLOOKUP(E587,Procedimentos!A:C,2,),"")</f>
        <v>DIRETRIZES PARA GESTÃO DE EQUIPAMENTOS DE PROTEÇÃO INDIVIDUAL - EPI'S</v>
      </c>
      <c r="G587" s="4" t="s">
        <v>22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4.25" customHeight="1">
      <c r="A588" s="4">
        <v>14565</v>
      </c>
      <c r="B588" s="4" t="str">
        <f>IFERROR(VLOOKUP(A588,Colaboradores!A:D,2,),"")</f>
        <v>CAMILA RODRIGUES GOMES</v>
      </c>
      <c r="C588" s="4" t="str">
        <f>IFERROR(VLOOKUP(A588,Colaboradores!A:D,3,),"")</f>
        <v>SEGURANÇA DO TRABALHO</v>
      </c>
      <c r="D588" s="4" t="str">
        <f>IFERROR(VLOOKUP(A588,Colaboradores!A:D,4,),"")</f>
        <v>TÉCNICO DE SEGURANÇA DO TRABALHO</v>
      </c>
      <c r="E588" s="4" t="s">
        <v>45</v>
      </c>
      <c r="F588" s="5" t="str">
        <f>IFERROR(VLOOKUP(E588,Procedimentos!A:C,2,),"")</f>
        <v>CONSTITUIÇÃO INTERNA DE PREVENÇÃO DE ACIDENTES E DE ASSÉDIOS - CIPA</v>
      </c>
      <c r="G588" s="4" t="s">
        <v>22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4.25" customHeight="1">
      <c r="A589" s="4">
        <v>14565</v>
      </c>
      <c r="B589" s="4" t="str">
        <f>IFERROR(VLOOKUP(A589,Colaboradores!A:D,2,),"")</f>
        <v>CAMILA RODRIGUES GOMES</v>
      </c>
      <c r="C589" s="4" t="str">
        <f>IFERROR(VLOOKUP(A589,Colaboradores!A:D,3,),"")</f>
        <v>SEGURANÇA DO TRABALHO</v>
      </c>
      <c r="D589" s="4" t="str">
        <f>IFERROR(VLOOKUP(A589,Colaboradores!A:D,4,),"")</f>
        <v>TÉCNICO DE SEGURANÇA DO TRABALHO</v>
      </c>
      <c r="E589" s="4" t="s">
        <v>59</v>
      </c>
      <c r="F589" s="5" t="str">
        <f>IFERROR(VLOOKUP(E589,Procedimentos!A:C,2,),"")</f>
        <v>GERENCIAMENTO DE RISCOS DE SAÚDE, SEGURANÇA E PROCESSOS</v>
      </c>
      <c r="G589" s="4" t="s">
        <v>22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4.25" customHeight="1">
      <c r="A590" s="4">
        <v>14565</v>
      </c>
      <c r="B590" s="4" t="str">
        <f>IFERROR(VLOOKUP(A590,Colaboradores!A:D,2,),"")</f>
        <v>CAMILA RODRIGUES GOMES</v>
      </c>
      <c r="C590" s="4" t="str">
        <f>IFERROR(VLOOKUP(A590,Colaboradores!A:D,3,),"")</f>
        <v>SEGURANÇA DO TRABALHO</v>
      </c>
      <c r="D590" s="4" t="str">
        <f>IFERROR(VLOOKUP(A590,Colaboradores!A:D,4,),"")</f>
        <v>TÉCNICO DE SEGURANÇA DO TRABALHO</v>
      </c>
      <c r="E590" s="4" t="s">
        <v>61</v>
      </c>
      <c r="F590" s="5" t="str">
        <f>IFERROR(VLOOKUP(E590,Procedimentos!A:C,2,),"")</f>
        <v>PROCEDIMENTO DE INSPEÇÃO DE SEGURANÇA</v>
      </c>
      <c r="G590" s="4" t="s">
        <v>22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4.25" customHeight="1">
      <c r="A591" s="4">
        <v>14565</v>
      </c>
      <c r="B591" s="4" t="str">
        <f>IFERROR(VLOOKUP(A591,Colaboradores!A:D,2,),"")</f>
        <v>CAMILA RODRIGUES GOMES</v>
      </c>
      <c r="C591" s="4" t="str">
        <f>IFERROR(VLOOKUP(A591,Colaboradores!A:D,3,),"")</f>
        <v>SEGURANÇA DO TRABALHO</v>
      </c>
      <c r="D591" s="4" t="str">
        <f>IFERROR(VLOOKUP(A591,Colaboradores!A:D,4,),"")</f>
        <v>TÉCNICO DE SEGURANÇA DO TRABALHO</v>
      </c>
      <c r="E591" s="4" t="s">
        <v>62</v>
      </c>
      <c r="F591" s="5" t="str">
        <f>IFERROR(VLOOKUP(E591,Procedimentos!A:C,2,),"")</f>
        <v>DIRETRIZES PARA ENVIO E RECEBIMENTO DE DOSÍMETRO</v>
      </c>
      <c r="G591" s="4" t="s">
        <v>22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4.25" customHeight="1">
      <c r="A592" s="4">
        <v>14163</v>
      </c>
      <c r="B592" s="4" t="str">
        <f>IFERROR(VLOOKUP(A592,Colaboradores!A:D,2,),"")</f>
        <v/>
      </c>
      <c r="C592" s="4" t="str">
        <f>IFERROR(VLOOKUP(A592,Colaboradores!A:D,3,),"")</f>
        <v/>
      </c>
      <c r="D592" s="4" t="str">
        <f>IFERROR(VLOOKUP(A592,Colaboradores!A:D,4,),"")</f>
        <v/>
      </c>
      <c r="E592" s="4" t="s">
        <v>58</v>
      </c>
      <c r="F592" s="5" t="str">
        <f>IFERROR(VLOOKUP(E592,Procedimentos!A:C,2,),"")</f>
        <v>POLÍTICA DE QUALIDADE DA DIRETORIA</v>
      </c>
      <c r="G592" s="4" t="s">
        <v>22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4.25" customHeight="1">
      <c r="A593" s="4">
        <v>14163</v>
      </c>
      <c r="B593" s="4" t="str">
        <f>IFERROR(VLOOKUP(A593,Colaboradores!A:D,2,),"")</f>
        <v/>
      </c>
      <c r="C593" s="4" t="str">
        <f>IFERROR(VLOOKUP(A593,Colaboradores!A:D,3,),"")</f>
        <v/>
      </c>
      <c r="D593" s="4" t="str">
        <f>IFERROR(VLOOKUP(A593,Colaboradores!A:D,4,),"")</f>
        <v/>
      </c>
      <c r="E593" s="4" t="s">
        <v>19</v>
      </c>
      <c r="F593" s="5" t="str">
        <f>IFERROR(VLOOKUP(E593,Procedimentos!A:C,2,),"")</f>
        <v>DIRETRIZES PARA DOCUMENTOS NORMATIVOS</v>
      </c>
      <c r="G593" s="4" t="s">
        <v>22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4.25" customHeight="1">
      <c r="A594" s="4">
        <v>14163</v>
      </c>
      <c r="B594" s="4" t="str">
        <f>IFERROR(VLOOKUP(A594,Colaboradores!A:D,2,),"")</f>
        <v/>
      </c>
      <c r="C594" s="4" t="str">
        <f>IFERROR(VLOOKUP(A594,Colaboradores!A:D,3,),"")</f>
        <v/>
      </c>
      <c r="D594" s="4" t="str">
        <f>IFERROR(VLOOKUP(A594,Colaboradores!A:D,4,),"")</f>
        <v/>
      </c>
      <c r="E594" s="4" t="s">
        <v>24</v>
      </c>
      <c r="F594" s="5" t="str">
        <f>IFERROR(VLOOKUP(E594,Procedimentos!A:C,2,),"")</f>
        <v>DIRETRIZES  PARA PROGRAMA 5S</v>
      </c>
      <c r="G594" s="4" t="s">
        <v>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4.25" customHeight="1">
      <c r="A595" s="4">
        <v>14163</v>
      </c>
      <c r="B595" s="4" t="str">
        <f>IFERROR(VLOOKUP(A595,Colaboradores!A:D,2,),"")</f>
        <v/>
      </c>
      <c r="C595" s="4" t="str">
        <f>IFERROR(VLOOKUP(A595,Colaboradores!A:D,3,),"")</f>
        <v/>
      </c>
      <c r="D595" s="4" t="str">
        <f>IFERROR(VLOOKUP(A595,Colaboradores!A:D,4,),"")</f>
        <v/>
      </c>
      <c r="E595" s="4" t="s">
        <v>25</v>
      </c>
      <c r="F595" s="5" t="str">
        <f>IFERROR(VLOOKUP(E595,Procedimentos!A:C,2,),"")</f>
        <v>GARANTIA DA QUALIDADE</v>
      </c>
      <c r="G595" s="4" t="s">
        <v>22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4.25" customHeight="1">
      <c r="A596" s="4">
        <v>14163</v>
      </c>
      <c r="B596" s="4" t="str">
        <f>IFERROR(VLOOKUP(A596,Colaboradores!A:D,2,),"")</f>
        <v/>
      </c>
      <c r="C596" s="4" t="str">
        <f>IFERROR(VLOOKUP(A596,Colaboradores!A:D,3,),"")</f>
        <v/>
      </c>
      <c r="D596" s="4" t="str">
        <f>IFERROR(VLOOKUP(A596,Colaboradores!A:D,4,),"")</f>
        <v/>
      </c>
      <c r="E596" s="4" t="s">
        <v>26</v>
      </c>
      <c r="F596" s="5" t="str">
        <f>IFERROR(VLOOKUP(E596,Procedimentos!A:C,2,),"")</f>
        <v>RESPONSABILIDADES E AUTORIDADES DO SGQ</v>
      </c>
      <c r="G596" s="4" t="s">
        <v>22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4.25" customHeight="1">
      <c r="A597" s="4">
        <v>14163</v>
      </c>
      <c r="B597" s="4" t="str">
        <f>IFERROR(VLOOKUP(A597,Colaboradores!A:D,2,),"")</f>
        <v/>
      </c>
      <c r="C597" s="4" t="str">
        <f>IFERROR(VLOOKUP(A597,Colaboradores!A:D,3,),"")</f>
        <v/>
      </c>
      <c r="D597" s="4" t="str">
        <f>IFERROR(VLOOKUP(A597,Colaboradores!A:D,4,),"")</f>
        <v/>
      </c>
      <c r="E597" s="4" t="s">
        <v>73</v>
      </c>
      <c r="F597" s="5" t="str">
        <f>IFERROR(VLOOKUP(E597,Procedimentos!A:C,2,),"")</f>
        <v>AQUISIÇÃO DE BENS E SERVIÇOS E AVALIAÇÃO PROVEDORES EXTERNOS</v>
      </c>
      <c r="G597" s="4" t="s">
        <v>22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4.25" customHeight="1">
      <c r="A598" s="4">
        <v>14163</v>
      </c>
      <c r="B598" s="4" t="str">
        <f>IFERROR(VLOOKUP(A598,Colaboradores!A:D,2,),"")</f>
        <v/>
      </c>
      <c r="C598" s="4" t="str">
        <f>IFERROR(VLOOKUP(A598,Colaboradores!A:D,3,),"")</f>
        <v/>
      </c>
      <c r="D598" s="4" t="str">
        <f>IFERROR(VLOOKUP(A598,Colaboradores!A:D,4,),"")</f>
        <v/>
      </c>
      <c r="E598" s="4" t="s">
        <v>48</v>
      </c>
      <c r="F598" s="5" t="str">
        <f>IFERROR(VLOOKUP(E598,Procedimentos!A:C,2,),"")</f>
        <v>POLÍTICA MEIO AMBIENTE EMSERH</v>
      </c>
      <c r="G598" s="4" t="s">
        <v>22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4.25" customHeight="1">
      <c r="A599" s="4">
        <v>14163</v>
      </c>
      <c r="B599" s="4" t="str">
        <f>IFERROR(VLOOKUP(A599,Colaboradores!A:D,2,),"")</f>
        <v/>
      </c>
      <c r="C599" s="4" t="str">
        <f>IFERROR(VLOOKUP(A599,Colaboradores!A:D,3,),"")</f>
        <v/>
      </c>
      <c r="D599" s="4" t="str">
        <f>IFERROR(VLOOKUP(A599,Colaboradores!A:D,4,),"")</f>
        <v/>
      </c>
      <c r="E599" s="4" t="s">
        <v>29</v>
      </c>
      <c r="F599" s="5" t="str">
        <f>IFERROR(VLOOKUP(E599,Procedimentos!A:C,2,),"")</f>
        <v>COLETA SELETIVA DESSMA</v>
      </c>
      <c r="G599" s="4" t="s">
        <v>22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4.25" customHeight="1">
      <c r="A600" s="4">
        <v>14163</v>
      </c>
      <c r="B600" s="4" t="str">
        <f>IFERROR(VLOOKUP(A600,Colaboradores!A:D,2,),"")</f>
        <v/>
      </c>
      <c r="C600" s="4" t="str">
        <f>IFERROR(VLOOKUP(A600,Colaboradores!A:D,3,),"")</f>
        <v/>
      </c>
      <c r="D600" s="4" t="str">
        <f>IFERROR(VLOOKUP(A600,Colaboradores!A:D,4,),"")</f>
        <v/>
      </c>
      <c r="E600" s="4" t="s">
        <v>32</v>
      </c>
      <c r="F600" s="5" t="str">
        <f>IFERROR(VLOOKUP(E600,Procedimentos!A:C,2,),"")</f>
        <v>GESTÃO DE LEVANTAMENTO DE ASPECTOS E IMPACTOS AMBIENTAIS</v>
      </c>
      <c r="G600" s="4" t="s">
        <v>22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4.25" customHeight="1">
      <c r="A601" s="4">
        <v>14163</v>
      </c>
      <c r="B601" s="4" t="str">
        <f>IFERROR(VLOOKUP(A601,Colaboradores!A:D,2,),"")</f>
        <v/>
      </c>
      <c r="C601" s="4" t="str">
        <f>IFERROR(VLOOKUP(A601,Colaboradores!A:D,3,),"")</f>
        <v/>
      </c>
      <c r="D601" s="4" t="str">
        <f>IFERROR(VLOOKUP(A601,Colaboradores!A:D,4,),"")</f>
        <v/>
      </c>
      <c r="E601" s="4" t="s">
        <v>31</v>
      </c>
      <c r="F601" s="5" t="str">
        <f>IFERROR(VLOOKUP(E601,Procedimentos!A:C,2,),"")</f>
        <v>GESTÃO DE COMUNICAÇÃO, CLASSIFICAÇÃO E INVESTIGAÇÃO DE OCORRÊNCIAS AMBIENTAIS</v>
      </c>
      <c r="G601" s="4" t="s">
        <v>22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4.25" customHeight="1">
      <c r="A602" s="4">
        <v>14163</v>
      </c>
      <c r="B602" s="4" t="str">
        <f>IFERROR(VLOOKUP(A602,Colaboradores!A:D,2,),"")</f>
        <v/>
      </c>
      <c r="C602" s="4" t="str">
        <f>IFERROR(VLOOKUP(A602,Colaboradores!A:D,3,),"")</f>
        <v/>
      </c>
      <c r="D602" s="4" t="str">
        <f>IFERROR(VLOOKUP(A602,Colaboradores!A:D,4,),"")</f>
        <v/>
      </c>
      <c r="E602" s="4" t="s">
        <v>33</v>
      </c>
      <c r="F602" s="5" t="str">
        <f>IFERROR(VLOOKUP(E602,Procedimentos!A:C,2,),"")</f>
        <v>GESTÃO DE INSPEÇÕES AMBIENTAIS</v>
      </c>
      <c r="G602" s="4" t="s">
        <v>22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4.25" customHeight="1">
      <c r="A603" s="4">
        <v>14163</v>
      </c>
      <c r="B603" s="4" t="str">
        <f>IFERROR(VLOOKUP(A603,Colaboradores!A:D,2,),"")</f>
        <v/>
      </c>
      <c r="C603" s="4" t="str">
        <f>IFERROR(VLOOKUP(A603,Colaboradores!A:D,3,),"")</f>
        <v/>
      </c>
      <c r="D603" s="4" t="str">
        <f>IFERROR(VLOOKUP(A603,Colaboradores!A:D,4,),"")</f>
        <v/>
      </c>
      <c r="E603" s="4" t="s">
        <v>49</v>
      </c>
      <c r="F603" s="5" t="str">
        <f>IFERROR(VLOOKUP(E603,Procedimentos!A:C,2,),"")</f>
        <v>DIRETRIZES PARA REALIZAÇÃO DE EXAMES OCUPACIONAIS</v>
      </c>
      <c r="G603" s="4" t="s">
        <v>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4.25" customHeight="1">
      <c r="A604" s="4">
        <v>14163</v>
      </c>
      <c r="B604" s="4" t="str">
        <f>IFERROR(VLOOKUP(A604,Colaboradores!A:D,2,),"")</f>
        <v/>
      </c>
      <c r="C604" s="4" t="str">
        <f>IFERROR(VLOOKUP(A604,Colaboradores!A:D,3,),"")</f>
        <v/>
      </c>
      <c r="D604" s="4" t="str">
        <f>IFERROR(VLOOKUP(A604,Colaboradores!A:D,4,),"")</f>
        <v/>
      </c>
      <c r="E604" s="4" t="s">
        <v>51</v>
      </c>
      <c r="F604" s="5" t="str">
        <f>IFERROR(VLOOKUP(E604,Procedimentos!A:C,2,),"")</f>
        <v>DIRETRIZES PARA ENTREGA DE ATESTADOS MÉDICOS E ODONTOLÓGICOS</v>
      </c>
      <c r="G604" s="4" t="s">
        <v>22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4.25" customHeight="1">
      <c r="A605" s="4">
        <v>14163</v>
      </c>
      <c r="B605" s="4" t="str">
        <f>IFERROR(VLOOKUP(A605,Colaboradores!A:D,2,),"")</f>
        <v/>
      </c>
      <c r="C605" s="4" t="str">
        <f>IFERROR(VLOOKUP(A605,Colaboradores!A:D,3,),"")</f>
        <v/>
      </c>
      <c r="D605" s="4" t="str">
        <f>IFERROR(VLOOKUP(A605,Colaboradores!A:D,4,),"")</f>
        <v/>
      </c>
      <c r="E605" s="4" t="s">
        <v>52</v>
      </c>
      <c r="F605" s="5" t="str">
        <f>IFERROR(VLOOKUP(E605,Procedimentos!A:C,2,),"")</f>
        <v>DIRETRIZES E ACOMPANHAMENTO  DE ACIDENTE COM MATERIAL BIOLOGICO</v>
      </c>
      <c r="G605" s="4" t="s">
        <v>22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4.25" customHeight="1">
      <c r="A606" s="4">
        <v>14163</v>
      </c>
      <c r="B606" s="4" t="str">
        <f>IFERROR(VLOOKUP(A606,Colaboradores!A:D,2,),"")</f>
        <v/>
      </c>
      <c r="C606" s="4" t="str">
        <f>IFERROR(VLOOKUP(A606,Colaboradores!A:D,3,),"")</f>
        <v/>
      </c>
      <c r="D606" s="4" t="str">
        <f>IFERROR(VLOOKUP(A606,Colaboradores!A:D,4,),"")</f>
        <v/>
      </c>
      <c r="E606" s="4" t="s">
        <v>53</v>
      </c>
      <c r="F606" s="5" t="str">
        <f>IFERROR(VLOOKUP(E606,Procedimentos!A:C,2,),"")</f>
        <v>DIRETRIZES PARA MONITORAMENTO DE GESTANTE</v>
      </c>
      <c r="G606" s="4" t="s">
        <v>22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4.25" customHeight="1">
      <c r="A607" s="4">
        <v>14163</v>
      </c>
      <c r="B607" s="4" t="str">
        <f>IFERROR(VLOOKUP(A607,Colaboradores!A:D,2,),"")</f>
        <v/>
      </c>
      <c r="C607" s="4" t="str">
        <f>IFERROR(VLOOKUP(A607,Colaboradores!A:D,3,),"")</f>
        <v/>
      </c>
      <c r="D607" s="4" t="str">
        <f>IFERROR(VLOOKUP(A607,Colaboradores!A:D,4,),"")</f>
        <v/>
      </c>
      <c r="E607" s="4" t="s">
        <v>54</v>
      </c>
      <c r="F607" s="5" t="str">
        <f>IFERROR(VLOOKUP(E607,Procedimentos!A:C,2,),"")</f>
        <v>DIRETRIZES DE IMUNIZAÇÃO OCUPACIONAL</v>
      </c>
      <c r="G607" s="4" t="s">
        <v>22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4.25" customHeight="1">
      <c r="A608" s="4">
        <v>14163</v>
      </c>
      <c r="B608" s="4" t="str">
        <f>IFERROR(VLOOKUP(A608,Colaboradores!A:D,2,),"")</f>
        <v/>
      </c>
      <c r="C608" s="4" t="str">
        <f>IFERROR(VLOOKUP(A608,Colaboradores!A:D,3,),"")</f>
        <v/>
      </c>
      <c r="D608" s="4" t="str">
        <f>IFERROR(VLOOKUP(A608,Colaboradores!A:D,4,),"")</f>
        <v/>
      </c>
      <c r="E608" s="4" t="s">
        <v>55</v>
      </c>
      <c r="F608" s="5" t="str">
        <f>IFERROR(VLOOKUP(E608,Procedimentos!A:C,2,),"")</f>
        <v>DIRETRIZES PARA ACOMPANHAMENTO DE AFASTADOS</v>
      </c>
      <c r="G608" s="4" t="s">
        <v>22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4.25" customHeight="1">
      <c r="A609" s="4">
        <v>14163</v>
      </c>
      <c r="B609" s="4" t="str">
        <f>IFERROR(VLOOKUP(A609,Colaboradores!A:D,2,),"")</f>
        <v/>
      </c>
      <c r="C609" s="4" t="str">
        <f>IFERROR(VLOOKUP(A609,Colaboradores!A:D,3,),"")</f>
        <v/>
      </c>
      <c r="D609" s="4" t="str">
        <f>IFERROR(VLOOKUP(A609,Colaboradores!A:D,4,),"")</f>
        <v/>
      </c>
      <c r="E609" s="4" t="s">
        <v>46</v>
      </c>
      <c r="F609" s="5" t="str">
        <f>IFERROR(VLOOKUP(E609,Procedimentos!A:C,2,),"")</f>
        <v>POLÍTICA DE SAÚDE E SEGURANÇA DO TRABALHO EMSERH</v>
      </c>
      <c r="G609" s="4" t="s">
        <v>22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4.25" customHeight="1">
      <c r="A610" s="4">
        <v>14163</v>
      </c>
      <c r="B610" s="4" t="str">
        <f>IFERROR(VLOOKUP(A610,Colaboradores!A:D,2,),"")</f>
        <v/>
      </c>
      <c r="C610" s="4" t="str">
        <f>IFERROR(VLOOKUP(A610,Colaboradores!A:D,3,),"")</f>
        <v/>
      </c>
      <c r="D610" s="4" t="str">
        <f>IFERROR(VLOOKUP(A610,Colaboradores!A:D,4,),"")</f>
        <v/>
      </c>
      <c r="E610" s="4" t="s">
        <v>41</v>
      </c>
      <c r="F610" s="5" t="str">
        <f>IFERROR(VLOOKUP(E610,Procedimentos!A:C,2,),"")</f>
        <v>DIRETRIZES PARA COMUNICAÇÃO E INVESTIGAÇÃO DE ACIDENTES</v>
      </c>
      <c r="G610" s="4" t="s">
        <v>22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4.25" customHeight="1">
      <c r="A611" s="4">
        <v>14163</v>
      </c>
      <c r="B611" s="4" t="str">
        <f>IFERROR(VLOOKUP(A611,Colaboradores!A:D,2,),"")</f>
        <v/>
      </c>
      <c r="C611" s="4" t="str">
        <f>IFERROR(VLOOKUP(A611,Colaboradores!A:D,3,),"")</f>
        <v/>
      </c>
      <c r="D611" s="4" t="str">
        <f>IFERROR(VLOOKUP(A611,Colaboradores!A:D,4,),"")</f>
        <v/>
      </c>
      <c r="E611" s="4" t="s">
        <v>43</v>
      </c>
      <c r="F611" s="5" t="str">
        <f>IFERROR(VLOOKUP(E611,Procedimentos!A:C,2,),"")</f>
        <v>DIÁLOGO DE SAÚDE E SEGURANÇA - DSS</v>
      </c>
      <c r="G611" s="4" t="s">
        <v>22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4.25" customHeight="1">
      <c r="A612" s="4">
        <v>14163</v>
      </c>
      <c r="B612" s="4" t="str">
        <f>IFERROR(VLOOKUP(A612,Colaboradores!A:D,2,),"")</f>
        <v/>
      </c>
      <c r="C612" s="4" t="str">
        <f>IFERROR(VLOOKUP(A612,Colaboradores!A:D,3,),"")</f>
        <v/>
      </c>
      <c r="D612" s="4" t="str">
        <f>IFERROR(VLOOKUP(A612,Colaboradores!A:D,4,),"")</f>
        <v/>
      </c>
      <c r="E612" s="4" t="s">
        <v>44</v>
      </c>
      <c r="F612" s="5" t="str">
        <f>IFERROR(VLOOKUP(E612,Procedimentos!A:C,2,),"")</f>
        <v>DIRETRIZES PARA GESTÃO DE EQUIPAMENTOS DE PROTEÇÃO INDIVIDUAL - EPI'S</v>
      </c>
      <c r="G612" s="4" t="s">
        <v>22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4.25" customHeight="1">
      <c r="A613" s="4">
        <v>14163</v>
      </c>
      <c r="B613" s="4" t="str">
        <f>IFERROR(VLOOKUP(A613,Colaboradores!A:D,2,),"")</f>
        <v/>
      </c>
      <c r="C613" s="4" t="str">
        <f>IFERROR(VLOOKUP(A613,Colaboradores!A:D,3,),"")</f>
        <v/>
      </c>
      <c r="D613" s="4" t="str">
        <f>IFERROR(VLOOKUP(A613,Colaboradores!A:D,4,),"")</f>
        <v/>
      </c>
      <c r="E613" s="4" t="s">
        <v>45</v>
      </c>
      <c r="F613" s="5" t="str">
        <f>IFERROR(VLOOKUP(E613,Procedimentos!A:C,2,),"")</f>
        <v>CONSTITUIÇÃO INTERNA DE PREVENÇÃO DE ACIDENTES E DE ASSÉDIOS - CIPA</v>
      </c>
      <c r="G613" s="4" t="s">
        <v>22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4.25" customHeight="1">
      <c r="A614" s="4">
        <v>14163</v>
      </c>
      <c r="B614" s="4" t="str">
        <f>IFERROR(VLOOKUP(A614,Colaboradores!A:D,2,),"")</f>
        <v/>
      </c>
      <c r="C614" s="4" t="str">
        <f>IFERROR(VLOOKUP(A614,Colaboradores!A:D,3,),"")</f>
        <v/>
      </c>
      <c r="D614" s="4" t="str">
        <f>IFERROR(VLOOKUP(A614,Colaboradores!A:D,4,),"")</f>
        <v/>
      </c>
      <c r="E614" s="4" t="s">
        <v>59</v>
      </c>
      <c r="F614" s="5" t="str">
        <f>IFERROR(VLOOKUP(E614,Procedimentos!A:C,2,),"")</f>
        <v>GERENCIAMENTO DE RISCOS DE SAÚDE, SEGURANÇA E PROCESSOS</v>
      </c>
      <c r="G614" s="4" t="s">
        <v>22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4.25" customHeight="1">
      <c r="A615" s="4">
        <v>14163</v>
      </c>
      <c r="B615" s="4" t="str">
        <f>IFERROR(VLOOKUP(A615,Colaboradores!A:D,2,),"")</f>
        <v/>
      </c>
      <c r="C615" s="4" t="str">
        <f>IFERROR(VLOOKUP(A615,Colaboradores!A:D,3,),"")</f>
        <v/>
      </c>
      <c r="D615" s="4" t="str">
        <f>IFERROR(VLOOKUP(A615,Colaboradores!A:D,4,),"")</f>
        <v/>
      </c>
      <c r="E615" s="4" t="s">
        <v>61</v>
      </c>
      <c r="F615" s="5" t="str">
        <f>IFERROR(VLOOKUP(E615,Procedimentos!A:C,2,),"")</f>
        <v>PROCEDIMENTO DE INSPEÇÃO DE SEGURANÇA</v>
      </c>
      <c r="G615" s="4" t="s">
        <v>22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4.25" customHeight="1">
      <c r="A616" s="4">
        <v>14163</v>
      </c>
      <c r="B616" s="4" t="str">
        <f>IFERROR(VLOOKUP(A616,Colaboradores!A:D,2,),"")</f>
        <v/>
      </c>
      <c r="C616" s="4" t="str">
        <f>IFERROR(VLOOKUP(A616,Colaboradores!A:D,3,),"")</f>
        <v/>
      </c>
      <c r="D616" s="4" t="str">
        <f>IFERROR(VLOOKUP(A616,Colaboradores!A:D,4,),"")</f>
        <v/>
      </c>
      <c r="E616" s="4" t="s">
        <v>62</v>
      </c>
      <c r="F616" s="5" t="str">
        <f>IFERROR(VLOOKUP(E616,Procedimentos!A:C,2,),"")</f>
        <v>DIRETRIZES PARA ENVIO E RECEBIMENTO DE DOSÍMETRO</v>
      </c>
      <c r="G616" s="4" t="s">
        <v>22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4.25" customHeight="1">
      <c r="A617" s="4">
        <v>14106</v>
      </c>
      <c r="B617" s="4" t="str">
        <f>IFERROR(VLOOKUP(A617,Colaboradores!A:D,2,),"")</f>
        <v/>
      </c>
      <c r="C617" s="4" t="str">
        <f>IFERROR(VLOOKUP(A617,Colaboradores!A:D,3,),"")</f>
        <v/>
      </c>
      <c r="D617" s="4" t="str">
        <f>IFERROR(VLOOKUP(A617,Colaboradores!A:D,4,),"")</f>
        <v/>
      </c>
      <c r="E617" s="4" t="s">
        <v>58</v>
      </c>
      <c r="F617" s="5" t="str">
        <f>IFERROR(VLOOKUP(E617,Procedimentos!A:C,2,),"")</f>
        <v>POLÍTICA DE QUALIDADE DA DIRETORIA</v>
      </c>
      <c r="G617" s="4" t="s">
        <v>22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4.25" customHeight="1">
      <c r="A618" s="4">
        <v>14106</v>
      </c>
      <c r="B618" s="4" t="str">
        <f>IFERROR(VLOOKUP(A618,Colaboradores!A:D,2,),"")</f>
        <v/>
      </c>
      <c r="C618" s="4" t="str">
        <f>IFERROR(VLOOKUP(A618,Colaboradores!A:D,3,),"")</f>
        <v/>
      </c>
      <c r="D618" s="4" t="str">
        <f>IFERROR(VLOOKUP(A618,Colaboradores!A:D,4,),"")</f>
        <v/>
      </c>
      <c r="E618" s="4" t="s">
        <v>19</v>
      </c>
      <c r="F618" s="5" t="str">
        <f>IFERROR(VLOOKUP(E618,Procedimentos!A:C,2,),"")</f>
        <v>DIRETRIZES PARA DOCUMENTOS NORMATIVOS</v>
      </c>
      <c r="G618" s="4" t="s">
        <v>22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4.25" customHeight="1">
      <c r="A619" s="4">
        <v>14106</v>
      </c>
      <c r="B619" s="4" t="str">
        <f>IFERROR(VLOOKUP(A619,Colaboradores!A:D,2,),"")</f>
        <v/>
      </c>
      <c r="C619" s="4" t="str">
        <f>IFERROR(VLOOKUP(A619,Colaboradores!A:D,3,),"")</f>
        <v/>
      </c>
      <c r="D619" s="4" t="str">
        <f>IFERROR(VLOOKUP(A619,Colaboradores!A:D,4,),"")</f>
        <v/>
      </c>
      <c r="E619" s="4" t="s">
        <v>24</v>
      </c>
      <c r="F619" s="5" t="str">
        <f>IFERROR(VLOOKUP(E619,Procedimentos!A:C,2,),"")</f>
        <v>DIRETRIZES  PARA PROGRAMA 5S</v>
      </c>
      <c r="G619" s="4" t="s">
        <v>22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4.25" customHeight="1">
      <c r="A620" s="4">
        <v>14106</v>
      </c>
      <c r="B620" s="4" t="str">
        <f>IFERROR(VLOOKUP(A620,Colaboradores!A:D,2,),"")</f>
        <v/>
      </c>
      <c r="C620" s="4" t="str">
        <f>IFERROR(VLOOKUP(A620,Colaboradores!A:D,3,),"")</f>
        <v/>
      </c>
      <c r="D620" s="4" t="str">
        <f>IFERROR(VLOOKUP(A620,Colaboradores!A:D,4,),"")</f>
        <v/>
      </c>
      <c r="E620" s="4" t="s">
        <v>25</v>
      </c>
      <c r="F620" s="5" t="str">
        <f>IFERROR(VLOOKUP(E620,Procedimentos!A:C,2,),"")</f>
        <v>GARANTIA DA QUALIDADE</v>
      </c>
      <c r="G620" s="4" t="s">
        <v>22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4.25" customHeight="1">
      <c r="A621" s="4">
        <v>14106</v>
      </c>
      <c r="B621" s="4" t="str">
        <f>IFERROR(VLOOKUP(A621,Colaboradores!A:D,2,),"")</f>
        <v/>
      </c>
      <c r="C621" s="4" t="str">
        <f>IFERROR(VLOOKUP(A621,Colaboradores!A:D,3,),"")</f>
        <v/>
      </c>
      <c r="D621" s="4" t="str">
        <f>IFERROR(VLOOKUP(A621,Colaboradores!A:D,4,),"")</f>
        <v/>
      </c>
      <c r="E621" s="4" t="s">
        <v>26</v>
      </c>
      <c r="F621" s="5" t="str">
        <f>IFERROR(VLOOKUP(E621,Procedimentos!A:C,2,),"")</f>
        <v>RESPONSABILIDADES E AUTORIDADES DO SGQ</v>
      </c>
      <c r="G621" s="4" t="s">
        <v>22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4.25" customHeight="1">
      <c r="A622" s="4">
        <v>14106</v>
      </c>
      <c r="B622" s="4" t="str">
        <f>IFERROR(VLOOKUP(A622,Colaboradores!A:D,2,),"")</f>
        <v/>
      </c>
      <c r="C622" s="4" t="str">
        <f>IFERROR(VLOOKUP(A622,Colaboradores!A:D,3,),"")</f>
        <v/>
      </c>
      <c r="D622" s="4" t="str">
        <f>IFERROR(VLOOKUP(A622,Colaboradores!A:D,4,),"")</f>
        <v/>
      </c>
      <c r="E622" s="4" t="s">
        <v>73</v>
      </c>
      <c r="F622" s="5" t="str">
        <f>IFERROR(VLOOKUP(E622,Procedimentos!A:C,2,),"")</f>
        <v>AQUISIÇÃO DE BENS E SERVIÇOS E AVALIAÇÃO PROVEDORES EXTERNOS</v>
      </c>
      <c r="G622" s="4" t="s">
        <v>22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4.25" customHeight="1">
      <c r="A623" s="4">
        <v>14106</v>
      </c>
      <c r="B623" s="4" t="str">
        <f>IFERROR(VLOOKUP(A623,Colaboradores!A:D,2,),"")</f>
        <v/>
      </c>
      <c r="C623" s="4" t="str">
        <f>IFERROR(VLOOKUP(A623,Colaboradores!A:D,3,),"")</f>
        <v/>
      </c>
      <c r="D623" s="4" t="str">
        <f>IFERROR(VLOOKUP(A623,Colaboradores!A:D,4,),"")</f>
        <v/>
      </c>
      <c r="E623" s="4" t="s">
        <v>48</v>
      </c>
      <c r="F623" s="5" t="str">
        <f>IFERROR(VLOOKUP(E623,Procedimentos!A:C,2,),"")</f>
        <v>POLÍTICA MEIO AMBIENTE EMSERH</v>
      </c>
      <c r="G623" s="4" t="s">
        <v>22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4.25" customHeight="1">
      <c r="A624" s="4">
        <v>14106</v>
      </c>
      <c r="B624" s="4" t="str">
        <f>IFERROR(VLOOKUP(A624,Colaboradores!A:D,2,),"")</f>
        <v/>
      </c>
      <c r="C624" s="4" t="str">
        <f>IFERROR(VLOOKUP(A624,Colaboradores!A:D,3,),"")</f>
        <v/>
      </c>
      <c r="D624" s="4" t="str">
        <f>IFERROR(VLOOKUP(A624,Colaboradores!A:D,4,),"")</f>
        <v/>
      </c>
      <c r="E624" s="4" t="s">
        <v>29</v>
      </c>
      <c r="F624" s="5" t="str">
        <f>IFERROR(VLOOKUP(E624,Procedimentos!A:C,2,),"")</f>
        <v>COLETA SELETIVA DESSMA</v>
      </c>
      <c r="G624" s="4" t="s">
        <v>22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4.25" customHeight="1">
      <c r="A625" s="4">
        <v>14106</v>
      </c>
      <c r="B625" s="4" t="str">
        <f>IFERROR(VLOOKUP(A625,Colaboradores!A:D,2,),"")</f>
        <v/>
      </c>
      <c r="C625" s="4" t="str">
        <f>IFERROR(VLOOKUP(A625,Colaboradores!A:D,3,),"")</f>
        <v/>
      </c>
      <c r="D625" s="4" t="str">
        <f>IFERROR(VLOOKUP(A625,Colaboradores!A:D,4,),"")</f>
        <v/>
      </c>
      <c r="E625" s="4" t="s">
        <v>36</v>
      </c>
      <c r="F625" s="5" t="str">
        <f>IFERROR(VLOOKUP(E625,Procedimentos!A:C,2,),"")</f>
        <v>GESTÃO DE PRODUTOS QUÍMICOS</v>
      </c>
      <c r="G625" s="4" t="s">
        <v>22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4.25" customHeight="1">
      <c r="A626" s="4">
        <v>14106</v>
      </c>
      <c r="B626" s="4" t="str">
        <f>IFERROR(VLOOKUP(A626,Colaboradores!A:D,2,),"")</f>
        <v/>
      </c>
      <c r="C626" s="4" t="str">
        <f>IFERROR(VLOOKUP(A626,Colaboradores!A:D,3,),"")</f>
        <v/>
      </c>
      <c r="D626" s="4" t="str">
        <f>IFERROR(VLOOKUP(A626,Colaboradores!A:D,4,),"")</f>
        <v/>
      </c>
      <c r="E626" s="4" t="s">
        <v>32</v>
      </c>
      <c r="F626" s="5" t="str">
        <f>IFERROR(VLOOKUP(E626,Procedimentos!A:C,2,),"")</f>
        <v>GESTÃO DE LEVANTAMENTO DE ASPECTOS E IMPACTOS AMBIENTAIS</v>
      </c>
      <c r="G626" s="4" t="s">
        <v>22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4.25" customHeight="1">
      <c r="A627" s="4">
        <v>14106</v>
      </c>
      <c r="B627" s="4" t="str">
        <f>IFERROR(VLOOKUP(A627,Colaboradores!A:D,2,),"")</f>
        <v/>
      </c>
      <c r="C627" s="4" t="str">
        <f>IFERROR(VLOOKUP(A627,Colaboradores!A:D,3,),"")</f>
        <v/>
      </c>
      <c r="D627" s="4" t="str">
        <f>IFERROR(VLOOKUP(A627,Colaboradores!A:D,4,),"")</f>
        <v/>
      </c>
      <c r="E627" s="4" t="s">
        <v>31</v>
      </c>
      <c r="F627" s="5" t="str">
        <f>IFERROR(VLOOKUP(E627,Procedimentos!A:C,2,),"")</f>
        <v>GESTÃO DE COMUNICAÇÃO, CLASSIFICAÇÃO E INVESTIGAÇÃO DE OCORRÊNCIAS AMBIENTAIS</v>
      </c>
      <c r="G627" s="4" t="s">
        <v>22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4.25" customHeight="1">
      <c r="A628" s="4">
        <v>14106</v>
      </c>
      <c r="B628" s="4" t="str">
        <f>IFERROR(VLOOKUP(A628,Colaboradores!A:D,2,),"")</f>
        <v/>
      </c>
      <c r="C628" s="4" t="str">
        <f>IFERROR(VLOOKUP(A628,Colaboradores!A:D,3,),"")</f>
        <v/>
      </c>
      <c r="D628" s="4" t="str">
        <f>IFERROR(VLOOKUP(A628,Colaboradores!A:D,4,),"")</f>
        <v/>
      </c>
      <c r="E628" s="4" t="s">
        <v>33</v>
      </c>
      <c r="F628" s="5" t="str">
        <f>IFERROR(VLOOKUP(E628,Procedimentos!A:C,2,),"")</f>
        <v>GESTÃO DE INSPEÇÕES AMBIENTAIS</v>
      </c>
      <c r="G628" s="4" t="s">
        <v>22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4.25" customHeight="1">
      <c r="A629" s="4">
        <v>14106</v>
      </c>
      <c r="B629" s="4" t="str">
        <f>IFERROR(VLOOKUP(A629,Colaboradores!A:D,2,),"")</f>
        <v/>
      </c>
      <c r="C629" s="4" t="str">
        <f>IFERROR(VLOOKUP(A629,Colaboradores!A:D,3,),"")</f>
        <v/>
      </c>
      <c r="D629" s="4" t="str">
        <f>IFERROR(VLOOKUP(A629,Colaboradores!A:D,4,),"")</f>
        <v/>
      </c>
      <c r="E629" s="4" t="s">
        <v>49</v>
      </c>
      <c r="F629" s="5" t="str">
        <f>IFERROR(VLOOKUP(E629,Procedimentos!A:C,2,),"")</f>
        <v>DIRETRIZES PARA REALIZAÇÃO DE EXAMES OCUPACIONAIS</v>
      </c>
      <c r="G629" s="4" t="s">
        <v>22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4.25" customHeight="1">
      <c r="A630" s="4">
        <v>14106</v>
      </c>
      <c r="B630" s="4" t="str">
        <f>IFERROR(VLOOKUP(A630,Colaboradores!A:D,2,),"")</f>
        <v/>
      </c>
      <c r="C630" s="4" t="str">
        <f>IFERROR(VLOOKUP(A630,Colaboradores!A:D,3,),"")</f>
        <v/>
      </c>
      <c r="D630" s="4" t="str">
        <f>IFERROR(VLOOKUP(A630,Colaboradores!A:D,4,),"")</f>
        <v/>
      </c>
      <c r="E630" s="4" t="s">
        <v>51</v>
      </c>
      <c r="F630" s="5" t="str">
        <f>IFERROR(VLOOKUP(E630,Procedimentos!A:C,2,),"")</f>
        <v>DIRETRIZES PARA ENTREGA DE ATESTADOS MÉDICOS E ODONTOLÓGICOS</v>
      </c>
      <c r="G630" s="4" t="s">
        <v>22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4.25" customHeight="1">
      <c r="A631" s="4">
        <v>14106</v>
      </c>
      <c r="B631" s="4" t="str">
        <f>IFERROR(VLOOKUP(A631,Colaboradores!A:D,2,),"")</f>
        <v/>
      </c>
      <c r="C631" s="4" t="str">
        <f>IFERROR(VLOOKUP(A631,Colaboradores!A:D,3,),"")</f>
        <v/>
      </c>
      <c r="D631" s="4" t="str">
        <f>IFERROR(VLOOKUP(A631,Colaboradores!A:D,4,),"")</f>
        <v/>
      </c>
      <c r="E631" s="4" t="s">
        <v>52</v>
      </c>
      <c r="F631" s="5" t="str">
        <f>IFERROR(VLOOKUP(E631,Procedimentos!A:C,2,),"")</f>
        <v>DIRETRIZES E ACOMPANHAMENTO  DE ACIDENTE COM MATERIAL BIOLOGICO</v>
      </c>
      <c r="G631" s="4" t="s">
        <v>22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4.25" customHeight="1">
      <c r="A632" s="4">
        <v>14106</v>
      </c>
      <c r="B632" s="4" t="str">
        <f>IFERROR(VLOOKUP(A632,Colaboradores!A:D,2,),"")</f>
        <v/>
      </c>
      <c r="C632" s="4" t="str">
        <f>IFERROR(VLOOKUP(A632,Colaboradores!A:D,3,),"")</f>
        <v/>
      </c>
      <c r="D632" s="4" t="str">
        <f>IFERROR(VLOOKUP(A632,Colaboradores!A:D,4,),"")</f>
        <v/>
      </c>
      <c r="E632" s="4" t="s">
        <v>53</v>
      </c>
      <c r="F632" s="5" t="str">
        <f>IFERROR(VLOOKUP(E632,Procedimentos!A:C,2,),"")</f>
        <v>DIRETRIZES PARA MONITORAMENTO DE GESTANTE</v>
      </c>
      <c r="G632" s="4" t="s">
        <v>22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4.25" customHeight="1">
      <c r="A633" s="4">
        <v>14106</v>
      </c>
      <c r="B633" s="4" t="str">
        <f>IFERROR(VLOOKUP(A633,Colaboradores!A:D,2,),"")</f>
        <v/>
      </c>
      <c r="C633" s="4" t="str">
        <f>IFERROR(VLOOKUP(A633,Colaboradores!A:D,3,),"")</f>
        <v/>
      </c>
      <c r="D633" s="4" t="str">
        <f>IFERROR(VLOOKUP(A633,Colaboradores!A:D,4,),"")</f>
        <v/>
      </c>
      <c r="E633" s="4" t="s">
        <v>54</v>
      </c>
      <c r="F633" s="5" t="str">
        <f>IFERROR(VLOOKUP(E633,Procedimentos!A:C,2,),"")</f>
        <v>DIRETRIZES DE IMUNIZAÇÃO OCUPACIONAL</v>
      </c>
      <c r="G633" s="4" t="s">
        <v>22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4.25" customHeight="1">
      <c r="A634" s="4">
        <v>14106</v>
      </c>
      <c r="B634" s="4" t="str">
        <f>IFERROR(VLOOKUP(A634,Colaboradores!A:D,2,),"")</f>
        <v/>
      </c>
      <c r="C634" s="4" t="str">
        <f>IFERROR(VLOOKUP(A634,Colaboradores!A:D,3,),"")</f>
        <v/>
      </c>
      <c r="D634" s="4" t="str">
        <f>IFERROR(VLOOKUP(A634,Colaboradores!A:D,4,),"")</f>
        <v/>
      </c>
      <c r="E634" s="4" t="s">
        <v>55</v>
      </c>
      <c r="F634" s="5" t="str">
        <f>IFERROR(VLOOKUP(E634,Procedimentos!A:C,2,),"")</f>
        <v>DIRETRIZES PARA ACOMPANHAMENTO DE AFASTADOS</v>
      </c>
      <c r="G634" s="4" t="s">
        <v>22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4.25" customHeight="1">
      <c r="A635" s="4">
        <v>14106</v>
      </c>
      <c r="B635" s="4" t="str">
        <f>IFERROR(VLOOKUP(A635,Colaboradores!A:D,2,),"")</f>
        <v/>
      </c>
      <c r="C635" s="4" t="str">
        <f>IFERROR(VLOOKUP(A635,Colaboradores!A:D,3,),"")</f>
        <v/>
      </c>
      <c r="D635" s="4" t="str">
        <f>IFERROR(VLOOKUP(A635,Colaboradores!A:D,4,),"")</f>
        <v/>
      </c>
      <c r="E635" s="4" t="s">
        <v>46</v>
      </c>
      <c r="F635" s="5" t="str">
        <f>IFERROR(VLOOKUP(E635,Procedimentos!A:C,2,),"")</f>
        <v>POLÍTICA DE SAÚDE E SEGURANÇA DO TRABALHO EMSERH</v>
      </c>
      <c r="G635" s="4" t="s">
        <v>22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4.25" customHeight="1">
      <c r="A636" s="4">
        <v>14106</v>
      </c>
      <c r="B636" s="4" t="str">
        <f>IFERROR(VLOOKUP(A636,Colaboradores!A:D,2,),"")</f>
        <v/>
      </c>
      <c r="C636" s="4" t="str">
        <f>IFERROR(VLOOKUP(A636,Colaboradores!A:D,3,),"")</f>
        <v/>
      </c>
      <c r="D636" s="4" t="str">
        <f>IFERROR(VLOOKUP(A636,Colaboradores!A:D,4,),"")</f>
        <v/>
      </c>
      <c r="E636" s="4" t="s">
        <v>41</v>
      </c>
      <c r="F636" s="5" t="str">
        <f>IFERROR(VLOOKUP(E636,Procedimentos!A:C,2,),"")</f>
        <v>DIRETRIZES PARA COMUNICAÇÃO E INVESTIGAÇÃO DE ACIDENTES</v>
      </c>
      <c r="G636" s="4" t="s">
        <v>22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4.25" customHeight="1">
      <c r="A637" s="4">
        <v>14106</v>
      </c>
      <c r="B637" s="4" t="str">
        <f>IFERROR(VLOOKUP(A637,Colaboradores!A:D,2,),"")</f>
        <v/>
      </c>
      <c r="C637" s="4" t="str">
        <f>IFERROR(VLOOKUP(A637,Colaboradores!A:D,3,),"")</f>
        <v/>
      </c>
      <c r="D637" s="4" t="str">
        <f>IFERROR(VLOOKUP(A637,Colaboradores!A:D,4,),"")</f>
        <v/>
      </c>
      <c r="E637" s="4" t="s">
        <v>43</v>
      </c>
      <c r="F637" s="5" t="str">
        <f>IFERROR(VLOOKUP(E637,Procedimentos!A:C,2,),"")</f>
        <v>DIÁLOGO DE SAÚDE E SEGURANÇA - DSS</v>
      </c>
      <c r="G637" s="4" t="s">
        <v>22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4.25" customHeight="1">
      <c r="A638" s="4">
        <v>14106</v>
      </c>
      <c r="B638" s="4" t="str">
        <f>IFERROR(VLOOKUP(A638,Colaboradores!A:D,2,),"")</f>
        <v/>
      </c>
      <c r="C638" s="4" t="str">
        <f>IFERROR(VLOOKUP(A638,Colaboradores!A:D,3,),"")</f>
        <v/>
      </c>
      <c r="D638" s="4" t="str">
        <f>IFERROR(VLOOKUP(A638,Colaboradores!A:D,4,),"")</f>
        <v/>
      </c>
      <c r="E638" s="4" t="s">
        <v>44</v>
      </c>
      <c r="F638" s="5" t="str">
        <f>IFERROR(VLOOKUP(E638,Procedimentos!A:C,2,),"")</f>
        <v>DIRETRIZES PARA GESTÃO DE EQUIPAMENTOS DE PROTEÇÃO INDIVIDUAL - EPI'S</v>
      </c>
      <c r="G638" s="4" t="s">
        <v>22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4.25" customHeight="1">
      <c r="A639" s="4">
        <v>14106</v>
      </c>
      <c r="B639" s="4" t="str">
        <f>IFERROR(VLOOKUP(A639,Colaboradores!A:D,2,),"")</f>
        <v/>
      </c>
      <c r="C639" s="4" t="str">
        <f>IFERROR(VLOOKUP(A639,Colaboradores!A:D,3,),"")</f>
        <v/>
      </c>
      <c r="D639" s="4" t="str">
        <f>IFERROR(VLOOKUP(A639,Colaboradores!A:D,4,),"")</f>
        <v/>
      </c>
      <c r="E639" s="4" t="s">
        <v>45</v>
      </c>
      <c r="F639" s="5" t="str">
        <f>IFERROR(VLOOKUP(E639,Procedimentos!A:C,2,),"")</f>
        <v>CONSTITUIÇÃO INTERNA DE PREVENÇÃO DE ACIDENTES E DE ASSÉDIOS - CIPA</v>
      </c>
      <c r="G639" s="4" t="s">
        <v>22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4.25" customHeight="1">
      <c r="A640" s="4">
        <v>14106</v>
      </c>
      <c r="B640" s="4" t="str">
        <f>IFERROR(VLOOKUP(A640,Colaboradores!A:D,2,),"")</f>
        <v/>
      </c>
      <c r="C640" s="4" t="str">
        <f>IFERROR(VLOOKUP(A640,Colaboradores!A:D,3,),"")</f>
        <v/>
      </c>
      <c r="D640" s="4" t="str">
        <f>IFERROR(VLOOKUP(A640,Colaboradores!A:D,4,),"")</f>
        <v/>
      </c>
      <c r="E640" s="4" t="s">
        <v>59</v>
      </c>
      <c r="F640" s="5" t="str">
        <f>IFERROR(VLOOKUP(E640,Procedimentos!A:C,2,),"")</f>
        <v>GERENCIAMENTO DE RISCOS DE SAÚDE, SEGURANÇA E PROCESSOS</v>
      </c>
      <c r="G640" s="4" t="s">
        <v>22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4.25" customHeight="1">
      <c r="A641" s="4">
        <v>14106</v>
      </c>
      <c r="B641" s="4" t="str">
        <f>IFERROR(VLOOKUP(A641,Colaboradores!A:D,2,),"")</f>
        <v/>
      </c>
      <c r="C641" s="4" t="str">
        <f>IFERROR(VLOOKUP(A641,Colaboradores!A:D,3,),"")</f>
        <v/>
      </c>
      <c r="D641" s="4" t="str">
        <f>IFERROR(VLOOKUP(A641,Colaboradores!A:D,4,),"")</f>
        <v/>
      </c>
      <c r="E641" s="4" t="s">
        <v>61</v>
      </c>
      <c r="F641" s="5" t="str">
        <f>IFERROR(VLOOKUP(E641,Procedimentos!A:C,2,),"")</f>
        <v>PROCEDIMENTO DE INSPEÇÃO DE SEGURANÇA</v>
      </c>
      <c r="G641" s="4" t="s">
        <v>22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4.25" customHeight="1">
      <c r="A642" s="4">
        <v>14106</v>
      </c>
      <c r="B642" s="4" t="str">
        <f>IFERROR(VLOOKUP(A642,Colaboradores!A:D,2,),"")</f>
        <v/>
      </c>
      <c r="C642" s="4" t="str">
        <f>IFERROR(VLOOKUP(A642,Colaboradores!A:D,3,),"")</f>
        <v/>
      </c>
      <c r="D642" s="4" t="str">
        <f>IFERROR(VLOOKUP(A642,Colaboradores!A:D,4,),"")</f>
        <v/>
      </c>
      <c r="E642" s="4" t="s">
        <v>62</v>
      </c>
      <c r="F642" s="5" t="str">
        <f>IFERROR(VLOOKUP(E642,Procedimentos!A:C,2,),"")</f>
        <v>DIRETRIZES PARA ENVIO E RECEBIMENTO DE DOSÍMETRO</v>
      </c>
      <c r="G642" s="4" t="s">
        <v>22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4.25" customHeight="1">
      <c r="A643" s="4">
        <v>13524</v>
      </c>
      <c r="B643" s="4" t="str">
        <f>IFERROR(VLOOKUP(A643,Colaboradores!A:D,2,),"")</f>
        <v>JOAO WILKER RIBEIRO BARROS LIMA</v>
      </c>
      <c r="C643" s="4" t="str">
        <f>IFERROR(VLOOKUP(A643,Colaboradores!A:D,3,),"")</f>
        <v>SEGURANÇA DO TRABALHO</v>
      </c>
      <c r="D643" s="4" t="str">
        <f>IFERROR(VLOOKUP(A643,Colaboradores!A:D,4,),"")</f>
        <v>COORDENADOR DE SEGURANÇA DO TRABALHO</v>
      </c>
      <c r="E643" s="4" t="s">
        <v>66</v>
      </c>
      <c r="F643" s="5" t="str">
        <f>IFERROR(VLOOKUP(E643,Procedimentos!A:C,2,),"")</f>
        <v>PROCEDIMENTO DE GERENCIAMENTO DE RISCOS</v>
      </c>
      <c r="G643" s="4" t="s">
        <v>22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4.25" customHeight="1">
      <c r="A644" s="4">
        <v>13524</v>
      </c>
      <c r="B644" s="4" t="str">
        <f>IFERROR(VLOOKUP(A644,Colaboradores!A:D,2,),"")</f>
        <v>JOAO WILKER RIBEIRO BARROS LIMA</v>
      </c>
      <c r="C644" s="4" t="str">
        <f>IFERROR(VLOOKUP(A644,Colaboradores!A:D,3,),"")</f>
        <v>SEGURANÇA DO TRABALHO</v>
      </c>
      <c r="D644" s="4" t="str">
        <f>IFERROR(VLOOKUP(A644,Colaboradores!A:D,4,),"")</f>
        <v>COORDENADOR DE SEGURANÇA DO TRABALHO</v>
      </c>
      <c r="E644" s="4" t="s">
        <v>58</v>
      </c>
      <c r="F644" s="5" t="str">
        <f>IFERROR(VLOOKUP(E644,Procedimentos!A:C,2,),"")</f>
        <v>POLÍTICA DE QUALIDADE DA DIRETORIA</v>
      </c>
      <c r="G644" s="4" t="s">
        <v>22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4.25" customHeight="1">
      <c r="A645" s="4">
        <v>13524</v>
      </c>
      <c r="B645" s="4" t="str">
        <f>IFERROR(VLOOKUP(A645,Colaboradores!A:D,2,),"")</f>
        <v>JOAO WILKER RIBEIRO BARROS LIMA</v>
      </c>
      <c r="C645" s="4" t="str">
        <f>IFERROR(VLOOKUP(A645,Colaboradores!A:D,3,),"")</f>
        <v>SEGURANÇA DO TRABALHO</v>
      </c>
      <c r="D645" s="4" t="str">
        <f>IFERROR(VLOOKUP(A645,Colaboradores!A:D,4,),"")</f>
        <v>COORDENADOR DE SEGURANÇA DO TRABALHO</v>
      </c>
      <c r="E645" s="4" t="s">
        <v>19</v>
      </c>
      <c r="F645" s="5" t="str">
        <f>IFERROR(VLOOKUP(E645,Procedimentos!A:C,2,),"")</f>
        <v>DIRETRIZES PARA DOCUMENTOS NORMATIVOS</v>
      </c>
      <c r="G645" s="4" t="s">
        <v>22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4.25" customHeight="1">
      <c r="A646" s="4">
        <v>13524</v>
      </c>
      <c r="B646" s="4" t="str">
        <f>IFERROR(VLOOKUP(A646,Colaboradores!A:D,2,),"")</f>
        <v>JOAO WILKER RIBEIRO BARROS LIMA</v>
      </c>
      <c r="C646" s="4" t="str">
        <f>IFERROR(VLOOKUP(A646,Colaboradores!A:D,3,),"")</f>
        <v>SEGURANÇA DO TRABALHO</v>
      </c>
      <c r="D646" s="4" t="str">
        <f>IFERROR(VLOOKUP(A646,Colaboradores!A:D,4,),"")</f>
        <v>COORDENADOR DE SEGURANÇA DO TRABALHO</v>
      </c>
      <c r="E646" s="4" t="s">
        <v>24</v>
      </c>
      <c r="F646" s="5" t="str">
        <f>IFERROR(VLOOKUP(E646,Procedimentos!A:C,2,),"")</f>
        <v>DIRETRIZES  PARA PROGRAMA 5S</v>
      </c>
      <c r="G646" s="4" t="s">
        <v>22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4.25" customHeight="1">
      <c r="A647" s="4">
        <v>13524</v>
      </c>
      <c r="B647" s="4" t="str">
        <f>IFERROR(VLOOKUP(A647,Colaboradores!A:D,2,),"")</f>
        <v>JOAO WILKER RIBEIRO BARROS LIMA</v>
      </c>
      <c r="C647" s="4" t="str">
        <f>IFERROR(VLOOKUP(A647,Colaboradores!A:D,3,),"")</f>
        <v>SEGURANÇA DO TRABALHO</v>
      </c>
      <c r="D647" s="4" t="str">
        <f>IFERROR(VLOOKUP(A647,Colaboradores!A:D,4,),"")</f>
        <v>COORDENADOR DE SEGURANÇA DO TRABALHO</v>
      </c>
      <c r="E647" s="4" t="s">
        <v>67</v>
      </c>
      <c r="F647" s="5" t="str">
        <f>IFERROR(VLOOKUP(E647,Procedimentos!A:C,2,),"")</f>
        <v>SISTEMATICA DE ROTINA DE REUNIÕES DA DESSMA</v>
      </c>
      <c r="G647" s="4" t="s">
        <v>22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4.25" customHeight="1">
      <c r="A648" s="4">
        <v>13524</v>
      </c>
      <c r="B648" s="4" t="str">
        <f>IFERROR(VLOOKUP(A648,Colaboradores!A:D,2,),"")</f>
        <v>JOAO WILKER RIBEIRO BARROS LIMA</v>
      </c>
      <c r="C648" s="4" t="str">
        <f>IFERROR(VLOOKUP(A648,Colaboradores!A:D,3,),"")</f>
        <v>SEGURANÇA DO TRABALHO</v>
      </c>
      <c r="D648" s="4" t="str">
        <f>IFERROR(VLOOKUP(A648,Colaboradores!A:D,4,),"")</f>
        <v>COORDENADOR DE SEGURANÇA DO TRABALHO</v>
      </c>
      <c r="E648" s="4" t="s">
        <v>25</v>
      </c>
      <c r="F648" s="5" t="str">
        <f>IFERROR(VLOOKUP(E648,Procedimentos!A:C,2,),"")</f>
        <v>GARANTIA DA QUALIDADE</v>
      </c>
      <c r="G648" s="4" t="s">
        <v>22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4.25" customHeight="1">
      <c r="A649" s="4">
        <v>13524</v>
      </c>
      <c r="B649" s="4" t="str">
        <f>IFERROR(VLOOKUP(A649,Colaboradores!A:D,2,),"")</f>
        <v>JOAO WILKER RIBEIRO BARROS LIMA</v>
      </c>
      <c r="C649" s="4" t="str">
        <f>IFERROR(VLOOKUP(A649,Colaboradores!A:D,3,),"")</f>
        <v>SEGURANÇA DO TRABALHO</v>
      </c>
      <c r="D649" s="4" t="str">
        <f>IFERROR(VLOOKUP(A649,Colaboradores!A:D,4,),"")</f>
        <v>COORDENADOR DE SEGURANÇA DO TRABALHO</v>
      </c>
      <c r="E649" s="4" t="s">
        <v>68</v>
      </c>
      <c r="F649" s="5" t="str">
        <f>IFERROR(VLOOKUP(E649,Procedimentos!A:C,2,),"")</f>
        <v>GESTÃO INDICADORES</v>
      </c>
      <c r="G649" s="4" t="s">
        <v>22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4.25" customHeight="1">
      <c r="A650" s="4">
        <v>13524</v>
      </c>
      <c r="B650" s="4" t="str">
        <f>IFERROR(VLOOKUP(A650,Colaboradores!A:D,2,),"")</f>
        <v>JOAO WILKER RIBEIRO BARROS LIMA</v>
      </c>
      <c r="C650" s="4" t="str">
        <f>IFERROR(VLOOKUP(A650,Colaboradores!A:D,3,),"")</f>
        <v>SEGURANÇA DO TRABALHO</v>
      </c>
      <c r="D650" s="4" t="str">
        <f>IFERROR(VLOOKUP(A650,Colaboradores!A:D,4,),"")</f>
        <v>COORDENADOR DE SEGURANÇA DO TRABALHO</v>
      </c>
      <c r="E650" s="4" t="s">
        <v>26</v>
      </c>
      <c r="F650" s="5" t="str">
        <f>IFERROR(VLOOKUP(E650,Procedimentos!A:C,2,),"")</f>
        <v>RESPONSABILIDADES E AUTORIDADES DO SGQ</v>
      </c>
      <c r="G650" s="4" t="s">
        <v>22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4.25" customHeight="1">
      <c r="A651" s="4">
        <v>13524</v>
      </c>
      <c r="B651" s="4" t="str">
        <f>IFERROR(VLOOKUP(A651,Colaboradores!A:D,2,),"")</f>
        <v>JOAO WILKER RIBEIRO BARROS LIMA</v>
      </c>
      <c r="C651" s="4" t="str">
        <f>IFERROR(VLOOKUP(A651,Colaboradores!A:D,3,),"")</f>
        <v>SEGURANÇA DO TRABALHO</v>
      </c>
      <c r="D651" s="4" t="str">
        <f>IFERROR(VLOOKUP(A651,Colaboradores!A:D,4,),"")</f>
        <v>COORDENADOR DE SEGURANÇA DO TRABALHO</v>
      </c>
      <c r="E651" s="4" t="s">
        <v>69</v>
      </c>
      <c r="F651" s="5" t="str">
        <f>IFERROR(VLOOKUP(E651,Procedimentos!A:C,2,),"")</f>
        <v>PROCEDIMENTO GESTÃO DE MUDANÇA SGQ</v>
      </c>
      <c r="G651" s="4" t="s">
        <v>22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4.25" customHeight="1">
      <c r="A652" s="4">
        <v>13524</v>
      </c>
      <c r="B652" s="4" t="str">
        <f>IFERROR(VLOOKUP(A652,Colaboradores!A:D,2,),"")</f>
        <v>JOAO WILKER RIBEIRO BARROS LIMA</v>
      </c>
      <c r="C652" s="4" t="str">
        <f>IFERROR(VLOOKUP(A652,Colaboradores!A:D,3,),"")</f>
        <v>SEGURANÇA DO TRABALHO</v>
      </c>
      <c r="D652" s="4" t="str">
        <f>IFERROR(VLOOKUP(A652,Colaboradores!A:D,4,),"")</f>
        <v>COORDENADOR DE SEGURANÇA DO TRABALHO</v>
      </c>
      <c r="E652" s="4" t="s">
        <v>64</v>
      </c>
      <c r="F652" s="5" t="str">
        <f>IFERROR(VLOOKUP(E652,Procedimentos!A:C,2,),"")</f>
        <v>AVALIAÇÃO DESEMPENHO</v>
      </c>
      <c r="G652" s="4" t="s">
        <v>22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4.25" customHeight="1">
      <c r="A653" s="4">
        <v>13524</v>
      </c>
      <c r="B653" s="4" t="str">
        <f>IFERROR(VLOOKUP(A653,Colaboradores!A:D,2,),"")</f>
        <v>JOAO WILKER RIBEIRO BARROS LIMA</v>
      </c>
      <c r="C653" s="4" t="str">
        <f>IFERROR(VLOOKUP(A653,Colaboradores!A:D,3,),"")</f>
        <v>SEGURANÇA DO TRABALHO</v>
      </c>
      <c r="D653" s="4" t="str">
        <f>IFERROR(VLOOKUP(A653,Colaboradores!A:D,4,),"")</f>
        <v>COORDENADOR DE SEGURANÇA DO TRABALHO</v>
      </c>
      <c r="E653" s="4" t="s">
        <v>73</v>
      </c>
      <c r="F653" s="5" t="str">
        <f>IFERROR(VLOOKUP(E653,Procedimentos!A:C,2,),"")</f>
        <v>AQUISIÇÃO DE BENS E SERVIÇOS E AVALIAÇÃO PROVEDORES EXTERNOS</v>
      </c>
      <c r="G653" s="4" t="s">
        <v>22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4.25" customHeight="1">
      <c r="A654" s="4">
        <v>13524</v>
      </c>
      <c r="B654" s="4" t="str">
        <f>IFERROR(VLOOKUP(A654,Colaboradores!A:D,2,),"")</f>
        <v>JOAO WILKER RIBEIRO BARROS LIMA</v>
      </c>
      <c r="C654" s="4" t="str">
        <f>IFERROR(VLOOKUP(A654,Colaboradores!A:D,3,),"")</f>
        <v>SEGURANÇA DO TRABALHO</v>
      </c>
      <c r="D654" s="4" t="str">
        <f>IFERROR(VLOOKUP(A654,Colaboradores!A:D,4,),"")</f>
        <v>COORDENADOR DE SEGURANÇA DO TRABALHO</v>
      </c>
      <c r="E654" s="4" t="s">
        <v>48</v>
      </c>
      <c r="F654" s="5" t="str">
        <f>IFERROR(VLOOKUP(E654,Procedimentos!A:C,2,),"")</f>
        <v>POLÍTICA MEIO AMBIENTE EMSERH</v>
      </c>
      <c r="G654" s="4" t="s">
        <v>22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4.25" customHeight="1">
      <c r="A655" s="4">
        <v>13524</v>
      </c>
      <c r="B655" s="4" t="str">
        <f>IFERROR(VLOOKUP(A655,Colaboradores!A:D,2,),"")</f>
        <v>JOAO WILKER RIBEIRO BARROS LIMA</v>
      </c>
      <c r="C655" s="4" t="str">
        <f>IFERROR(VLOOKUP(A655,Colaboradores!A:D,3,),"")</f>
        <v>SEGURANÇA DO TRABALHO</v>
      </c>
      <c r="D655" s="4" t="str">
        <f>IFERROR(VLOOKUP(A655,Colaboradores!A:D,4,),"")</f>
        <v>COORDENADOR DE SEGURANÇA DO TRABALHO</v>
      </c>
      <c r="E655" s="4" t="s">
        <v>29</v>
      </c>
      <c r="F655" s="5" t="str">
        <f>IFERROR(VLOOKUP(E655,Procedimentos!A:C,2,),"")</f>
        <v>COLETA SELETIVA DESSMA</v>
      </c>
      <c r="G655" s="4" t="s">
        <v>22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4.25" customHeight="1">
      <c r="A656" s="4">
        <v>13524</v>
      </c>
      <c r="B656" s="4" t="str">
        <f>IFERROR(VLOOKUP(A656,Colaboradores!A:D,2,),"")</f>
        <v>JOAO WILKER RIBEIRO BARROS LIMA</v>
      </c>
      <c r="C656" s="4" t="str">
        <f>IFERROR(VLOOKUP(A656,Colaboradores!A:D,3,),"")</f>
        <v>SEGURANÇA DO TRABALHO</v>
      </c>
      <c r="D656" s="4" t="str">
        <f>IFERROR(VLOOKUP(A656,Colaboradores!A:D,4,),"")</f>
        <v>COORDENADOR DE SEGURANÇA DO TRABALHO</v>
      </c>
      <c r="E656" s="4" t="s">
        <v>36</v>
      </c>
      <c r="F656" s="5" t="str">
        <f>IFERROR(VLOOKUP(E656,Procedimentos!A:C,2,),"")</f>
        <v>GESTÃO DE PRODUTOS QUÍMICOS</v>
      </c>
      <c r="G656" s="4" t="s">
        <v>22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4.25" customHeight="1">
      <c r="A657" s="4">
        <v>13524</v>
      </c>
      <c r="B657" s="4" t="str">
        <f>IFERROR(VLOOKUP(A657,Colaboradores!A:D,2,),"")</f>
        <v>JOAO WILKER RIBEIRO BARROS LIMA</v>
      </c>
      <c r="C657" s="4" t="str">
        <f>IFERROR(VLOOKUP(A657,Colaboradores!A:D,3,),"")</f>
        <v>SEGURANÇA DO TRABALHO</v>
      </c>
      <c r="D657" s="4" t="str">
        <f>IFERROR(VLOOKUP(A657,Colaboradores!A:D,4,),"")</f>
        <v>COORDENADOR DE SEGURANÇA DO TRABALHO</v>
      </c>
      <c r="E657" s="4" t="s">
        <v>32</v>
      </c>
      <c r="F657" s="5" t="str">
        <f>IFERROR(VLOOKUP(E657,Procedimentos!A:C,2,),"")</f>
        <v>GESTÃO DE LEVANTAMENTO DE ASPECTOS E IMPACTOS AMBIENTAIS</v>
      </c>
      <c r="G657" s="4" t="s">
        <v>22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4.25" customHeight="1">
      <c r="A658" s="4">
        <v>13524</v>
      </c>
      <c r="B658" s="4" t="str">
        <f>IFERROR(VLOOKUP(A658,Colaboradores!A:D,2,),"")</f>
        <v>JOAO WILKER RIBEIRO BARROS LIMA</v>
      </c>
      <c r="C658" s="4" t="str">
        <f>IFERROR(VLOOKUP(A658,Colaboradores!A:D,3,),"")</f>
        <v>SEGURANÇA DO TRABALHO</v>
      </c>
      <c r="D658" s="4" t="str">
        <f>IFERROR(VLOOKUP(A658,Colaboradores!A:D,4,),"")</f>
        <v>COORDENADOR DE SEGURANÇA DO TRABALHO</v>
      </c>
      <c r="E658" s="4" t="s">
        <v>31</v>
      </c>
      <c r="F658" s="5" t="str">
        <f>IFERROR(VLOOKUP(E658,Procedimentos!A:C,2,),"")</f>
        <v>GESTÃO DE COMUNICAÇÃO, CLASSIFICAÇÃO E INVESTIGAÇÃO DE OCORRÊNCIAS AMBIENTAIS</v>
      </c>
      <c r="G658" s="4" t="s">
        <v>22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4.25" customHeight="1">
      <c r="A659" s="4">
        <v>13524</v>
      </c>
      <c r="B659" s="4" t="str">
        <f>IFERROR(VLOOKUP(A659,Colaboradores!A:D,2,),"")</f>
        <v>JOAO WILKER RIBEIRO BARROS LIMA</v>
      </c>
      <c r="C659" s="4" t="str">
        <f>IFERROR(VLOOKUP(A659,Colaboradores!A:D,3,),"")</f>
        <v>SEGURANÇA DO TRABALHO</v>
      </c>
      <c r="D659" s="4" t="str">
        <f>IFERROR(VLOOKUP(A659,Colaboradores!A:D,4,),"")</f>
        <v>COORDENADOR DE SEGURANÇA DO TRABALHO</v>
      </c>
      <c r="E659" s="4" t="s">
        <v>33</v>
      </c>
      <c r="F659" s="5" t="str">
        <f>IFERROR(VLOOKUP(E659,Procedimentos!A:C,2,),"")</f>
        <v>GESTÃO DE INSPEÇÕES AMBIENTAIS</v>
      </c>
      <c r="G659" s="4" t="s">
        <v>22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4.25" customHeight="1">
      <c r="A660" s="4">
        <v>13524</v>
      </c>
      <c r="B660" s="4" t="str">
        <f>IFERROR(VLOOKUP(A660,Colaboradores!A:D,2,),"")</f>
        <v>JOAO WILKER RIBEIRO BARROS LIMA</v>
      </c>
      <c r="C660" s="4" t="str">
        <f>IFERROR(VLOOKUP(A660,Colaboradores!A:D,3,),"")</f>
        <v>SEGURANÇA DO TRABALHO</v>
      </c>
      <c r="D660" s="4" t="str">
        <f>IFERROR(VLOOKUP(A660,Colaboradores!A:D,4,),"")</f>
        <v>COORDENADOR DE SEGURANÇA DO TRABALHO</v>
      </c>
      <c r="E660" s="4" t="s">
        <v>49</v>
      </c>
      <c r="F660" s="5" t="str">
        <f>IFERROR(VLOOKUP(E660,Procedimentos!A:C,2,),"")</f>
        <v>DIRETRIZES PARA REALIZAÇÃO DE EXAMES OCUPACIONAIS</v>
      </c>
      <c r="G660" s="4" t="s">
        <v>22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4.25" customHeight="1">
      <c r="A661" s="4">
        <v>13524</v>
      </c>
      <c r="B661" s="4" t="str">
        <f>IFERROR(VLOOKUP(A661,Colaboradores!A:D,2,),"")</f>
        <v>JOAO WILKER RIBEIRO BARROS LIMA</v>
      </c>
      <c r="C661" s="4" t="str">
        <f>IFERROR(VLOOKUP(A661,Colaboradores!A:D,3,),"")</f>
        <v>SEGURANÇA DO TRABALHO</v>
      </c>
      <c r="D661" s="4" t="str">
        <f>IFERROR(VLOOKUP(A661,Colaboradores!A:D,4,),"")</f>
        <v>COORDENADOR DE SEGURANÇA DO TRABALHO</v>
      </c>
      <c r="E661" s="4" t="s">
        <v>51</v>
      </c>
      <c r="F661" s="5" t="str">
        <f>IFERROR(VLOOKUP(E661,Procedimentos!A:C,2,),"")</f>
        <v>DIRETRIZES PARA ENTREGA DE ATESTADOS MÉDICOS E ODONTOLÓGICOS</v>
      </c>
      <c r="G661" s="4" t="s">
        <v>22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4.25" customHeight="1">
      <c r="A662" s="4">
        <v>13524</v>
      </c>
      <c r="B662" s="4" t="str">
        <f>IFERROR(VLOOKUP(A662,Colaboradores!A:D,2,),"")</f>
        <v>JOAO WILKER RIBEIRO BARROS LIMA</v>
      </c>
      <c r="C662" s="4" t="str">
        <f>IFERROR(VLOOKUP(A662,Colaboradores!A:D,3,),"")</f>
        <v>SEGURANÇA DO TRABALHO</v>
      </c>
      <c r="D662" s="4" t="str">
        <f>IFERROR(VLOOKUP(A662,Colaboradores!A:D,4,),"")</f>
        <v>COORDENADOR DE SEGURANÇA DO TRABALHO</v>
      </c>
      <c r="E662" s="4" t="s">
        <v>52</v>
      </c>
      <c r="F662" s="5" t="str">
        <f>IFERROR(VLOOKUP(E662,Procedimentos!A:C,2,),"")</f>
        <v>DIRETRIZES E ACOMPANHAMENTO  DE ACIDENTE COM MATERIAL BIOLOGICO</v>
      </c>
      <c r="G662" s="4" t="s">
        <v>22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4.25" customHeight="1">
      <c r="A663" s="4">
        <v>13524</v>
      </c>
      <c r="B663" s="4" t="str">
        <f>IFERROR(VLOOKUP(A663,Colaboradores!A:D,2,),"")</f>
        <v>JOAO WILKER RIBEIRO BARROS LIMA</v>
      </c>
      <c r="C663" s="4" t="str">
        <f>IFERROR(VLOOKUP(A663,Colaboradores!A:D,3,),"")</f>
        <v>SEGURANÇA DO TRABALHO</v>
      </c>
      <c r="D663" s="4" t="str">
        <f>IFERROR(VLOOKUP(A663,Colaboradores!A:D,4,),"")</f>
        <v>COORDENADOR DE SEGURANÇA DO TRABALHO</v>
      </c>
      <c r="E663" s="4" t="s">
        <v>53</v>
      </c>
      <c r="F663" s="5" t="str">
        <f>IFERROR(VLOOKUP(E663,Procedimentos!A:C,2,),"")</f>
        <v>DIRETRIZES PARA MONITORAMENTO DE GESTANTE</v>
      </c>
      <c r="G663" s="4" t="s">
        <v>22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4.25" customHeight="1">
      <c r="A664" s="4">
        <v>13524</v>
      </c>
      <c r="B664" s="4" t="str">
        <f>IFERROR(VLOOKUP(A664,Colaboradores!A:D,2,),"")</f>
        <v>JOAO WILKER RIBEIRO BARROS LIMA</v>
      </c>
      <c r="C664" s="4" t="str">
        <f>IFERROR(VLOOKUP(A664,Colaboradores!A:D,3,),"")</f>
        <v>SEGURANÇA DO TRABALHO</v>
      </c>
      <c r="D664" s="4" t="str">
        <f>IFERROR(VLOOKUP(A664,Colaboradores!A:D,4,),"")</f>
        <v>COORDENADOR DE SEGURANÇA DO TRABALHO</v>
      </c>
      <c r="E664" s="4" t="s">
        <v>54</v>
      </c>
      <c r="F664" s="5" t="str">
        <f>IFERROR(VLOOKUP(E664,Procedimentos!A:C,2,),"")</f>
        <v>DIRETRIZES DE IMUNIZAÇÃO OCUPACIONAL</v>
      </c>
      <c r="G664" s="4" t="s">
        <v>22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4.25" customHeight="1">
      <c r="A665" s="4">
        <v>13524</v>
      </c>
      <c r="B665" s="4" t="str">
        <f>IFERROR(VLOOKUP(A665,Colaboradores!A:D,2,),"")</f>
        <v>JOAO WILKER RIBEIRO BARROS LIMA</v>
      </c>
      <c r="C665" s="4" t="str">
        <f>IFERROR(VLOOKUP(A665,Colaboradores!A:D,3,),"")</f>
        <v>SEGURANÇA DO TRABALHO</v>
      </c>
      <c r="D665" s="4" t="str">
        <f>IFERROR(VLOOKUP(A665,Colaboradores!A:D,4,),"")</f>
        <v>COORDENADOR DE SEGURANÇA DO TRABALHO</v>
      </c>
      <c r="E665" s="4" t="s">
        <v>55</v>
      </c>
      <c r="F665" s="5" t="str">
        <f>IFERROR(VLOOKUP(E665,Procedimentos!A:C,2,),"")</f>
        <v>DIRETRIZES PARA ACOMPANHAMENTO DE AFASTADOS</v>
      </c>
      <c r="G665" s="4" t="s">
        <v>22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4.25" customHeight="1">
      <c r="A666" s="4">
        <v>13524</v>
      </c>
      <c r="B666" s="4" t="str">
        <f>IFERROR(VLOOKUP(A666,Colaboradores!A:D,2,),"")</f>
        <v>JOAO WILKER RIBEIRO BARROS LIMA</v>
      </c>
      <c r="C666" s="4" t="str">
        <f>IFERROR(VLOOKUP(A666,Colaboradores!A:D,3,),"")</f>
        <v>SEGURANÇA DO TRABALHO</v>
      </c>
      <c r="D666" s="4" t="str">
        <f>IFERROR(VLOOKUP(A666,Colaboradores!A:D,4,),"")</f>
        <v>COORDENADOR DE SEGURANÇA DO TRABALHO</v>
      </c>
      <c r="E666" s="4" t="s">
        <v>46</v>
      </c>
      <c r="F666" s="5" t="str">
        <f>IFERROR(VLOOKUP(E666,Procedimentos!A:C,2,),"")</f>
        <v>POLÍTICA DE SAÚDE E SEGURANÇA DO TRABALHO EMSERH</v>
      </c>
      <c r="G666" s="4" t="s">
        <v>22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4.25" customHeight="1">
      <c r="A667" s="4">
        <v>13524</v>
      </c>
      <c r="B667" s="4" t="str">
        <f>IFERROR(VLOOKUP(A667,Colaboradores!A:D,2,),"")</f>
        <v>JOAO WILKER RIBEIRO BARROS LIMA</v>
      </c>
      <c r="C667" s="4" t="str">
        <f>IFERROR(VLOOKUP(A667,Colaboradores!A:D,3,),"")</f>
        <v>SEGURANÇA DO TRABALHO</v>
      </c>
      <c r="D667" s="4" t="str">
        <f>IFERROR(VLOOKUP(A667,Colaboradores!A:D,4,),"")</f>
        <v>COORDENADOR DE SEGURANÇA DO TRABALHO</v>
      </c>
      <c r="E667" s="4" t="s">
        <v>41</v>
      </c>
      <c r="F667" s="5" t="str">
        <f>IFERROR(VLOOKUP(E667,Procedimentos!A:C,2,),"")</f>
        <v>DIRETRIZES PARA COMUNICAÇÃO E INVESTIGAÇÃO DE ACIDENTES</v>
      </c>
      <c r="G667" s="4" t="s">
        <v>22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4.25" customHeight="1">
      <c r="A668" s="4">
        <v>13524</v>
      </c>
      <c r="B668" s="4" t="str">
        <f>IFERROR(VLOOKUP(A668,Colaboradores!A:D,2,),"")</f>
        <v>JOAO WILKER RIBEIRO BARROS LIMA</v>
      </c>
      <c r="C668" s="4" t="str">
        <f>IFERROR(VLOOKUP(A668,Colaboradores!A:D,3,),"")</f>
        <v>SEGURANÇA DO TRABALHO</v>
      </c>
      <c r="D668" s="4" t="str">
        <f>IFERROR(VLOOKUP(A668,Colaboradores!A:D,4,),"")</f>
        <v>COORDENADOR DE SEGURANÇA DO TRABALHO</v>
      </c>
      <c r="E668" s="4" t="s">
        <v>43</v>
      </c>
      <c r="F668" s="5" t="str">
        <f>IFERROR(VLOOKUP(E668,Procedimentos!A:C,2,),"")</f>
        <v>DIÁLOGO DE SAÚDE E SEGURANÇA - DSS</v>
      </c>
      <c r="G668" s="4" t="s">
        <v>22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4.25" customHeight="1">
      <c r="A669" s="4">
        <v>13524</v>
      </c>
      <c r="B669" s="4" t="str">
        <f>IFERROR(VLOOKUP(A669,Colaboradores!A:D,2,),"")</f>
        <v>JOAO WILKER RIBEIRO BARROS LIMA</v>
      </c>
      <c r="C669" s="4" t="str">
        <f>IFERROR(VLOOKUP(A669,Colaboradores!A:D,3,),"")</f>
        <v>SEGURANÇA DO TRABALHO</v>
      </c>
      <c r="D669" s="4" t="str">
        <f>IFERROR(VLOOKUP(A669,Colaboradores!A:D,4,),"")</f>
        <v>COORDENADOR DE SEGURANÇA DO TRABALHO</v>
      </c>
      <c r="E669" s="4" t="s">
        <v>44</v>
      </c>
      <c r="F669" s="5" t="str">
        <f>IFERROR(VLOOKUP(E669,Procedimentos!A:C,2,),"")</f>
        <v>DIRETRIZES PARA GESTÃO DE EQUIPAMENTOS DE PROTEÇÃO INDIVIDUAL - EPI'S</v>
      </c>
      <c r="G669" s="4" t="s">
        <v>22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4.25" customHeight="1">
      <c r="A670" s="4">
        <v>13524</v>
      </c>
      <c r="B670" s="4" t="str">
        <f>IFERROR(VLOOKUP(A670,Colaboradores!A:D,2,),"")</f>
        <v>JOAO WILKER RIBEIRO BARROS LIMA</v>
      </c>
      <c r="C670" s="4" t="str">
        <f>IFERROR(VLOOKUP(A670,Colaboradores!A:D,3,),"")</f>
        <v>SEGURANÇA DO TRABALHO</v>
      </c>
      <c r="D670" s="4" t="str">
        <f>IFERROR(VLOOKUP(A670,Colaboradores!A:D,4,),"")</f>
        <v>COORDENADOR DE SEGURANÇA DO TRABALHO</v>
      </c>
      <c r="E670" s="4" t="s">
        <v>45</v>
      </c>
      <c r="F670" s="5" t="str">
        <f>IFERROR(VLOOKUP(E670,Procedimentos!A:C,2,),"")</f>
        <v>CONSTITUIÇÃO INTERNA DE PREVENÇÃO DE ACIDENTES E DE ASSÉDIOS - CIPA</v>
      </c>
      <c r="G670" s="4" t="s">
        <v>22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4.25" customHeight="1">
      <c r="A671" s="4">
        <v>13524</v>
      </c>
      <c r="B671" s="4" t="str">
        <f>IFERROR(VLOOKUP(A671,Colaboradores!A:D,2,),"")</f>
        <v>JOAO WILKER RIBEIRO BARROS LIMA</v>
      </c>
      <c r="C671" s="4" t="str">
        <f>IFERROR(VLOOKUP(A671,Colaboradores!A:D,3,),"")</f>
        <v>SEGURANÇA DO TRABALHO</v>
      </c>
      <c r="D671" s="4" t="str">
        <f>IFERROR(VLOOKUP(A671,Colaboradores!A:D,4,),"")</f>
        <v>COORDENADOR DE SEGURANÇA DO TRABALHO</v>
      </c>
      <c r="E671" s="4" t="s">
        <v>59</v>
      </c>
      <c r="F671" s="5" t="str">
        <f>IFERROR(VLOOKUP(E671,Procedimentos!A:C,2,),"")</f>
        <v>GERENCIAMENTO DE RISCOS DE SAÚDE, SEGURANÇA E PROCESSOS</v>
      </c>
      <c r="G671" s="4" t="s">
        <v>22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4.25" customHeight="1">
      <c r="A672" s="4">
        <v>13524</v>
      </c>
      <c r="B672" s="4" t="str">
        <f>IFERROR(VLOOKUP(A672,Colaboradores!A:D,2,),"")</f>
        <v>JOAO WILKER RIBEIRO BARROS LIMA</v>
      </c>
      <c r="C672" s="4" t="str">
        <f>IFERROR(VLOOKUP(A672,Colaboradores!A:D,3,),"")</f>
        <v>SEGURANÇA DO TRABALHO</v>
      </c>
      <c r="D672" s="4" t="str">
        <f>IFERROR(VLOOKUP(A672,Colaboradores!A:D,4,),"")</f>
        <v>COORDENADOR DE SEGURANÇA DO TRABALHO</v>
      </c>
      <c r="E672" s="4" t="s">
        <v>61</v>
      </c>
      <c r="F672" s="5" t="str">
        <f>IFERROR(VLOOKUP(E672,Procedimentos!A:C,2,),"")</f>
        <v>PROCEDIMENTO DE INSPEÇÃO DE SEGURANÇA</v>
      </c>
      <c r="G672" s="4" t="s">
        <v>22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4.25" customHeight="1">
      <c r="A673" s="4">
        <v>13524</v>
      </c>
      <c r="B673" s="4" t="str">
        <f>IFERROR(VLOOKUP(A673,Colaboradores!A:D,2,),"")</f>
        <v>JOAO WILKER RIBEIRO BARROS LIMA</v>
      </c>
      <c r="C673" s="4" t="str">
        <f>IFERROR(VLOOKUP(A673,Colaboradores!A:D,3,),"")</f>
        <v>SEGURANÇA DO TRABALHO</v>
      </c>
      <c r="D673" s="4" t="str">
        <f>IFERROR(VLOOKUP(A673,Colaboradores!A:D,4,),"")</f>
        <v>COORDENADOR DE SEGURANÇA DO TRABALHO</v>
      </c>
      <c r="E673" s="4" t="s">
        <v>62</v>
      </c>
      <c r="F673" s="5" t="str">
        <f>IFERROR(VLOOKUP(E673,Procedimentos!A:C,2,),"")</f>
        <v>DIRETRIZES PARA ENVIO E RECEBIMENTO DE DOSÍMETRO</v>
      </c>
      <c r="G673" s="4" t="s">
        <v>22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4.25" customHeight="1">
      <c r="A674" s="4">
        <v>2740</v>
      </c>
      <c r="B674" s="4" t="str">
        <f>IFERROR(VLOOKUP(A674,Colaboradores!A:D,2,),"")</f>
        <v>LUCIANA BARBOSA SODRE</v>
      </c>
      <c r="C674" s="4" t="str">
        <f>IFERROR(VLOOKUP(A674,Colaboradores!A:D,3,),"")</f>
        <v>SEGURANÇA DO TRABALHO</v>
      </c>
      <c r="D674" s="4" t="str">
        <f>IFERROR(VLOOKUP(A674,Colaboradores!A:D,4,),"")</f>
        <v>TÉCNICO DE SEGURANÇA DO TRABALHO</v>
      </c>
      <c r="E674" s="4" t="s">
        <v>58</v>
      </c>
      <c r="F674" s="5" t="str">
        <f>IFERROR(VLOOKUP(E674,Procedimentos!A:C,2,),"")</f>
        <v>POLÍTICA DE QUALIDADE DA DIRETORIA</v>
      </c>
      <c r="G674" s="4" t="s">
        <v>22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4.25" customHeight="1">
      <c r="A675" s="4">
        <v>2740</v>
      </c>
      <c r="B675" s="4" t="str">
        <f>IFERROR(VLOOKUP(A675,Colaboradores!A:D,2,),"")</f>
        <v>LUCIANA BARBOSA SODRE</v>
      </c>
      <c r="C675" s="4" t="str">
        <f>IFERROR(VLOOKUP(A675,Colaboradores!A:D,3,),"")</f>
        <v>SEGURANÇA DO TRABALHO</v>
      </c>
      <c r="D675" s="4" t="str">
        <f>IFERROR(VLOOKUP(A675,Colaboradores!A:D,4,),"")</f>
        <v>TÉCNICO DE SEGURANÇA DO TRABALHO</v>
      </c>
      <c r="E675" s="4" t="s">
        <v>19</v>
      </c>
      <c r="F675" s="5" t="str">
        <f>IFERROR(VLOOKUP(E675,Procedimentos!A:C,2,),"")</f>
        <v>DIRETRIZES PARA DOCUMENTOS NORMATIVOS</v>
      </c>
      <c r="G675" s="4" t="s">
        <v>22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4.25" customHeight="1">
      <c r="A676" s="4">
        <v>2740</v>
      </c>
      <c r="B676" s="4" t="str">
        <f>IFERROR(VLOOKUP(A676,Colaboradores!A:D,2,),"")</f>
        <v>LUCIANA BARBOSA SODRE</v>
      </c>
      <c r="C676" s="4" t="str">
        <f>IFERROR(VLOOKUP(A676,Colaboradores!A:D,3,),"")</f>
        <v>SEGURANÇA DO TRABALHO</v>
      </c>
      <c r="D676" s="4" t="str">
        <f>IFERROR(VLOOKUP(A676,Colaboradores!A:D,4,),"")</f>
        <v>TÉCNICO DE SEGURANÇA DO TRABALHO</v>
      </c>
      <c r="E676" s="4" t="s">
        <v>24</v>
      </c>
      <c r="F676" s="5" t="str">
        <f>IFERROR(VLOOKUP(E676,Procedimentos!A:C,2,),"")</f>
        <v>DIRETRIZES  PARA PROGRAMA 5S</v>
      </c>
      <c r="G676" s="4" t="s">
        <v>22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4.25" customHeight="1">
      <c r="A677" s="4">
        <v>2740</v>
      </c>
      <c r="B677" s="4" t="str">
        <f>IFERROR(VLOOKUP(A677,Colaboradores!A:D,2,),"")</f>
        <v>LUCIANA BARBOSA SODRE</v>
      </c>
      <c r="C677" s="4" t="str">
        <f>IFERROR(VLOOKUP(A677,Colaboradores!A:D,3,),"")</f>
        <v>SEGURANÇA DO TRABALHO</v>
      </c>
      <c r="D677" s="4" t="str">
        <f>IFERROR(VLOOKUP(A677,Colaboradores!A:D,4,),"")</f>
        <v>TÉCNICO DE SEGURANÇA DO TRABALHO</v>
      </c>
      <c r="E677" s="4" t="s">
        <v>25</v>
      </c>
      <c r="F677" s="5" t="str">
        <f>IFERROR(VLOOKUP(E677,Procedimentos!A:C,2,),"")</f>
        <v>GARANTIA DA QUALIDADE</v>
      </c>
      <c r="G677" s="4" t="s">
        <v>22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4.25" customHeight="1">
      <c r="A678" s="4">
        <v>2740</v>
      </c>
      <c r="B678" s="4" t="str">
        <f>IFERROR(VLOOKUP(A678,Colaboradores!A:D,2,),"")</f>
        <v>LUCIANA BARBOSA SODRE</v>
      </c>
      <c r="C678" s="4" t="str">
        <f>IFERROR(VLOOKUP(A678,Colaboradores!A:D,3,),"")</f>
        <v>SEGURANÇA DO TRABALHO</v>
      </c>
      <c r="D678" s="4" t="str">
        <f>IFERROR(VLOOKUP(A678,Colaboradores!A:D,4,),"")</f>
        <v>TÉCNICO DE SEGURANÇA DO TRABALHO</v>
      </c>
      <c r="E678" s="4" t="s">
        <v>26</v>
      </c>
      <c r="F678" s="5" t="str">
        <f>IFERROR(VLOOKUP(E678,Procedimentos!A:C,2,),"")</f>
        <v>RESPONSABILIDADES E AUTORIDADES DO SGQ</v>
      </c>
      <c r="G678" s="4" t="s">
        <v>22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4.25" customHeight="1">
      <c r="A679" s="4">
        <v>2740</v>
      </c>
      <c r="B679" s="4" t="str">
        <f>IFERROR(VLOOKUP(A679,Colaboradores!A:D,2,),"")</f>
        <v>LUCIANA BARBOSA SODRE</v>
      </c>
      <c r="C679" s="4" t="str">
        <f>IFERROR(VLOOKUP(A679,Colaboradores!A:D,3,),"")</f>
        <v>SEGURANÇA DO TRABALHO</v>
      </c>
      <c r="D679" s="4" t="str">
        <f>IFERROR(VLOOKUP(A679,Colaboradores!A:D,4,),"")</f>
        <v>TÉCNICO DE SEGURANÇA DO TRABALHO</v>
      </c>
      <c r="E679" s="4" t="s">
        <v>73</v>
      </c>
      <c r="F679" s="5" t="str">
        <f>IFERROR(VLOOKUP(E679,Procedimentos!A:C,2,),"")</f>
        <v>AQUISIÇÃO DE BENS E SERVIÇOS E AVALIAÇÃO PROVEDORES EXTERNOS</v>
      </c>
      <c r="G679" s="4" t="s">
        <v>22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4.25" customHeight="1">
      <c r="A680" s="4">
        <v>2740</v>
      </c>
      <c r="B680" s="4" t="str">
        <f>IFERROR(VLOOKUP(A680,Colaboradores!A:D,2,),"")</f>
        <v>LUCIANA BARBOSA SODRE</v>
      </c>
      <c r="C680" s="4" t="str">
        <f>IFERROR(VLOOKUP(A680,Colaboradores!A:D,3,),"")</f>
        <v>SEGURANÇA DO TRABALHO</v>
      </c>
      <c r="D680" s="4" t="str">
        <f>IFERROR(VLOOKUP(A680,Colaboradores!A:D,4,),"")</f>
        <v>TÉCNICO DE SEGURANÇA DO TRABALHO</v>
      </c>
      <c r="E680" s="4" t="s">
        <v>48</v>
      </c>
      <c r="F680" s="5" t="str">
        <f>IFERROR(VLOOKUP(E680,Procedimentos!A:C,2,),"")</f>
        <v>POLÍTICA MEIO AMBIENTE EMSERH</v>
      </c>
      <c r="G680" s="4" t="s">
        <v>22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4.25" customHeight="1">
      <c r="A681" s="4">
        <v>2740</v>
      </c>
      <c r="B681" s="4" t="str">
        <f>IFERROR(VLOOKUP(A681,Colaboradores!A:D,2,),"")</f>
        <v>LUCIANA BARBOSA SODRE</v>
      </c>
      <c r="C681" s="4" t="str">
        <f>IFERROR(VLOOKUP(A681,Colaboradores!A:D,3,),"")</f>
        <v>SEGURANÇA DO TRABALHO</v>
      </c>
      <c r="D681" s="4" t="str">
        <f>IFERROR(VLOOKUP(A681,Colaboradores!A:D,4,),"")</f>
        <v>TÉCNICO DE SEGURANÇA DO TRABALHO</v>
      </c>
      <c r="E681" s="4" t="s">
        <v>29</v>
      </c>
      <c r="F681" s="5" t="str">
        <f>IFERROR(VLOOKUP(E681,Procedimentos!A:C,2,),"")</f>
        <v>COLETA SELETIVA DESSMA</v>
      </c>
      <c r="G681" s="4" t="s">
        <v>22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4.25" customHeight="1">
      <c r="A682" s="4">
        <v>2740</v>
      </c>
      <c r="B682" s="4" t="str">
        <f>IFERROR(VLOOKUP(A682,Colaboradores!A:D,2,),"")</f>
        <v>LUCIANA BARBOSA SODRE</v>
      </c>
      <c r="C682" s="4" t="str">
        <f>IFERROR(VLOOKUP(A682,Colaboradores!A:D,3,),"")</f>
        <v>SEGURANÇA DO TRABALHO</v>
      </c>
      <c r="D682" s="4" t="str">
        <f>IFERROR(VLOOKUP(A682,Colaboradores!A:D,4,),"")</f>
        <v>TÉCNICO DE SEGURANÇA DO TRABALHO</v>
      </c>
      <c r="E682" s="4" t="s">
        <v>36</v>
      </c>
      <c r="F682" s="5" t="str">
        <f>IFERROR(VLOOKUP(E682,Procedimentos!A:C,2,),"")</f>
        <v>GESTÃO DE PRODUTOS QUÍMICOS</v>
      </c>
      <c r="G682" s="4" t="s">
        <v>22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4.25" customHeight="1">
      <c r="A683" s="4">
        <v>2740</v>
      </c>
      <c r="B683" s="4" t="str">
        <f>IFERROR(VLOOKUP(A683,Colaboradores!A:D,2,),"")</f>
        <v>LUCIANA BARBOSA SODRE</v>
      </c>
      <c r="C683" s="4" t="str">
        <f>IFERROR(VLOOKUP(A683,Colaboradores!A:D,3,),"")</f>
        <v>SEGURANÇA DO TRABALHO</v>
      </c>
      <c r="D683" s="4" t="str">
        <f>IFERROR(VLOOKUP(A683,Colaboradores!A:D,4,),"")</f>
        <v>TÉCNICO DE SEGURANÇA DO TRABALHO</v>
      </c>
      <c r="E683" s="4" t="s">
        <v>32</v>
      </c>
      <c r="F683" s="5" t="str">
        <f>IFERROR(VLOOKUP(E683,Procedimentos!A:C,2,),"")</f>
        <v>GESTÃO DE LEVANTAMENTO DE ASPECTOS E IMPACTOS AMBIENTAIS</v>
      </c>
      <c r="G683" s="4" t="s">
        <v>22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4.25" customHeight="1">
      <c r="A684" s="4">
        <v>2740</v>
      </c>
      <c r="B684" s="4" t="str">
        <f>IFERROR(VLOOKUP(A684,Colaboradores!A:D,2,),"")</f>
        <v>LUCIANA BARBOSA SODRE</v>
      </c>
      <c r="C684" s="4" t="str">
        <f>IFERROR(VLOOKUP(A684,Colaboradores!A:D,3,),"")</f>
        <v>SEGURANÇA DO TRABALHO</v>
      </c>
      <c r="D684" s="4" t="str">
        <f>IFERROR(VLOOKUP(A684,Colaboradores!A:D,4,),"")</f>
        <v>TÉCNICO DE SEGURANÇA DO TRABALHO</v>
      </c>
      <c r="E684" s="4" t="s">
        <v>31</v>
      </c>
      <c r="F684" s="5" t="str">
        <f>IFERROR(VLOOKUP(E684,Procedimentos!A:C,2,),"")</f>
        <v>GESTÃO DE COMUNICAÇÃO, CLASSIFICAÇÃO E INVESTIGAÇÃO DE OCORRÊNCIAS AMBIENTAIS</v>
      </c>
      <c r="G684" s="4" t="s">
        <v>22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4.25" customHeight="1">
      <c r="A685" s="4">
        <v>2740</v>
      </c>
      <c r="B685" s="4" t="str">
        <f>IFERROR(VLOOKUP(A685,Colaboradores!A:D,2,),"")</f>
        <v>LUCIANA BARBOSA SODRE</v>
      </c>
      <c r="C685" s="4" t="str">
        <f>IFERROR(VLOOKUP(A685,Colaboradores!A:D,3,),"")</f>
        <v>SEGURANÇA DO TRABALHO</v>
      </c>
      <c r="D685" s="4" t="str">
        <f>IFERROR(VLOOKUP(A685,Colaboradores!A:D,4,),"")</f>
        <v>TÉCNICO DE SEGURANÇA DO TRABALHO</v>
      </c>
      <c r="E685" s="4" t="s">
        <v>33</v>
      </c>
      <c r="F685" s="5" t="str">
        <f>IFERROR(VLOOKUP(E685,Procedimentos!A:C,2,),"")</f>
        <v>GESTÃO DE INSPEÇÕES AMBIENTAIS</v>
      </c>
      <c r="G685" s="4" t="s">
        <v>22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4.25" customHeight="1">
      <c r="A686" s="4">
        <v>2740</v>
      </c>
      <c r="B686" s="4" t="str">
        <f>IFERROR(VLOOKUP(A686,Colaboradores!A:D,2,),"")</f>
        <v>LUCIANA BARBOSA SODRE</v>
      </c>
      <c r="C686" s="4" t="str">
        <f>IFERROR(VLOOKUP(A686,Colaboradores!A:D,3,),"")</f>
        <v>SEGURANÇA DO TRABALHO</v>
      </c>
      <c r="D686" s="4" t="str">
        <f>IFERROR(VLOOKUP(A686,Colaboradores!A:D,4,),"")</f>
        <v>TÉCNICO DE SEGURANÇA DO TRABALHO</v>
      </c>
      <c r="E686" s="4" t="s">
        <v>49</v>
      </c>
      <c r="F686" s="5" t="str">
        <f>IFERROR(VLOOKUP(E686,Procedimentos!A:C,2,),"")</f>
        <v>DIRETRIZES PARA REALIZAÇÃO DE EXAMES OCUPACIONAIS</v>
      </c>
      <c r="G686" s="4" t="s">
        <v>22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4.25" customHeight="1">
      <c r="A687" s="4">
        <v>2740</v>
      </c>
      <c r="B687" s="4" t="str">
        <f>IFERROR(VLOOKUP(A687,Colaboradores!A:D,2,),"")</f>
        <v>LUCIANA BARBOSA SODRE</v>
      </c>
      <c r="C687" s="4" t="str">
        <f>IFERROR(VLOOKUP(A687,Colaboradores!A:D,3,),"")</f>
        <v>SEGURANÇA DO TRABALHO</v>
      </c>
      <c r="D687" s="4" t="str">
        <f>IFERROR(VLOOKUP(A687,Colaboradores!A:D,4,),"")</f>
        <v>TÉCNICO DE SEGURANÇA DO TRABALHO</v>
      </c>
      <c r="E687" s="4" t="s">
        <v>51</v>
      </c>
      <c r="F687" s="5" t="str">
        <f>IFERROR(VLOOKUP(E687,Procedimentos!A:C,2,),"")</f>
        <v>DIRETRIZES PARA ENTREGA DE ATESTADOS MÉDICOS E ODONTOLÓGICOS</v>
      </c>
      <c r="G687" s="4" t="s">
        <v>22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4.25" customHeight="1">
      <c r="A688" s="4">
        <v>2740</v>
      </c>
      <c r="B688" s="4" t="str">
        <f>IFERROR(VLOOKUP(A688,Colaboradores!A:D,2,),"")</f>
        <v>LUCIANA BARBOSA SODRE</v>
      </c>
      <c r="C688" s="4" t="str">
        <f>IFERROR(VLOOKUP(A688,Colaboradores!A:D,3,),"")</f>
        <v>SEGURANÇA DO TRABALHO</v>
      </c>
      <c r="D688" s="4" t="str">
        <f>IFERROR(VLOOKUP(A688,Colaboradores!A:D,4,),"")</f>
        <v>TÉCNICO DE SEGURANÇA DO TRABALHO</v>
      </c>
      <c r="E688" s="4" t="s">
        <v>52</v>
      </c>
      <c r="F688" s="5" t="str">
        <f>IFERROR(VLOOKUP(E688,Procedimentos!A:C,2,),"")</f>
        <v>DIRETRIZES E ACOMPANHAMENTO  DE ACIDENTE COM MATERIAL BIOLOGICO</v>
      </c>
      <c r="G688" s="4" t="s">
        <v>22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4.25" customHeight="1">
      <c r="A689" s="4">
        <v>2740</v>
      </c>
      <c r="B689" s="4" t="str">
        <f>IFERROR(VLOOKUP(A689,Colaboradores!A:D,2,),"")</f>
        <v>LUCIANA BARBOSA SODRE</v>
      </c>
      <c r="C689" s="4" t="str">
        <f>IFERROR(VLOOKUP(A689,Colaboradores!A:D,3,),"")</f>
        <v>SEGURANÇA DO TRABALHO</v>
      </c>
      <c r="D689" s="4" t="str">
        <f>IFERROR(VLOOKUP(A689,Colaboradores!A:D,4,),"")</f>
        <v>TÉCNICO DE SEGURANÇA DO TRABALHO</v>
      </c>
      <c r="E689" s="4" t="s">
        <v>53</v>
      </c>
      <c r="F689" s="5" t="str">
        <f>IFERROR(VLOOKUP(E689,Procedimentos!A:C,2,),"")</f>
        <v>DIRETRIZES PARA MONITORAMENTO DE GESTANTE</v>
      </c>
      <c r="G689" s="4" t="s">
        <v>22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4.25" customHeight="1">
      <c r="A690" s="4">
        <v>2740</v>
      </c>
      <c r="B690" s="4" t="str">
        <f>IFERROR(VLOOKUP(A690,Colaboradores!A:D,2,),"")</f>
        <v>LUCIANA BARBOSA SODRE</v>
      </c>
      <c r="C690" s="4" t="str">
        <f>IFERROR(VLOOKUP(A690,Colaboradores!A:D,3,),"")</f>
        <v>SEGURANÇA DO TRABALHO</v>
      </c>
      <c r="D690" s="4" t="str">
        <f>IFERROR(VLOOKUP(A690,Colaboradores!A:D,4,),"")</f>
        <v>TÉCNICO DE SEGURANÇA DO TRABALHO</v>
      </c>
      <c r="E690" s="4" t="s">
        <v>54</v>
      </c>
      <c r="F690" s="5" t="str">
        <f>IFERROR(VLOOKUP(E690,Procedimentos!A:C,2,),"")</f>
        <v>DIRETRIZES DE IMUNIZAÇÃO OCUPACIONAL</v>
      </c>
      <c r="G690" s="4" t="s">
        <v>22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4.25" customHeight="1">
      <c r="A691" s="4">
        <v>2740</v>
      </c>
      <c r="B691" s="4" t="str">
        <f>IFERROR(VLOOKUP(A691,Colaboradores!A:D,2,),"")</f>
        <v>LUCIANA BARBOSA SODRE</v>
      </c>
      <c r="C691" s="4" t="str">
        <f>IFERROR(VLOOKUP(A691,Colaboradores!A:D,3,),"")</f>
        <v>SEGURANÇA DO TRABALHO</v>
      </c>
      <c r="D691" s="4" t="str">
        <f>IFERROR(VLOOKUP(A691,Colaboradores!A:D,4,),"")</f>
        <v>TÉCNICO DE SEGURANÇA DO TRABALHO</v>
      </c>
      <c r="E691" s="4" t="s">
        <v>55</v>
      </c>
      <c r="F691" s="5" t="str">
        <f>IFERROR(VLOOKUP(E691,Procedimentos!A:C,2,),"")</f>
        <v>DIRETRIZES PARA ACOMPANHAMENTO DE AFASTADOS</v>
      </c>
      <c r="G691" s="4" t="s">
        <v>22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4.25" customHeight="1">
      <c r="A692" s="4">
        <v>2740</v>
      </c>
      <c r="B692" s="4" t="str">
        <f>IFERROR(VLOOKUP(A692,Colaboradores!A:D,2,),"")</f>
        <v>LUCIANA BARBOSA SODRE</v>
      </c>
      <c r="C692" s="4" t="str">
        <f>IFERROR(VLOOKUP(A692,Colaboradores!A:D,3,),"")</f>
        <v>SEGURANÇA DO TRABALHO</v>
      </c>
      <c r="D692" s="4" t="str">
        <f>IFERROR(VLOOKUP(A692,Colaboradores!A:D,4,),"")</f>
        <v>TÉCNICO DE SEGURANÇA DO TRABALHO</v>
      </c>
      <c r="E692" s="4" t="s">
        <v>46</v>
      </c>
      <c r="F692" s="5" t="str">
        <f>IFERROR(VLOOKUP(E692,Procedimentos!A:C,2,),"")</f>
        <v>POLÍTICA DE SAÚDE E SEGURANÇA DO TRABALHO EMSERH</v>
      </c>
      <c r="G692" s="4" t="s">
        <v>22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4.25" customHeight="1">
      <c r="A693" s="4">
        <v>2740</v>
      </c>
      <c r="B693" s="4" t="str">
        <f>IFERROR(VLOOKUP(A693,Colaboradores!A:D,2,),"")</f>
        <v>LUCIANA BARBOSA SODRE</v>
      </c>
      <c r="C693" s="4" t="str">
        <f>IFERROR(VLOOKUP(A693,Colaboradores!A:D,3,),"")</f>
        <v>SEGURANÇA DO TRABALHO</v>
      </c>
      <c r="D693" s="4" t="str">
        <f>IFERROR(VLOOKUP(A693,Colaboradores!A:D,4,),"")</f>
        <v>TÉCNICO DE SEGURANÇA DO TRABALHO</v>
      </c>
      <c r="E693" s="4" t="s">
        <v>41</v>
      </c>
      <c r="F693" s="5" t="str">
        <f>IFERROR(VLOOKUP(E693,Procedimentos!A:C,2,),"")</f>
        <v>DIRETRIZES PARA COMUNICAÇÃO E INVESTIGAÇÃO DE ACIDENTES</v>
      </c>
      <c r="G693" s="4" t="s">
        <v>22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4.25" customHeight="1">
      <c r="A694" s="4">
        <v>2740</v>
      </c>
      <c r="B694" s="4" t="str">
        <f>IFERROR(VLOOKUP(A694,Colaboradores!A:D,2,),"")</f>
        <v>LUCIANA BARBOSA SODRE</v>
      </c>
      <c r="C694" s="4" t="str">
        <f>IFERROR(VLOOKUP(A694,Colaboradores!A:D,3,),"")</f>
        <v>SEGURANÇA DO TRABALHO</v>
      </c>
      <c r="D694" s="4" t="str">
        <f>IFERROR(VLOOKUP(A694,Colaboradores!A:D,4,),"")</f>
        <v>TÉCNICO DE SEGURANÇA DO TRABALHO</v>
      </c>
      <c r="E694" s="4" t="s">
        <v>43</v>
      </c>
      <c r="F694" s="5" t="str">
        <f>IFERROR(VLOOKUP(E694,Procedimentos!A:C,2,),"")</f>
        <v>DIÁLOGO DE SAÚDE E SEGURANÇA - DSS</v>
      </c>
      <c r="G694" s="4" t="s">
        <v>22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4.25" customHeight="1">
      <c r="A695" s="4">
        <v>2740</v>
      </c>
      <c r="B695" s="4" t="str">
        <f>IFERROR(VLOOKUP(A695,Colaboradores!A:D,2,),"")</f>
        <v>LUCIANA BARBOSA SODRE</v>
      </c>
      <c r="C695" s="4" t="str">
        <f>IFERROR(VLOOKUP(A695,Colaboradores!A:D,3,),"")</f>
        <v>SEGURANÇA DO TRABALHO</v>
      </c>
      <c r="D695" s="4" t="str">
        <f>IFERROR(VLOOKUP(A695,Colaboradores!A:D,4,),"")</f>
        <v>TÉCNICO DE SEGURANÇA DO TRABALHO</v>
      </c>
      <c r="E695" s="4" t="s">
        <v>44</v>
      </c>
      <c r="F695" s="5" t="str">
        <f>IFERROR(VLOOKUP(E695,Procedimentos!A:C,2,),"")</f>
        <v>DIRETRIZES PARA GESTÃO DE EQUIPAMENTOS DE PROTEÇÃO INDIVIDUAL - EPI'S</v>
      </c>
      <c r="G695" s="4" t="s">
        <v>22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4.25" customHeight="1">
      <c r="A696" s="4">
        <v>2740</v>
      </c>
      <c r="B696" s="4" t="str">
        <f>IFERROR(VLOOKUP(A696,Colaboradores!A:D,2,),"")</f>
        <v>LUCIANA BARBOSA SODRE</v>
      </c>
      <c r="C696" s="4" t="str">
        <f>IFERROR(VLOOKUP(A696,Colaboradores!A:D,3,),"")</f>
        <v>SEGURANÇA DO TRABALHO</v>
      </c>
      <c r="D696" s="4" t="str">
        <f>IFERROR(VLOOKUP(A696,Colaboradores!A:D,4,),"")</f>
        <v>TÉCNICO DE SEGURANÇA DO TRABALHO</v>
      </c>
      <c r="E696" s="4" t="s">
        <v>45</v>
      </c>
      <c r="F696" s="5" t="str">
        <f>IFERROR(VLOOKUP(E696,Procedimentos!A:C,2,),"")</f>
        <v>CONSTITUIÇÃO INTERNA DE PREVENÇÃO DE ACIDENTES E DE ASSÉDIOS - CIPA</v>
      </c>
      <c r="G696" s="4" t="s">
        <v>22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4.25" customHeight="1">
      <c r="A697" s="4">
        <v>2740</v>
      </c>
      <c r="B697" s="4" t="str">
        <f>IFERROR(VLOOKUP(A697,Colaboradores!A:D,2,),"")</f>
        <v>LUCIANA BARBOSA SODRE</v>
      </c>
      <c r="C697" s="4" t="str">
        <f>IFERROR(VLOOKUP(A697,Colaboradores!A:D,3,),"")</f>
        <v>SEGURANÇA DO TRABALHO</v>
      </c>
      <c r="D697" s="4" t="str">
        <f>IFERROR(VLOOKUP(A697,Colaboradores!A:D,4,),"")</f>
        <v>TÉCNICO DE SEGURANÇA DO TRABALHO</v>
      </c>
      <c r="E697" s="4" t="s">
        <v>59</v>
      </c>
      <c r="F697" s="5" t="str">
        <f>IFERROR(VLOOKUP(E697,Procedimentos!A:C,2,),"")</f>
        <v>GERENCIAMENTO DE RISCOS DE SAÚDE, SEGURANÇA E PROCESSOS</v>
      </c>
      <c r="G697" s="4" t="s">
        <v>22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4.25" customHeight="1">
      <c r="A698" s="4">
        <v>2740</v>
      </c>
      <c r="B698" s="4" t="str">
        <f>IFERROR(VLOOKUP(A698,Colaboradores!A:D,2,),"")</f>
        <v>LUCIANA BARBOSA SODRE</v>
      </c>
      <c r="C698" s="4" t="str">
        <f>IFERROR(VLOOKUP(A698,Colaboradores!A:D,3,),"")</f>
        <v>SEGURANÇA DO TRABALHO</v>
      </c>
      <c r="D698" s="4" t="str">
        <f>IFERROR(VLOOKUP(A698,Colaboradores!A:D,4,),"")</f>
        <v>TÉCNICO DE SEGURANÇA DO TRABALHO</v>
      </c>
      <c r="E698" s="4" t="s">
        <v>61</v>
      </c>
      <c r="F698" s="5" t="str">
        <f>IFERROR(VLOOKUP(E698,Procedimentos!A:C,2,),"")</f>
        <v>PROCEDIMENTO DE INSPEÇÃO DE SEGURANÇA</v>
      </c>
      <c r="G698" s="4" t="s">
        <v>22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4.25" customHeight="1">
      <c r="A699" s="4">
        <v>2740</v>
      </c>
      <c r="B699" s="4" t="str">
        <f>IFERROR(VLOOKUP(A699,Colaboradores!A:D,2,),"")</f>
        <v>LUCIANA BARBOSA SODRE</v>
      </c>
      <c r="C699" s="4" t="str">
        <f>IFERROR(VLOOKUP(A699,Colaboradores!A:D,3,),"")</f>
        <v>SEGURANÇA DO TRABALHO</v>
      </c>
      <c r="D699" s="4" t="str">
        <f>IFERROR(VLOOKUP(A699,Colaboradores!A:D,4,),"")</f>
        <v>TÉCNICO DE SEGURANÇA DO TRABALHO</v>
      </c>
      <c r="E699" s="4" t="s">
        <v>62</v>
      </c>
      <c r="F699" s="5" t="str">
        <f>IFERROR(VLOOKUP(E699,Procedimentos!A:C,2,),"")</f>
        <v>DIRETRIZES PARA ENVIO E RECEBIMENTO DE DOSÍMETRO</v>
      </c>
      <c r="G699" s="4" t="s">
        <v>22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4.25" customHeight="1">
      <c r="A700" s="4">
        <v>7580</v>
      </c>
      <c r="B700" s="4" t="str">
        <f>IFERROR(VLOOKUP(A700,Colaboradores!A:D,2,),"")</f>
        <v>LUCIO JOSE DA COSTA LOPES</v>
      </c>
      <c r="C700" s="4" t="str">
        <f>IFERROR(VLOOKUP(A700,Colaboradores!A:D,3,),"")</f>
        <v>SEGURANÇA DO TRABALHO</v>
      </c>
      <c r="D700" s="4" t="str">
        <f>IFERROR(VLOOKUP(A700,Colaboradores!A:D,4,),"")</f>
        <v>TÉCNICO DE SEGURANÇA DO TRABALHO</v>
      </c>
      <c r="E700" s="4" t="s">
        <v>58</v>
      </c>
      <c r="F700" s="5" t="str">
        <f>IFERROR(VLOOKUP(E700,Procedimentos!A:C,2,),"")</f>
        <v>POLÍTICA DE QUALIDADE DA DIRETORIA</v>
      </c>
      <c r="G700" s="4" t="s">
        <v>22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4.25" customHeight="1">
      <c r="A701" s="4">
        <v>7580</v>
      </c>
      <c r="B701" s="4" t="str">
        <f>IFERROR(VLOOKUP(A701,Colaboradores!A:D,2,),"")</f>
        <v>LUCIO JOSE DA COSTA LOPES</v>
      </c>
      <c r="C701" s="4" t="str">
        <f>IFERROR(VLOOKUP(A701,Colaboradores!A:D,3,),"")</f>
        <v>SEGURANÇA DO TRABALHO</v>
      </c>
      <c r="D701" s="4" t="str">
        <f>IFERROR(VLOOKUP(A701,Colaboradores!A:D,4,),"")</f>
        <v>TÉCNICO DE SEGURANÇA DO TRABALHO</v>
      </c>
      <c r="E701" s="4" t="s">
        <v>19</v>
      </c>
      <c r="F701" s="5" t="str">
        <f>IFERROR(VLOOKUP(E701,Procedimentos!A:C,2,),"")</f>
        <v>DIRETRIZES PARA DOCUMENTOS NORMATIVOS</v>
      </c>
      <c r="G701" s="4" t="s">
        <v>22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4.25" customHeight="1">
      <c r="A702" s="4">
        <v>7580</v>
      </c>
      <c r="B702" s="4" t="str">
        <f>IFERROR(VLOOKUP(A702,Colaboradores!A:D,2,),"")</f>
        <v>LUCIO JOSE DA COSTA LOPES</v>
      </c>
      <c r="C702" s="4" t="str">
        <f>IFERROR(VLOOKUP(A702,Colaboradores!A:D,3,),"")</f>
        <v>SEGURANÇA DO TRABALHO</v>
      </c>
      <c r="D702" s="4" t="str">
        <f>IFERROR(VLOOKUP(A702,Colaboradores!A:D,4,),"")</f>
        <v>TÉCNICO DE SEGURANÇA DO TRABALHO</v>
      </c>
      <c r="E702" s="4" t="s">
        <v>24</v>
      </c>
      <c r="F702" s="5" t="str">
        <f>IFERROR(VLOOKUP(E702,Procedimentos!A:C,2,),"")</f>
        <v>DIRETRIZES  PARA PROGRAMA 5S</v>
      </c>
      <c r="G702" s="4" t="s">
        <v>22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4.25" customHeight="1">
      <c r="A703" s="4">
        <v>7580</v>
      </c>
      <c r="B703" s="4" t="str">
        <f>IFERROR(VLOOKUP(A703,Colaboradores!A:D,2,),"")</f>
        <v>LUCIO JOSE DA COSTA LOPES</v>
      </c>
      <c r="C703" s="4" t="str">
        <f>IFERROR(VLOOKUP(A703,Colaboradores!A:D,3,),"")</f>
        <v>SEGURANÇA DO TRABALHO</v>
      </c>
      <c r="D703" s="4" t="str">
        <f>IFERROR(VLOOKUP(A703,Colaboradores!A:D,4,),"")</f>
        <v>TÉCNICO DE SEGURANÇA DO TRABALHO</v>
      </c>
      <c r="E703" s="4" t="s">
        <v>25</v>
      </c>
      <c r="F703" s="5" t="str">
        <f>IFERROR(VLOOKUP(E703,Procedimentos!A:C,2,),"")</f>
        <v>GARANTIA DA QUALIDADE</v>
      </c>
      <c r="G703" s="4" t="s">
        <v>22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4.25" customHeight="1">
      <c r="A704" s="4">
        <v>7580</v>
      </c>
      <c r="B704" s="4" t="str">
        <f>IFERROR(VLOOKUP(A704,Colaboradores!A:D,2,),"")</f>
        <v>LUCIO JOSE DA COSTA LOPES</v>
      </c>
      <c r="C704" s="4" t="str">
        <f>IFERROR(VLOOKUP(A704,Colaboradores!A:D,3,),"")</f>
        <v>SEGURANÇA DO TRABALHO</v>
      </c>
      <c r="D704" s="4" t="str">
        <f>IFERROR(VLOOKUP(A704,Colaboradores!A:D,4,),"")</f>
        <v>TÉCNICO DE SEGURANÇA DO TRABALHO</v>
      </c>
      <c r="E704" s="4" t="s">
        <v>26</v>
      </c>
      <c r="F704" s="5" t="str">
        <f>IFERROR(VLOOKUP(E704,Procedimentos!A:C,2,),"")</f>
        <v>RESPONSABILIDADES E AUTORIDADES DO SGQ</v>
      </c>
      <c r="G704" s="4" t="s">
        <v>22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4.25" customHeight="1">
      <c r="A705" s="4">
        <v>7580</v>
      </c>
      <c r="B705" s="4" t="str">
        <f>IFERROR(VLOOKUP(A705,Colaboradores!A:D,2,),"")</f>
        <v>LUCIO JOSE DA COSTA LOPES</v>
      </c>
      <c r="C705" s="4" t="str">
        <f>IFERROR(VLOOKUP(A705,Colaboradores!A:D,3,),"")</f>
        <v>SEGURANÇA DO TRABALHO</v>
      </c>
      <c r="D705" s="4" t="str">
        <f>IFERROR(VLOOKUP(A705,Colaboradores!A:D,4,),"")</f>
        <v>TÉCNICO DE SEGURANÇA DO TRABALHO</v>
      </c>
      <c r="E705" s="4" t="s">
        <v>73</v>
      </c>
      <c r="F705" s="5" t="str">
        <f>IFERROR(VLOOKUP(E705,Procedimentos!A:C,2,),"")</f>
        <v>AQUISIÇÃO DE BENS E SERVIÇOS E AVALIAÇÃO PROVEDORES EXTERNOS</v>
      </c>
      <c r="G705" s="4" t="s">
        <v>22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4.25" customHeight="1">
      <c r="A706" s="4">
        <v>7580</v>
      </c>
      <c r="B706" s="4" t="str">
        <f>IFERROR(VLOOKUP(A706,Colaboradores!A:D,2,),"")</f>
        <v>LUCIO JOSE DA COSTA LOPES</v>
      </c>
      <c r="C706" s="4" t="str">
        <f>IFERROR(VLOOKUP(A706,Colaboradores!A:D,3,),"")</f>
        <v>SEGURANÇA DO TRABALHO</v>
      </c>
      <c r="D706" s="4" t="str">
        <f>IFERROR(VLOOKUP(A706,Colaboradores!A:D,4,),"")</f>
        <v>TÉCNICO DE SEGURANÇA DO TRABALHO</v>
      </c>
      <c r="E706" s="4" t="s">
        <v>79</v>
      </c>
      <c r="F706" s="5" t="str">
        <f>IFERROR(VLOOKUP(E706,Procedimentos!A:C,2,),"")</f>
        <v>ABERTURA DE PROCESSO DE PAGAMENTO</v>
      </c>
      <c r="G706" s="4" t="s">
        <v>22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4.25" customHeight="1">
      <c r="A707" s="4">
        <v>7580</v>
      </c>
      <c r="B707" s="4" t="str">
        <f>IFERROR(VLOOKUP(A707,Colaboradores!A:D,2,),"")</f>
        <v>LUCIO JOSE DA COSTA LOPES</v>
      </c>
      <c r="C707" s="4" t="str">
        <f>IFERROR(VLOOKUP(A707,Colaboradores!A:D,3,),"")</f>
        <v>SEGURANÇA DO TRABALHO</v>
      </c>
      <c r="D707" s="4" t="str">
        <f>IFERROR(VLOOKUP(A707,Colaboradores!A:D,4,),"")</f>
        <v>TÉCNICO DE SEGURANÇA DO TRABALHO</v>
      </c>
      <c r="E707" s="4" t="s">
        <v>48</v>
      </c>
      <c r="F707" s="5" t="str">
        <f>IFERROR(VLOOKUP(E707,Procedimentos!A:C,2,),"")</f>
        <v>POLÍTICA MEIO AMBIENTE EMSERH</v>
      </c>
      <c r="G707" s="4" t="s">
        <v>22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4.25" customHeight="1">
      <c r="A708" s="4">
        <v>7580</v>
      </c>
      <c r="B708" s="4" t="str">
        <f>IFERROR(VLOOKUP(A708,Colaboradores!A:D,2,),"")</f>
        <v>LUCIO JOSE DA COSTA LOPES</v>
      </c>
      <c r="C708" s="4" t="str">
        <f>IFERROR(VLOOKUP(A708,Colaboradores!A:D,3,),"")</f>
        <v>SEGURANÇA DO TRABALHO</v>
      </c>
      <c r="D708" s="4" t="str">
        <f>IFERROR(VLOOKUP(A708,Colaboradores!A:D,4,),"")</f>
        <v>TÉCNICO DE SEGURANÇA DO TRABALHO</v>
      </c>
      <c r="E708" s="4" t="s">
        <v>29</v>
      </c>
      <c r="F708" s="5" t="str">
        <f>IFERROR(VLOOKUP(E708,Procedimentos!A:C,2,),"")</f>
        <v>COLETA SELETIVA DESSMA</v>
      </c>
      <c r="G708" s="4" t="s">
        <v>22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4.25" customHeight="1">
      <c r="A709" s="4">
        <v>7580</v>
      </c>
      <c r="B709" s="4" t="str">
        <f>IFERROR(VLOOKUP(A709,Colaboradores!A:D,2,),"")</f>
        <v>LUCIO JOSE DA COSTA LOPES</v>
      </c>
      <c r="C709" s="4" t="str">
        <f>IFERROR(VLOOKUP(A709,Colaboradores!A:D,3,),"")</f>
        <v>SEGURANÇA DO TRABALHO</v>
      </c>
      <c r="D709" s="4" t="str">
        <f>IFERROR(VLOOKUP(A709,Colaboradores!A:D,4,),"")</f>
        <v>TÉCNICO DE SEGURANÇA DO TRABALHO</v>
      </c>
      <c r="E709" s="4" t="s">
        <v>36</v>
      </c>
      <c r="F709" s="5" t="str">
        <f>IFERROR(VLOOKUP(E709,Procedimentos!A:C,2,),"")</f>
        <v>GESTÃO DE PRODUTOS QUÍMICOS</v>
      </c>
      <c r="G709" s="4" t="s">
        <v>22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4.25" customHeight="1">
      <c r="A710" s="4">
        <v>7580</v>
      </c>
      <c r="B710" s="4" t="str">
        <f>IFERROR(VLOOKUP(A710,Colaboradores!A:D,2,),"")</f>
        <v>LUCIO JOSE DA COSTA LOPES</v>
      </c>
      <c r="C710" s="4" t="str">
        <f>IFERROR(VLOOKUP(A710,Colaboradores!A:D,3,),"")</f>
        <v>SEGURANÇA DO TRABALHO</v>
      </c>
      <c r="D710" s="4" t="str">
        <f>IFERROR(VLOOKUP(A710,Colaboradores!A:D,4,),"")</f>
        <v>TÉCNICO DE SEGURANÇA DO TRABALHO</v>
      </c>
      <c r="E710" s="4" t="s">
        <v>32</v>
      </c>
      <c r="F710" s="5" t="str">
        <f>IFERROR(VLOOKUP(E710,Procedimentos!A:C,2,),"")</f>
        <v>GESTÃO DE LEVANTAMENTO DE ASPECTOS E IMPACTOS AMBIENTAIS</v>
      </c>
      <c r="G710" s="4" t="s">
        <v>22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4.25" customHeight="1">
      <c r="A711" s="4">
        <v>7580</v>
      </c>
      <c r="B711" s="4" t="str">
        <f>IFERROR(VLOOKUP(A711,Colaboradores!A:D,2,),"")</f>
        <v>LUCIO JOSE DA COSTA LOPES</v>
      </c>
      <c r="C711" s="4" t="str">
        <f>IFERROR(VLOOKUP(A711,Colaboradores!A:D,3,),"")</f>
        <v>SEGURANÇA DO TRABALHO</v>
      </c>
      <c r="D711" s="4" t="str">
        <f>IFERROR(VLOOKUP(A711,Colaboradores!A:D,4,),"")</f>
        <v>TÉCNICO DE SEGURANÇA DO TRABALHO</v>
      </c>
      <c r="E711" s="4" t="s">
        <v>31</v>
      </c>
      <c r="F711" s="5" t="str">
        <f>IFERROR(VLOOKUP(E711,Procedimentos!A:C,2,),"")</f>
        <v>GESTÃO DE COMUNICAÇÃO, CLASSIFICAÇÃO E INVESTIGAÇÃO DE OCORRÊNCIAS AMBIENTAIS</v>
      </c>
      <c r="G711" s="4" t="s">
        <v>22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4.25" customHeight="1">
      <c r="A712" s="4">
        <v>7580</v>
      </c>
      <c r="B712" s="4" t="str">
        <f>IFERROR(VLOOKUP(A712,Colaboradores!A:D,2,),"")</f>
        <v>LUCIO JOSE DA COSTA LOPES</v>
      </c>
      <c r="C712" s="4" t="str">
        <f>IFERROR(VLOOKUP(A712,Colaboradores!A:D,3,),"")</f>
        <v>SEGURANÇA DO TRABALHO</v>
      </c>
      <c r="D712" s="4" t="str">
        <f>IFERROR(VLOOKUP(A712,Colaboradores!A:D,4,),"")</f>
        <v>TÉCNICO DE SEGURANÇA DO TRABALHO</v>
      </c>
      <c r="E712" s="4" t="s">
        <v>33</v>
      </c>
      <c r="F712" s="5" t="str">
        <f>IFERROR(VLOOKUP(E712,Procedimentos!A:C,2,),"")</f>
        <v>GESTÃO DE INSPEÇÕES AMBIENTAIS</v>
      </c>
      <c r="G712" s="4" t="s">
        <v>22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4.25" customHeight="1">
      <c r="A713" s="4">
        <v>7580</v>
      </c>
      <c r="B713" s="4" t="str">
        <f>IFERROR(VLOOKUP(A713,Colaboradores!A:D,2,),"")</f>
        <v>LUCIO JOSE DA COSTA LOPES</v>
      </c>
      <c r="C713" s="4" t="str">
        <f>IFERROR(VLOOKUP(A713,Colaboradores!A:D,3,),"")</f>
        <v>SEGURANÇA DO TRABALHO</v>
      </c>
      <c r="D713" s="4" t="str">
        <f>IFERROR(VLOOKUP(A713,Colaboradores!A:D,4,),"")</f>
        <v>TÉCNICO DE SEGURANÇA DO TRABALHO</v>
      </c>
      <c r="E713" s="4" t="s">
        <v>49</v>
      </c>
      <c r="F713" s="5" t="str">
        <f>IFERROR(VLOOKUP(E713,Procedimentos!A:C,2,),"")</f>
        <v>DIRETRIZES PARA REALIZAÇÃO DE EXAMES OCUPACIONAIS</v>
      </c>
      <c r="G713" s="4" t="s">
        <v>22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4.25" customHeight="1">
      <c r="A714" s="4">
        <v>7580</v>
      </c>
      <c r="B714" s="4" t="str">
        <f>IFERROR(VLOOKUP(A714,Colaboradores!A:D,2,),"")</f>
        <v>LUCIO JOSE DA COSTA LOPES</v>
      </c>
      <c r="C714" s="4" t="str">
        <f>IFERROR(VLOOKUP(A714,Colaboradores!A:D,3,),"")</f>
        <v>SEGURANÇA DO TRABALHO</v>
      </c>
      <c r="D714" s="4" t="str">
        <f>IFERROR(VLOOKUP(A714,Colaboradores!A:D,4,),"")</f>
        <v>TÉCNICO DE SEGURANÇA DO TRABALHO</v>
      </c>
      <c r="E714" s="4" t="s">
        <v>51</v>
      </c>
      <c r="F714" s="5" t="str">
        <f>IFERROR(VLOOKUP(E714,Procedimentos!A:C,2,),"")</f>
        <v>DIRETRIZES PARA ENTREGA DE ATESTADOS MÉDICOS E ODONTOLÓGICOS</v>
      </c>
      <c r="G714" s="4" t="s">
        <v>22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4.25" customHeight="1">
      <c r="A715" s="4">
        <v>7580</v>
      </c>
      <c r="B715" s="4" t="str">
        <f>IFERROR(VLOOKUP(A715,Colaboradores!A:D,2,),"")</f>
        <v>LUCIO JOSE DA COSTA LOPES</v>
      </c>
      <c r="C715" s="4" t="str">
        <f>IFERROR(VLOOKUP(A715,Colaboradores!A:D,3,),"")</f>
        <v>SEGURANÇA DO TRABALHO</v>
      </c>
      <c r="D715" s="4" t="str">
        <f>IFERROR(VLOOKUP(A715,Colaboradores!A:D,4,),"")</f>
        <v>TÉCNICO DE SEGURANÇA DO TRABALHO</v>
      </c>
      <c r="E715" s="4" t="s">
        <v>52</v>
      </c>
      <c r="F715" s="5" t="str">
        <f>IFERROR(VLOOKUP(E715,Procedimentos!A:C,2,),"")</f>
        <v>DIRETRIZES E ACOMPANHAMENTO  DE ACIDENTE COM MATERIAL BIOLOGICO</v>
      </c>
      <c r="G715" s="4" t="s">
        <v>22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4.25" customHeight="1">
      <c r="A716" s="4">
        <v>7580</v>
      </c>
      <c r="B716" s="4" t="str">
        <f>IFERROR(VLOOKUP(A716,Colaboradores!A:D,2,),"")</f>
        <v>LUCIO JOSE DA COSTA LOPES</v>
      </c>
      <c r="C716" s="4" t="str">
        <f>IFERROR(VLOOKUP(A716,Colaboradores!A:D,3,),"")</f>
        <v>SEGURANÇA DO TRABALHO</v>
      </c>
      <c r="D716" s="4" t="str">
        <f>IFERROR(VLOOKUP(A716,Colaboradores!A:D,4,),"")</f>
        <v>TÉCNICO DE SEGURANÇA DO TRABALHO</v>
      </c>
      <c r="E716" s="4" t="s">
        <v>53</v>
      </c>
      <c r="F716" s="5" t="str">
        <f>IFERROR(VLOOKUP(E716,Procedimentos!A:C,2,),"")</f>
        <v>DIRETRIZES PARA MONITORAMENTO DE GESTANTE</v>
      </c>
      <c r="G716" s="4" t="s">
        <v>22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4.25" customHeight="1">
      <c r="A717" s="4">
        <v>7580</v>
      </c>
      <c r="B717" s="4" t="str">
        <f>IFERROR(VLOOKUP(A717,Colaboradores!A:D,2,),"")</f>
        <v>LUCIO JOSE DA COSTA LOPES</v>
      </c>
      <c r="C717" s="4" t="str">
        <f>IFERROR(VLOOKUP(A717,Colaboradores!A:D,3,),"")</f>
        <v>SEGURANÇA DO TRABALHO</v>
      </c>
      <c r="D717" s="4" t="str">
        <f>IFERROR(VLOOKUP(A717,Colaboradores!A:D,4,),"")</f>
        <v>TÉCNICO DE SEGURANÇA DO TRABALHO</v>
      </c>
      <c r="E717" s="4" t="s">
        <v>54</v>
      </c>
      <c r="F717" s="5" t="str">
        <f>IFERROR(VLOOKUP(E717,Procedimentos!A:C,2,),"")</f>
        <v>DIRETRIZES DE IMUNIZAÇÃO OCUPACIONAL</v>
      </c>
      <c r="G717" s="4" t="s">
        <v>22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4.25" customHeight="1">
      <c r="A718" s="4">
        <v>7580</v>
      </c>
      <c r="B718" s="4" t="str">
        <f>IFERROR(VLOOKUP(A718,Colaboradores!A:D,2,),"")</f>
        <v>LUCIO JOSE DA COSTA LOPES</v>
      </c>
      <c r="C718" s="4" t="str">
        <f>IFERROR(VLOOKUP(A718,Colaboradores!A:D,3,),"")</f>
        <v>SEGURANÇA DO TRABALHO</v>
      </c>
      <c r="D718" s="4" t="str">
        <f>IFERROR(VLOOKUP(A718,Colaboradores!A:D,4,),"")</f>
        <v>TÉCNICO DE SEGURANÇA DO TRABALHO</v>
      </c>
      <c r="E718" s="4" t="s">
        <v>55</v>
      </c>
      <c r="F718" s="5" t="str">
        <f>IFERROR(VLOOKUP(E718,Procedimentos!A:C,2,),"")</f>
        <v>DIRETRIZES PARA ACOMPANHAMENTO DE AFASTADOS</v>
      </c>
      <c r="G718" s="4" t="s">
        <v>22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4.25" customHeight="1">
      <c r="A719" s="4">
        <v>7580</v>
      </c>
      <c r="B719" s="4" t="str">
        <f>IFERROR(VLOOKUP(A719,Colaboradores!A:D,2,),"")</f>
        <v>LUCIO JOSE DA COSTA LOPES</v>
      </c>
      <c r="C719" s="4" t="str">
        <f>IFERROR(VLOOKUP(A719,Colaboradores!A:D,3,),"")</f>
        <v>SEGURANÇA DO TRABALHO</v>
      </c>
      <c r="D719" s="4" t="str">
        <f>IFERROR(VLOOKUP(A719,Colaboradores!A:D,4,),"")</f>
        <v>TÉCNICO DE SEGURANÇA DO TRABALHO</v>
      </c>
      <c r="E719" s="4" t="s">
        <v>46</v>
      </c>
      <c r="F719" s="5" t="str">
        <f>IFERROR(VLOOKUP(E719,Procedimentos!A:C,2,),"")</f>
        <v>POLÍTICA DE SAÚDE E SEGURANÇA DO TRABALHO EMSERH</v>
      </c>
      <c r="G719" s="4" t="s">
        <v>22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4.25" customHeight="1">
      <c r="A720" s="4">
        <v>7580</v>
      </c>
      <c r="B720" s="4" t="str">
        <f>IFERROR(VLOOKUP(A720,Colaboradores!A:D,2,),"")</f>
        <v>LUCIO JOSE DA COSTA LOPES</v>
      </c>
      <c r="C720" s="4" t="str">
        <f>IFERROR(VLOOKUP(A720,Colaboradores!A:D,3,),"")</f>
        <v>SEGURANÇA DO TRABALHO</v>
      </c>
      <c r="D720" s="4" t="str">
        <f>IFERROR(VLOOKUP(A720,Colaboradores!A:D,4,),"")</f>
        <v>TÉCNICO DE SEGURANÇA DO TRABALHO</v>
      </c>
      <c r="E720" s="4" t="s">
        <v>41</v>
      </c>
      <c r="F720" s="5" t="str">
        <f>IFERROR(VLOOKUP(E720,Procedimentos!A:C,2,),"")</f>
        <v>DIRETRIZES PARA COMUNICAÇÃO E INVESTIGAÇÃO DE ACIDENTES</v>
      </c>
      <c r="G720" s="4" t="s">
        <v>22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4.25" customHeight="1">
      <c r="A721" s="4">
        <v>7580</v>
      </c>
      <c r="B721" s="4" t="str">
        <f>IFERROR(VLOOKUP(A721,Colaboradores!A:D,2,),"")</f>
        <v>LUCIO JOSE DA COSTA LOPES</v>
      </c>
      <c r="C721" s="4" t="str">
        <f>IFERROR(VLOOKUP(A721,Colaboradores!A:D,3,),"")</f>
        <v>SEGURANÇA DO TRABALHO</v>
      </c>
      <c r="D721" s="4" t="str">
        <f>IFERROR(VLOOKUP(A721,Colaboradores!A:D,4,),"")</f>
        <v>TÉCNICO DE SEGURANÇA DO TRABALHO</v>
      </c>
      <c r="E721" s="4" t="s">
        <v>43</v>
      </c>
      <c r="F721" s="5" t="str">
        <f>IFERROR(VLOOKUP(E721,Procedimentos!A:C,2,),"")</f>
        <v>DIÁLOGO DE SAÚDE E SEGURANÇA - DSS</v>
      </c>
      <c r="G721" s="4" t="s">
        <v>22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4.25" customHeight="1">
      <c r="A722" s="4">
        <v>7580</v>
      </c>
      <c r="B722" s="4" t="str">
        <f>IFERROR(VLOOKUP(A722,Colaboradores!A:D,2,),"")</f>
        <v>LUCIO JOSE DA COSTA LOPES</v>
      </c>
      <c r="C722" s="4" t="str">
        <f>IFERROR(VLOOKUP(A722,Colaboradores!A:D,3,),"")</f>
        <v>SEGURANÇA DO TRABALHO</v>
      </c>
      <c r="D722" s="4" t="str">
        <f>IFERROR(VLOOKUP(A722,Colaboradores!A:D,4,),"")</f>
        <v>TÉCNICO DE SEGURANÇA DO TRABALHO</v>
      </c>
      <c r="E722" s="4" t="s">
        <v>44</v>
      </c>
      <c r="F722" s="5" t="str">
        <f>IFERROR(VLOOKUP(E722,Procedimentos!A:C,2,),"")</f>
        <v>DIRETRIZES PARA GESTÃO DE EQUIPAMENTOS DE PROTEÇÃO INDIVIDUAL - EPI'S</v>
      </c>
      <c r="G722" s="4" t="s">
        <v>22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4.25" customHeight="1">
      <c r="A723" s="4">
        <v>7580</v>
      </c>
      <c r="B723" s="4" t="str">
        <f>IFERROR(VLOOKUP(A723,Colaboradores!A:D,2,),"")</f>
        <v>LUCIO JOSE DA COSTA LOPES</v>
      </c>
      <c r="C723" s="4" t="str">
        <f>IFERROR(VLOOKUP(A723,Colaboradores!A:D,3,),"")</f>
        <v>SEGURANÇA DO TRABALHO</v>
      </c>
      <c r="D723" s="4" t="str">
        <f>IFERROR(VLOOKUP(A723,Colaboradores!A:D,4,),"")</f>
        <v>TÉCNICO DE SEGURANÇA DO TRABALHO</v>
      </c>
      <c r="E723" s="4" t="s">
        <v>45</v>
      </c>
      <c r="F723" s="5" t="str">
        <f>IFERROR(VLOOKUP(E723,Procedimentos!A:C,2,),"")</f>
        <v>CONSTITUIÇÃO INTERNA DE PREVENÇÃO DE ACIDENTES E DE ASSÉDIOS - CIPA</v>
      </c>
      <c r="G723" s="4" t="s">
        <v>22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4.25" customHeight="1">
      <c r="A724" s="4">
        <v>7580</v>
      </c>
      <c r="B724" s="4" t="str">
        <f>IFERROR(VLOOKUP(A724,Colaboradores!A:D,2,),"")</f>
        <v>LUCIO JOSE DA COSTA LOPES</v>
      </c>
      <c r="C724" s="4" t="str">
        <f>IFERROR(VLOOKUP(A724,Colaboradores!A:D,3,),"")</f>
        <v>SEGURANÇA DO TRABALHO</v>
      </c>
      <c r="D724" s="4" t="str">
        <f>IFERROR(VLOOKUP(A724,Colaboradores!A:D,4,),"")</f>
        <v>TÉCNICO DE SEGURANÇA DO TRABALHO</v>
      </c>
      <c r="E724" s="4" t="s">
        <v>59</v>
      </c>
      <c r="F724" s="5" t="str">
        <f>IFERROR(VLOOKUP(E724,Procedimentos!A:C,2,),"")</f>
        <v>GERENCIAMENTO DE RISCOS DE SAÚDE, SEGURANÇA E PROCESSOS</v>
      </c>
      <c r="G724" s="4" t="s">
        <v>22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4.25" customHeight="1">
      <c r="A725" s="4">
        <v>7580</v>
      </c>
      <c r="B725" s="4" t="str">
        <f>IFERROR(VLOOKUP(A725,Colaboradores!A:D,2,),"")</f>
        <v>LUCIO JOSE DA COSTA LOPES</v>
      </c>
      <c r="C725" s="4" t="str">
        <f>IFERROR(VLOOKUP(A725,Colaboradores!A:D,3,),"")</f>
        <v>SEGURANÇA DO TRABALHO</v>
      </c>
      <c r="D725" s="4" t="str">
        <f>IFERROR(VLOOKUP(A725,Colaboradores!A:D,4,),"")</f>
        <v>TÉCNICO DE SEGURANÇA DO TRABALHO</v>
      </c>
      <c r="E725" s="4" t="s">
        <v>61</v>
      </c>
      <c r="F725" s="5" t="str">
        <f>IFERROR(VLOOKUP(E725,Procedimentos!A:C,2,),"")</f>
        <v>PROCEDIMENTO DE INSPEÇÃO DE SEGURANÇA</v>
      </c>
      <c r="G725" s="4" t="s">
        <v>22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4.25" customHeight="1">
      <c r="A726" s="4">
        <v>7580</v>
      </c>
      <c r="B726" s="4" t="str">
        <f>IFERROR(VLOOKUP(A726,Colaboradores!A:D,2,),"")</f>
        <v>LUCIO JOSE DA COSTA LOPES</v>
      </c>
      <c r="C726" s="4" t="str">
        <f>IFERROR(VLOOKUP(A726,Colaboradores!A:D,3,),"")</f>
        <v>SEGURANÇA DO TRABALHO</v>
      </c>
      <c r="D726" s="4" t="str">
        <f>IFERROR(VLOOKUP(A726,Colaboradores!A:D,4,),"")</f>
        <v>TÉCNICO DE SEGURANÇA DO TRABALHO</v>
      </c>
      <c r="E726" s="4" t="s">
        <v>62</v>
      </c>
      <c r="F726" s="5" t="str">
        <f>IFERROR(VLOOKUP(E726,Procedimentos!A:C,2,),"")</f>
        <v>DIRETRIZES PARA ENVIO E RECEBIMENTO DE DOSÍMETRO</v>
      </c>
      <c r="G726" s="4" t="s">
        <v>22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4.25" customHeight="1">
      <c r="A727" s="4">
        <v>13727</v>
      </c>
      <c r="B727" s="4" t="str">
        <f>IFERROR(VLOOKUP(A727,Colaboradores!A:D,2,),"")</f>
        <v>THIAGO MARIO LIMA GLERIA</v>
      </c>
      <c r="C727" s="4" t="str">
        <f>IFERROR(VLOOKUP(A727,Colaboradores!A:D,3,),"")</f>
        <v>SEGURANÇA DO TRABALHO</v>
      </c>
      <c r="D727" s="4" t="str">
        <f>IFERROR(VLOOKUP(A727,Colaboradores!A:D,4,),"")</f>
        <v>GERENTE DE SEGURANÇA DO TRABALHO</v>
      </c>
      <c r="E727" s="4" t="s">
        <v>66</v>
      </c>
      <c r="F727" s="5" t="str">
        <f>IFERROR(VLOOKUP(E727,Procedimentos!A:C,2,),"")</f>
        <v>PROCEDIMENTO DE GERENCIAMENTO DE RISCOS</v>
      </c>
      <c r="G727" s="4" t="s">
        <v>22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4.25" customHeight="1">
      <c r="A728" s="4">
        <v>13727</v>
      </c>
      <c r="B728" s="4" t="str">
        <f>IFERROR(VLOOKUP(A728,Colaboradores!A:D,2,),"")</f>
        <v>THIAGO MARIO LIMA GLERIA</v>
      </c>
      <c r="C728" s="4" t="str">
        <f>IFERROR(VLOOKUP(A728,Colaboradores!A:D,3,),"")</f>
        <v>SEGURANÇA DO TRABALHO</v>
      </c>
      <c r="D728" s="4" t="str">
        <f>IFERROR(VLOOKUP(A728,Colaboradores!A:D,4,),"")</f>
        <v>GERENTE DE SEGURANÇA DO TRABALHO</v>
      </c>
      <c r="E728" s="4" t="s">
        <v>58</v>
      </c>
      <c r="F728" s="5" t="str">
        <f>IFERROR(VLOOKUP(E728,Procedimentos!A:C,2,),"")</f>
        <v>POLÍTICA DE QUALIDADE DA DIRETORIA</v>
      </c>
      <c r="G728" s="4" t="s">
        <v>22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4.25" customHeight="1">
      <c r="A729" s="4">
        <v>13727</v>
      </c>
      <c r="B729" s="4" t="str">
        <f>IFERROR(VLOOKUP(A729,Colaboradores!A:D,2,),"")</f>
        <v>THIAGO MARIO LIMA GLERIA</v>
      </c>
      <c r="C729" s="4" t="str">
        <f>IFERROR(VLOOKUP(A729,Colaboradores!A:D,3,),"")</f>
        <v>SEGURANÇA DO TRABALHO</v>
      </c>
      <c r="D729" s="4" t="str">
        <f>IFERROR(VLOOKUP(A729,Colaboradores!A:D,4,),"")</f>
        <v>GERENTE DE SEGURANÇA DO TRABALHO</v>
      </c>
      <c r="E729" s="4" t="s">
        <v>19</v>
      </c>
      <c r="F729" s="5" t="str">
        <f>IFERROR(VLOOKUP(E729,Procedimentos!A:C,2,),"")</f>
        <v>DIRETRIZES PARA DOCUMENTOS NORMATIVOS</v>
      </c>
      <c r="G729" s="4" t="s">
        <v>22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4.25" customHeight="1">
      <c r="A730" s="4">
        <v>13727</v>
      </c>
      <c r="B730" s="4" t="str">
        <f>IFERROR(VLOOKUP(A730,Colaboradores!A:D,2,),"")</f>
        <v>THIAGO MARIO LIMA GLERIA</v>
      </c>
      <c r="C730" s="4" t="str">
        <f>IFERROR(VLOOKUP(A730,Colaboradores!A:D,3,),"")</f>
        <v>SEGURANÇA DO TRABALHO</v>
      </c>
      <c r="D730" s="4" t="str">
        <f>IFERROR(VLOOKUP(A730,Colaboradores!A:D,4,),"")</f>
        <v>GERENTE DE SEGURANÇA DO TRABALHO</v>
      </c>
      <c r="E730" s="4" t="s">
        <v>24</v>
      </c>
      <c r="F730" s="5" t="str">
        <f>IFERROR(VLOOKUP(E730,Procedimentos!A:C,2,),"")</f>
        <v>DIRETRIZES  PARA PROGRAMA 5S</v>
      </c>
      <c r="G730" s="4" t="s">
        <v>22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4.25" customHeight="1">
      <c r="A731" s="4">
        <v>13727</v>
      </c>
      <c r="B731" s="4" t="str">
        <f>IFERROR(VLOOKUP(A731,Colaboradores!A:D,2,),"")</f>
        <v>THIAGO MARIO LIMA GLERIA</v>
      </c>
      <c r="C731" s="4" t="str">
        <f>IFERROR(VLOOKUP(A731,Colaboradores!A:D,3,),"")</f>
        <v>SEGURANÇA DO TRABALHO</v>
      </c>
      <c r="D731" s="4" t="str">
        <f>IFERROR(VLOOKUP(A731,Colaboradores!A:D,4,),"")</f>
        <v>GERENTE DE SEGURANÇA DO TRABALHO</v>
      </c>
      <c r="E731" s="4" t="s">
        <v>67</v>
      </c>
      <c r="F731" s="5" t="str">
        <f>IFERROR(VLOOKUP(E731,Procedimentos!A:C,2,),"")</f>
        <v>SISTEMATICA DE ROTINA DE REUNIÕES DA DESSMA</v>
      </c>
      <c r="G731" s="4" t="s">
        <v>22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4.25" customHeight="1">
      <c r="A732" s="4">
        <v>13727</v>
      </c>
      <c r="B732" s="4" t="str">
        <f>IFERROR(VLOOKUP(A732,Colaboradores!A:D,2,),"")</f>
        <v>THIAGO MARIO LIMA GLERIA</v>
      </c>
      <c r="C732" s="4" t="str">
        <f>IFERROR(VLOOKUP(A732,Colaboradores!A:D,3,),"")</f>
        <v>SEGURANÇA DO TRABALHO</v>
      </c>
      <c r="D732" s="4" t="str">
        <f>IFERROR(VLOOKUP(A732,Colaboradores!A:D,4,),"")</f>
        <v>GERENTE DE SEGURANÇA DO TRABALHO</v>
      </c>
      <c r="E732" s="4" t="s">
        <v>25</v>
      </c>
      <c r="F732" s="5" t="str">
        <f>IFERROR(VLOOKUP(E732,Procedimentos!A:C,2,),"")</f>
        <v>GARANTIA DA QUALIDADE</v>
      </c>
      <c r="G732" s="4" t="s">
        <v>22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4.25" customHeight="1">
      <c r="A733" s="4">
        <v>13727</v>
      </c>
      <c r="B733" s="4" t="str">
        <f>IFERROR(VLOOKUP(A733,Colaboradores!A:D,2,),"")</f>
        <v>THIAGO MARIO LIMA GLERIA</v>
      </c>
      <c r="C733" s="4" t="str">
        <f>IFERROR(VLOOKUP(A733,Colaboradores!A:D,3,),"")</f>
        <v>SEGURANÇA DO TRABALHO</v>
      </c>
      <c r="D733" s="4" t="str">
        <f>IFERROR(VLOOKUP(A733,Colaboradores!A:D,4,),"")</f>
        <v>GERENTE DE SEGURANÇA DO TRABALHO</v>
      </c>
      <c r="E733" s="4" t="s">
        <v>68</v>
      </c>
      <c r="F733" s="5" t="str">
        <f>IFERROR(VLOOKUP(E733,Procedimentos!A:C,2,),"")</f>
        <v>GESTÃO INDICADORES</v>
      </c>
      <c r="G733" s="4" t="s">
        <v>22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4.25" customHeight="1">
      <c r="A734" s="4">
        <v>13727</v>
      </c>
      <c r="B734" s="4" t="str">
        <f>IFERROR(VLOOKUP(A734,Colaboradores!A:D,2,),"")</f>
        <v>THIAGO MARIO LIMA GLERIA</v>
      </c>
      <c r="C734" s="4" t="str">
        <f>IFERROR(VLOOKUP(A734,Colaboradores!A:D,3,),"")</f>
        <v>SEGURANÇA DO TRABALHO</v>
      </c>
      <c r="D734" s="4" t="str">
        <f>IFERROR(VLOOKUP(A734,Colaboradores!A:D,4,),"")</f>
        <v>GERENTE DE SEGURANÇA DO TRABALHO</v>
      </c>
      <c r="E734" s="4" t="s">
        <v>26</v>
      </c>
      <c r="F734" s="5" t="str">
        <f>IFERROR(VLOOKUP(E734,Procedimentos!A:C,2,),"")</f>
        <v>RESPONSABILIDADES E AUTORIDADES DO SGQ</v>
      </c>
      <c r="G734" s="4" t="s">
        <v>22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4.25" customHeight="1">
      <c r="A735" s="4">
        <v>13727</v>
      </c>
      <c r="B735" s="4" t="str">
        <f>IFERROR(VLOOKUP(A735,Colaboradores!A:D,2,),"")</f>
        <v>THIAGO MARIO LIMA GLERIA</v>
      </c>
      <c r="C735" s="4" t="str">
        <f>IFERROR(VLOOKUP(A735,Colaboradores!A:D,3,),"")</f>
        <v>SEGURANÇA DO TRABALHO</v>
      </c>
      <c r="D735" s="4" t="str">
        <f>IFERROR(VLOOKUP(A735,Colaboradores!A:D,4,),"")</f>
        <v>GERENTE DE SEGURANÇA DO TRABALHO</v>
      </c>
      <c r="E735" s="4" t="s">
        <v>69</v>
      </c>
      <c r="F735" s="5" t="str">
        <f>IFERROR(VLOOKUP(E735,Procedimentos!A:C,2,),"")</f>
        <v>PROCEDIMENTO GESTÃO DE MUDANÇA SGQ</v>
      </c>
      <c r="G735" s="4" t="s">
        <v>22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4.25" customHeight="1">
      <c r="A736" s="4">
        <v>13727</v>
      </c>
      <c r="B736" s="4" t="str">
        <f>IFERROR(VLOOKUP(A736,Colaboradores!A:D,2,),"")</f>
        <v>THIAGO MARIO LIMA GLERIA</v>
      </c>
      <c r="C736" s="4" t="str">
        <f>IFERROR(VLOOKUP(A736,Colaboradores!A:D,3,),"")</f>
        <v>SEGURANÇA DO TRABALHO</v>
      </c>
      <c r="D736" s="4" t="str">
        <f>IFERROR(VLOOKUP(A736,Colaboradores!A:D,4,),"")</f>
        <v>GERENTE DE SEGURANÇA DO TRABALHO</v>
      </c>
      <c r="E736" s="4" t="s">
        <v>64</v>
      </c>
      <c r="F736" s="5" t="str">
        <f>IFERROR(VLOOKUP(E736,Procedimentos!A:C,2,),"")</f>
        <v>AVALIAÇÃO DESEMPENHO</v>
      </c>
      <c r="G736" s="4" t="s">
        <v>22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4.25" customHeight="1">
      <c r="A737" s="4">
        <v>13727</v>
      </c>
      <c r="B737" s="4" t="str">
        <f>IFERROR(VLOOKUP(A737,Colaboradores!A:D,2,),"")</f>
        <v>THIAGO MARIO LIMA GLERIA</v>
      </c>
      <c r="C737" s="4" t="str">
        <f>IFERROR(VLOOKUP(A737,Colaboradores!A:D,3,),"")</f>
        <v>SEGURANÇA DO TRABALHO</v>
      </c>
      <c r="D737" s="4" t="str">
        <f>IFERROR(VLOOKUP(A737,Colaboradores!A:D,4,),"")</f>
        <v>GERENTE DE SEGURANÇA DO TRABALHO</v>
      </c>
      <c r="E737" s="4" t="s">
        <v>73</v>
      </c>
      <c r="F737" s="5" t="str">
        <f>IFERROR(VLOOKUP(E737,Procedimentos!A:C,2,),"")</f>
        <v>AQUISIÇÃO DE BENS E SERVIÇOS E AVALIAÇÃO PROVEDORES EXTERNOS</v>
      </c>
      <c r="G737" s="4" t="s">
        <v>22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4.25" customHeight="1">
      <c r="A738" s="4">
        <v>13727</v>
      </c>
      <c r="B738" s="4" t="str">
        <f>IFERROR(VLOOKUP(A738,Colaboradores!A:D,2,),"")</f>
        <v>THIAGO MARIO LIMA GLERIA</v>
      </c>
      <c r="C738" s="4" t="str">
        <f>IFERROR(VLOOKUP(A738,Colaboradores!A:D,3,),"")</f>
        <v>SEGURANÇA DO TRABALHO</v>
      </c>
      <c r="D738" s="4" t="str">
        <f>IFERROR(VLOOKUP(A738,Colaboradores!A:D,4,),"")</f>
        <v>GERENTE DE SEGURANÇA DO TRABALHO</v>
      </c>
      <c r="E738" s="4" t="s">
        <v>79</v>
      </c>
      <c r="F738" s="5" t="str">
        <f>IFERROR(VLOOKUP(E738,Procedimentos!A:C,2,),"")</f>
        <v>ABERTURA DE PROCESSO DE PAGAMENTO</v>
      </c>
      <c r="G738" s="4" t="s">
        <v>22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4.25" customHeight="1">
      <c r="A739" s="4">
        <v>13727</v>
      </c>
      <c r="B739" s="4" t="str">
        <f>IFERROR(VLOOKUP(A739,Colaboradores!A:D,2,),"")</f>
        <v>THIAGO MARIO LIMA GLERIA</v>
      </c>
      <c r="C739" s="4" t="str">
        <f>IFERROR(VLOOKUP(A739,Colaboradores!A:D,3,),"")</f>
        <v>SEGURANÇA DO TRABALHO</v>
      </c>
      <c r="D739" s="4" t="str">
        <f>IFERROR(VLOOKUP(A739,Colaboradores!A:D,4,),"")</f>
        <v>GERENTE DE SEGURANÇA DO TRABALHO</v>
      </c>
      <c r="E739" s="4" t="s">
        <v>48</v>
      </c>
      <c r="F739" s="5" t="str">
        <f>IFERROR(VLOOKUP(E739,Procedimentos!A:C,2,),"")</f>
        <v>POLÍTICA MEIO AMBIENTE EMSERH</v>
      </c>
      <c r="G739" s="4" t="s">
        <v>22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4.25" customHeight="1">
      <c r="A740" s="4">
        <v>13727</v>
      </c>
      <c r="B740" s="4" t="str">
        <f>IFERROR(VLOOKUP(A740,Colaboradores!A:D,2,),"")</f>
        <v>THIAGO MARIO LIMA GLERIA</v>
      </c>
      <c r="C740" s="4" t="str">
        <f>IFERROR(VLOOKUP(A740,Colaboradores!A:D,3,),"")</f>
        <v>SEGURANÇA DO TRABALHO</v>
      </c>
      <c r="D740" s="4" t="str">
        <f>IFERROR(VLOOKUP(A740,Colaboradores!A:D,4,),"")</f>
        <v>GERENTE DE SEGURANÇA DO TRABALHO</v>
      </c>
      <c r="E740" s="4" t="s">
        <v>29</v>
      </c>
      <c r="F740" s="5" t="str">
        <f>IFERROR(VLOOKUP(E740,Procedimentos!A:C,2,),"")</f>
        <v>COLETA SELETIVA DESSMA</v>
      </c>
      <c r="G740" s="4" t="s">
        <v>22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4.25" customHeight="1">
      <c r="A741" s="4">
        <v>13727</v>
      </c>
      <c r="B741" s="4" t="str">
        <f>IFERROR(VLOOKUP(A741,Colaboradores!A:D,2,),"")</f>
        <v>THIAGO MARIO LIMA GLERIA</v>
      </c>
      <c r="C741" s="4" t="str">
        <f>IFERROR(VLOOKUP(A741,Colaboradores!A:D,3,),"")</f>
        <v>SEGURANÇA DO TRABALHO</v>
      </c>
      <c r="D741" s="4" t="str">
        <f>IFERROR(VLOOKUP(A741,Colaboradores!A:D,4,),"")</f>
        <v>GERENTE DE SEGURANÇA DO TRABALHO</v>
      </c>
      <c r="E741" s="4" t="s">
        <v>36</v>
      </c>
      <c r="F741" s="5" t="str">
        <f>IFERROR(VLOOKUP(E741,Procedimentos!A:C,2,),"")</f>
        <v>GESTÃO DE PRODUTOS QUÍMICOS</v>
      </c>
      <c r="G741" s="4" t="s">
        <v>22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4.25" customHeight="1">
      <c r="A742" s="4">
        <v>13727</v>
      </c>
      <c r="B742" s="4" t="str">
        <f>IFERROR(VLOOKUP(A742,Colaboradores!A:D,2,),"")</f>
        <v>THIAGO MARIO LIMA GLERIA</v>
      </c>
      <c r="C742" s="4" t="str">
        <f>IFERROR(VLOOKUP(A742,Colaboradores!A:D,3,),"")</f>
        <v>SEGURANÇA DO TRABALHO</v>
      </c>
      <c r="D742" s="4" t="str">
        <f>IFERROR(VLOOKUP(A742,Colaboradores!A:D,4,),"")</f>
        <v>GERENTE DE SEGURANÇA DO TRABALHO</v>
      </c>
      <c r="E742" s="4" t="s">
        <v>32</v>
      </c>
      <c r="F742" s="5" t="str">
        <f>IFERROR(VLOOKUP(E742,Procedimentos!A:C,2,),"")</f>
        <v>GESTÃO DE LEVANTAMENTO DE ASPECTOS E IMPACTOS AMBIENTAIS</v>
      </c>
      <c r="G742" s="4" t="s">
        <v>22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4.25" customHeight="1">
      <c r="A743" s="4">
        <v>13727</v>
      </c>
      <c r="B743" s="4" t="str">
        <f>IFERROR(VLOOKUP(A743,Colaboradores!A:D,2,),"")</f>
        <v>THIAGO MARIO LIMA GLERIA</v>
      </c>
      <c r="C743" s="4" t="str">
        <f>IFERROR(VLOOKUP(A743,Colaboradores!A:D,3,),"")</f>
        <v>SEGURANÇA DO TRABALHO</v>
      </c>
      <c r="D743" s="4" t="str">
        <f>IFERROR(VLOOKUP(A743,Colaboradores!A:D,4,),"")</f>
        <v>GERENTE DE SEGURANÇA DO TRABALHO</v>
      </c>
      <c r="E743" s="4" t="s">
        <v>31</v>
      </c>
      <c r="F743" s="5" t="str">
        <f>IFERROR(VLOOKUP(E743,Procedimentos!A:C,2,),"")</f>
        <v>GESTÃO DE COMUNICAÇÃO, CLASSIFICAÇÃO E INVESTIGAÇÃO DE OCORRÊNCIAS AMBIENTAIS</v>
      </c>
      <c r="G743" s="4" t="s">
        <v>22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4.25" customHeight="1">
      <c r="A744" s="4">
        <v>13727</v>
      </c>
      <c r="B744" s="4" t="str">
        <f>IFERROR(VLOOKUP(A744,Colaboradores!A:D,2,),"")</f>
        <v>THIAGO MARIO LIMA GLERIA</v>
      </c>
      <c r="C744" s="4" t="str">
        <f>IFERROR(VLOOKUP(A744,Colaboradores!A:D,3,),"")</f>
        <v>SEGURANÇA DO TRABALHO</v>
      </c>
      <c r="D744" s="4" t="str">
        <f>IFERROR(VLOOKUP(A744,Colaboradores!A:D,4,),"")</f>
        <v>GERENTE DE SEGURANÇA DO TRABALHO</v>
      </c>
      <c r="E744" s="4" t="s">
        <v>33</v>
      </c>
      <c r="F744" s="5" t="str">
        <f>IFERROR(VLOOKUP(E744,Procedimentos!A:C,2,),"")</f>
        <v>GESTÃO DE INSPEÇÕES AMBIENTAIS</v>
      </c>
      <c r="G744" s="4" t="s">
        <v>22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4.25" customHeight="1">
      <c r="A745" s="4">
        <v>13727</v>
      </c>
      <c r="B745" s="4" t="str">
        <f>IFERROR(VLOOKUP(A745,Colaboradores!A:D,2,),"")</f>
        <v>THIAGO MARIO LIMA GLERIA</v>
      </c>
      <c r="C745" s="4" t="str">
        <f>IFERROR(VLOOKUP(A745,Colaboradores!A:D,3,),"")</f>
        <v>SEGURANÇA DO TRABALHO</v>
      </c>
      <c r="D745" s="4" t="str">
        <f>IFERROR(VLOOKUP(A745,Colaboradores!A:D,4,),"")</f>
        <v>GERENTE DE SEGURANÇA DO TRABALHO</v>
      </c>
      <c r="E745" s="4" t="s">
        <v>49</v>
      </c>
      <c r="F745" s="5" t="str">
        <f>IFERROR(VLOOKUP(E745,Procedimentos!A:C,2,),"")</f>
        <v>DIRETRIZES PARA REALIZAÇÃO DE EXAMES OCUPACIONAIS</v>
      </c>
      <c r="G745" s="4" t="s">
        <v>22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4.25" customHeight="1">
      <c r="A746" s="4">
        <v>13727</v>
      </c>
      <c r="B746" s="4" t="str">
        <f>IFERROR(VLOOKUP(A746,Colaboradores!A:D,2,),"")</f>
        <v>THIAGO MARIO LIMA GLERIA</v>
      </c>
      <c r="C746" s="4" t="str">
        <f>IFERROR(VLOOKUP(A746,Colaboradores!A:D,3,),"")</f>
        <v>SEGURANÇA DO TRABALHO</v>
      </c>
      <c r="D746" s="4" t="str">
        <f>IFERROR(VLOOKUP(A746,Colaboradores!A:D,4,),"")</f>
        <v>GERENTE DE SEGURANÇA DO TRABALHO</v>
      </c>
      <c r="E746" s="4" t="s">
        <v>51</v>
      </c>
      <c r="F746" s="5" t="str">
        <f>IFERROR(VLOOKUP(E746,Procedimentos!A:C,2,),"")</f>
        <v>DIRETRIZES PARA ENTREGA DE ATESTADOS MÉDICOS E ODONTOLÓGICOS</v>
      </c>
      <c r="G746" s="4" t="s">
        <v>22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4.25" customHeight="1">
      <c r="A747" s="4">
        <v>13727</v>
      </c>
      <c r="B747" s="4" t="str">
        <f>IFERROR(VLOOKUP(A747,Colaboradores!A:D,2,),"")</f>
        <v>THIAGO MARIO LIMA GLERIA</v>
      </c>
      <c r="C747" s="4" t="str">
        <f>IFERROR(VLOOKUP(A747,Colaboradores!A:D,3,),"")</f>
        <v>SEGURANÇA DO TRABALHO</v>
      </c>
      <c r="D747" s="4" t="str">
        <f>IFERROR(VLOOKUP(A747,Colaboradores!A:D,4,),"")</f>
        <v>GERENTE DE SEGURANÇA DO TRABALHO</v>
      </c>
      <c r="E747" s="4" t="s">
        <v>52</v>
      </c>
      <c r="F747" s="5" t="str">
        <f>IFERROR(VLOOKUP(E747,Procedimentos!A:C,2,),"")</f>
        <v>DIRETRIZES E ACOMPANHAMENTO  DE ACIDENTE COM MATERIAL BIOLOGICO</v>
      </c>
      <c r="G747" s="4" t="s">
        <v>22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4.25" customHeight="1">
      <c r="A748" s="4">
        <v>13727</v>
      </c>
      <c r="B748" s="4" t="str">
        <f>IFERROR(VLOOKUP(A748,Colaboradores!A:D,2,),"")</f>
        <v>THIAGO MARIO LIMA GLERIA</v>
      </c>
      <c r="C748" s="4" t="str">
        <f>IFERROR(VLOOKUP(A748,Colaboradores!A:D,3,),"")</f>
        <v>SEGURANÇA DO TRABALHO</v>
      </c>
      <c r="D748" s="4" t="str">
        <f>IFERROR(VLOOKUP(A748,Colaboradores!A:D,4,),"")</f>
        <v>GERENTE DE SEGURANÇA DO TRABALHO</v>
      </c>
      <c r="E748" s="4" t="s">
        <v>53</v>
      </c>
      <c r="F748" s="5" t="str">
        <f>IFERROR(VLOOKUP(E748,Procedimentos!A:C,2,),"")</f>
        <v>DIRETRIZES PARA MONITORAMENTO DE GESTANTE</v>
      </c>
      <c r="G748" s="4" t="s">
        <v>22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4.25" customHeight="1">
      <c r="A749" s="4">
        <v>13727</v>
      </c>
      <c r="B749" s="4" t="str">
        <f>IFERROR(VLOOKUP(A749,Colaboradores!A:D,2,),"")</f>
        <v>THIAGO MARIO LIMA GLERIA</v>
      </c>
      <c r="C749" s="4" t="str">
        <f>IFERROR(VLOOKUP(A749,Colaboradores!A:D,3,),"")</f>
        <v>SEGURANÇA DO TRABALHO</v>
      </c>
      <c r="D749" s="4" t="str">
        <f>IFERROR(VLOOKUP(A749,Colaboradores!A:D,4,),"")</f>
        <v>GERENTE DE SEGURANÇA DO TRABALHO</v>
      </c>
      <c r="E749" s="4" t="s">
        <v>54</v>
      </c>
      <c r="F749" s="5" t="str">
        <f>IFERROR(VLOOKUP(E749,Procedimentos!A:C,2,),"")</f>
        <v>DIRETRIZES DE IMUNIZAÇÃO OCUPACIONAL</v>
      </c>
      <c r="G749" s="4" t="s">
        <v>22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4.25" customHeight="1">
      <c r="A750" s="4">
        <v>13727</v>
      </c>
      <c r="B750" s="4" t="str">
        <f>IFERROR(VLOOKUP(A750,Colaboradores!A:D,2,),"")</f>
        <v>THIAGO MARIO LIMA GLERIA</v>
      </c>
      <c r="C750" s="4" t="str">
        <f>IFERROR(VLOOKUP(A750,Colaboradores!A:D,3,),"")</f>
        <v>SEGURANÇA DO TRABALHO</v>
      </c>
      <c r="D750" s="4" t="str">
        <f>IFERROR(VLOOKUP(A750,Colaboradores!A:D,4,),"")</f>
        <v>GERENTE DE SEGURANÇA DO TRABALHO</v>
      </c>
      <c r="E750" s="4" t="s">
        <v>55</v>
      </c>
      <c r="F750" s="5" t="str">
        <f>IFERROR(VLOOKUP(E750,Procedimentos!A:C,2,),"")</f>
        <v>DIRETRIZES PARA ACOMPANHAMENTO DE AFASTADOS</v>
      </c>
      <c r="G750" s="4" t="s">
        <v>22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4.25" customHeight="1">
      <c r="A751" s="4">
        <v>13727</v>
      </c>
      <c r="B751" s="4" t="str">
        <f>IFERROR(VLOOKUP(A751,Colaboradores!A:D,2,),"")</f>
        <v>THIAGO MARIO LIMA GLERIA</v>
      </c>
      <c r="C751" s="4" t="str">
        <f>IFERROR(VLOOKUP(A751,Colaboradores!A:D,3,),"")</f>
        <v>SEGURANÇA DO TRABALHO</v>
      </c>
      <c r="D751" s="4" t="str">
        <f>IFERROR(VLOOKUP(A751,Colaboradores!A:D,4,),"")</f>
        <v>GERENTE DE SEGURANÇA DO TRABALHO</v>
      </c>
      <c r="E751" s="4" t="s">
        <v>46</v>
      </c>
      <c r="F751" s="5" t="str">
        <f>IFERROR(VLOOKUP(E751,Procedimentos!A:C,2,),"")</f>
        <v>POLÍTICA DE SAÚDE E SEGURANÇA DO TRABALHO EMSERH</v>
      </c>
      <c r="G751" s="4" t="s">
        <v>22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4.25" customHeight="1">
      <c r="A752" s="4">
        <v>13727</v>
      </c>
      <c r="B752" s="4" t="str">
        <f>IFERROR(VLOOKUP(A752,Colaboradores!A:D,2,),"")</f>
        <v>THIAGO MARIO LIMA GLERIA</v>
      </c>
      <c r="C752" s="4" t="str">
        <f>IFERROR(VLOOKUP(A752,Colaboradores!A:D,3,),"")</f>
        <v>SEGURANÇA DO TRABALHO</v>
      </c>
      <c r="D752" s="4" t="str">
        <f>IFERROR(VLOOKUP(A752,Colaboradores!A:D,4,),"")</f>
        <v>GERENTE DE SEGURANÇA DO TRABALHO</v>
      </c>
      <c r="E752" s="4" t="s">
        <v>41</v>
      </c>
      <c r="F752" s="5" t="str">
        <f>IFERROR(VLOOKUP(E752,Procedimentos!A:C,2,),"")</f>
        <v>DIRETRIZES PARA COMUNICAÇÃO E INVESTIGAÇÃO DE ACIDENTES</v>
      </c>
      <c r="G752" s="4" t="s">
        <v>22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4.25" customHeight="1">
      <c r="A753" s="4">
        <v>13727</v>
      </c>
      <c r="B753" s="4" t="str">
        <f>IFERROR(VLOOKUP(A753,Colaboradores!A:D,2,),"")</f>
        <v>THIAGO MARIO LIMA GLERIA</v>
      </c>
      <c r="C753" s="4" t="str">
        <f>IFERROR(VLOOKUP(A753,Colaboradores!A:D,3,),"")</f>
        <v>SEGURANÇA DO TRABALHO</v>
      </c>
      <c r="D753" s="4" t="str">
        <f>IFERROR(VLOOKUP(A753,Colaboradores!A:D,4,),"")</f>
        <v>GERENTE DE SEGURANÇA DO TRABALHO</v>
      </c>
      <c r="E753" s="4" t="s">
        <v>43</v>
      </c>
      <c r="F753" s="5" t="str">
        <f>IFERROR(VLOOKUP(E753,Procedimentos!A:C,2,),"")</f>
        <v>DIÁLOGO DE SAÚDE E SEGURANÇA - DSS</v>
      </c>
      <c r="G753" s="4" t="s">
        <v>22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4.25" customHeight="1">
      <c r="A754" s="4">
        <v>13727</v>
      </c>
      <c r="B754" s="4" t="str">
        <f>IFERROR(VLOOKUP(A754,Colaboradores!A:D,2,),"")</f>
        <v>THIAGO MARIO LIMA GLERIA</v>
      </c>
      <c r="C754" s="4" t="str">
        <f>IFERROR(VLOOKUP(A754,Colaboradores!A:D,3,),"")</f>
        <v>SEGURANÇA DO TRABALHO</v>
      </c>
      <c r="D754" s="4" t="str">
        <f>IFERROR(VLOOKUP(A754,Colaboradores!A:D,4,),"")</f>
        <v>GERENTE DE SEGURANÇA DO TRABALHO</v>
      </c>
      <c r="E754" s="4" t="s">
        <v>44</v>
      </c>
      <c r="F754" s="5" t="str">
        <f>IFERROR(VLOOKUP(E754,Procedimentos!A:C,2,),"")</f>
        <v>DIRETRIZES PARA GESTÃO DE EQUIPAMENTOS DE PROTEÇÃO INDIVIDUAL - EPI'S</v>
      </c>
      <c r="G754" s="4" t="s">
        <v>22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4.25" customHeight="1">
      <c r="A755" s="4">
        <v>13727</v>
      </c>
      <c r="B755" s="4" t="str">
        <f>IFERROR(VLOOKUP(A755,Colaboradores!A:D,2,),"")</f>
        <v>THIAGO MARIO LIMA GLERIA</v>
      </c>
      <c r="C755" s="4" t="str">
        <f>IFERROR(VLOOKUP(A755,Colaboradores!A:D,3,),"")</f>
        <v>SEGURANÇA DO TRABALHO</v>
      </c>
      <c r="D755" s="4" t="str">
        <f>IFERROR(VLOOKUP(A755,Colaboradores!A:D,4,),"")</f>
        <v>GERENTE DE SEGURANÇA DO TRABALHO</v>
      </c>
      <c r="E755" s="4" t="s">
        <v>45</v>
      </c>
      <c r="F755" s="5" t="str">
        <f>IFERROR(VLOOKUP(E755,Procedimentos!A:C,2,),"")</f>
        <v>CONSTITUIÇÃO INTERNA DE PREVENÇÃO DE ACIDENTES E DE ASSÉDIOS - CIPA</v>
      </c>
      <c r="G755" s="4" t="s">
        <v>22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4.25" customHeight="1">
      <c r="A756" s="4">
        <v>13727</v>
      </c>
      <c r="B756" s="4" t="str">
        <f>IFERROR(VLOOKUP(A756,Colaboradores!A:D,2,),"")</f>
        <v>THIAGO MARIO LIMA GLERIA</v>
      </c>
      <c r="C756" s="4" t="str">
        <f>IFERROR(VLOOKUP(A756,Colaboradores!A:D,3,),"")</f>
        <v>SEGURANÇA DO TRABALHO</v>
      </c>
      <c r="D756" s="4" t="str">
        <f>IFERROR(VLOOKUP(A756,Colaboradores!A:D,4,),"")</f>
        <v>GERENTE DE SEGURANÇA DO TRABALHO</v>
      </c>
      <c r="E756" s="4" t="s">
        <v>59</v>
      </c>
      <c r="F756" s="5" t="str">
        <f>IFERROR(VLOOKUP(E756,Procedimentos!A:C,2,),"")</f>
        <v>GERENCIAMENTO DE RISCOS DE SAÚDE, SEGURANÇA E PROCESSOS</v>
      </c>
      <c r="G756" s="4" t="s">
        <v>22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4.25" customHeight="1">
      <c r="A757" s="4">
        <v>13727</v>
      </c>
      <c r="B757" s="4" t="str">
        <f>IFERROR(VLOOKUP(A757,Colaboradores!A:D,2,),"")</f>
        <v>THIAGO MARIO LIMA GLERIA</v>
      </c>
      <c r="C757" s="4" t="str">
        <f>IFERROR(VLOOKUP(A757,Colaboradores!A:D,3,),"")</f>
        <v>SEGURANÇA DO TRABALHO</v>
      </c>
      <c r="D757" s="4" t="str">
        <f>IFERROR(VLOOKUP(A757,Colaboradores!A:D,4,),"")</f>
        <v>GERENTE DE SEGURANÇA DO TRABALHO</v>
      </c>
      <c r="E757" s="4" t="s">
        <v>61</v>
      </c>
      <c r="F757" s="5" t="str">
        <f>IFERROR(VLOOKUP(E757,Procedimentos!A:C,2,),"")</f>
        <v>PROCEDIMENTO DE INSPEÇÃO DE SEGURANÇA</v>
      </c>
      <c r="G757" s="4" t="s">
        <v>22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4.25" customHeight="1">
      <c r="A758" s="4">
        <v>13727</v>
      </c>
      <c r="B758" s="4" t="str">
        <f>IFERROR(VLOOKUP(A758,Colaboradores!A:D,2,),"")</f>
        <v>THIAGO MARIO LIMA GLERIA</v>
      </c>
      <c r="C758" s="4" t="str">
        <f>IFERROR(VLOOKUP(A758,Colaboradores!A:D,3,),"")</f>
        <v>SEGURANÇA DO TRABALHO</v>
      </c>
      <c r="D758" s="4" t="str">
        <f>IFERROR(VLOOKUP(A758,Colaboradores!A:D,4,),"")</f>
        <v>GERENTE DE SEGURANÇA DO TRABALHO</v>
      </c>
      <c r="E758" s="4" t="s">
        <v>62</v>
      </c>
      <c r="F758" s="5" t="str">
        <f>IFERROR(VLOOKUP(E758,Procedimentos!A:C,2,),"")</f>
        <v>DIRETRIZES PARA ENVIO E RECEBIMENTO DE DOSÍMETRO</v>
      </c>
      <c r="G758" s="4" t="s">
        <v>22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4.25" customHeight="1">
      <c r="A759" s="4">
        <v>15134</v>
      </c>
      <c r="B759" s="4" t="s">
        <v>120</v>
      </c>
      <c r="C759" s="4" t="s">
        <v>121</v>
      </c>
      <c r="D759" s="4" t="s">
        <v>122</v>
      </c>
      <c r="E759" s="4" t="s">
        <v>58</v>
      </c>
      <c r="F759" s="5" t="str">
        <f>IFERROR(VLOOKUP(E759,Procedimentos!A:C,2,),"")</f>
        <v>POLÍTICA DE QUALIDADE DA DIRETORIA</v>
      </c>
      <c r="G759" s="4" t="s">
        <v>22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4.25" customHeight="1">
      <c r="A760" s="4">
        <v>15134</v>
      </c>
      <c r="B760" s="4" t="s">
        <v>120</v>
      </c>
      <c r="C760" s="4" t="s">
        <v>121</v>
      </c>
      <c r="D760" s="4" t="s">
        <v>122</v>
      </c>
      <c r="E760" s="4" t="s">
        <v>19</v>
      </c>
      <c r="F760" s="5" t="str">
        <f>IFERROR(VLOOKUP(E760,Procedimentos!A:C,2,),"")</f>
        <v>DIRETRIZES PARA DOCUMENTOS NORMATIVOS</v>
      </c>
      <c r="G760" s="4" t="s">
        <v>22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4.25" customHeight="1">
      <c r="A761" s="4">
        <v>15134</v>
      </c>
      <c r="B761" s="4" t="s">
        <v>120</v>
      </c>
      <c r="C761" s="4" t="s">
        <v>121</v>
      </c>
      <c r="D761" s="4" t="s">
        <v>122</v>
      </c>
      <c r="E761" s="4" t="s">
        <v>24</v>
      </c>
      <c r="F761" s="5" t="str">
        <f>IFERROR(VLOOKUP(E761,Procedimentos!A:C,2,),"")</f>
        <v>DIRETRIZES  PARA PROGRAMA 5S</v>
      </c>
      <c r="G761" s="4" t="s">
        <v>22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4.25" customHeight="1">
      <c r="A762" s="4">
        <v>15134</v>
      </c>
      <c r="B762" s="4" t="s">
        <v>120</v>
      </c>
      <c r="C762" s="4" t="s">
        <v>121</v>
      </c>
      <c r="D762" s="4" t="s">
        <v>122</v>
      </c>
      <c r="E762" s="4" t="s">
        <v>25</v>
      </c>
      <c r="F762" s="5" t="str">
        <f>IFERROR(VLOOKUP(E762,Procedimentos!A:C,2,),"")</f>
        <v>GARANTIA DA QUALIDADE</v>
      </c>
      <c r="G762" s="4" t="s">
        <v>22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4.25" customHeight="1">
      <c r="A763" s="4">
        <v>15134</v>
      </c>
      <c r="B763" s="4" t="s">
        <v>120</v>
      </c>
      <c r="C763" s="4" t="s">
        <v>121</v>
      </c>
      <c r="D763" s="4" t="s">
        <v>122</v>
      </c>
      <c r="E763" s="4" t="s">
        <v>26</v>
      </c>
      <c r="F763" s="5" t="str">
        <f>IFERROR(VLOOKUP(E763,Procedimentos!A:C,2,),"")</f>
        <v>RESPONSABILIDADES E AUTORIDADES DO SGQ</v>
      </c>
      <c r="G763" s="4" t="s">
        <v>22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4.25" customHeight="1">
      <c r="A764" s="4">
        <v>15134</v>
      </c>
      <c r="B764" s="4" t="str">
        <f>IFERROR(VLOOKUP(A764,Colaboradores!A:D,2,),"")</f>
        <v>ADRIANE MENDES ROSA</v>
      </c>
      <c r="C764" s="4" t="str">
        <f>IFERROR(VLOOKUP(A764,Colaboradores!A:D,3,),"")</f>
        <v>REGIONAL CENTRAL</v>
      </c>
      <c r="D764" s="4" t="str">
        <f>IFERROR(VLOOKUP(A764,Colaboradores!A:D,4,),"")</f>
        <v>ENFERMEIRA DO TRABALHO</v>
      </c>
      <c r="E764" s="4" t="s">
        <v>73</v>
      </c>
      <c r="F764" s="5" t="str">
        <f>IFERROR(VLOOKUP(E764,Procedimentos!A:C,2,),"")</f>
        <v>AQUISIÇÃO DE BENS E SERVIÇOS E AVALIAÇÃO PROVEDORES EXTERNOS</v>
      </c>
      <c r="G764" s="4" t="s">
        <v>22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4.25" customHeight="1">
      <c r="A765" s="4">
        <v>15134</v>
      </c>
      <c r="B765" s="4" t="s">
        <v>120</v>
      </c>
      <c r="C765" s="4" t="s">
        <v>121</v>
      </c>
      <c r="D765" s="4" t="s">
        <v>122</v>
      </c>
      <c r="E765" s="4" t="s">
        <v>48</v>
      </c>
      <c r="F765" s="5" t="str">
        <f>IFERROR(VLOOKUP(E765,Procedimentos!A:C,2,),"")</f>
        <v>POLÍTICA MEIO AMBIENTE EMSERH</v>
      </c>
      <c r="G765" s="4" t="s">
        <v>22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4.25" customHeight="1">
      <c r="A766" s="4">
        <v>15134</v>
      </c>
      <c r="B766" s="4" t="s">
        <v>120</v>
      </c>
      <c r="C766" s="4" t="s">
        <v>121</v>
      </c>
      <c r="D766" s="4" t="s">
        <v>122</v>
      </c>
      <c r="E766" s="4" t="s">
        <v>29</v>
      </c>
      <c r="F766" s="5" t="str">
        <f>IFERROR(VLOOKUP(E766,Procedimentos!A:C,2,),"")</f>
        <v>COLETA SELETIVA DESSMA</v>
      </c>
      <c r="G766" s="4" t="s">
        <v>22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4.25" customHeight="1">
      <c r="A767" s="4">
        <v>15134</v>
      </c>
      <c r="B767" s="4" t="s">
        <v>120</v>
      </c>
      <c r="C767" s="4" t="s">
        <v>121</v>
      </c>
      <c r="D767" s="4" t="s">
        <v>122</v>
      </c>
      <c r="E767" s="4" t="s">
        <v>36</v>
      </c>
      <c r="F767" s="5" t="str">
        <f>IFERROR(VLOOKUP(E767,Procedimentos!A:C,2,),"")</f>
        <v>GESTÃO DE PRODUTOS QUÍMICOS</v>
      </c>
      <c r="G767" s="4" t="s">
        <v>22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4.25" customHeight="1">
      <c r="A768" s="4">
        <v>15134</v>
      </c>
      <c r="B768" s="4" t="s">
        <v>120</v>
      </c>
      <c r="C768" s="4" t="s">
        <v>121</v>
      </c>
      <c r="D768" s="4" t="s">
        <v>122</v>
      </c>
      <c r="E768" s="4" t="s">
        <v>32</v>
      </c>
      <c r="F768" s="5" t="str">
        <f>IFERROR(VLOOKUP(E768,Procedimentos!A:C,2,),"")</f>
        <v>GESTÃO DE LEVANTAMENTO DE ASPECTOS E IMPACTOS AMBIENTAIS</v>
      </c>
      <c r="G768" s="4" t="s">
        <v>22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4.25" customHeight="1">
      <c r="A769" s="4">
        <v>15134</v>
      </c>
      <c r="B769" s="4" t="s">
        <v>120</v>
      </c>
      <c r="C769" s="4" t="s">
        <v>121</v>
      </c>
      <c r="D769" s="4" t="s">
        <v>122</v>
      </c>
      <c r="E769" s="4" t="s">
        <v>31</v>
      </c>
      <c r="F769" s="5" t="str">
        <f>IFERROR(VLOOKUP(E769,Procedimentos!A:C,2,),"")</f>
        <v>GESTÃO DE COMUNICAÇÃO, CLASSIFICAÇÃO E INVESTIGAÇÃO DE OCORRÊNCIAS AMBIENTAIS</v>
      </c>
      <c r="G769" s="4" t="s">
        <v>22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4.25" customHeight="1">
      <c r="A770" s="4">
        <v>15134</v>
      </c>
      <c r="B770" s="4" t="s">
        <v>120</v>
      </c>
      <c r="C770" s="4" t="s">
        <v>121</v>
      </c>
      <c r="D770" s="4" t="s">
        <v>122</v>
      </c>
      <c r="E770" s="4" t="s">
        <v>33</v>
      </c>
      <c r="F770" s="5" t="str">
        <f>IFERROR(VLOOKUP(E770,Procedimentos!A:C,2,),"")</f>
        <v>GESTÃO DE INSPEÇÕES AMBIENTAIS</v>
      </c>
      <c r="G770" s="4" t="s">
        <v>22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4.25" customHeight="1">
      <c r="A771" s="4">
        <v>15134</v>
      </c>
      <c r="B771" s="4" t="s">
        <v>120</v>
      </c>
      <c r="C771" s="4" t="s">
        <v>121</v>
      </c>
      <c r="D771" s="4" t="s">
        <v>122</v>
      </c>
      <c r="E771" s="4" t="s">
        <v>39</v>
      </c>
      <c r="F771" s="5" t="str">
        <f>IFERROR(VLOOKUP(E771,Procedimentos!A:C,2,),"")</f>
        <v>GESTÃO DE ÁGUAS E EFLUENTES</v>
      </c>
      <c r="G771" s="4" t="s">
        <v>22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4.25" customHeight="1">
      <c r="A772" s="4">
        <v>15134</v>
      </c>
      <c r="B772" s="4" t="s">
        <v>120</v>
      </c>
      <c r="C772" s="4" t="s">
        <v>121</v>
      </c>
      <c r="D772" s="4" t="s">
        <v>122</v>
      </c>
      <c r="E772" s="4" t="s">
        <v>34</v>
      </c>
      <c r="F772" s="5" t="str">
        <f>IFERROR(VLOOKUP(E772,Procedimentos!A:C,2,),"")</f>
        <v>GESTÃO DE LICENCIAMENTO AMBIENTAL</v>
      </c>
      <c r="G772" s="4" t="s">
        <v>22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4.25" customHeight="1">
      <c r="A773" s="4">
        <v>15134</v>
      </c>
      <c r="B773" s="4" t="s">
        <v>120</v>
      </c>
      <c r="C773" s="4" t="s">
        <v>121</v>
      </c>
      <c r="D773" s="4" t="s">
        <v>122</v>
      </c>
      <c r="E773" s="4" t="s">
        <v>38</v>
      </c>
      <c r="F773" s="5" t="str">
        <f>IFERROR(VLOOKUP(E773,Procedimentos!A:C,2,),"")</f>
        <v>GESTÃO DE CONDICIONANTES DE LICENCIAMENTO AMBIENTAL</v>
      </c>
      <c r="G773" s="4" t="s">
        <v>22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4.25" customHeight="1">
      <c r="A774" s="4">
        <v>15134</v>
      </c>
      <c r="B774" s="4" t="s">
        <v>120</v>
      </c>
      <c r="C774" s="4" t="s">
        <v>121</v>
      </c>
      <c r="D774" s="4" t="s">
        <v>122</v>
      </c>
      <c r="E774" s="4" t="s">
        <v>37</v>
      </c>
      <c r="F774" s="5" t="str">
        <f>IFERROR(VLOOKUP(E774,Procedimentos!A:C,2,),"")</f>
        <v>GESTÃO DE RESÍDUOS SÓLIDOS DE SERVIÇOS DE SAÚDE</v>
      </c>
      <c r="G774" s="4" t="s">
        <v>22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4.25" customHeight="1">
      <c r="A775" s="4">
        <v>15134</v>
      </c>
      <c r="B775" s="4" t="s">
        <v>120</v>
      </c>
      <c r="C775" s="4" t="s">
        <v>121</v>
      </c>
      <c r="D775" s="4" t="s">
        <v>122</v>
      </c>
      <c r="E775" s="4" t="s">
        <v>35</v>
      </c>
      <c r="F775" s="5" t="str">
        <f>IFERROR(VLOOKUP(E775,Procedimentos!A:C,2,),"")</f>
        <v>PROCEDIMENTO DE AFERIÇÃO DE FUMAÇA PRETA</v>
      </c>
      <c r="G775" s="4" t="s">
        <v>22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4.25" customHeight="1">
      <c r="A776" s="4">
        <v>15134</v>
      </c>
      <c r="B776" s="4" t="s">
        <v>120</v>
      </c>
      <c r="C776" s="4" t="s">
        <v>121</v>
      </c>
      <c r="D776" s="4" t="s">
        <v>122</v>
      </c>
      <c r="E776" s="4" t="s">
        <v>49</v>
      </c>
      <c r="F776" s="5" t="str">
        <f>IFERROR(VLOOKUP(E776,Procedimentos!A:C,2,),"")</f>
        <v>DIRETRIZES PARA REALIZAÇÃO DE EXAMES OCUPACIONAIS</v>
      </c>
      <c r="G776" s="4" t="s">
        <v>22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4.25" customHeight="1">
      <c r="A777" s="4">
        <v>15134</v>
      </c>
      <c r="B777" s="4" t="s">
        <v>120</v>
      </c>
      <c r="C777" s="4" t="s">
        <v>121</v>
      </c>
      <c r="D777" s="4" t="s">
        <v>122</v>
      </c>
      <c r="E777" s="4" t="s">
        <v>51</v>
      </c>
      <c r="F777" s="5" t="str">
        <f>IFERROR(VLOOKUP(E777,Procedimentos!A:C,2,),"")</f>
        <v>DIRETRIZES PARA ENTREGA DE ATESTADOS MÉDICOS E ODONTOLÓGICOS</v>
      </c>
      <c r="G777" s="4" t="s">
        <v>22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4.25" customHeight="1">
      <c r="A778" s="4">
        <v>15134</v>
      </c>
      <c r="B778" s="4" t="s">
        <v>120</v>
      </c>
      <c r="C778" s="4" t="s">
        <v>121</v>
      </c>
      <c r="D778" s="4" t="s">
        <v>122</v>
      </c>
      <c r="E778" s="4" t="s">
        <v>52</v>
      </c>
      <c r="F778" s="5" t="str">
        <f>IFERROR(VLOOKUP(E778,Procedimentos!A:C,2,),"")</f>
        <v>DIRETRIZES E ACOMPANHAMENTO  DE ACIDENTE COM MATERIAL BIOLOGICO</v>
      </c>
      <c r="G778" s="4" t="s">
        <v>22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4.25" customHeight="1">
      <c r="A779" s="4">
        <v>15134</v>
      </c>
      <c r="B779" s="4" t="s">
        <v>120</v>
      </c>
      <c r="C779" s="4" t="s">
        <v>121</v>
      </c>
      <c r="D779" s="4" t="s">
        <v>122</v>
      </c>
      <c r="E779" s="4" t="s">
        <v>53</v>
      </c>
      <c r="F779" s="5" t="str">
        <f>IFERROR(VLOOKUP(E779,Procedimentos!A:C,2,),"")</f>
        <v>DIRETRIZES PARA MONITORAMENTO DE GESTANTE</v>
      </c>
      <c r="G779" s="4" t="s">
        <v>22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4.25" customHeight="1">
      <c r="A780" s="4">
        <v>15134</v>
      </c>
      <c r="B780" s="4" t="s">
        <v>120</v>
      </c>
      <c r="C780" s="4" t="s">
        <v>121</v>
      </c>
      <c r="D780" s="4" t="s">
        <v>122</v>
      </c>
      <c r="E780" s="4" t="s">
        <v>54</v>
      </c>
      <c r="F780" s="5" t="str">
        <f>IFERROR(VLOOKUP(E780,Procedimentos!A:C,2,),"")</f>
        <v>DIRETRIZES DE IMUNIZAÇÃO OCUPACIONAL</v>
      </c>
      <c r="G780" s="4" t="s">
        <v>22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4.25" customHeight="1">
      <c r="A781" s="4">
        <v>15134</v>
      </c>
      <c r="B781" s="4" t="s">
        <v>120</v>
      </c>
      <c r="C781" s="4" t="s">
        <v>121</v>
      </c>
      <c r="D781" s="4" t="s">
        <v>122</v>
      </c>
      <c r="E781" s="4" t="s">
        <v>55</v>
      </c>
      <c r="F781" s="5" t="str">
        <f>IFERROR(VLOOKUP(E781,Procedimentos!A:C,2,),"")</f>
        <v>DIRETRIZES PARA ACOMPANHAMENTO DE AFASTADOS</v>
      </c>
      <c r="G781" s="4" t="s">
        <v>22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4.25" customHeight="1">
      <c r="A782" s="4">
        <v>15134</v>
      </c>
      <c r="B782" s="4" t="s">
        <v>120</v>
      </c>
      <c r="C782" s="4" t="s">
        <v>121</v>
      </c>
      <c r="D782" s="4" t="s">
        <v>122</v>
      </c>
      <c r="E782" s="4" t="s">
        <v>46</v>
      </c>
      <c r="F782" s="5" t="str">
        <f>IFERROR(VLOOKUP(E782,Procedimentos!A:C,2,),"")</f>
        <v>POLÍTICA DE SAÚDE E SEGURANÇA DO TRABALHO EMSERH</v>
      </c>
      <c r="G782" s="4" t="s">
        <v>22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4.25" customHeight="1">
      <c r="A783" s="4">
        <v>15134</v>
      </c>
      <c r="B783" s="4" t="s">
        <v>120</v>
      </c>
      <c r="C783" s="4" t="s">
        <v>121</v>
      </c>
      <c r="D783" s="4" t="s">
        <v>122</v>
      </c>
      <c r="E783" s="4" t="s">
        <v>41</v>
      </c>
      <c r="F783" s="5" t="str">
        <f>IFERROR(VLOOKUP(E783,Procedimentos!A:C,2,),"")</f>
        <v>DIRETRIZES PARA COMUNICAÇÃO E INVESTIGAÇÃO DE ACIDENTES</v>
      </c>
      <c r="G783" s="4" t="s">
        <v>22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4.25" customHeight="1">
      <c r="A784" s="4">
        <v>15134</v>
      </c>
      <c r="B784" s="4" t="s">
        <v>120</v>
      </c>
      <c r="C784" s="4" t="s">
        <v>121</v>
      </c>
      <c r="D784" s="4" t="s">
        <v>122</v>
      </c>
      <c r="E784" s="4" t="s">
        <v>43</v>
      </c>
      <c r="F784" s="5" t="str">
        <f>IFERROR(VLOOKUP(E784,Procedimentos!A:C,2,),"")</f>
        <v>DIÁLOGO DE SAÚDE E SEGURANÇA - DSS</v>
      </c>
      <c r="G784" s="4" t="s">
        <v>22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4.25" customHeight="1">
      <c r="A785" s="4">
        <v>15134</v>
      </c>
      <c r="B785" s="4" t="s">
        <v>120</v>
      </c>
      <c r="C785" s="4" t="s">
        <v>121</v>
      </c>
      <c r="D785" s="4" t="s">
        <v>122</v>
      </c>
      <c r="E785" s="4" t="s">
        <v>44</v>
      </c>
      <c r="F785" s="5" t="str">
        <f>IFERROR(VLOOKUP(E785,Procedimentos!A:C,2,),"")</f>
        <v>DIRETRIZES PARA GESTÃO DE EQUIPAMENTOS DE PROTEÇÃO INDIVIDUAL - EPI'S</v>
      </c>
      <c r="G785" s="4" t="s">
        <v>22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4.25" customHeight="1">
      <c r="A786" s="4">
        <v>15134</v>
      </c>
      <c r="B786" s="4" t="s">
        <v>120</v>
      </c>
      <c r="C786" s="4" t="s">
        <v>121</v>
      </c>
      <c r="D786" s="4" t="s">
        <v>122</v>
      </c>
      <c r="E786" s="4" t="s">
        <v>45</v>
      </c>
      <c r="F786" s="5" t="str">
        <f>IFERROR(VLOOKUP(E786,Procedimentos!A:C,2,),"")</f>
        <v>CONSTITUIÇÃO INTERNA DE PREVENÇÃO DE ACIDENTES E DE ASSÉDIOS - CIPA</v>
      </c>
      <c r="G786" s="4" t="s">
        <v>22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4.25" customHeight="1">
      <c r="A787" s="4">
        <v>15134</v>
      </c>
      <c r="B787" s="4" t="s">
        <v>120</v>
      </c>
      <c r="C787" s="4" t="s">
        <v>121</v>
      </c>
      <c r="D787" s="4" t="s">
        <v>122</v>
      </c>
      <c r="E787" s="4" t="s">
        <v>59</v>
      </c>
      <c r="F787" s="5" t="str">
        <f>IFERROR(VLOOKUP(E787,Procedimentos!A:C,2,),"")</f>
        <v>GERENCIAMENTO DE RISCOS DE SAÚDE, SEGURANÇA E PROCESSOS</v>
      </c>
      <c r="G787" s="4" t="s">
        <v>22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4.25" customHeight="1">
      <c r="A788" s="4">
        <v>15134</v>
      </c>
      <c r="B788" s="4" t="s">
        <v>120</v>
      </c>
      <c r="C788" s="4" t="s">
        <v>121</v>
      </c>
      <c r="D788" s="4" t="s">
        <v>122</v>
      </c>
      <c r="E788" s="4" t="s">
        <v>61</v>
      </c>
      <c r="F788" s="5" t="str">
        <f>IFERROR(VLOOKUP(E788,Procedimentos!A:C,2,),"")</f>
        <v>PROCEDIMENTO DE INSPEÇÃO DE SEGURANÇA</v>
      </c>
      <c r="G788" s="4" t="s">
        <v>22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4.25" customHeight="1">
      <c r="A789" s="4">
        <v>15134</v>
      </c>
      <c r="B789" s="4" t="s">
        <v>120</v>
      </c>
      <c r="C789" s="4" t="s">
        <v>121</v>
      </c>
      <c r="D789" s="4" t="s">
        <v>122</v>
      </c>
      <c r="E789" s="4" t="s">
        <v>62</v>
      </c>
      <c r="F789" s="5" t="str">
        <f>IFERROR(VLOOKUP(E789,Procedimentos!A:C,2,),"")</f>
        <v>DIRETRIZES PARA ENVIO E RECEBIMENTO DE DOSÍMETRO</v>
      </c>
      <c r="G789" s="4" t="s">
        <v>22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4.25" customHeight="1">
      <c r="A790" s="4">
        <v>14354</v>
      </c>
      <c r="B790" s="4" t="str">
        <f>IFERROR(VLOOKUP(A790,Colaboradores!A:D,2,),"")</f>
        <v>JOSE CLEITON SILVA DE OLIVEIRA</v>
      </c>
      <c r="C790" s="4" t="str">
        <f>IFERROR(VLOOKUP(A790,Colaboradores!A:D,3,),"")</f>
        <v>REGIONAL CENTRAL</v>
      </c>
      <c r="D790" s="4" t="str">
        <f>IFERROR(VLOOKUP(A790,Colaboradores!A:D,4,),"")</f>
        <v>TÉCNICO DE SEGURANÇA DO TRABALHO</v>
      </c>
      <c r="E790" s="4" t="s">
        <v>58</v>
      </c>
      <c r="F790" s="5" t="str">
        <f>IFERROR(VLOOKUP(E790,Procedimentos!A:C,2,),"")</f>
        <v>POLÍTICA DE QUALIDADE DA DIRETORIA</v>
      </c>
      <c r="G790" s="4" t="s">
        <v>22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4.25" customHeight="1">
      <c r="A791" s="4">
        <v>14354</v>
      </c>
      <c r="B791" s="4" t="str">
        <f>IFERROR(VLOOKUP(A791,Colaboradores!A:D,2,),"")</f>
        <v>JOSE CLEITON SILVA DE OLIVEIRA</v>
      </c>
      <c r="C791" s="4" t="str">
        <f>IFERROR(VLOOKUP(A791,Colaboradores!A:D,3,),"")</f>
        <v>REGIONAL CENTRAL</v>
      </c>
      <c r="D791" s="4" t="str">
        <f>IFERROR(VLOOKUP(A791,Colaboradores!A:D,4,),"")</f>
        <v>TÉCNICO DE SEGURANÇA DO TRABALHO</v>
      </c>
      <c r="E791" s="4" t="s">
        <v>19</v>
      </c>
      <c r="F791" s="5" t="str">
        <f>IFERROR(VLOOKUP(E791,Procedimentos!A:C,2,),"")</f>
        <v>DIRETRIZES PARA DOCUMENTOS NORMATIVOS</v>
      </c>
      <c r="G791" s="4" t="s">
        <v>22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4.25" customHeight="1">
      <c r="A792" s="4">
        <v>14354</v>
      </c>
      <c r="B792" s="4" t="str">
        <f>IFERROR(VLOOKUP(A792,Colaboradores!A:D,2,),"")</f>
        <v>JOSE CLEITON SILVA DE OLIVEIRA</v>
      </c>
      <c r="C792" s="4" t="str">
        <f>IFERROR(VLOOKUP(A792,Colaboradores!A:D,3,),"")</f>
        <v>REGIONAL CENTRAL</v>
      </c>
      <c r="D792" s="4" t="str">
        <f>IFERROR(VLOOKUP(A792,Colaboradores!A:D,4,),"")</f>
        <v>TÉCNICO DE SEGURANÇA DO TRABALHO</v>
      </c>
      <c r="E792" s="4" t="s">
        <v>24</v>
      </c>
      <c r="F792" s="5" t="str">
        <f>IFERROR(VLOOKUP(E792,Procedimentos!A:C,2,),"")</f>
        <v>DIRETRIZES  PARA PROGRAMA 5S</v>
      </c>
      <c r="G792" s="4" t="s">
        <v>22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4.25" customHeight="1">
      <c r="A793" s="4">
        <v>14354</v>
      </c>
      <c r="B793" s="4" t="str">
        <f>IFERROR(VLOOKUP(A793,Colaboradores!A:D,2,),"")</f>
        <v>JOSE CLEITON SILVA DE OLIVEIRA</v>
      </c>
      <c r="C793" s="4" t="str">
        <f>IFERROR(VLOOKUP(A793,Colaboradores!A:D,3,),"")</f>
        <v>REGIONAL CENTRAL</v>
      </c>
      <c r="D793" s="4" t="str">
        <f>IFERROR(VLOOKUP(A793,Colaboradores!A:D,4,),"")</f>
        <v>TÉCNICO DE SEGURANÇA DO TRABALHO</v>
      </c>
      <c r="E793" s="4" t="s">
        <v>25</v>
      </c>
      <c r="F793" s="5" t="str">
        <f>IFERROR(VLOOKUP(E793,Procedimentos!A:C,2,),"")</f>
        <v>GARANTIA DA QUALIDADE</v>
      </c>
      <c r="G793" s="4" t="s">
        <v>22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4.25" customHeight="1">
      <c r="A794" s="4">
        <v>14354</v>
      </c>
      <c r="B794" s="4" t="str">
        <f>IFERROR(VLOOKUP(A794,Colaboradores!A:D,2,),"")</f>
        <v>JOSE CLEITON SILVA DE OLIVEIRA</v>
      </c>
      <c r="C794" s="4" t="str">
        <f>IFERROR(VLOOKUP(A794,Colaboradores!A:D,3,),"")</f>
        <v>REGIONAL CENTRAL</v>
      </c>
      <c r="D794" s="4" t="str">
        <f>IFERROR(VLOOKUP(A794,Colaboradores!A:D,4,),"")</f>
        <v>TÉCNICO DE SEGURANÇA DO TRABALHO</v>
      </c>
      <c r="E794" s="4" t="s">
        <v>26</v>
      </c>
      <c r="F794" s="5" t="str">
        <f>IFERROR(VLOOKUP(E794,Procedimentos!A:C,2,),"")</f>
        <v>RESPONSABILIDADES E AUTORIDADES DO SGQ</v>
      </c>
      <c r="G794" s="4" t="s">
        <v>22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4.25" customHeight="1">
      <c r="A795" s="4">
        <v>14354</v>
      </c>
      <c r="B795" s="4" t="str">
        <f>IFERROR(VLOOKUP(A795,Colaboradores!A:D,2,),"")</f>
        <v>JOSE CLEITON SILVA DE OLIVEIRA</v>
      </c>
      <c r="C795" s="4" t="str">
        <f>IFERROR(VLOOKUP(A795,Colaboradores!A:D,3,),"")</f>
        <v>REGIONAL CENTRAL</v>
      </c>
      <c r="D795" s="4" t="str">
        <f>IFERROR(VLOOKUP(A795,Colaboradores!A:D,4,),"")</f>
        <v>TÉCNICO DE SEGURANÇA DO TRABALHO</v>
      </c>
      <c r="E795" s="4" t="s">
        <v>73</v>
      </c>
      <c r="F795" s="5" t="str">
        <f>IFERROR(VLOOKUP(E795,Procedimentos!A:C,2,),"")</f>
        <v>AQUISIÇÃO DE BENS E SERVIÇOS E AVALIAÇÃO PROVEDORES EXTERNOS</v>
      </c>
      <c r="G795" s="4" t="s">
        <v>22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4.25" customHeight="1">
      <c r="A796" s="4">
        <v>14354</v>
      </c>
      <c r="B796" s="4" t="str">
        <f>IFERROR(VLOOKUP(A796,Colaboradores!A:D,2,),"")</f>
        <v>JOSE CLEITON SILVA DE OLIVEIRA</v>
      </c>
      <c r="C796" s="4" t="str">
        <f>IFERROR(VLOOKUP(A796,Colaboradores!A:D,3,),"")</f>
        <v>REGIONAL CENTRAL</v>
      </c>
      <c r="D796" s="4" t="str">
        <f>IFERROR(VLOOKUP(A796,Colaboradores!A:D,4,),"")</f>
        <v>TÉCNICO DE SEGURANÇA DO TRABALHO</v>
      </c>
      <c r="E796" s="4" t="s">
        <v>48</v>
      </c>
      <c r="F796" s="5" t="str">
        <f>IFERROR(VLOOKUP(E796,Procedimentos!A:C,2,),"")</f>
        <v>POLÍTICA MEIO AMBIENTE EMSERH</v>
      </c>
      <c r="G796" s="4" t="s">
        <v>22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4.25" customHeight="1">
      <c r="A797" s="4">
        <v>14354</v>
      </c>
      <c r="B797" s="4" t="str">
        <f>IFERROR(VLOOKUP(A797,Colaboradores!A:D,2,),"")</f>
        <v>JOSE CLEITON SILVA DE OLIVEIRA</v>
      </c>
      <c r="C797" s="4" t="str">
        <f>IFERROR(VLOOKUP(A797,Colaboradores!A:D,3,),"")</f>
        <v>REGIONAL CENTRAL</v>
      </c>
      <c r="D797" s="4" t="str">
        <f>IFERROR(VLOOKUP(A797,Colaboradores!A:D,4,),"")</f>
        <v>TÉCNICO DE SEGURANÇA DO TRABALHO</v>
      </c>
      <c r="E797" s="4" t="s">
        <v>29</v>
      </c>
      <c r="F797" s="5" t="str">
        <f>IFERROR(VLOOKUP(E797,Procedimentos!A:C,2,),"")</f>
        <v>COLETA SELETIVA DESSMA</v>
      </c>
      <c r="G797" s="4" t="s">
        <v>22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4.25" customHeight="1">
      <c r="A798" s="4">
        <v>14354</v>
      </c>
      <c r="B798" s="4" t="str">
        <f>IFERROR(VLOOKUP(A798,Colaboradores!A:D,2,),"")</f>
        <v>JOSE CLEITON SILVA DE OLIVEIRA</v>
      </c>
      <c r="C798" s="4" t="str">
        <f>IFERROR(VLOOKUP(A798,Colaboradores!A:D,3,),"")</f>
        <v>REGIONAL CENTRAL</v>
      </c>
      <c r="D798" s="4" t="str">
        <f>IFERROR(VLOOKUP(A798,Colaboradores!A:D,4,),"")</f>
        <v>TÉCNICO DE SEGURANÇA DO TRABALHO</v>
      </c>
      <c r="E798" s="4" t="s">
        <v>36</v>
      </c>
      <c r="F798" s="5" t="str">
        <f>IFERROR(VLOOKUP(E798,Procedimentos!A:C,2,),"")</f>
        <v>GESTÃO DE PRODUTOS QUÍMICOS</v>
      </c>
      <c r="G798" s="4" t="s">
        <v>22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4.25" customHeight="1">
      <c r="A799" s="4">
        <v>14354</v>
      </c>
      <c r="B799" s="4" t="str">
        <f>IFERROR(VLOOKUP(A799,Colaboradores!A:D,2,),"")</f>
        <v>JOSE CLEITON SILVA DE OLIVEIRA</v>
      </c>
      <c r="C799" s="4" t="str">
        <f>IFERROR(VLOOKUP(A799,Colaboradores!A:D,3,),"")</f>
        <v>REGIONAL CENTRAL</v>
      </c>
      <c r="D799" s="4" t="str">
        <f>IFERROR(VLOOKUP(A799,Colaboradores!A:D,4,),"")</f>
        <v>TÉCNICO DE SEGURANÇA DO TRABALHO</v>
      </c>
      <c r="E799" s="4" t="s">
        <v>32</v>
      </c>
      <c r="F799" s="5" t="str">
        <f>IFERROR(VLOOKUP(E799,Procedimentos!A:C,2,),"")</f>
        <v>GESTÃO DE LEVANTAMENTO DE ASPECTOS E IMPACTOS AMBIENTAIS</v>
      </c>
      <c r="G799" s="4" t="s">
        <v>22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4.25" customHeight="1">
      <c r="A800" s="4">
        <v>14354</v>
      </c>
      <c r="B800" s="4" t="str">
        <f>IFERROR(VLOOKUP(A800,Colaboradores!A:D,2,),"")</f>
        <v>JOSE CLEITON SILVA DE OLIVEIRA</v>
      </c>
      <c r="C800" s="4" t="str">
        <f>IFERROR(VLOOKUP(A800,Colaboradores!A:D,3,),"")</f>
        <v>REGIONAL CENTRAL</v>
      </c>
      <c r="D800" s="4" t="str">
        <f>IFERROR(VLOOKUP(A800,Colaboradores!A:D,4,),"")</f>
        <v>TÉCNICO DE SEGURANÇA DO TRABALHO</v>
      </c>
      <c r="E800" s="4" t="s">
        <v>31</v>
      </c>
      <c r="F800" s="5" t="str">
        <f>IFERROR(VLOOKUP(E800,Procedimentos!A:C,2,),"")</f>
        <v>GESTÃO DE COMUNICAÇÃO, CLASSIFICAÇÃO E INVESTIGAÇÃO DE OCORRÊNCIAS AMBIENTAIS</v>
      </c>
      <c r="G800" s="4" t="s">
        <v>22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4.25" customHeight="1">
      <c r="A801" s="4">
        <v>14354</v>
      </c>
      <c r="B801" s="4" t="str">
        <f>IFERROR(VLOOKUP(A801,Colaboradores!A:D,2,),"")</f>
        <v>JOSE CLEITON SILVA DE OLIVEIRA</v>
      </c>
      <c r="C801" s="4" t="str">
        <f>IFERROR(VLOOKUP(A801,Colaboradores!A:D,3,),"")</f>
        <v>REGIONAL CENTRAL</v>
      </c>
      <c r="D801" s="4" t="str">
        <f>IFERROR(VLOOKUP(A801,Colaboradores!A:D,4,),"")</f>
        <v>TÉCNICO DE SEGURANÇA DO TRABALHO</v>
      </c>
      <c r="E801" s="4" t="s">
        <v>33</v>
      </c>
      <c r="F801" s="5" t="str">
        <f>IFERROR(VLOOKUP(E801,Procedimentos!A:C,2,),"")</f>
        <v>GESTÃO DE INSPEÇÕES AMBIENTAIS</v>
      </c>
      <c r="G801" s="4" t="s">
        <v>22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4.25" customHeight="1">
      <c r="A802" s="4">
        <v>14354</v>
      </c>
      <c r="B802" s="4" t="str">
        <f>IFERROR(VLOOKUP(A802,Colaboradores!A:D,2,),"")</f>
        <v>JOSE CLEITON SILVA DE OLIVEIRA</v>
      </c>
      <c r="C802" s="4" t="str">
        <f>IFERROR(VLOOKUP(A802,Colaboradores!A:D,3,),"")</f>
        <v>REGIONAL CENTRAL</v>
      </c>
      <c r="D802" s="4" t="str">
        <f>IFERROR(VLOOKUP(A802,Colaboradores!A:D,4,),"")</f>
        <v>TÉCNICO DE SEGURANÇA DO TRABALHO</v>
      </c>
      <c r="E802" s="4" t="s">
        <v>39</v>
      </c>
      <c r="F802" s="5" t="str">
        <f>IFERROR(VLOOKUP(E802,Procedimentos!A:C,2,),"")</f>
        <v>GESTÃO DE ÁGUAS E EFLUENTES</v>
      </c>
      <c r="G802" s="4" t="s">
        <v>22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4.25" customHeight="1">
      <c r="A803" s="4">
        <v>14354</v>
      </c>
      <c r="B803" s="4" t="str">
        <f>IFERROR(VLOOKUP(A803,Colaboradores!A:D,2,),"")</f>
        <v>JOSE CLEITON SILVA DE OLIVEIRA</v>
      </c>
      <c r="C803" s="4" t="str">
        <f>IFERROR(VLOOKUP(A803,Colaboradores!A:D,3,),"")</f>
        <v>REGIONAL CENTRAL</v>
      </c>
      <c r="D803" s="4" t="str">
        <f>IFERROR(VLOOKUP(A803,Colaboradores!A:D,4,),"")</f>
        <v>TÉCNICO DE SEGURANÇA DO TRABALHO</v>
      </c>
      <c r="E803" s="4" t="s">
        <v>34</v>
      </c>
      <c r="F803" s="5" t="str">
        <f>IFERROR(VLOOKUP(E803,Procedimentos!A:C,2,),"")</f>
        <v>GESTÃO DE LICENCIAMENTO AMBIENTAL</v>
      </c>
      <c r="G803" s="4" t="s">
        <v>22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4.25" customHeight="1">
      <c r="A804" s="4">
        <v>14354</v>
      </c>
      <c r="B804" s="4" t="str">
        <f>IFERROR(VLOOKUP(A804,Colaboradores!A:D,2,),"")</f>
        <v>JOSE CLEITON SILVA DE OLIVEIRA</v>
      </c>
      <c r="C804" s="4" t="str">
        <f>IFERROR(VLOOKUP(A804,Colaboradores!A:D,3,),"")</f>
        <v>REGIONAL CENTRAL</v>
      </c>
      <c r="D804" s="4" t="str">
        <f>IFERROR(VLOOKUP(A804,Colaboradores!A:D,4,),"")</f>
        <v>TÉCNICO DE SEGURANÇA DO TRABALHO</v>
      </c>
      <c r="E804" s="4" t="s">
        <v>38</v>
      </c>
      <c r="F804" s="5" t="str">
        <f>IFERROR(VLOOKUP(E804,Procedimentos!A:C,2,),"")</f>
        <v>GESTÃO DE CONDICIONANTES DE LICENCIAMENTO AMBIENTAL</v>
      </c>
      <c r="G804" s="4" t="s">
        <v>22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4.25" customHeight="1">
      <c r="A805" s="4">
        <v>14354</v>
      </c>
      <c r="B805" s="4" t="str">
        <f>IFERROR(VLOOKUP(A805,Colaboradores!A:D,2,),"")</f>
        <v>JOSE CLEITON SILVA DE OLIVEIRA</v>
      </c>
      <c r="C805" s="4" t="str">
        <f>IFERROR(VLOOKUP(A805,Colaboradores!A:D,3,),"")</f>
        <v>REGIONAL CENTRAL</v>
      </c>
      <c r="D805" s="4" t="str">
        <f>IFERROR(VLOOKUP(A805,Colaboradores!A:D,4,),"")</f>
        <v>TÉCNICO DE SEGURANÇA DO TRABALHO</v>
      </c>
      <c r="E805" s="4" t="s">
        <v>37</v>
      </c>
      <c r="F805" s="5" t="str">
        <f>IFERROR(VLOOKUP(E805,Procedimentos!A:C,2,),"")</f>
        <v>GESTÃO DE RESÍDUOS SÓLIDOS DE SERVIÇOS DE SAÚDE</v>
      </c>
      <c r="G805" s="4" t="s">
        <v>22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4.25" customHeight="1">
      <c r="A806" s="4">
        <v>14354</v>
      </c>
      <c r="B806" s="4" t="str">
        <f>IFERROR(VLOOKUP(A806,Colaboradores!A:D,2,),"")</f>
        <v>JOSE CLEITON SILVA DE OLIVEIRA</v>
      </c>
      <c r="C806" s="4" t="str">
        <f>IFERROR(VLOOKUP(A806,Colaboradores!A:D,3,),"")</f>
        <v>REGIONAL CENTRAL</v>
      </c>
      <c r="D806" s="4" t="str">
        <f>IFERROR(VLOOKUP(A806,Colaboradores!A:D,4,),"")</f>
        <v>TÉCNICO DE SEGURANÇA DO TRABALHO</v>
      </c>
      <c r="E806" s="4" t="s">
        <v>35</v>
      </c>
      <c r="F806" s="5" t="str">
        <f>IFERROR(VLOOKUP(E806,Procedimentos!A:C,2,),"")</f>
        <v>PROCEDIMENTO DE AFERIÇÃO DE FUMAÇA PRETA</v>
      </c>
      <c r="G806" s="4" t="s">
        <v>22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4.25" customHeight="1">
      <c r="A807" s="4">
        <v>14354</v>
      </c>
      <c r="B807" s="4" t="str">
        <f>IFERROR(VLOOKUP(A807,Colaboradores!A:D,2,),"")</f>
        <v>JOSE CLEITON SILVA DE OLIVEIRA</v>
      </c>
      <c r="C807" s="4" t="str">
        <f>IFERROR(VLOOKUP(A807,Colaboradores!A:D,3,),"")</f>
        <v>REGIONAL CENTRAL</v>
      </c>
      <c r="D807" s="4" t="str">
        <f>IFERROR(VLOOKUP(A807,Colaboradores!A:D,4,),"")</f>
        <v>TÉCNICO DE SEGURANÇA DO TRABALHO</v>
      </c>
      <c r="E807" s="4" t="s">
        <v>49</v>
      </c>
      <c r="F807" s="5" t="str">
        <f>IFERROR(VLOOKUP(E807,Procedimentos!A:C,2,),"")</f>
        <v>DIRETRIZES PARA REALIZAÇÃO DE EXAMES OCUPACIONAIS</v>
      </c>
      <c r="G807" s="4" t="s">
        <v>22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4.25" customHeight="1">
      <c r="A808" s="4">
        <v>14354</v>
      </c>
      <c r="B808" s="4" t="str">
        <f>IFERROR(VLOOKUP(A808,Colaboradores!A:D,2,),"")</f>
        <v>JOSE CLEITON SILVA DE OLIVEIRA</v>
      </c>
      <c r="C808" s="4" t="str">
        <f>IFERROR(VLOOKUP(A808,Colaboradores!A:D,3,),"")</f>
        <v>REGIONAL CENTRAL</v>
      </c>
      <c r="D808" s="4" t="str">
        <f>IFERROR(VLOOKUP(A808,Colaboradores!A:D,4,),"")</f>
        <v>TÉCNICO DE SEGURANÇA DO TRABALHO</v>
      </c>
      <c r="E808" s="4" t="s">
        <v>51</v>
      </c>
      <c r="F808" s="5" t="str">
        <f>IFERROR(VLOOKUP(E808,Procedimentos!A:C,2,),"")</f>
        <v>DIRETRIZES PARA ENTREGA DE ATESTADOS MÉDICOS E ODONTOLÓGICOS</v>
      </c>
      <c r="G808" s="4" t="s">
        <v>22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4.25" customHeight="1">
      <c r="A809" s="4">
        <v>14354</v>
      </c>
      <c r="B809" s="4" t="str">
        <f>IFERROR(VLOOKUP(A809,Colaboradores!A:D,2,),"")</f>
        <v>JOSE CLEITON SILVA DE OLIVEIRA</v>
      </c>
      <c r="C809" s="4" t="str">
        <f>IFERROR(VLOOKUP(A809,Colaboradores!A:D,3,),"")</f>
        <v>REGIONAL CENTRAL</v>
      </c>
      <c r="D809" s="4" t="str">
        <f>IFERROR(VLOOKUP(A809,Colaboradores!A:D,4,),"")</f>
        <v>TÉCNICO DE SEGURANÇA DO TRABALHO</v>
      </c>
      <c r="E809" s="4" t="s">
        <v>52</v>
      </c>
      <c r="F809" s="5" t="str">
        <f>IFERROR(VLOOKUP(E809,Procedimentos!A:C,2,),"")</f>
        <v>DIRETRIZES E ACOMPANHAMENTO  DE ACIDENTE COM MATERIAL BIOLOGICO</v>
      </c>
      <c r="G809" s="4" t="s">
        <v>22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4.25" customHeight="1">
      <c r="A810" s="4">
        <v>14354</v>
      </c>
      <c r="B810" s="4" t="str">
        <f>IFERROR(VLOOKUP(A810,Colaboradores!A:D,2,),"")</f>
        <v>JOSE CLEITON SILVA DE OLIVEIRA</v>
      </c>
      <c r="C810" s="4" t="str">
        <f>IFERROR(VLOOKUP(A810,Colaboradores!A:D,3,),"")</f>
        <v>REGIONAL CENTRAL</v>
      </c>
      <c r="D810" s="4" t="str">
        <f>IFERROR(VLOOKUP(A810,Colaboradores!A:D,4,),"")</f>
        <v>TÉCNICO DE SEGURANÇA DO TRABALHO</v>
      </c>
      <c r="E810" s="4" t="s">
        <v>53</v>
      </c>
      <c r="F810" s="5" t="str">
        <f>IFERROR(VLOOKUP(E810,Procedimentos!A:C,2,),"")</f>
        <v>DIRETRIZES PARA MONITORAMENTO DE GESTANTE</v>
      </c>
      <c r="G810" s="4" t="s">
        <v>22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4.25" customHeight="1">
      <c r="A811" s="4">
        <v>14354</v>
      </c>
      <c r="B811" s="4" t="str">
        <f>IFERROR(VLOOKUP(A811,Colaboradores!A:D,2,),"")</f>
        <v>JOSE CLEITON SILVA DE OLIVEIRA</v>
      </c>
      <c r="C811" s="4" t="str">
        <f>IFERROR(VLOOKUP(A811,Colaboradores!A:D,3,),"")</f>
        <v>REGIONAL CENTRAL</v>
      </c>
      <c r="D811" s="4" t="str">
        <f>IFERROR(VLOOKUP(A811,Colaboradores!A:D,4,),"")</f>
        <v>TÉCNICO DE SEGURANÇA DO TRABALHO</v>
      </c>
      <c r="E811" s="4" t="s">
        <v>54</v>
      </c>
      <c r="F811" s="5" t="str">
        <f>IFERROR(VLOOKUP(E811,Procedimentos!A:C,2,),"")</f>
        <v>DIRETRIZES DE IMUNIZAÇÃO OCUPACIONAL</v>
      </c>
      <c r="G811" s="4" t="s">
        <v>22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4.25" customHeight="1">
      <c r="A812" s="4">
        <v>14354</v>
      </c>
      <c r="B812" s="4" t="str">
        <f>IFERROR(VLOOKUP(A812,Colaboradores!A:D,2,),"")</f>
        <v>JOSE CLEITON SILVA DE OLIVEIRA</v>
      </c>
      <c r="C812" s="4" t="str">
        <f>IFERROR(VLOOKUP(A812,Colaboradores!A:D,3,),"")</f>
        <v>REGIONAL CENTRAL</v>
      </c>
      <c r="D812" s="4" t="str">
        <f>IFERROR(VLOOKUP(A812,Colaboradores!A:D,4,),"")</f>
        <v>TÉCNICO DE SEGURANÇA DO TRABALHO</v>
      </c>
      <c r="E812" s="4" t="s">
        <v>55</v>
      </c>
      <c r="F812" s="5" t="str">
        <f>IFERROR(VLOOKUP(E812,Procedimentos!A:C,2,),"")</f>
        <v>DIRETRIZES PARA ACOMPANHAMENTO DE AFASTADOS</v>
      </c>
      <c r="G812" s="4" t="s">
        <v>22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4.25" customHeight="1">
      <c r="A813" s="4">
        <v>14354</v>
      </c>
      <c r="B813" s="4" t="str">
        <f>IFERROR(VLOOKUP(A813,Colaboradores!A:D,2,),"")</f>
        <v>JOSE CLEITON SILVA DE OLIVEIRA</v>
      </c>
      <c r="C813" s="4" t="str">
        <f>IFERROR(VLOOKUP(A813,Colaboradores!A:D,3,),"")</f>
        <v>REGIONAL CENTRAL</v>
      </c>
      <c r="D813" s="4" t="str">
        <f>IFERROR(VLOOKUP(A813,Colaboradores!A:D,4,),"")</f>
        <v>TÉCNICO DE SEGURANÇA DO TRABALHO</v>
      </c>
      <c r="E813" s="4" t="s">
        <v>46</v>
      </c>
      <c r="F813" s="5" t="str">
        <f>IFERROR(VLOOKUP(E813,Procedimentos!A:C,2,),"")</f>
        <v>POLÍTICA DE SAÚDE E SEGURANÇA DO TRABALHO EMSERH</v>
      </c>
      <c r="G813" s="4" t="s">
        <v>22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4.25" customHeight="1">
      <c r="A814" s="4">
        <v>14354</v>
      </c>
      <c r="B814" s="4" t="str">
        <f>IFERROR(VLOOKUP(A814,Colaboradores!A:D,2,),"")</f>
        <v>JOSE CLEITON SILVA DE OLIVEIRA</v>
      </c>
      <c r="C814" s="4" t="str">
        <f>IFERROR(VLOOKUP(A814,Colaboradores!A:D,3,),"")</f>
        <v>REGIONAL CENTRAL</v>
      </c>
      <c r="D814" s="4" t="str">
        <f>IFERROR(VLOOKUP(A814,Colaboradores!A:D,4,),"")</f>
        <v>TÉCNICO DE SEGURANÇA DO TRABALHO</v>
      </c>
      <c r="E814" s="4" t="s">
        <v>41</v>
      </c>
      <c r="F814" s="5" t="str">
        <f>IFERROR(VLOOKUP(E814,Procedimentos!A:C,2,),"")</f>
        <v>DIRETRIZES PARA COMUNICAÇÃO E INVESTIGAÇÃO DE ACIDENTES</v>
      </c>
      <c r="G814" s="4" t="s">
        <v>22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4.25" customHeight="1">
      <c r="A815" s="4">
        <v>14354</v>
      </c>
      <c r="B815" s="4" t="str">
        <f>IFERROR(VLOOKUP(A815,Colaboradores!A:D,2,),"")</f>
        <v>JOSE CLEITON SILVA DE OLIVEIRA</v>
      </c>
      <c r="C815" s="4" t="str">
        <f>IFERROR(VLOOKUP(A815,Colaboradores!A:D,3,),"")</f>
        <v>REGIONAL CENTRAL</v>
      </c>
      <c r="D815" s="4" t="str">
        <f>IFERROR(VLOOKUP(A815,Colaboradores!A:D,4,),"")</f>
        <v>TÉCNICO DE SEGURANÇA DO TRABALHO</v>
      </c>
      <c r="E815" s="4" t="s">
        <v>43</v>
      </c>
      <c r="F815" s="5" t="str">
        <f>IFERROR(VLOOKUP(E815,Procedimentos!A:C,2,),"")</f>
        <v>DIÁLOGO DE SAÚDE E SEGURANÇA - DSS</v>
      </c>
      <c r="G815" s="4" t="s">
        <v>22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4.25" customHeight="1">
      <c r="A816" s="4">
        <v>14354</v>
      </c>
      <c r="B816" s="4" t="str">
        <f>IFERROR(VLOOKUP(A816,Colaboradores!A:D,2,),"")</f>
        <v>JOSE CLEITON SILVA DE OLIVEIRA</v>
      </c>
      <c r="C816" s="4" t="str">
        <f>IFERROR(VLOOKUP(A816,Colaboradores!A:D,3,),"")</f>
        <v>REGIONAL CENTRAL</v>
      </c>
      <c r="D816" s="4" t="str">
        <f>IFERROR(VLOOKUP(A816,Colaboradores!A:D,4,),"")</f>
        <v>TÉCNICO DE SEGURANÇA DO TRABALHO</v>
      </c>
      <c r="E816" s="4" t="s">
        <v>44</v>
      </c>
      <c r="F816" s="5" t="str">
        <f>IFERROR(VLOOKUP(E816,Procedimentos!A:C,2,),"")</f>
        <v>DIRETRIZES PARA GESTÃO DE EQUIPAMENTOS DE PROTEÇÃO INDIVIDUAL - EPI'S</v>
      </c>
      <c r="G816" s="4" t="s">
        <v>22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4.25" customHeight="1">
      <c r="A817" s="4">
        <v>14354</v>
      </c>
      <c r="B817" s="4" t="str">
        <f>IFERROR(VLOOKUP(A817,Colaboradores!A:D,2,),"")</f>
        <v>JOSE CLEITON SILVA DE OLIVEIRA</v>
      </c>
      <c r="C817" s="4" t="str">
        <f>IFERROR(VLOOKUP(A817,Colaboradores!A:D,3,),"")</f>
        <v>REGIONAL CENTRAL</v>
      </c>
      <c r="D817" s="4" t="str">
        <f>IFERROR(VLOOKUP(A817,Colaboradores!A:D,4,),"")</f>
        <v>TÉCNICO DE SEGURANÇA DO TRABALHO</v>
      </c>
      <c r="E817" s="4" t="s">
        <v>45</v>
      </c>
      <c r="F817" s="5" t="str">
        <f>IFERROR(VLOOKUP(E817,Procedimentos!A:C,2,),"")</f>
        <v>CONSTITUIÇÃO INTERNA DE PREVENÇÃO DE ACIDENTES E DE ASSÉDIOS - CIPA</v>
      </c>
      <c r="G817" s="4" t="s">
        <v>22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4.25" customHeight="1">
      <c r="A818" s="4">
        <v>14354</v>
      </c>
      <c r="B818" s="4" t="str">
        <f>IFERROR(VLOOKUP(A818,Colaboradores!A:D,2,),"")</f>
        <v>JOSE CLEITON SILVA DE OLIVEIRA</v>
      </c>
      <c r="C818" s="4" t="str">
        <f>IFERROR(VLOOKUP(A818,Colaboradores!A:D,3,),"")</f>
        <v>REGIONAL CENTRAL</v>
      </c>
      <c r="D818" s="4" t="str">
        <f>IFERROR(VLOOKUP(A818,Colaboradores!A:D,4,),"")</f>
        <v>TÉCNICO DE SEGURANÇA DO TRABALHO</v>
      </c>
      <c r="E818" s="4" t="s">
        <v>59</v>
      </c>
      <c r="F818" s="5" t="str">
        <f>IFERROR(VLOOKUP(E818,Procedimentos!A:C,2,),"")</f>
        <v>GERENCIAMENTO DE RISCOS DE SAÚDE, SEGURANÇA E PROCESSOS</v>
      </c>
      <c r="G818" s="4" t="s">
        <v>22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4.25" customHeight="1">
      <c r="A819" s="4">
        <v>14354</v>
      </c>
      <c r="B819" s="4" t="str">
        <f>IFERROR(VLOOKUP(A819,Colaboradores!A:D,2,),"")</f>
        <v>JOSE CLEITON SILVA DE OLIVEIRA</v>
      </c>
      <c r="C819" s="4" t="str">
        <f>IFERROR(VLOOKUP(A819,Colaboradores!A:D,3,),"")</f>
        <v>REGIONAL CENTRAL</v>
      </c>
      <c r="D819" s="4" t="str">
        <f>IFERROR(VLOOKUP(A819,Colaboradores!A:D,4,),"")</f>
        <v>TÉCNICO DE SEGURANÇA DO TRABALHO</v>
      </c>
      <c r="E819" s="4" t="s">
        <v>61</v>
      </c>
      <c r="F819" s="5" t="str">
        <f>IFERROR(VLOOKUP(E819,Procedimentos!A:C,2,),"")</f>
        <v>PROCEDIMENTO DE INSPEÇÃO DE SEGURANÇA</v>
      </c>
      <c r="G819" s="4" t="s">
        <v>22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4.25" customHeight="1">
      <c r="A820" s="4">
        <v>14354</v>
      </c>
      <c r="B820" s="4" t="str">
        <f>IFERROR(VLOOKUP(A820,Colaboradores!A:D,2,),"")</f>
        <v>JOSE CLEITON SILVA DE OLIVEIRA</v>
      </c>
      <c r="C820" s="4" t="str">
        <f>IFERROR(VLOOKUP(A820,Colaboradores!A:D,3,),"")</f>
        <v>REGIONAL CENTRAL</v>
      </c>
      <c r="D820" s="4" t="str">
        <f>IFERROR(VLOOKUP(A820,Colaboradores!A:D,4,),"")</f>
        <v>TÉCNICO DE SEGURANÇA DO TRABALHO</v>
      </c>
      <c r="E820" s="4" t="s">
        <v>62</v>
      </c>
      <c r="F820" s="5" t="str">
        <f>IFERROR(VLOOKUP(E820,Procedimentos!A:C,2,),"")</f>
        <v>DIRETRIZES PARA ENVIO E RECEBIMENTO DE DOSÍMETRO</v>
      </c>
      <c r="G820" s="4" t="s">
        <v>22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4.25" customHeight="1">
      <c r="A821" s="4">
        <v>13822</v>
      </c>
      <c r="B821" s="4" t="str">
        <f>IFERROR(VLOOKUP(A821,Colaboradores!A:D,2,),"")</f>
        <v>JULIANA DE CASTRO ALMEIDA</v>
      </c>
      <c r="C821" s="4" t="str">
        <f>IFERROR(VLOOKUP(A821,Colaboradores!A:D,3,),"")</f>
        <v>REGIONAL CENTRAL</v>
      </c>
      <c r="D821" s="4" t="str">
        <f>IFERROR(VLOOKUP(A821,Colaboradores!A:D,4,),"")</f>
        <v>COORDENADOR DE SSMA</v>
      </c>
      <c r="E821" s="4" t="s">
        <v>66</v>
      </c>
      <c r="F821" s="5" t="str">
        <f>IFERROR(VLOOKUP(E821,Procedimentos!A:C,2,),"")</f>
        <v>PROCEDIMENTO DE GERENCIAMENTO DE RISCOS</v>
      </c>
      <c r="G821" s="4" t="s">
        <v>22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4.25" customHeight="1">
      <c r="A822" s="4">
        <v>13822</v>
      </c>
      <c r="B822" s="4" t="str">
        <f>IFERROR(VLOOKUP(A822,Colaboradores!A:D,2,),"")</f>
        <v>JULIANA DE CASTRO ALMEIDA</v>
      </c>
      <c r="C822" s="4" t="str">
        <f>IFERROR(VLOOKUP(A822,Colaboradores!A:D,3,),"")</f>
        <v>REGIONAL CENTRAL</v>
      </c>
      <c r="D822" s="4" t="str">
        <f>IFERROR(VLOOKUP(A822,Colaboradores!A:D,4,),"")</f>
        <v>COORDENADOR DE SSMA</v>
      </c>
      <c r="E822" s="4" t="s">
        <v>58</v>
      </c>
      <c r="F822" s="5" t="str">
        <f>IFERROR(VLOOKUP(E822,Procedimentos!A:C,2,),"")</f>
        <v>POLÍTICA DE QUALIDADE DA DIRETORIA</v>
      </c>
      <c r="G822" s="4" t="s">
        <v>22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4.25" customHeight="1">
      <c r="A823" s="4">
        <v>13822</v>
      </c>
      <c r="B823" s="4" t="str">
        <f>IFERROR(VLOOKUP(A823,Colaboradores!A:D,2,),"")</f>
        <v>JULIANA DE CASTRO ALMEIDA</v>
      </c>
      <c r="C823" s="4" t="str">
        <f>IFERROR(VLOOKUP(A823,Colaboradores!A:D,3,),"")</f>
        <v>REGIONAL CENTRAL</v>
      </c>
      <c r="D823" s="4" t="str">
        <f>IFERROR(VLOOKUP(A823,Colaboradores!A:D,4,),"")</f>
        <v>COORDENADOR DE SSMA</v>
      </c>
      <c r="E823" s="4" t="s">
        <v>19</v>
      </c>
      <c r="F823" s="5" t="str">
        <f>IFERROR(VLOOKUP(E823,Procedimentos!A:C,2,),"")</f>
        <v>DIRETRIZES PARA DOCUMENTOS NORMATIVOS</v>
      </c>
      <c r="G823" s="4" t="s">
        <v>22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4.25" customHeight="1">
      <c r="A824" s="4">
        <v>13822</v>
      </c>
      <c r="B824" s="4" t="str">
        <f>IFERROR(VLOOKUP(A824,Colaboradores!A:D,2,),"")</f>
        <v>JULIANA DE CASTRO ALMEIDA</v>
      </c>
      <c r="C824" s="4" t="str">
        <f>IFERROR(VLOOKUP(A824,Colaboradores!A:D,3,),"")</f>
        <v>REGIONAL CENTRAL</v>
      </c>
      <c r="D824" s="4" t="str">
        <f>IFERROR(VLOOKUP(A824,Colaboradores!A:D,4,),"")</f>
        <v>COORDENADOR DE SSMA</v>
      </c>
      <c r="E824" s="4" t="s">
        <v>24</v>
      </c>
      <c r="F824" s="5" t="str">
        <f>IFERROR(VLOOKUP(E824,Procedimentos!A:C,2,),"")</f>
        <v>DIRETRIZES  PARA PROGRAMA 5S</v>
      </c>
      <c r="G824" s="4" t="s">
        <v>22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4.25" customHeight="1">
      <c r="A825" s="4">
        <v>13822</v>
      </c>
      <c r="B825" s="4" t="str">
        <f>IFERROR(VLOOKUP(A825,Colaboradores!A:D,2,),"")</f>
        <v>JULIANA DE CASTRO ALMEIDA</v>
      </c>
      <c r="C825" s="4" t="str">
        <f>IFERROR(VLOOKUP(A825,Colaboradores!A:D,3,),"")</f>
        <v>REGIONAL CENTRAL</v>
      </c>
      <c r="D825" s="4" t="str">
        <f>IFERROR(VLOOKUP(A825,Colaboradores!A:D,4,),"")</f>
        <v>COORDENADOR DE SSMA</v>
      </c>
      <c r="E825" s="4" t="s">
        <v>67</v>
      </c>
      <c r="F825" s="5" t="str">
        <f>IFERROR(VLOOKUP(E825,Procedimentos!A:C,2,),"")</f>
        <v>SISTEMATICA DE ROTINA DE REUNIÕES DA DESSMA</v>
      </c>
      <c r="G825" s="4" t="s">
        <v>22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4.25" customHeight="1">
      <c r="A826" s="4">
        <v>13822</v>
      </c>
      <c r="B826" s="4" t="str">
        <f>IFERROR(VLOOKUP(A826,Colaboradores!A:D,2,),"")</f>
        <v>JULIANA DE CASTRO ALMEIDA</v>
      </c>
      <c r="C826" s="4" t="str">
        <f>IFERROR(VLOOKUP(A826,Colaboradores!A:D,3,),"")</f>
        <v>REGIONAL CENTRAL</v>
      </c>
      <c r="D826" s="4" t="str">
        <f>IFERROR(VLOOKUP(A826,Colaboradores!A:D,4,),"")</f>
        <v>COORDENADOR DE SSMA</v>
      </c>
      <c r="E826" s="4" t="s">
        <v>25</v>
      </c>
      <c r="F826" s="5" t="str">
        <f>IFERROR(VLOOKUP(E826,Procedimentos!A:C,2,),"")</f>
        <v>GARANTIA DA QUALIDADE</v>
      </c>
      <c r="G826" s="4" t="s">
        <v>22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4.25" customHeight="1">
      <c r="A827" s="4">
        <v>13822</v>
      </c>
      <c r="B827" s="4" t="str">
        <f>IFERROR(VLOOKUP(A827,Colaboradores!A:D,2,),"")</f>
        <v>JULIANA DE CASTRO ALMEIDA</v>
      </c>
      <c r="C827" s="4" t="str">
        <f>IFERROR(VLOOKUP(A827,Colaboradores!A:D,3,),"")</f>
        <v>REGIONAL CENTRAL</v>
      </c>
      <c r="D827" s="4" t="str">
        <f>IFERROR(VLOOKUP(A827,Colaboradores!A:D,4,),"")</f>
        <v>COORDENADOR DE SSMA</v>
      </c>
      <c r="E827" s="4" t="s">
        <v>68</v>
      </c>
      <c r="F827" s="5" t="str">
        <f>IFERROR(VLOOKUP(E827,Procedimentos!A:C,2,),"")</f>
        <v>GESTÃO INDICADORES</v>
      </c>
      <c r="G827" s="4" t="s">
        <v>22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4.25" customHeight="1">
      <c r="A828" s="4">
        <v>13822</v>
      </c>
      <c r="B828" s="4" t="str">
        <f>IFERROR(VLOOKUP(A828,Colaboradores!A:D,2,),"")</f>
        <v>JULIANA DE CASTRO ALMEIDA</v>
      </c>
      <c r="C828" s="4" t="str">
        <f>IFERROR(VLOOKUP(A828,Colaboradores!A:D,3,),"")</f>
        <v>REGIONAL CENTRAL</v>
      </c>
      <c r="D828" s="4" t="str">
        <f>IFERROR(VLOOKUP(A828,Colaboradores!A:D,4,),"")</f>
        <v>COORDENADOR DE SSMA</v>
      </c>
      <c r="E828" s="4" t="s">
        <v>26</v>
      </c>
      <c r="F828" s="5" t="str">
        <f>IFERROR(VLOOKUP(E828,Procedimentos!A:C,2,),"")</f>
        <v>RESPONSABILIDADES E AUTORIDADES DO SGQ</v>
      </c>
      <c r="G828" s="4" t="s">
        <v>22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4.25" customHeight="1">
      <c r="A829" s="4">
        <v>13822</v>
      </c>
      <c r="B829" s="4" t="str">
        <f>IFERROR(VLOOKUP(A829,Colaboradores!A:D,2,),"")</f>
        <v>JULIANA DE CASTRO ALMEIDA</v>
      </c>
      <c r="C829" s="4" t="str">
        <f>IFERROR(VLOOKUP(A829,Colaboradores!A:D,3,),"")</f>
        <v>REGIONAL CENTRAL</v>
      </c>
      <c r="D829" s="4" t="str">
        <f>IFERROR(VLOOKUP(A829,Colaboradores!A:D,4,),"")</f>
        <v>COORDENADOR DE SSMA</v>
      </c>
      <c r="E829" s="4" t="s">
        <v>69</v>
      </c>
      <c r="F829" s="5" t="str">
        <f>IFERROR(VLOOKUP(E829,Procedimentos!A:C,2,),"")</f>
        <v>PROCEDIMENTO GESTÃO DE MUDANÇA SGQ</v>
      </c>
      <c r="G829" s="4" t="s">
        <v>22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4.25" customHeight="1">
      <c r="A830" s="4">
        <v>13822</v>
      </c>
      <c r="B830" s="4" t="str">
        <f>IFERROR(VLOOKUP(A830,Colaboradores!A:D,2,),"")</f>
        <v>JULIANA DE CASTRO ALMEIDA</v>
      </c>
      <c r="C830" s="4" t="str">
        <f>IFERROR(VLOOKUP(A830,Colaboradores!A:D,3,),"")</f>
        <v>REGIONAL CENTRAL</v>
      </c>
      <c r="D830" s="4" t="str">
        <f>IFERROR(VLOOKUP(A830,Colaboradores!A:D,4,),"")</f>
        <v>COORDENADOR DE SSMA</v>
      </c>
      <c r="E830" s="4" t="s">
        <v>64</v>
      </c>
      <c r="F830" s="5" t="str">
        <f>IFERROR(VLOOKUP(E830,Procedimentos!A:C,2,),"")</f>
        <v>AVALIAÇÃO DESEMPENHO</v>
      </c>
      <c r="G830" s="4" t="s">
        <v>22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4.25" customHeight="1">
      <c r="A831" s="4">
        <v>13822</v>
      </c>
      <c r="B831" s="4" t="str">
        <f>IFERROR(VLOOKUP(A831,Colaboradores!A:D,2,),"")</f>
        <v>JULIANA DE CASTRO ALMEIDA</v>
      </c>
      <c r="C831" s="4" t="str">
        <f>IFERROR(VLOOKUP(A831,Colaboradores!A:D,3,),"")</f>
        <v>REGIONAL CENTRAL</v>
      </c>
      <c r="D831" s="4" t="str">
        <f>IFERROR(VLOOKUP(A831,Colaboradores!A:D,4,),"")</f>
        <v>COORDENADOR DE SSMA</v>
      </c>
      <c r="E831" s="4" t="s">
        <v>73</v>
      </c>
      <c r="F831" s="5" t="str">
        <f>IFERROR(VLOOKUP(E831,Procedimentos!A:C,2,),"")</f>
        <v>AQUISIÇÃO DE BENS E SERVIÇOS E AVALIAÇÃO PROVEDORES EXTERNOS</v>
      </c>
      <c r="G831" s="4" t="s">
        <v>22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4.25" customHeight="1">
      <c r="A832" s="4">
        <v>13822</v>
      </c>
      <c r="B832" s="4" t="str">
        <f>IFERROR(VLOOKUP(A832,Colaboradores!A:D,2,),"")</f>
        <v>JULIANA DE CASTRO ALMEIDA</v>
      </c>
      <c r="C832" s="4" t="str">
        <f>IFERROR(VLOOKUP(A832,Colaboradores!A:D,3,),"")</f>
        <v>REGIONAL CENTRAL</v>
      </c>
      <c r="D832" s="4" t="str">
        <f>IFERROR(VLOOKUP(A832,Colaboradores!A:D,4,),"")</f>
        <v>COORDENADOR DE SSMA</v>
      </c>
      <c r="E832" s="4" t="s">
        <v>48</v>
      </c>
      <c r="F832" s="5" t="str">
        <f>IFERROR(VLOOKUP(E832,Procedimentos!A:C,2,),"")</f>
        <v>POLÍTICA MEIO AMBIENTE EMSERH</v>
      </c>
      <c r="G832" s="4" t="s">
        <v>22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4.25" customHeight="1">
      <c r="A833" s="4">
        <v>13822</v>
      </c>
      <c r="B833" s="4" t="str">
        <f>IFERROR(VLOOKUP(A833,Colaboradores!A:D,2,),"")</f>
        <v>JULIANA DE CASTRO ALMEIDA</v>
      </c>
      <c r="C833" s="4" t="str">
        <f>IFERROR(VLOOKUP(A833,Colaboradores!A:D,3,),"")</f>
        <v>REGIONAL CENTRAL</v>
      </c>
      <c r="D833" s="4" t="str">
        <f>IFERROR(VLOOKUP(A833,Colaboradores!A:D,4,),"")</f>
        <v>COORDENADOR DE SSMA</v>
      </c>
      <c r="E833" s="4" t="s">
        <v>29</v>
      </c>
      <c r="F833" s="5" t="str">
        <f>IFERROR(VLOOKUP(E833,Procedimentos!A:C,2,),"")</f>
        <v>COLETA SELETIVA DESSMA</v>
      </c>
      <c r="G833" s="4" t="s">
        <v>22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4.25" customHeight="1">
      <c r="A834" s="4">
        <v>13822</v>
      </c>
      <c r="B834" s="4" t="str">
        <f>IFERROR(VLOOKUP(A834,Colaboradores!A:D,2,),"")</f>
        <v>JULIANA DE CASTRO ALMEIDA</v>
      </c>
      <c r="C834" s="4" t="str">
        <f>IFERROR(VLOOKUP(A834,Colaboradores!A:D,3,),"")</f>
        <v>REGIONAL CENTRAL</v>
      </c>
      <c r="D834" s="4" t="str">
        <f>IFERROR(VLOOKUP(A834,Colaboradores!A:D,4,),"")</f>
        <v>COORDENADOR DE SSMA</v>
      </c>
      <c r="E834" s="4" t="s">
        <v>36</v>
      </c>
      <c r="F834" s="5" t="str">
        <f>IFERROR(VLOOKUP(E834,Procedimentos!A:C,2,),"")</f>
        <v>GESTÃO DE PRODUTOS QUÍMICOS</v>
      </c>
      <c r="G834" s="4" t="s">
        <v>22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4.25" customHeight="1">
      <c r="A835" s="4">
        <v>13822</v>
      </c>
      <c r="B835" s="4" t="str">
        <f>IFERROR(VLOOKUP(A835,Colaboradores!A:D,2,),"")</f>
        <v>JULIANA DE CASTRO ALMEIDA</v>
      </c>
      <c r="C835" s="4" t="str">
        <f>IFERROR(VLOOKUP(A835,Colaboradores!A:D,3,),"")</f>
        <v>REGIONAL CENTRAL</v>
      </c>
      <c r="D835" s="4" t="str">
        <f>IFERROR(VLOOKUP(A835,Colaboradores!A:D,4,),"")</f>
        <v>COORDENADOR DE SSMA</v>
      </c>
      <c r="E835" s="4" t="s">
        <v>32</v>
      </c>
      <c r="F835" s="5" t="str">
        <f>IFERROR(VLOOKUP(E835,Procedimentos!A:C,2,),"")</f>
        <v>GESTÃO DE LEVANTAMENTO DE ASPECTOS E IMPACTOS AMBIENTAIS</v>
      </c>
      <c r="G835" s="4" t="s">
        <v>22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4.25" customHeight="1">
      <c r="A836" s="4">
        <v>13822</v>
      </c>
      <c r="B836" s="4" t="str">
        <f>IFERROR(VLOOKUP(A836,Colaboradores!A:D,2,),"")</f>
        <v>JULIANA DE CASTRO ALMEIDA</v>
      </c>
      <c r="C836" s="4" t="str">
        <f>IFERROR(VLOOKUP(A836,Colaboradores!A:D,3,),"")</f>
        <v>REGIONAL CENTRAL</v>
      </c>
      <c r="D836" s="4" t="str">
        <f>IFERROR(VLOOKUP(A836,Colaboradores!A:D,4,),"")</f>
        <v>COORDENADOR DE SSMA</v>
      </c>
      <c r="E836" s="4" t="s">
        <v>31</v>
      </c>
      <c r="F836" s="5" t="str">
        <f>IFERROR(VLOOKUP(E836,Procedimentos!A:C,2,),"")</f>
        <v>GESTÃO DE COMUNICAÇÃO, CLASSIFICAÇÃO E INVESTIGAÇÃO DE OCORRÊNCIAS AMBIENTAIS</v>
      </c>
      <c r="G836" s="4" t="s">
        <v>22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4.25" customHeight="1">
      <c r="A837" s="4">
        <v>13822</v>
      </c>
      <c r="B837" s="4" t="str">
        <f>IFERROR(VLOOKUP(A837,Colaboradores!A:D,2,),"")</f>
        <v>JULIANA DE CASTRO ALMEIDA</v>
      </c>
      <c r="C837" s="4" t="str">
        <f>IFERROR(VLOOKUP(A837,Colaboradores!A:D,3,),"")</f>
        <v>REGIONAL CENTRAL</v>
      </c>
      <c r="D837" s="4" t="str">
        <f>IFERROR(VLOOKUP(A837,Colaboradores!A:D,4,),"")</f>
        <v>COORDENADOR DE SSMA</v>
      </c>
      <c r="E837" s="4" t="s">
        <v>33</v>
      </c>
      <c r="F837" s="5" t="str">
        <f>IFERROR(VLOOKUP(E837,Procedimentos!A:C,2,),"")</f>
        <v>GESTÃO DE INSPEÇÕES AMBIENTAIS</v>
      </c>
      <c r="G837" s="4" t="s">
        <v>22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4.25" customHeight="1">
      <c r="A838" s="4">
        <v>13822</v>
      </c>
      <c r="B838" s="4" t="str">
        <f>IFERROR(VLOOKUP(A838,Colaboradores!A:D,2,),"")</f>
        <v>JULIANA DE CASTRO ALMEIDA</v>
      </c>
      <c r="C838" s="4" t="str">
        <f>IFERROR(VLOOKUP(A838,Colaboradores!A:D,3,),"")</f>
        <v>REGIONAL CENTRAL</v>
      </c>
      <c r="D838" s="4" t="str">
        <f>IFERROR(VLOOKUP(A838,Colaboradores!A:D,4,),"")</f>
        <v>COORDENADOR DE SSMA</v>
      </c>
      <c r="E838" s="4" t="s">
        <v>39</v>
      </c>
      <c r="F838" s="5" t="str">
        <f>IFERROR(VLOOKUP(E838,Procedimentos!A:C,2,),"")</f>
        <v>GESTÃO DE ÁGUAS E EFLUENTES</v>
      </c>
      <c r="G838" s="4" t="s">
        <v>22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4.25" customHeight="1">
      <c r="A839" s="4">
        <v>13822</v>
      </c>
      <c r="B839" s="4" t="str">
        <f>IFERROR(VLOOKUP(A839,Colaboradores!A:D,2,),"")</f>
        <v>JULIANA DE CASTRO ALMEIDA</v>
      </c>
      <c r="C839" s="4" t="str">
        <f>IFERROR(VLOOKUP(A839,Colaboradores!A:D,3,),"")</f>
        <v>REGIONAL CENTRAL</v>
      </c>
      <c r="D839" s="4" t="str">
        <f>IFERROR(VLOOKUP(A839,Colaboradores!A:D,4,),"")</f>
        <v>COORDENADOR DE SSMA</v>
      </c>
      <c r="E839" s="4" t="s">
        <v>34</v>
      </c>
      <c r="F839" s="5" t="str">
        <f>IFERROR(VLOOKUP(E839,Procedimentos!A:C,2,),"")</f>
        <v>GESTÃO DE LICENCIAMENTO AMBIENTAL</v>
      </c>
      <c r="G839" s="4" t="s">
        <v>22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4.25" customHeight="1">
      <c r="A840" s="4">
        <v>13822</v>
      </c>
      <c r="B840" s="4" t="str">
        <f>IFERROR(VLOOKUP(A840,Colaboradores!A:D,2,),"")</f>
        <v>JULIANA DE CASTRO ALMEIDA</v>
      </c>
      <c r="C840" s="4" t="str">
        <f>IFERROR(VLOOKUP(A840,Colaboradores!A:D,3,),"")</f>
        <v>REGIONAL CENTRAL</v>
      </c>
      <c r="D840" s="4" t="str">
        <f>IFERROR(VLOOKUP(A840,Colaboradores!A:D,4,),"")</f>
        <v>COORDENADOR DE SSMA</v>
      </c>
      <c r="E840" s="4" t="s">
        <v>38</v>
      </c>
      <c r="F840" s="5" t="str">
        <f>IFERROR(VLOOKUP(E840,Procedimentos!A:C,2,),"")</f>
        <v>GESTÃO DE CONDICIONANTES DE LICENCIAMENTO AMBIENTAL</v>
      </c>
      <c r="G840" s="4" t="s">
        <v>22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4.25" customHeight="1">
      <c r="A841" s="4">
        <v>13822</v>
      </c>
      <c r="B841" s="4" t="str">
        <f>IFERROR(VLOOKUP(A841,Colaboradores!A:D,2,),"")</f>
        <v>JULIANA DE CASTRO ALMEIDA</v>
      </c>
      <c r="C841" s="4" t="str">
        <f>IFERROR(VLOOKUP(A841,Colaboradores!A:D,3,),"")</f>
        <v>REGIONAL CENTRAL</v>
      </c>
      <c r="D841" s="4" t="str">
        <f>IFERROR(VLOOKUP(A841,Colaboradores!A:D,4,),"")</f>
        <v>COORDENADOR DE SSMA</v>
      </c>
      <c r="E841" s="4" t="s">
        <v>37</v>
      </c>
      <c r="F841" s="5" t="str">
        <f>IFERROR(VLOOKUP(E841,Procedimentos!A:C,2,),"")</f>
        <v>GESTÃO DE RESÍDUOS SÓLIDOS DE SERVIÇOS DE SAÚDE</v>
      </c>
      <c r="G841" s="4" t="s">
        <v>22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4.25" customHeight="1">
      <c r="A842" s="4">
        <v>13822</v>
      </c>
      <c r="B842" s="4" t="str">
        <f>IFERROR(VLOOKUP(A842,Colaboradores!A:D,2,),"")</f>
        <v>JULIANA DE CASTRO ALMEIDA</v>
      </c>
      <c r="C842" s="4" t="str">
        <f>IFERROR(VLOOKUP(A842,Colaboradores!A:D,3,),"")</f>
        <v>REGIONAL CENTRAL</v>
      </c>
      <c r="D842" s="4" t="str">
        <f>IFERROR(VLOOKUP(A842,Colaboradores!A:D,4,),"")</f>
        <v>COORDENADOR DE SSMA</v>
      </c>
      <c r="E842" s="4" t="s">
        <v>35</v>
      </c>
      <c r="F842" s="5" t="str">
        <f>IFERROR(VLOOKUP(E842,Procedimentos!A:C,2,),"")</f>
        <v>PROCEDIMENTO DE AFERIÇÃO DE FUMAÇA PRETA</v>
      </c>
      <c r="G842" s="4" t="s">
        <v>22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4.25" customHeight="1">
      <c r="A843" s="4">
        <v>13822</v>
      </c>
      <c r="B843" s="4" t="str">
        <f>IFERROR(VLOOKUP(A843,Colaboradores!A:D,2,),"")</f>
        <v>JULIANA DE CASTRO ALMEIDA</v>
      </c>
      <c r="C843" s="4" t="str">
        <f>IFERROR(VLOOKUP(A843,Colaboradores!A:D,3,),"")</f>
        <v>REGIONAL CENTRAL</v>
      </c>
      <c r="D843" s="4" t="str">
        <f>IFERROR(VLOOKUP(A843,Colaboradores!A:D,4,),"")</f>
        <v>COORDENADOR DE SSMA</v>
      </c>
      <c r="E843" s="4" t="s">
        <v>49</v>
      </c>
      <c r="F843" s="5" t="str">
        <f>IFERROR(VLOOKUP(E843,Procedimentos!A:C,2,),"")</f>
        <v>DIRETRIZES PARA REALIZAÇÃO DE EXAMES OCUPACIONAIS</v>
      </c>
      <c r="G843" s="4" t="s">
        <v>22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4.25" customHeight="1">
      <c r="A844" s="4">
        <v>13822</v>
      </c>
      <c r="B844" s="4" t="str">
        <f>IFERROR(VLOOKUP(A844,Colaboradores!A:D,2,),"")</f>
        <v>JULIANA DE CASTRO ALMEIDA</v>
      </c>
      <c r="C844" s="4" t="str">
        <f>IFERROR(VLOOKUP(A844,Colaboradores!A:D,3,),"")</f>
        <v>REGIONAL CENTRAL</v>
      </c>
      <c r="D844" s="4" t="str">
        <f>IFERROR(VLOOKUP(A844,Colaboradores!A:D,4,),"")</f>
        <v>COORDENADOR DE SSMA</v>
      </c>
      <c r="E844" s="4" t="s">
        <v>51</v>
      </c>
      <c r="F844" s="5" t="str">
        <f>IFERROR(VLOOKUP(E844,Procedimentos!A:C,2,),"")</f>
        <v>DIRETRIZES PARA ENTREGA DE ATESTADOS MÉDICOS E ODONTOLÓGICOS</v>
      </c>
      <c r="G844" s="4" t="s">
        <v>22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4.25" customHeight="1">
      <c r="A845" s="4">
        <v>13822</v>
      </c>
      <c r="B845" s="4" t="str">
        <f>IFERROR(VLOOKUP(A845,Colaboradores!A:D,2,),"")</f>
        <v>JULIANA DE CASTRO ALMEIDA</v>
      </c>
      <c r="C845" s="4" t="str">
        <f>IFERROR(VLOOKUP(A845,Colaboradores!A:D,3,),"")</f>
        <v>REGIONAL CENTRAL</v>
      </c>
      <c r="D845" s="4" t="str">
        <f>IFERROR(VLOOKUP(A845,Colaboradores!A:D,4,),"")</f>
        <v>COORDENADOR DE SSMA</v>
      </c>
      <c r="E845" s="4" t="s">
        <v>52</v>
      </c>
      <c r="F845" s="5" t="str">
        <f>IFERROR(VLOOKUP(E845,Procedimentos!A:C,2,),"")</f>
        <v>DIRETRIZES E ACOMPANHAMENTO  DE ACIDENTE COM MATERIAL BIOLOGICO</v>
      </c>
      <c r="G845" s="4" t="s">
        <v>22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4.25" customHeight="1">
      <c r="A846" s="4">
        <v>13822</v>
      </c>
      <c r="B846" s="4" t="str">
        <f>IFERROR(VLOOKUP(A846,Colaboradores!A:D,2,),"")</f>
        <v>JULIANA DE CASTRO ALMEIDA</v>
      </c>
      <c r="C846" s="4" t="str">
        <f>IFERROR(VLOOKUP(A846,Colaboradores!A:D,3,),"")</f>
        <v>REGIONAL CENTRAL</v>
      </c>
      <c r="D846" s="4" t="str">
        <f>IFERROR(VLOOKUP(A846,Colaboradores!A:D,4,),"")</f>
        <v>COORDENADOR DE SSMA</v>
      </c>
      <c r="E846" s="4" t="s">
        <v>53</v>
      </c>
      <c r="F846" s="5" t="str">
        <f>IFERROR(VLOOKUP(E846,Procedimentos!A:C,2,),"")</f>
        <v>DIRETRIZES PARA MONITORAMENTO DE GESTANTE</v>
      </c>
      <c r="G846" s="4" t="s">
        <v>22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4.25" customHeight="1">
      <c r="A847" s="4">
        <v>13822</v>
      </c>
      <c r="B847" s="4" t="str">
        <f>IFERROR(VLOOKUP(A847,Colaboradores!A:D,2,),"")</f>
        <v>JULIANA DE CASTRO ALMEIDA</v>
      </c>
      <c r="C847" s="4" t="str">
        <f>IFERROR(VLOOKUP(A847,Colaboradores!A:D,3,),"")</f>
        <v>REGIONAL CENTRAL</v>
      </c>
      <c r="D847" s="4" t="str">
        <f>IFERROR(VLOOKUP(A847,Colaboradores!A:D,4,),"")</f>
        <v>COORDENADOR DE SSMA</v>
      </c>
      <c r="E847" s="4" t="s">
        <v>54</v>
      </c>
      <c r="F847" s="5" t="str">
        <f>IFERROR(VLOOKUP(E847,Procedimentos!A:C,2,),"")</f>
        <v>DIRETRIZES DE IMUNIZAÇÃO OCUPACIONAL</v>
      </c>
      <c r="G847" s="4" t="s">
        <v>22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4.25" customHeight="1">
      <c r="A848" s="4">
        <v>13822</v>
      </c>
      <c r="B848" s="4" t="str">
        <f>IFERROR(VLOOKUP(A848,Colaboradores!A:D,2,),"")</f>
        <v>JULIANA DE CASTRO ALMEIDA</v>
      </c>
      <c r="C848" s="4" t="str">
        <f>IFERROR(VLOOKUP(A848,Colaboradores!A:D,3,),"")</f>
        <v>REGIONAL CENTRAL</v>
      </c>
      <c r="D848" s="4" t="str">
        <f>IFERROR(VLOOKUP(A848,Colaboradores!A:D,4,),"")</f>
        <v>COORDENADOR DE SSMA</v>
      </c>
      <c r="E848" s="4" t="s">
        <v>55</v>
      </c>
      <c r="F848" s="5" t="str">
        <f>IFERROR(VLOOKUP(E848,Procedimentos!A:C,2,),"")</f>
        <v>DIRETRIZES PARA ACOMPANHAMENTO DE AFASTADOS</v>
      </c>
      <c r="G848" s="4" t="s">
        <v>22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4.25" customHeight="1">
      <c r="A849" s="4">
        <v>13822</v>
      </c>
      <c r="B849" s="4" t="str">
        <f>IFERROR(VLOOKUP(A849,Colaboradores!A:D,2,),"")</f>
        <v>JULIANA DE CASTRO ALMEIDA</v>
      </c>
      <c r="C849" s="4" t="str">
        <f>IFERROR(VLOOKUP(A849,Colaboradores!A:D,3,),"")</f>
        <v>REGIONAL CENTRAL</v>
      </c>
      <c r="D849" s="4" t="str">
        <f>IFERROR(VLOOKUP(A849,Colaboradores!A:D,4,),"")</f>
        <v>COORDENADOR DE SSMA</v>
      </c>
      <c r="E849" s="4" t="s">
        <v>46</v>
      </c>
      <c r="F849" s="5" t="str">
        <f>IFERROR(VLOOKUP(E849,Procedimentos!A:C,2,),"")</f>
        <v>POLÍTICA DE SAÚDE E SEGURANÇA DO TRABALHO EMSERH</v>
      </c>
      <c r="G849" s="4" t="s">
        <v>22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4.25" customHeight="1">
      <c r="A850" s="4">
        <v>13822</v>
      </c>
      <c r="B850" s="4" t="str">
        <f>IFERROR(VLOOKUP(A850,Colaboradores!A:D,2,),"")</f>
        <v>JULIANA DE CASTRO ALMEIDA</v>
      </c>
      <c r="C850" s="4" t="str">
        <f>IFERROR(VLOOKUP(A850,Colaboradores!A:D,3,),"")</f>
        <v>REGIONAL CENTRAL</v>
      </c>
      <c r="D850" s="4" t="str">
        <f>IFERROR(VLOOKUP(A850,Colaboradores!A:D,4,),"")</f>
        <v>COORDENADOR DE SSMA</v>
      </c>
      <c r="E850" s="4" t="s">
        <v>41</v>
      </c>
      <c r="F850" s="5" t="str">
        <f>IFERROR(VLOOKUP(E850,Procedimentos!A:C,2,),"")</f>
        <v>DIRETRIZES PARA COMUNICAÇÃO E INVESTIGAÇÃO DE ACIDENTES</v>
      </c>
      <c r="G850" s="4" t="s">
        <v>22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4.25" customHeight="1">
      <c r="A851" s="4">
        <v>13822</v>
      </c>
      <c r="B851" s="4" t="str">
        <f>IFERROR(VLOOKUP(A851,Colaboradores!A:D,2,),"")</f>
        <v>JULIANA DE CASTRO ALMEIDA</v>
      </c>
      <c r="C851" s="4" t="str">
        <f>IFERROR(VLOOKUP(A851,Colaboradores!A:D,3,),"")</f>
        <v>REGIONAL CENTRAL</v>
      </c>
      <c r="D851" s="4" t="str">
        <f>IFERROR(VLOOKUP(A851,Colaboradores!A:D,4,),"")</f>
        <v>COORDENADOR DE SSMA</v>
      </c>
      <c r="E851" s="4" t="s">
        <v>43</v>
      </c>
      <c r="F851" s="5" t="str">
        <f>IFERROR(VLOOKUP(E851,Procedimentos!A:C,2,),"")</f>
        <v>DIÁLOGO DE SAÚDE E SEGURANÇA - DSS</v>
      </c>
      <c r="G851" s="4" t="s">
        <v>22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4.25" customHeight="1">
      <c r="A852" s="4">
        <v>13822</v>
      </c>
      <c r="B852" s="4" t="str">
        <f>IFERROR(VLOOKUP(A852,Colaboradores!A:D,2,),"")</f>
        <v>JULIANA DE CASTRO ALMEIDA</v>
      </c>
      <c r="C852" s="4" t="str">
        <f>IFERROR(VLOOKUP(A852,Colaboradores!A:D,3,),"")</f>
        <v>REGIONAL CENTRAL</v>
      </c>
      <c r="D852" s="4" t="str">
        <f>IFERROR(VLOOKUP(A852,Colaboradores!A:D,4,),"")</f>
        <v>COORDENADOR DE SSMA</v>
      </c>
      <c r="E852" s="4" t="s">
        <v>44</v>
      </c>
      <c r="F852" s="5" t="str">
        <f>IFERROR(VLOOKUP(E852,Procedimentos!A:C,2,),"")</f>
        <v>DIRETRIZES PARA GESTÃO DE EQUIPAMENTOS DE PROTEÇÃO INDIVIDUAL - EPI'S</v>
      </c>
      <c r="G852" s="4" t="s">
        <v>22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4.25" customHeight="1">
      <c r="A853" s="4">
        <v>13822</v>
      </c>
      <c r="B853" s="4" t="str">
        <f>IFERROR(VLOOKUP(A853,Colaboradores!A:D,2,),"")</f>
        <v>JULIANA DE CASTRO ALMEIDA</v>
      </c>
      <c r="C853" s="4" t="str">
        <f>IFERROR(VLOOKUP(A853,Colaboradores!A:D,3,),"")</f>
        <v>REGIONAL CENTRAL</v>
      </c>
      <c r="D853" s="4" t="str">
        <f>IFERROR(VLOOKUP(A853,Colaboradores!A:D,4,),"")</f>
        <v>COORDENADOR DE SSMA</v>
      </c>
      <c r="E853" s="4" t="s">
        <v>45</v>
      </c>
      <c r="F853" s="5" t="str">
        <f>IFERROR(VLOOKUP(E853,Procedimentos!A:C,2,),"")</f>
        <v>CONSTITUIÇÃO INTERNA DE PREVENÇÃO DE ACIDENTES E DE ASSÉDIOS - CIPA</v>
      </c>
      <c r="G853" s="4" t="s">
        <v>22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4.25" customHeight="1">
      <c r="A854" s="4">
        <v>13822</v>
      </c>
      <c r="B854" s="4" t="str">
        <f>IFERROR(VLOOKUP(A854,Colaboradores!A:D,2,),"")</f>
        <v>JULIANA DE CASTRO ALMEIDA</v>
      </c>
      <c r="C854" s="4" t="str">
        <f>IFERROR(VLOOKUP(A854,Colaboradores!A:D,3,),"")</f>
        <v>REGIONAL CENTRAL</v>
      </c>
      <c r="D854" s="4" t="str">
        <f>IFERROR(VLOOKUP(A854,Colaboradores!A:D,4,),"")</f>
        <v>COORDENADOR DE SSMA</v>
      </c>
      <c r="E854" s="4" t="s">
        <v>59</v>
      </c>
      <c r="F854" s="5" t="str">
        <f>IFERROR(VLOOKUP(E854,Procedimentos!A:C,2,),"")</f>
        <v>GERENCIAMENTO DE RISCOS DE SAÚDE, SEGURANÇA E PROCESSOS</v>
      </c>
      <c r="G854" s="4" t="s">
        <v>22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4.25" customHeight="1">
      <c r="A855" s="4">
        <v>13822</v>
      </c>
      <c r="B855" s="4" t="str">
        <f>IFERROR(VLOOKUP(A855,Colaboradores!A:D,2,),"")</f>
        <v>JULIANA DE CASTRO ALMEIDA</v>
      </c>
      <c r="C855" s="4" t="str">
        <f>IFERROR(VLOOKUP(A855,Colaboradores!A:D,3,),"")</f>
        <v>REGIONAL CENTRAL</v>
      </c>
      <c r="D855" s="4" t="str">
        <f>IFERROR(VLOOKUP(A855,Colaboradores!A:D,4,),"")</f>
        <v>COORDENADOR DE SSMA</v>
      </c>
      <c r="E855" s="4" t="s">
        <v>61</v>
      </c>
      <c r="F855" s="5" t="str">
        <f>IFERROR(VLOOKUP(E855,Procedimentos!A:C,2,),"")</f>
        <v>PROCEDIMENTO DE INSPEÇÃO DE SEGURANÇA</v>
      </c>
      <c r="G855" s="4" t="s">
        <v>22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4.25" customHeight="1">
      <c r="A856" s="4">
        <v>13822</v>
      </c>
      <c r="B856" s="4" t="str">
        <f>IFERROR(VLOOKUP(A856,Colaboradores!A:D,2,),"")</f>
        <v>JULIANA DE CASTRO ALMEIDA</v>
      </c>
      <c r="C856" s="4" t="str">
        <f>IFERROR(VLOOKUP(A856,Colaboradores!A:D,3,),"")</f>
        <v>REGIONAL CENTRAL</v>
      </c>
      <c r="D856" s="4" t="str">
        <f>IFERROR(VLOOKUP(A856,Colaboradores!A:D,4,),"")</f>
        <v>COORDENADOR DE SSMA</v>
      </c>
      <c r="E856" s="4" t="s">
        <v>62</v>
      </c>
      <c r="F856" s="5" t="str">
        <f>IFERROR(VLOOKUP(E856,Procedimentos!A:C,2,),"")</f>
        <v>DIRETRIZES PARA ENVIO E RECEBIMENTO DE DOSÍMETRO</v>
      </c>
      <c r="G856" s="4" t="s">
        <v>22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4.25" customHeight="1">
      <c r="A857" s="4">
        <v>14700</v>
      </c>
      <c r="B857" s="4" t="str">
        <f>IFERROR(VLOOKUP(A857,Colaboradores!A:D,2,),"")</f>
        <v>LEANNDRO JOSE SOUSA DA SILVA</v>
      </c>
      <c r="C857" s="4" t="str">
        <f>IFERROR(VLOOKUP(A857,Colaboradores!A:D,3,),"")</f>
        <v>REGIONAL CENTRAL</v>
      </c>
      <c r="D857" s="4" t="str">
        <f>IFERROR(VLOOKUP(A857,Colaboradores!A:D,4,),"")</f>
        <v>MÉDICO DO TRABALHO</v>
      </c>
      <c r="E857" s="4" t="s">
        <v>58</v>
      </c>
      <c r="F857" s="5" t="str">
        <f>IFERROR(VLOOKUP(E857,Procedimentos!A:C,2,),"")</f>
        <v>POLÍTICA DE QUALIDADE DA DIRETORIA</v>
      </c>
      <c r="G857" s="4" t="s">
        <v>22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4.25" customHeight="1">
      <c r="A858" s="4">
        <v>14700</v>
      </c>
      <c r="B858" s="4" t="str">
        <f>IFERROR(VLOOKUP(A858,Colaboradores!A:D,2,),"")</f>
        <v>LEANNDRO JOSE SOUSA DA SILVA</v>
      </c>
      <c r="C858" s="4" t="str">
        <f>IFERROR(VLOOKUP(A858,Colaboradores!A:D,3,),"")</f>
        <v>REGIONAL CENTRAL</v>
      </c>
      <c r="D858" s="4" t="str">
        <f>IFERROR(VLOOKUP(A858,Colaboradores!A:D,4,),"")</f>
        <v>MÉDICO DO TRABALHO</v>
      </c>
      <c r="E858" s="4" t="s">
        <v>19</v>
      </c>
      <c r="F858" s="5" t="str">
        <f>IFERROR(VLOOKUP(E858,Procedimentos!A:C,2,),"")</f>
        <v>DIRETRIZES PARA DOCUMENTOS NORMATIVOS</v>
      </c>
      <c r="G858" s="4" t="s">
        <v>22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4.25" customHeight="1">
      <c r="A859" s="4">
        <v>14700</v>
      </c>
      <c r="B859" s="4" t="str">
        <f>IFERROR(VLOOKUP(A859,Colaboradores!A:D,2,),"")</f>
        <v>LEANNDRO JOSE SOUSA DA SILVA</v>
      </c>
      <c r="C859" s="4" t="str">
        <f>IFERROR(VLOOKUP(A859,Colaboradores!A:D,3,),"")</f>
        <v>REGIONAL CENTRAL</v>
      </c>
      <c r="D859" s="4" t="str">
        <f>IFERROR(VLOOKUP(A859,Colaboradores!A:D,4,),"")</f>
        <v>MÉDICO DO TRABALHO</v>
      </c>
      <c r="E859" s="4" t="s">
        <v>48</v>
      </c>
      <c r="F859" s="5" t="str">
        <f>IFERROR(VLOOKUP(E859,Procedimentos!A:C,2,),"")</f>
        <v>POLÍTICA MEIO AMBIENTE EMSERH</v>
      </c>
      <c r="G859" s="4" t="s">
        <v>22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4.25" customHeight="1">
      <c r="A860" s="4">
        <v>14700</v>
      </c>
      <c r="B860" s="4" t="str">
        <f>IFERROR(VLOOKUP(A860,Colaboradores!A:D,2,),"")</f>
        <v>LEANNDRO JOSE SOUSA DA SILVA</v>
      </c>
      <c r="C860" s="4" t="str">
        <f>IFERROR(VLOOKUP(A860,Colaboradores!A:D,3,),"")</f>
        <v>REGIONAL CENTRAL</v>
      </c>
      <c r="D860" s="4" t="str">
        <f>IFERROR(VLOOKUP(A860,Colaboradores!A:D,4,),"")</f>
        <v>MÉDICO DO TRABALHO</v>
      </c>
      <c r="E860" s="4" t="s">
        <v>49</v>
      </c>
      <c r="F860" s="5" t="str">
        <f>IFERROR(VLOOKUP(E860,Procedimentos!A:C,2,),"")</f>
        <v>DIRETRIZES PARA REALIZAÇÃO DE EXAMES OCUPACIONAIS</v>
      </c>
      <c r="G860" s="4" t="s">
        <v>22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4.25" customHeight="1">
      <c r="A861" s="4">
        <v>14700</v>
      </c>
      <c r="B861" s="4" t="str">
        <f>IFERROR(VLOOKUP(A861,Colaboradores!A:D,2,),"")</f>
        <v>LEANNDRO JOSE SOUSA DA SILVA</v>
      </c>
      <c r="C861" s="4" t="str">
        <f>IFERROR(VLOOKUP(A861,Colaboradores!A:D,3,),"")</f>
        <v>REGIONAL CENTRAL</v>
      </c>
      <c r="D861" s="4" t="str">
        <f>IFERROR(VLOOKUP(A861,Colaboradores!A:D,4,),"")</f>
        <v>MÉDICO DO TRABALHO</v>
      </c>
      <c r="E861" s="4" t="s">
        <v>51</v>
      </c>
      <c r="F861" s="5" t="str">
        <f>IFERROR(VLOOKUP(E861,Procedimentos!A:C,2,),"")</f>
        <v>DIRETRIZES PARA ENTREGA DE ATESTADOS MÉDICOS E ODONTOLÓGICOS</v>
      </c>
      <c r="G861" s="4" t="s">
        <v>22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4.25" customHeight="1">
      <c r="A862" s="4">
        <v>14700</v>
      </c>
      <c r="B862" s="4" t="str">
        <f>IFERROR(VLOOKUP(A862,Colaboradores!A:D,2,),"")</f>
        <v>LEANNDRO JOSE SOUSA DA SILVA</v>
      </c>
      <c r="C862" s="4" t="str">
        <f>IFERROR(VLOOKUP(A862,Colaboradores!A:D,3,),"")</f>
        <v>REGIONAL CENTRAL</v>
      </c>
      <c r="D862" s="4" t="str">
        <f>IFERROR(VLOOKUP(A862,Colaboradores!A:D,4,),"")</f>
        <v>MÉDICO DO TRABALHO</v>
      </c>
      <c r="E862" s="4" t="s">
        <v>52</v>
      </c>
      <c r="F862" s="5" t="str">
        <f>IFERROR(VLOOKUP(E862,Procedimentos!A:C,2,),"")</f>
        <v>DIRETRIZES E ACOMPANHAMENTO  DE ACIDENTE COM MATERIAL BIOLOGICO</v>
      </c>
      <c r="G862" s="4" t="s">
        <v>22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4.25" customHeight="1">
      <c r="A863" s="4">
        <v>14700</v>
      </c>
      <c r="B863" s="4" t="str">
        <f>IFERROR(VLOOKUP(A863,Colaboradores!A:D,2,),"")</f>
        <v>LEANNDRO JOSE SOUSA DA SILVA</v>
      </c>
      <c r="C863" s="4" t="str">
        <f>IFERROR(VLOOKUP(A863,Colaboradores!A:D,3,),"")</f>
        <v>REGIONAL CENTRAL</v>
      </c>
      <c r="D863" s="4" t="str">
        <f>IFERROR(VLOOKUP(A863,Colaboradores!A:D,4,),"")</f>
        <v>MÉDICO DO TRABALHO</v>
      </c>
      <c r="E863" s="4" t="s">
        <v>53</v>
      </c>
      <c r="F863" s="5" t="str">
        <f>IFERROR(VLOOKUP(E863,Procedimentos!A:C,2,),"")</f>
        <v>DIRETRIZES PARA MONITORAMENTO DE GESTANTE</v>
      </c>
      <c r="G863" s="4" t="s">
        <v>22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4.25" customHeight="1">
      <c r="A864" s="4">
        <v>14700</v>
      </c>
      <c r="B864" s="4" t="str">
        <f>IFERROR(VLOOKUP(A864,Colaboradores!A:D,2,),"")</f>
        <v>LEANNDRO JOSE SOUSA DA SILVA</v>
      </c>
      <c r="C864" s="4" t="str">
        <f>IFERROR(VLOOKUP(A864,Colaboradores!A:D,3,),"")</f>
        <v>REGIONAL CENTRAL</v>
      </c>
      <c r="D864" s="4" t="str">
        <f>IFERROR(VLOOKUP(A864,Colaboradores!A:D,4,),"")</f>
        <v>MÉDICO DO TRABALHO</v>
      </c>
      <c r="E864" s="4" t="s">
        <v>54</v>
      </c>
      <c r="F864" s="5" t="str">
        <f>IFERROR(VLOOKUP(E864,Procedimentos!A:C,2,),"")</f>
        <v>DIRETRIZES DE IMUNIZAÇÃO OCUPACIONAL</v>
      </c>
      <c r="G864" s="4" t="s">
        <v>22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4.25" customHeight="1">
      <c r="A865" s="4">
        <v>14700</v>
      </c>
      <c r="B865" s="4" t="str">
        <f>IFERROR(VLOOKUP(A865,Colaboradores!A:D,2,),"")</f>
        <v>LEANNDRO JOSE SOUSA DA SILVA</v>
      </c>
      <c r="C865" s="4" t="str">
        <f>IFERROR(VLOOKUP(A865,Colaboradores!A:D,3,),"")</f>
        <v>REGIONAL CENTRAL</v>
      </c>
      <c r="D865" s="4" t="str">
        <f>IFERROR(VLOOKUP(A865,Colaboradores!A:D,4,),"")</f>
        <v>MÉDICO DO TRABALHO</v>
      </c>
      <c r="E865" s="4" t="s">
        <v>55</v>
      </c>
      <c r="F865" s="5" t="str">
        <f>IFERROR(VLOOKUP(E865,Procedimentos!A:C,2,),"")</f>
        <v>DIRETRIZES PARA ACOMPANHAMENTO DE AFASTADOS</v>
      </c>
      <c r="G865" s="4" t="s">
        <v>22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4.25" customHeight="1">
      <c r="A866" s="4">
        <v>14700</v>
      </c>
      <c r="B866" s="4" t="str">
        <f>IFERROR(VLOOKUP(A866,Colaboradores!A:D,2,),"")</f>
        <v>LEANNDRO JOSE SOUSA DA SILVA</v>
      </c>
      <c r="C866" s="4" t="str">
        <f>IFERROR(VLOOKUP(A866,Colaboradores!A:D,3,),"")</f>
        <v>REGIONAL CENTRAL</v>
      </c>
      <c r="D866" s="4" t="str">
        <f>IFERROR(VLOOKUP(A866,Colaboradores!A:D,4,),"")</f>
        <v>MÉDICO DO TRABALHO</v>
      </c>
      <c r="E866" s="4" t="s">
        <v>46</v>
      </c>
      <c r="F866" s="5" t="str">
        <f>IFERROR(VLOOKUP(E866,Procedimentos!A:C,2,),"")</f>
        <v>POLÍTICA DE SAÚDE E SEGURANÇA DO TRABALHO EMSERH</v>
      </c>
      <c r="G866" s="4" t="s">
        <v>22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4.25" customHeight="1">
      <c r="A867" s="4">
        <v>14057</v>
      </c>
      <c r="B867" s="4" t="str">
        <f>IFERROR(VLOOKUP(A867,Colaboradores!A:D,2,),"")</f>
        <v/>
      </c>
      <c r="C867" s="4" t="str">
        <f>IFERROR(VLOOKUP(A867,Colaboradores!A:D,3,),"")</f>
        <v/>
      </c>
      <c r="D867" s="4" t="str">
        <f>IFERROR(VLOOKUP(A867,Colaboradores!A:D,4,),"")</f>
        <v/>
      </c>
      <c r="E867" s="4" t="s">
        <v>58</v>
      </c>
      <c r="F867" s="5" t="str">
        <f>IFERROR(VLOOKUP(E867,Procedimentos!A:C,2,),"")</f>
        <v>POLÍTICA DE QUALIDADE DA DIRETORIA</v>
      </c>
      <c r="G867" s="4" t="s">
        <v>22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4.25" customHeight="1">
      <c r="A868" s="4">
        <v>14057</v>
      </c>
      <c r="B868" s="4" t="str">
        <f>IFERROR(VLOOKUP(A868,Colaboradores!A:D,2,),"")</f>
        <v/>
      </c>
      <c r="C868" s="4" t="str">
        <f>IFERROR(VLOOKUP(A868,Colaboradores!A:D,3,),"")</f>
        <v/>
      </c>
      <c r="D868" s="4" t="str">
        <f>IFERROR(VLOOKUP(A868,Colaboradores!A:D,4,),"")</f>
        <v/>
      </c>
      <c r="E868" s="4" t="s">
        <v>19</v>
      </c>
      <c r="F868" s="5" t="str">
        <f>IFERROR(VLOOKUP(E868,Procedimentos!A:C,2,),"")</f>
        <v>DIRETRIZES PARA DOCUMENTOS NORMATIVOS</v>
      </c>
      <c r="G868" s="4" t="s">
        <v>22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4.25" customHeight="1">
      <c r="A869" s="4">
        <v>14057</v>
      </c>
      <c r="B869" s="4" t="str">
        <f>IFERROR(VLOOKUP(A869,Colaboradores!A:D,2,),"")</f>
        <v/>
      </c>
      <c r="C869" s="4" t="str">
        <f>IFERROR(VLOOKUP(A869,Colaboradores!A:D,3,),"")</f>
        <v/>
      </c>
      <c r="D869" s="4" t="str">
        <f>IFERROR(VLOOKUP(A869,Colaboradores!A:D,4,),"")</f>
        <v/>
      </c>
      <c r="E869" s="4" t="s">
        <v>24</v>
      </c>
      <c r="F869" s="5" t="str">
        <f>IFERROR(VLOOKUP(E869,Procedimentos!A:C,2,),"")</f>
        <v>DIRETRIZES  PARA PROGRAMA 5S</v>
      </c>
      <c r="G869" s="4" t="s">
        <v>22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4.25" customHeight="1">
      <c r="A870" s="4">
        <v>14057</v>
      </c>
      <c r="B870" s="4" t="str">
        <f>IFERROR(VLOOKUP(A870,Colaboradores!A:D,2,),"")</f>
        <v/>
      </c>
      <c r="C870" s="4" t="str">
        <f>IFERROR(VLOOKUP(A870,Colaboradores!A:D,3,),"")</f>
        <v/>
      </c>
      <c r="D870" s="4" t="str">
        <f>IFERROR(VLOOKUP(A870,Colaboradores!A:D,4,),"")</f>
        <v/>
      </c>
      <c r="E870" s="4" t="s">
        <v>25</v>
      </c>
      <c r="F870" s="5" t="str">
        <f>IFERROR(VLOOKUP(E870,Procedimentos!A:C,2,),"")</f>
        <v>GARANTIA DA QUALIDADE</v>
      </c>
      <c r="G870" s="4" t="s">
        <v>22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4.25" customHeight="1">
      <c r="A871" s="4">
        <v>14057</v>
      </c>
      <c r="B871" s="4" t="str">
        <f>IFERROR(VLOOKUP(A871,Colaboradores!A:D,2,),"")</f>
        <v/>
      </c>
      <c r="C871" s="4" t="str">
        <f>IFERROR(VLOOKUP(A871,Colaboradores!A:D,3,),"")</f>
        <v/>
      </c>
      <c r="D871" s="4" t="str">
        <f>IFERROR(VLOOKUP(A871,Colaboradores!A:D,4,),"")</f>
        <v/>
      </c>
      <c r="E871" s="4" t="s">
        <v>26</v>
      </c>
      <c r="F871" s="5" t="str">
        <f>IFERROR(VLOOKUP(E871,Procedimentos!A:C,2,),"")</f>
        <v>RESPONSABILIDADES E AUTORIDADES DO SGQ</v>
      </c>
      <c r="G871" s="4" t="s">
        <v>22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4.25" customHeight="1">
      <c r="A872" s="4">
        <v>14057</v>
      </c>
      <c r="B872" s="4" t="str">
        <f>IFERROR(VLOOKUP(A872,Colaboradores!A:D,2,),"")</f>
        <v/>
      </c>
      <c r="C872" s="4" t="str">
        <f>IFERROR(VLOOKUP(A872,Colaboradores!A:D,3,),"")</f>
        <v/>
      </c>
      <c r="D872" s="4" t="str">
        <f>IFERROR(VLOOKUP(A872,Colaboradores!A:D,4,),"")</f>
        <v/>
      </c>
      <c r="E872" s="4" t="s">
        <v>73</v>
      </c>
      <c r="F872" s="5" t="str">
        <f>IFERROR(VLOOKUP(E872,Procedimentos!A:C,2,),"")</f>
        <v>AQUISIÇÃO DE BENS E SERVIÇOS E AVALIAÇÃO PROVEDORES EXTERNOS</v>
      </c>
      <c r="G872" s="4" t="s">
        <v>22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4.25" customHeight="1">
      <c r="A873" s="4">
        <v>14057</v>
      </c>
      <c r="B873" s="4" t="str">
        <f>IFERROR(VLOOKUP(A873,Colaboradores!A:D,2,),"")</f>
        <v/>
      </c>
      <c r="C873" s="4" t="str">
        <f>IFERROR(VLOOKUP(A873,Colaboradores!A:D,3,),"")</f>
        <v/>
      </c>
      <c r="D873" s="4" t="str">
        <f>IFERROR(VLOOKUP(A873,Colaboradores!A:D,4,),"")</f>
        <v/>
      </c>
      <c r="E873" s="4" t="s">
        <v>48</v>
      </c>
      <c r="F873" s="5" t="str">
        <f>IFERROR(VLOOKUP(E873,Procedimentos!A:C,2,),"")</f>
        <v>POLÍTICA MEIO AMBIENTE EMSERH</v>
      </c>
      <c r="G873" s="4" t="s">
        <v>22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4.25" customHeight="1">
      <c r="A874" s="4">
        <v>14057</v>
      </c>
      <c r="B874" s="4" t="str">
        <f>IFERROR(VLOOKUP(A874,Colaboradores!A:D,2,),"")</f>
        <v/>
      </c>
      <c r="C874" s="4" t="str">
        <f>IFERROR(VLOOKUP(A874,Colaboradores!A:D,3,),"")</f>
        <v/>
      </c>
      <c r="D874" s="4" t="str">
        <f>IFERROR(VLOOKUP(A874,Colaboradores!A:D,4,),"")</f>
        <v/>
      </c>
      <c r="E874" s="4" t="s">
        <v>29</v>
      </c>
      <c r="F874" s="5" t="str">
        <f>IFERROR(VLOOKUP(E874,Procedimentos!A:C,2,),"")</f>
        <v>COLETA SELETIVA DESSMA</v>
      </c>
      <c r="G874" s="4" t="s">
        <v>22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4.25" customHeight="1">
      <c r="A875" s="4">
        <v>14057</v>
      </c>
      <c r="B875" s="4" t="str">
        <f>IFERROR(VLOOKUP(A875,Colaboradores!A:D,2,),"")</f>
        <v/>
      </c>
      <c r="C875" s="4" t="str">
        <f>IFERROR(VLOOKUP(A875,Colaboradores!A:D,3,),"")</f>
        <v/>
      </c>
      <c r="D875" s="4" t="str">
        <f>IFERROR(VLOOKUP(A875,Colaboradores!A:D,4,),"")</f>
        <v/>
      </c>
      <c r="E875" s="4" t="s">
        <v>36</v>
      </c>
      <c r="F875" s="5" t="str">
        <f>IFERROR(VLOOKUP(E875,Procedimentos!A:C,2,),"")</f>
        <v>GESTÃO DE PRODUTOS QUÍMICOS</v>
      </c>
      <c r="G875" s="4" t="s">
        <v>22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4.25" customHeight="1">
      <c r="A876" s="4">
        <v>14057</v>
      </c>
      <c r="B876" s="4" t="str">
        <f>IFERROR(VLOOKUP(A876,Colaboradores!A:D,2,),"")</f>
        <v/>
      </c>
      <c r="C876" s="4" t="str">
        <f>IFERROR(VLOOKUP(A876,Colaboradores!A:D,3,),"")</f>
        <v/>
      </c>
      <c r="D876" s="4" t="str">
        <f>IFERROR(VLOOKUP(A876,Colaboradores!A:D,4,),"")</f>
        <v/>
      </c>
      <c r="E876" s="4" t="s">
        <v>32</v>
      </c>
      <c r="F876" s="5" t="str">
        <f>IFERROR(VLOOKUP(E876,Procedimentos!A:C,2,),"")</f>
        <v>GESTÃO DE LEVANTAMENTO DE ASPECTOS E IMPACTOS AMBIENTAIS</v>
      </c>
      <c r="G876" s="4" t="s">
        <v>22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4.25" customHeight="1">
      <c r="A877" s="4">
        <v>14057</v>
      </c>
      <c r="B877" s="4" t="str">
        <f>IFERROR(VLOOKUP(A877,Colaboradores!A:D,2,),"")</f>
        <v/>
      </c>
      <c r="C877" s="4" t="str">
        <f>IFERROR(VLOOKUP(A877,Colaboradores!A:D,3,),"")</f>
        <v/>
      </c>
      <c r="D877" s="4" t="str">
        <f>IFERROR(VLOOKUP(A877,Colaboradores!A:D,4,),"")</f>
        <v/>
      </c>
      <c r="E877" s="4" t="s">
        <v>31</v>
      </c>
      <c r="F877" s="5" t="str">
        <f>IFERROR(VLOOKUP(E877,Procedimentos!A:C,2,),"")</f>
        <v>GESTÃO DE COMUNICAÇÃO, CLASSIFICAÇÃO E INVESTIGAÇÃO DE OCORRÊNCIAS AMBIENTAIS</v>
      </c>
      <c r="G877" s="4" t="s">
        <v>22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4.25" customHeight="1">
      <c r="A878" s="4">
        <v>14057</v>
      </c>
      <c r="B878" s="4" t="str">
        <f>IFERROR(VLOOKUP(A878,Colaboradores!A:D,2,),"")</f>
        <v/>
      </c>
      <c r="C878" s="4" t="str">
        <f>IFERROR(VLOOKUP(A878,Colaboradores!A:D,3,),"")</f>
        <v/>
      </c>
      <c r="D878" s="4" t="str">
        <f>IFERROR(VLOOKUP(A878,Colaboradores!A:D,4,),"")</f>
        <v/>
      </c>
      <c r="E878" s="4" t="s">
        <v>33</v>
      </c>
      <c r="F878" s="5" t="str">
        <f>IFERROR(VLOOKUP(E878,Procedimentos!A:C,2,),"")</f>
        <v>GESTÃO DE INSPEÇÕES AMBIENTAIS</v>
      </c>
      <c r="G878" s="4" t="s">
        <v>22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4.25" customHeight="1">
      <c r="A879" s="4">
        <v>14057</v>
      </c>
      <c r="B879" s="4" t="str">
        <f>IFERROR(VLOOKUP(A879,Colaboradores!A:D,2,),"")</f>
        <v/>
      </c>
      <c r="C879" s="4" t="str">
        <f>IFERROR(VLOOKUP(A879,Colaboradores!A:D,3,),"")</f>
        <v/>
      </c>
      <c r="D879" s="4" t="str">
        <f>IFERROR(VLOOKUP(A879,Colaboradores!A:D,4,),"")</f>
        <v/>
      </c>
      <c r="E879" s="4" t="s">
        <v>39</v>
      </c>
      <c r="F879" s="5" t="str">
        <f>IFERROR(VLOOKUP(E879,Procedimentos!A:C,2,),"")</f>
        <v>GESTÃO DE ÁGUAS E EFLUENTES</v>
      </c>
      <c r="G879" s="4" t="s">
        <v>22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4.25" customHeight="1">
      <c r="A880" s="4">
        <v>14057</v>
      </c>
      <c r="B880" s="4" t="str">
        <f>IFERROR(VLOOKUP(A880,Colaboradores!A:D,2,),"")</f>
        <v/>
      </c>
      <c r="C880" s="4" t="str">
        <f>IFERROR(VLOOKUP(A880,Colaboradores!A:D,3,),"")</f>
        <v/>
      </c>
      <c r="D880" s="4" t="str">
        <f>IFERROR(VLOOKUP(A880,Colaboradores!A:D,4,),"")</f>
        <v/>
      </c>
      <c r="E880" s="4" t="s">
        <v>34</v>
      </c>
      <c r="F880" s="5" t="str">
        <f>IFERROR(VLOOKUP(E880,Procedimentos!A:C,2,),"")</f>
        <v>GESTÃO DE LICENCIAMENTO AMBIENTAL</v>
      </c>
      <c r="G880" s="4" t="s">
        <v>22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4.25" customHeight="1">
      <c r="A881" s="4">
        <v>14057</v>
      </c>
      <c r="B881" s="4" t="str">
        <f>IFERROR(VLOOKUP(A881,Colaboradores!A:D,2,),"")</f>
        <v/>
      </c>
      <c r="C881" s="4" t="str">
        <f>IFERROR(VLOOKUP(A881,Colaboradores!A:D,3,),"")</f>
        <v/>
      </c>
      <c r="D881" s="4" t="str">
        <f>IFERROR(VLOOKUP(A881,Colaboradores!A:D,4,),"")</f>
        <v/>
      </c>
      <c r="E881" s="4" t="s">
        <v>38</v>
      </c>
      <c r="F881" s="5" t="str">
        <f>IFERROR(VLOOKUP(E881,Procedimentos!A:C,2,),"")</f>
        <v>GESTÃO DE CONDICIONANTES DE LICENCIAMENTO AMBIENTAL</v>
      </c>
      <c r="G881" s="4" t="s">
        <v>22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4.25" customHeight="1">
      <c r="A882" s="4">
        <v>14057</v>
      </c>
      <c r="B882" s="4" t="str">
        <f>IFERROR(VLOOKUP(A882,Colaboradores!A:D,2,),"")</f>
        <v/>
      </c>
      <c r="C882" s="4" t="str">
        <f>IFERROR(VLOOKUP(A882,Colaboradores!A:D,3,),"")</f>
        <v/>
      </c>
      <c r="D882" s="4" t="str">
        <f>IFERROR(VLOOKUP(A882,Colaboradores!A:D,4,),"")</f>
        <v/>
      </c>
      <c r="E882" s="4" t="s">
        <v>37</v>
      </c>
      <c r="F882" s="5" t="str">
        <f>IFERROR(VLOOKUP(E882,Procedimentos!A:C,2,),"")</f>
        <v>GESTÃO DE RESÍDUOS SÓLIDOS DE SERVIÇOS DE SAÚDE</v>
      </c>
      <c r="G882" s="4" t="s">
        <v>22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4.25" customHeight="1">
      <c r="A883" s="4">
        <v>14057</v>
      </c>
      <c r="B883" s="4" t="str">
        <f>IFERROR(VLOOKUP(A883,Colaboradores!A:D,2,),"")</f>
        <v/>
      </c>
      <c r="C883" s="4" t="str">
        <f>IFERROR(VLOOKUP(A883,Colaboradores!A:D,3,),"")</f>
        <v/>
      </c>
      <c r="D883" s="4" t="str">
        <f>IFERROR(VLOOKUP(A883,Colaboradores!A:D,4,),"")</f>
        <v/>
      </c>
      <c r="E883" s="4" t="s">
        <v>35</v>
      </c>
      <c r="F883" s="5" t="str">
        <f>IFERROR(VLOOKUP(E883,Procedimentos!A:C,2,),"")</f>
        <v>PROCEDIMENTO DE AFERIÇÃO DE FUMAÇA PRETA</v>
      </c>
      <c r="G883" s="4" t="s">
        <v>22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4.25" customHeight="1">
      <c r="A884" s="4">
        <v>14057</v>
      </c>
      <c r="B884" s="4" t="str">
        <f>IFERROR(VLOOKUP(A884,Colaboradores!A:D,2,),"")</f>
        <v/>
      </c>
      <c r="C884" s="4" t="str">
        <f>IFERROR(VLOOKUP(A884,Colaboradores!A:D,3,),"")</f>
        <v/>
      </c>
      <c r="D884" s="4" t="str">
        <f>IFERROR(VLOOKUP(A884,Colaboradores!A:D,4,),"")</f>
        <v/>
      </c>
      <c r="E884" s="4" t="s">
        <v>49</v>
      </c>
      <c r="F884" s="5" t="str">
        <f>IFERROR(VLOOKUP(E884,Procedimentos!A:C,2,),"")</f>
        <v>DIRETRIZES PARA REALIZAÇÃO DE EXAMES OCUPACIONAIS</v>
      </c>
      <c r="G884" s="4" t="s">
        <v>22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4.25" customHeight="1">
      <c r="A885" s="4">
        <v>14057</v>
      </c>
      <c r="B885" s="4" t="str">
        <f>IFERROR(VLOOKUP(A885,Colaboradores!A:D,2,),"")</f>
        <v/>
      </c>
      <c r="C885" s="4" t="str">
        <f>IFERROR(VLOOKUP(A885,Colaboradores!A:D,3,),"")</f>
        <v/>
      </c>
      <c r="D885" s="4" t="str">
        <f>IFERROR(VLOOKUP(A885,Colaboradores!A:D,4,),"")</f>
        <v/>
      </c>
      <c r="E885" s="4" t="s">
        <v>51</v>
      </c>
      <c r="F885" s="5" t="str">
        <f>IFERROR(VLOOKUP(E885,Procedimentos!A:C,2,),"")</f>
        <v>DIRETRIZES PARA ENTREGA DE ATESTADOS MÉDICOS E ODONTOLÓGICOS</v>
      </c>
      <c r="G885" s="4" t="s">
        <v>22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4.25" customHeight="1">
      <c r="A886" s="4">
        <v>14057</v>
      </c>
      <c r="B886" s="4" t="str">
        <f>IFERROR(VLOOKUP(A886,Colaboradores!A:D,2,),"")</f>
        <v/>
      </c>
      <c r="C886" s="4" t="str">
        <f>IFERROR(VLOOKUP(A886,Colaboradores!A:D,3,),"")</f>
        <v/>
      </c>
      <c r="D886" s="4" t="str">
        <f>IFERROR(VLOOKUP(A886,Colaboradores!A:D,4,),"")</f>
        <v/>
      </c>
      <c r="E886" s="4" t="s">
        <v>52</v>
      </c>
      <c r="F886" s="5" t="str">
        <f>IFERROR(VLOOKUP(E886,Procedimentos!A:C,2,),"")</f>
        <v>DIRETRIZES E ACOMPANHAMENTO  DE ACIDENTE COM MATERIAL BIOLOGICO</v>
      </c>
      <c r="G886" s="4" t="s">
        <v>22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4.25" customHeight="1">
      <c r="A887" s="4">
        <v>14057</v>
      </c>
      <c r="B887" s="4" t="str">
        <f>IFERROR(VLOOKUP(A887,Colaboradores!A:D,2,),"")</f>
        <v/>
      </c>
      <c r="C887" s="4" t="str">
        <f>IFERROR(VLOOKUP(A887,Colaboradores!A:D,3,),"")</f>
        <v/>
      </c>
      <c r="D887" s="4" t="str">
        <f>IFERROR(VLOOKUP(A887,Colaboradores!A:D,4,),"")</f>
        <v/>
      </c>
      <c r="E887" s="4" t="s">
        <v>53</v>
      </c>
      <c r="F887" s="5" t="str">
        <f>IFERROR(VLOOKUP(E887,Procedimentos!A:C,2,),"")</f>
        <v>DIRETRIZES PARA MONITORAMENTO DE GESTANTE</v>
      </c>
      <c r="G887" s="4" t="s">
        <v>22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4.25" customHeight="1">
      <c r="A888" s="4">
        <v>14057</v>
      </c>
      <c r="B888" s="4" t="str">
        <f>IFERROR(VLOOKUP(A888,Colaboradores!A:D,2,),"")</f>
        <v/>
      </c>
      <c r="C888" s="4" t="str">
        <f>IFERROR(VLOOKUP(A888,Colaboradores!A:D,3,),"")</f>
        <v/>
      </c>
      <c r="D888" s="4" t="str">
        <f>IFERROR(VLOOKUP(A888,Colaboradores!A:D,4,),"")</f>
        <v/>
      </c>
      <c r="E888" s="4" t="s">
        <v>54</v>
      </c>
      <c r="F888" s="5" t="str">
        <f>IFERROR(VLOOKUP(E888,Procedimentos!A:C,2,),"")</f>
        <v>DIRETRIZES DE IMUNIZAÇÃO OCUPACIONAL</v>
      </c>
      <c r="G888" s="4" t="s">
        <v>22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4.25" customHeight="1">
      <c r="A889" s="4">
        <v>14057</v>
      </c>
      <c r="B889" s="4" t="str">
        <f>IFERROR(VLOOKUP(A889,Colaboradores!A:D,2,),"")</f>
        <v/>
      </c>
      <c r="C889" s="4" t="str">
        <f>IFERROR(VLOOKUP(A889,Colaboradores!A:D,3,),"")</f>
        <v/>
      </c>
      <c r="D889" s="4" t="str">
        <f>IFERROR(VLOOKUP(A889,Colaboradores!A:D,4,),"")</f>
        <v/>
      </c>
      <c r="E889" s="4" t="s">
        <v>55</v>
      </c>
      <c r="F889" s="5" t="str">
        <f>IFERROR(VLOOKUP(E889,Procedimentos!A:C,2,),"")</f>
        <v>DIRETRIZES PARA ACOMPANHAMENTO DE AFASTADOS</v>
      </c>
      <c r="G889" s="4" t="s">
        <v>22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4.25" customHeight="1">
      <c r="A890" s="4">
        <v>14057</v>
      </c>
      <c r="B890" s="4" t="str">
        <f>IFERROR(VLOOKUP(A890,Colaboradores!A:D,2,),"")</f>
        <v/>
      </c>
      <c r="C890" s="4" t="str">
        <f>IFERROR(VLOOKUP(A890,Colaboradores!A:D,3,),"")</f>
        <v/>
      </c>
      <c r="D890" s="4" t="str">
        <f>IFERROR(VLOOKUP(A890,Colaboradores!A:D,4,),"")</f>
        <v/>
      </c>
      <c r="E890" s="4" t="s">
        <v>46</v>
      </c>
      <c r="F890" s="5" t="str">
        <f>IFERROR(VLOOKUP(E890,Procedimentos!A:C,2,),"")</f>
        <v>POLÍTICA DE SAÚDE E SEGURANÇA DO TRABALHO EMSERH</v>
      </c>
      <c r="G890" s="4" t="s">
        <v>22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4.25" customHeight="1">
      <c r="A891" s="4">
        <v>14057</v>
      </c>
      <c r="B891" s="4" t="str">
        <f>IFERROR(VLOOKUP(A891,Colaboradores!A:D,2,),"")</f>
        <v/>
      </c>
      <c r="C891" s="4" t="str">
        <f>IFERROR(VLOOKUP(A891,Colaboradores!A:D,3,),"")</f>
        <v/>
      </c>
      <c r="D891" s="4" t="str">
        <f>IFERROR(VLOOKUP(A891,Colaboradores!A:D,4,),"")</f>
        <v/>
      </c>
      <c r="E891" s="4" t="s">
        <v>41</v>
      </c>
      <c r="F891" s="5" t="str">
        <f>IFERROR(VLOOKUP(E891,Procedimentos!A:C,2,),"")</f>
        <v>DIRETRIZES PARA COMUNICAÇÃO E INVESTIGAÇÃO DE ACIDENTES</v>
      </c>
      <c r="G891" s="4" t="s">
        <v>22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4.25" customHeight="1">
      <c r="A892" s="4">
        <v>14057</v>
      </c>
      <c r="B892" s="4" t="str">
        <f>IFERROR(VLOOKUP(A892,Colaboradores!A:D,2,),"")</f>
        <v/>
      </c>
      <c r="C892" s="4" t="str">
        <f>IFERROR(VLOOKUP(A892,Colaboradores!A:D,3,),"")</f>
        <v/>
      </c>
      <c r="D892" s="4" t="str">
        <f>IFERROR(VLOOKUP(A892,Colaboradores!A:D,4,),"")</f>
        <v/>
      </c>
      <c r="E892" s="4" t="s">
        <v>43</v>
      </c>
      <c r="F892" s="5" t="str">
        <f>IFERROR(VLOOKUP(E892,Procedimentos!A:C,2,),"")</f>
        <v>DIÁLOGO DE SAÚDE E SEGURANÇA - DSS</v>
      </c>
      <c r="G892" s="4" t="s">
        <v>22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4.25" customHeight="1">
      <c r="A893" s="4">
        <v>14057</v>
      </c>
      <c r="B893" s="4" t="str">
        <f>IFERROR(VLOOKUP(A893,Colaboradores!A:D,2,),"")</f>
        <v/>
      </c>
      <c r="C893" s="4" t="str">
        <f>IFERROR(VLOOKUP(A893,Colaboradores!A:D,3,),"")</f>
        <v/>
      </c>
      <c r="D893" s="4" t="str">
        <f>IFERROR(VLOOKUP(A893,Colaboradores!A:D,4,),"")</f>
        <v/>
      </c>
      <c r="E893" s="4" t="s">
        <v>44</v>
      </c>
      <c r="F893" s="5" t="str">
        <f>IFERROR(VLOOKUP(E893,Procedimentos!A:C,2,),"")</f>
        <v>DIRETRIZES PARA GESTÃO DE EQUIPAMENTOS DE PROTEÇÃO INDIVIDUAL - EPI'S</v>
      </c>
      <c r="G893" s="4" t="s">
        <v>22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4.25" customHeight="1">
      <c r="A894" s="4">
        <v>14057</v>
      </c>
      <c r="B894" s="4" t="str">
        <f>IFERROR(VLOOKUP(A894,Colaboradores!A:D,2,),"")</f>
        <v/>
      </c>
      <c r="C894" s="4" t="str">
        <f>IFERROR(VLOOKUP(A894,Colaboradores!A:D,3,),"")</f>
        <v/>
      </c>
      <c r="D894" s="4" t="str">
        <f>IFERROR(VLOOKUP(A894,Colaboradores!A:D,4,),"")</f>
        <v/>
      </c>
      <c r="E894" s="4" t="s">
        <v>45</v>
      </c>
      <c r="F894" s="5" t="str">
        <f>IFERROR(VLOOKUP(E894,Procedimentos!A:C,2,),"")</f>
        <v>CONSTITUIÇÃO INTERNA DE PREVENÇÃO DE ACIDENTES E DE ASSÉDIOS - CIPA</v>
      </c>
      <c r="G894" s="4" t="s">
        <v>22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4.25" customHeight="1">
      <c r="A895" s="4">
        <v>14057</v>
      </c>
      <c r="B895" s="4" t="str">
        <f>IFERROR(VLOOKUP(A895,Colaboradores!A:D,2,),"")</f>
        <v/>
      </c>
      <c r="C895" s="4" t="str">
        <f>IFERROR(VLOOKUP(A895,Colaboradores!A:D,3,),"")</f>
        <v/>
      </c>
      <c r="D895" s="4" t="str">
        <f>IFERROR(VLOOKUP(A895,Colaboradores!A:D,4,),"")</f>
        <v/>
      </c>
      <c r="E895" s="4" t="s">
        <v>59</v>
      </c>
      <c r="F895" s="5" t="str">
        <f>IFERROR(VLOOKUP(E895,Procedimentos!A:C,2,),"")</f>
        <v>GERENCIAMENTO DE RISCOS DE SAÚDE, SEGURANÇA E PROCESSOS</v>
      </c>
      <c r="G895" s="4" t="s">
        <v>22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4.25" customHeight="1">
      <c r="A896" s="4">
        <v>14057</v>
      </c>
      <c r="B896" s="4" t="str">
        <f>IFERROR(VLOOKUP(A896,Colaboradores!A:D,2,),"")</f>
        <v/>
      </c>
      <c r="C896" s="4" t="str">
        <f>IFERROR(VLOOKUP(A896,Colaboradores!A:D,3,),"")</f>
        <v/>
      </c>
      <c r="D896" s="4" t="str">
        <f>IFERROR(VLOOKUP(A896,Colaboradores!A:D,4,),"")</f>
        <v/>
      </c>
      <c r="E896" s="4" t="s">
        <v>61</v>
      </c>
      <c r="F896" s="5" t="str">
        <f>IFERROR(VLOOKUP(E896,Procedimentos!A:C,2,),"")</f>
        <v>PROCEDIMENTO DE INSPEÇÃO DE SEGURANÇA</v>
      </c>
      <c r="G896" s="4" t="s">
        <v>22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4.25" customHeight="1">
      <c r="A897" s="4">
        <v>14057</v>
      </c>
      <c r="B897" s="4" t="str">
        <f>IFERROR(VLOOKUP(A897,Colaboradores!A:D,2,),"")</f>
        <v/>
      </c>
      <c r="C897" s="4" t="str">
        <f>IFERROR(VLOOKUP(A897,Colaboradores!A:D,3,),"")</f>
        <v/>
      </c>
      <c r="D897" s="4" t="str">
        <f>IFERROR(VLOOKUP(A897,Colaboradores!A:D,4,),"")</f>
        <v/>
      </c>
      <c r="E897" s="4" t="s">
        <v>62</v>
      </c>
      <c r="F897" s="5" t="str">
        <f>IFERROR(VLOOKUP(E897,Procedimentos!A:C,2,),"")</f>
        <v>DIRETRIZES PARA ENVIO E RECEBIMENTO DE DOSÍMETRO</v>
      </c>
      <c r="G897" s="4" t="s">
        <v>22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4.25" customHeight="1">
      <c r="A898" s="4">
        <v>14785</v>
      </c>
      <c r="B898" s="4" t="str">
        <f>IFERROR(VLOOKUP(A898,Colaboradores!A:D,2,),"")</f>
        <v>ROSEANE CUSTODIO LIMA</v>
      </c>
      <c r="C898" s="4" t="str">
        <f>IFERROR(VLOOKUP(A898,Colaboradores!A:D,3,),"")</f>
        <v>REGIONAL CENTRAL</v>
      </c>
      <c r="D898" s="4" t="str">
        <f>IFERROR(VLOOKUP(A898,Colaboradores!A:D,4,),"")</f>
        <v>ASSISTENTE DE MEIO AMBIENTE</v>
      </c>
      <c r="E898" s="4" t="s">
        <v>58</v>
      </c>
      <c r="F898" s="5" t="str">
        <f>IFERROR(VLOOKUP(E898,Procedimentos!A:C,2,),"")</f>
        <v>POLÍTICA DE QUALIDADE DA DIRETORIA</v>
      </c>
      <c r="G898" s="4" t="s">
        <v>22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4.25" customHeight="1">
      <c r="A899" s="4">
        <v>14785</v>
      </c>
      <c r="B899" s="4" t="str">
        <f>IFERROR(VLOOKUP(A899,Colaboradores!A:D,2,),"")</f>
        <v>ROSEANE CUSTODIO LIMA</v>
      </c>
      <c r="C899" s="4" t="str">
        <f>IFERROR(VLOOKUP(A899,Colaboradores!A:D,3,),"")</f>
        <v>REGIONAL CENTRAL</v>
      </c>
      <c r="D899" s="4" t="str">
        <f>IFERROR(VLOOKUP(A899,Colaboradores!A:D,4,),"")</f>
        <v>ASSISTENTE DE MEIO AMBIENTE</v>
      </c>
      <c r="E899" s="4" t="s">
        <v>19</v>
      </c>
      <c r="F899" s="5" t="str">
        <f>IFERROR(VLOOKUP(E899,Procedimentos!A:C,2,),"")</f>
        <v>DIRETRIZES PARA DOCUMENTOS NORMATIVOS</v>
      </c>
      <c r="G899" s="4" t="s">
        <v>22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4.25" customHeight="1">
      <c r="A900" s="4">
        <v>14785</v>
      </c>
      <c r="B900" s="4" t="str">
        <f>IFERROR(VLOOKUP(A900,Colaboradores!A:D,2,),"")</f>
        <v>ROSEANE CUSTODIO LIMA</v>
      </c>
      <c r="C900" s="4" t="str">
        <f>IFERROR(VLOOKUP(A900,Colaboradores!A:D,3,),"")</f>
        <v>REGIONAL CENTRAL</v>
      </c>
      <c r="D900" s="4" t="str">
        <f>IFERROR(VLOOKUP(A900,Colaboradores!A:D,4,),"")</f>
        <v>ASSISTENTE DE MEIO AMBIENTE</v>
      </c>
      <c r="E900" s="4" t="s">
        <v>24</v>
      </c>
      <c r="F900" s="5" t="str">
        <f>IFERROR(VLOOKUP(E900,Procedimentos!A:C,2,),"")</f>
        <v>DIRETRIZES  PARA PROGRAMA 5S</v>
      </c>
      <c r="G900" s="4" t="s">
        <v>22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4.25" customHeight="1">
      <c r="A901" s="4">
        <v>14785</v>
      </c>
      <c r="B901" s="4" t="str">
        <f>IFERROR(VLOOKUP(A901,Colaboradores!A:D,2,),"")</f>
        <v>ROSEANE CUSTODIO LIMA</v>
      </c>
      <c r="C901" s="4" t="str">
        <f>IFERROR(VLOOKUP(A901,Colaboradores!A:D,3,),"")</f>
        <v>REGIONAL CENTRAL</v>
      </c>
      <c r="D901" s="4" t="str">
        <f>IFERROR(VLOOKUP(A901,Colaboradores!A:D,4,),"")</f>
        <v>ASSISTENTE DE MEIO AMBIENTE</v>
      </c>
      <c r="E901" s="4" t="s">
        <v>25</v>
      </c>
      <c r="F901" s="5" t="str">
        <f>IFERROR(VLOOKUP(E901,Procedimentos!A:C,2,),"")</f>
        <v>GARANTIA DA QUALIDADE</v>
      </c>
      <c r="G901" s="4" t="s">
        <v>22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4.25" customHeight="1">
      <c r="A902" s="4">
        <v>14785</v>
      </c>
      <c r="B902" s="4" t="str">
        <f>IFERROR(VLOOKUP(A902,Colaboradores!A:D,2,),"")</f>
        <v>ROSEANE CUSTODIO LIMA</v>
      </c>
      <c r="C902" s="4" t="str">
        <f>IFERROR(VLOOKUP(A902,Colaboradores!A:D,3,),"")</f>
        <v>REGIONAL CENTRAL</v>
      </c>
      <c r="D902" s="4" t="str">
        <f>IFERROR(VLOOKUP(A902,Colaboradores!A:D,4,),"")</f>
        <v>ASSISTENTE DE MEIO AMBIENTE</v>
      </c>
      <c r="E902" s="4" t="s">
        <v>26</v>
      </c>
      <c r="F902" s="5" t="str">
        <f>IFERROR(VLOOKUP(E902,Procedimentos!A:C,2,),"")</f>
        <v>RESPONSABILIDADES E AUTORIDADES DO SGQ</v>
      </c>
      <c r="G902" s="4" t="s">
        <v>22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4.25" customHeight="1">
      <c r="A903" s="4">
        <v>14785</v>
      </c>
      <c r="B903" s="4" t="str">
        <f>IFERROR(VLOOKUP(A903,Colaboradores!A:D,2,),"")</f>
        <v>ROSEANE CUSTODIO LIMA</v>
      </c>
      <c r="C903" s="4" t="str">
        <f>IFERROR(VLOOKUP(A903,Colaboradores!A:D,3,),"")</f>
        <v>REGIONAL CENTRAL</v>
      </c>
      <c r="D903" s="4" t="str">
        <f>IFERROR(VLOOKUP(A903,Colaboradores!A:D,4,),"")</f>
        <v>ASSISTENTE DE MEIO AMBIENTE</v>
      </c>
      <c r="E903" s="4" t="s">
        <v>73</v>
      </c>
      <c r="F903" s="5" t="str">
        <f>IFERROR(VLOOKUP(E903,Procedimentos!A:C,2,),"")</f>
        <v>AQUISIÇÃO DE BENS E SERVIÇOS E AVALIAÇÃO PROVEDORES EXTERNOS</v>
      </c>
      <c r="G903" s="4" t="s">
        <v>22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4.25" customHeight="1">
      <c r="A904" s="4">
        <v>14785</v>
      </c>
      <c r="B904" s="4" t="str">
        <f>IFERROR(VLOOKUP(A904,Colaboradores!A:D,2,),"")</f>
        <v>ROSEANE CUSTODIO LIMA</v>
      </c>
      <c r="C904" s="4" t="str">
        <f>IFERROR(VLOOKUP(A904,Colaboradores!A:D,3,),"")</f>
        <v>REGIONAL CENTRAL</v>
      </c>
      <c r="D904" s="4" t="str">
        <f>IFERROR(VLOOKUP(A904,Colaboradores!A:D,4,),"")</f>
        <v>ASSISTENTE DE MEIO AMBIENTE</v>
      </c>
      <c r="E904" s="4" t="s">
        <v>48</v>
      </c>
      <c r="F904" s="5" t="str">
        <f>IFERROR(VLOOKUP(E904,Procedimentos!A:C,2,),"")</f>
        <v>POLÍTICA MEIO AMBIENTE EMSERH</v>
      </c>
      <c r="G904" s="4" t="s">
        <v>22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4.25" customHeight="1">
      <c r="A905" s="4">
        <v>14785</v>
      </c>
      <c r="B905" s="4" t="str">
        <f>IFERROR(VLOOKUP(A905,Colaboradores!A:D,2,),"")</f>
        <v>ROSEANE CUSTODIO LIMA</v>
      </c>
      <c r="C905" s="4" t="str">
        <f>IFERROR(VLOOKUP(A905,Colaboradores!A:D,3,),"")</f>
        <v>REGIONAL CENTRAL</v>
      </c>
      <c r="D905" s="4" t="str">
        <f>IFERROR(VLOOKUP(A905,Colaboradores!A:D,4,),"")</f>
        <v>ASSISTENTE DE MEIO AMBIENTE</v>
      </c>
      <c r="E905" s="4" t="s">
        <v>29</v>
      </c>
      <c r="F905" s="5" t="str">
        <f>IFERROR(VLOOKUP(E905,Procedimentos!A:C,2,),"")</f>
        <v>COLETA SELETIVA DESSMA</v>
      </c>
      <c r="G905" s="4" t="s">
        <v>22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4.25" customHeight="1">
      <c r="A906" s="4">
        <v>14785</v>
      </c>
      <c r="B906" s="4" t="str">
        <f>IFERROR(VLOOKUP(A906,Colaboradores!A:D,2,),"")</f>
        <v>ROSEANE CUSTODIO LIMA</v>
      </c>
      <c r="C906" s="4" t="str">
        <f>IFERROR(VLOOKUP(A906,Colaboradores!A:D,3,),"")</f>
        <v>REGIONAL CENTRAL</v>
      </c>
      <c r="D906" s="4" t="str">
        <f>IFERROR(VLOOKUP(A906,Colaboradores!A:D,4,),"")</f>
        <v>ASSISTENTE DE MEIO AMBIENTE</v>
      </c>
      <c r="E906" s="4" t="s">
        <v>36</v>
      </c>
      <c r="F906" s="5" t="str">
        <f>IFERROR(VLOOKUP(E906,Procedimentos!A:C,2,),"")</f>
        <v>GESTÃO DE PRODUTOS QUÍMICOS</v>
      </c>
      <c r="G906" s="4" t="s">
        <v>22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4.25" customHeight="1">
      <c r="A907" s="4">
        <v>14785</v>
      </c>
      <c r="B907" s="4" t="str">
        <f>IFERROR(VLOOKUP(A907,Colaboradores!A:D,2,),"")</f>
        <v>ROSEANE CUSTODIO LIMA</v>
      </c>
      <c r="C907" s="4" t="str">
        <f>IFERROR(VLOOKUP(A907,Colaboradores!A:D,3,),"")</f>
        <v>REGIONAL CENTRAL</v>
      </c>
      <c r="D907" s="4" t="str">
        <f>IFERROR(VLOOKUP(A907,Colaboradores!A:D,4,),"")</f>
        <v>ASSISTENTE DE MEIO AMBIENTE</v>
      </c>
      <c r="E907" s="4" t="s">
        <v>32</v>
      </c>
      <c r="F907" s="5" t="str">
        <f>IFERROR(VLOOKUP(E907,Procedimentos!A:C,2,),"")</f>
        <v>GESTÃO DE LEVANTAMENTO DE ASPECTOS E IMPACTOS AMBIENTAIS</v>
      </c>
      <c r="G907" s="4" t="s">
        <v>22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4.25" customHeight="1">
      <c r="A908" s="4">
        <v>14785</v>
      </c>
      <c r="B908" s="4" t="str">
        <f>IFERROR(VLOOKUP(A908,Colaboradores!A:D,2,),"")</f>
        <v>ROSEANE CUSTODIO LIMA</v>
      </c>
      <c r="C908" s="4" t="str">
        <f>IFERROR(VLOOKUP(A908,Colaboradores!A:D,3,),"")</f>
        <v>REGIONAL CENTRAL</v>
      </c>
      <c r="D908" s="4" t="str">
        <f>IFERROR(VLOOKUP(A908,Colaboradores!A:D,4,),"")</f>
        <v>ASSISTENTE DE MEIO AMBIENTE</v>
      </c>
      <c r="E908" s="4" t="s">
        <v>31</v>
      </c>
      <c r="F908" s="5" t="str">
        <f>IFERROR(VLOOKUP(E908,Procedimentos!A:C,2,),"")</f>
        <v>GESTÃO DE COMUNICAÇÃO, CLASSIFICAÇÃO E INVESTIGAÇÃO DE OCORRÊNCIAS AMBIENTAIS</v>
      </c>
      <c r="G908" s="4" t="s">
        <v>22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4.25" customHeight="1">
      <c r="A909" s="4">
        <v>14785</v>
      </c>
      <c r="B909" s="4" t="str">
        <f>IFERROR(VLOOKUP(A909,Colaboradores!A:D,2,),"")</f>
        <v>ROSEANE CUSTODIO LIMA</v>
      </c>
      <c r="C909" s="4" t="str">
        <f>IFERROR(VLOOKUP(A909,Colaboradores!A:D,3,),"")</f>
        <v>REGIONAL CENTRAL</v>
      </c>
      <c r="D909" s="4" t="str">
        <f>IFERROR(VLOOKUP(A909,Colaboradores!A:D,4,),"")</f>
        <v>ASSISTENTE DE MEIO AMBIENTE</v>
      </c>
      <c r="E909" s="4" t="s">
        <v>33</v>
      </c>
      <c r="F909" s="5" t="str">
        <f>IFERROR(VLOOKUP(E909,Procedimentos!A:C,2,),"")</f>
        <v>GESTÃO DE INSPEÇÕES AMBIENTAIS</v>
      </c>
      <c r="G909" s="4" t="s">
        <v>22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4.25" customHeight="1">
      <c r="A910" s="4">
        <v>14785</v>
      </c>
      <c r="B910" s="4" t="str">
        <f>IFERROR(VLOOKUP(A910,Colaboradores!A:D,2,),"")</f>
        <v>ROSEANE CUSTODIO LIMA</v>
      </c>
      <c r="C910" s="4" t="str">
        <f>IFERROR(VLOOKUP(A910,Colaboradores!A:D,3,),"")</f>
        <v>REGIONAL CENTRAL</v>
      </c>
      <c r="D910" s="4" t="str">
        <f>IFERROR(VLOOKUP(A910,Colaboradores!A:D,4,),"")</f>
        <v>ASSISTENTE DE MEIO AMBIENTE</v>
      </c>
      <c r="E910" s="4" t="s">
        <v>39</v>
      </c>
      <c r="F910" s="5" t="str">
        <f>IFERROR(VLOOKUP(E910,Procedimentos!A:C,2,),"")</f>
        <v>GESTÃO DE ÁGUAS E EFLUENTES</v>
      </c>
      <c r="G910" s="4" t="s">
        <v>22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4.25" customHeight="1">
      <c r="A911" s="4">
        <v>14785</v>
      </c>
      <c r="B911" s="4" t="str">
        <f>IFERROR(VLOOKUP(A911,Colaboradores!A:D,2,),"")</f>
        <v>ROSEANE CUSTODIO LIMA</v>
      </c>
      <c r="C911" s="4" t="str">
        <f>IFERROR(VLOOKUP(A911,Colaboradores!A:D,3,),"")</f>
        <v>REGIONAL CENTRAL</v>
      </c>
      <c r="D911" s="4" t="str">
        <f>IFERROR(VLOOKUP(A911,Colaboradores!A:D,4,),"")</f>
        <v>ASSISTENTE DE MEIO AMBIENTE</v>
      </c>
      <c r="E911" s="4" t="s">
        <v>34</v>
      </c>
      <c r="F911" s="5" t="str">
        <f>IFERROR(VLOOKUP(E911,Procedimentos!A:C,2,),"")</f>
        <v>GESTÃO DE LICENCIAMENTO AMBIENTAL</v>
      </c>
      <c r="G911" s="4" t="s">
        <v>22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4.25" customHeight="1">
      <c r="A912" s="4">
        <v>14785</v>
      </c>
      <c r="B912" s="4" t="str">
        <f>IFERROR(VLOOKUP(A912,Colaboradores!A:D,2,),"")</f>
        <v>ROSEANE CUSTODIO LIMA</v>
      </c>
      <c r="C912" s="4" t="str">
        <f>IFERROR(VLOOKUP(A912,Colaboradores!A:D,3,),"")</f>
        <v>REGIONAL CENTRAL</v>
      </c>
      <c r="D912" s="4" t="str">
        <f>IFERROR(VLOOKUP(A912,Colaboradores!A:D,4,),"")</f>
        <v>ASSISTENTE DE MEIO AMBIENTE</v>
      </c>
      <c r="E912" s="4" t="s">
        <v>38</v>
      </c>
      <c r="F912" s="5" t="str">
        <f>IFERROR(VLOOKUP(E912,Procedimentos!A:C,2,),"")</f>
        <v>GESTÃO DE CONDICIONANTES DE LICENCIAMENTO AMBIENTAL</v>
      </c>
      <c r="G912" s="4" t="s">
        <v>22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4.25" customHeight="1">
      <c r="A913" s="4">
        <v>14785</v>
      </c>
      <c r="B913" s="4" t="str">
        <f>IFERROR(VLOOKUP(A913,Colaboradores!A:D,2,),"")</f>
        <v>ROSEANE CUSTODIO LIMA</v>
      </c>
      <c r="C913" s="4" t="str">
        <f>IFERROR(VLOOKUP(A913,Colaboradores!A:D,3,),"")</f>
        <v>REGIONAL CENTRAL</v>
      </c>
      <c r="D913" s="4" t="str">
        <f>IFERROR(VLOOKUP(A913,Colaboradores!A:D,4,),"")</f>
        <v>ASSISTENTE DE MEIO AMBIENTE</v>
      </c>
      <c r="E913" s="4" t="s">
        <v>37</v>
      </c>
      <c r="F913" s="5" t="str">
        <f>IFERROR(VLOOKUP(E913,Procedimentos!A:C,2,),"")</f>
        <v>GESTÃO DE RESÍDUOS SÓLIDOS DE SERVIÇOS DE SAÚDE</v>
      </c>
      <c r="G913" s="4" t="s">
        <v>22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4.25" customHeight="1">
      <c r="A914" s="4">
        <v>14785</v>
      </c>
      <c r="B914" s="4" t="str">
        <f>IFERROR(VLOOKUP(A914,Colaboradores!A:D,2,),"")</f>
        <v>ROSEANE CUSTODIO LIMA</v>
      </c>
      <c r="C914" s="4" t="str">
        <f>IFERROR(VLOOKUP(A914,Colaboradores!A:D,3,),"")</f>
        <v>REGIONAL CENTRAL</v>
      </c>
      <c r="D914" s="4" t="str">
        <f>IFERROR(VLOOKUP(A914,Colaboradores!A:D,4,),"")</f>
        <v>ASSISTENTE DE MEIO AMBIENTE</v>
      </c>
      <c r="E914" s="4" t="s">
        <v>35</v>
      </c>
      <c r="F914" s="5" t="str">
        <f>IFERROR(VLOOKUP(E914,Procedimentos!A:C,2,),"")</f>
        <v>PROCEDIMENTO DE AFERIÇÃO DE FUMAÇA PRETA</v>
      </c>
      <c r="G914" s="4" t="s">
        <v>22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4.25" customHeight="1">
      <c r="A915" s="4">
        <v>14785</v>
      </c>
      <c r="B915" s="4" t="str">
        <f>IFERROR(VLOOKUP(A915,Colaboradores!A:D,2,),"")</f>
        <v>ROSEANE CUSTODIO LIMA</v>
      </c>
      <c r="C915" s="4" t="str">
        <f>IFERROR(VLOOKUP(A915,Colaboradores!A:D,3,),"")</f>
        <v>REGIONAL CENTRAL</v>
      </c>
      <c r="D915" s="4" t="str">
        <f>IFERROR(VLOOKUP(A915,Colaboradores!A:D,4,),"")</f>
        <v>ASSISTENTE DE MEIO AMBIENTE</v>
      </c>
      <c r="E915" s="4" t="s">
        <v>49</v>
      </c>
      <c r="F915" s="5" t="str">
        <f>IFERROR(VLOOKUP(E915,Procedimentos!A:C,2,),"")</f>
        <v>DIRETRIZES PARA REALIZAÇÃO DE EXAMES OCUPACIONAIS</v>
      </c>
      <c r="G915" s="4" t="s">
        <v>22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4.25" customHeight="1">
      <c r="A916" s="4">
        <v>14785</v>
      </c>
      <c r="B916" s="4" t="str">
        <f>IFERROR(VLOOKUP(A916,Colaboradores!A:D,2,),"")</f>
        <v>ROSEANE CUSTODIO LIMA</v>
      </c>
      <c r="C916" s="4" t="str">
        <f>IFERROR(VLOOKUP(A916,Colaboradores!A:D,3,),"")</f>
        <v>REGIONAL CENTRAL</v>
      </c>
      <c r="D916" s="4" t="str">
        <f>IFERROR(VLOOKUP(A916,Colaboradores!A:D,4,),"")</f>
        <v>ASSISTENTE DE MEIO AMBIENTE</v>
      </c>
      <c r="E916" s="4" t="s">
        <v>51</v>
      </c>
      <c r="F916" s="5" t="str">
        <f>IFERROR(VLOOKUP(E916,Procedimentos!A:C,2,),"")</f>
        <v>DIRETRIZES PARA ENTREGA DE ATESTADOS MÉDICOS E ODONTOLÓGICOS</v>
      </c>
      <c r="G916" s="4" t="s">
        <v>22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4.25" customHeight="1">
      <c r="A917" s="4">
        <v>14785</v>
      </c>
      <c r="B917" s="4" t="str">
        <f>IFERROR(VLOOKUP(A917,Colaboradores!A:D,2,),"")</f>
        <v>ROSEANE CUSTODIO LIMA</v>
      </c>
      <c r="C917" s="4" t="str">
        <f>IFERROR(VLOOKUP(A917,Colaboradores!A:D,3,),"")</f>
        <v>REGIONAL CENTRAL</v>
      </c>
      <c r="D917" s="4" t="str">
        <f>IFERROR(VLOOKUP(A917,Colaboradores!A:D,4,),"")</f>
        <v>ASSISTENTE DE MEIO AMBIENTE</v>
      </c>
      <c r="E917" s="4" t="s">
        <v>52</v>
      </c>
      <c r="F917" s="5" t="str">
        <f>IFERROR(VLOOKUP(E917,Procedimentos!A:C,2,),"")</f>
        <v>DIRETRIZES E ACOMPANHAMENTO  DE ACIDENTE COM MATERIAL BIOLOGICO</v>
      </c>
      <c r="G917" s="4" t="s">
        <v>22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4.25" customHeight="1">
      <c r="A918" s="4">
        <v>14785</v>
      </c>
      <c r="B918" s="4" t="str">
        <f>IFERROR(VLOOKUP(A918,Colaboradores!A:D,2,),"")</f>
        <v>ROSEANE CUSTODIO LIMA</v>
      </c>
      <c r="C918" s="4" t="str">
        <f>IFERROR(VLOOKUP(A918,Colaboradores!A:D,3,),"")</f>
        <v>REGIONAL CENTRAL</v>
      </c>
      <c r="D918" s="4" t="str">
        <f>IFERROR(VLOOKUP(A918,Colaboradores!A:D,4,),"")</f>
        <v>ASSISTENTE DE MEIO AMBIENTE</v>
      </c>
      <c r="E918" s="4" t="s">
        <v>53</v>
      </c>
      <c r="F918" s="5" t="str">
        <f>IFERROR(VLOOKUP(E918,Procedimentos!A:C,2,),"")</f>
        <v>DIRETRIZES PARA MONITORAMENTO DE GESTANTE</v>
      </c>
      <c r="G918" s="4" t="s">
        <v>22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4.25" customHeight="1">
      <c r="A919" s="4">
        <v>14785</v>
      </c>
      <c r="B919" s="4" t="str">
        <f>IFERROR(VLOOKUP(A919,Colaboradores!A:D,2,),"")</f>
        <v>ROSEANE CUSTODIO LIMA</v>
      </c>
      <c r="C919" s="4" t="str">
        <f>IFERROR(VLOOKUP(A919,Colaboradores!A:D,3,),"")</f>
        <v>REGIONAL CENTRAL</v>
      </c>
      <c r="D919" s="4" t="str">
        <f>IFERROR(VLOOKUP(A919,Colaboradores!A:D,4,),"")</f>
        <v>ASSISTENTE DE MEIO AMBIENTE</v>
      </c>
      <c r="E919" s="4" t="s">
        <v>54</v>
      </c>
      <c r="F919" s="5" t="str">
        <f>IFERROR(VLOOKUP(E919,Procedimentos!A:C,2,),"")</f>
        <v>DIRETRIZES DE IMUNIZAÇÃO OCUPACIONAL</v>
      </c>
      <c r="G919" s="4" t="s">
        <v>22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4.25" customHeight="1">
      <c r="A920" s="4">
        <v>14785</v>
      </c>
      <c r="B920" s="4" t="str">
        <f>IFERROR(VLOOKUP(A920,Colaboradores!A:D,2,),"")</f>
        <v>ROSEANE CUSTODIO LIMA</v>
      </c>
      <c r="C920" s="4" t="str">
        <f>IFERROR(VLOOKUP(A920,Colaboradores!A:D,3,),"")</f>
        <v>REGIONAL CENTRAL</v>
      </c>
      <c r="D920" s="4" t="str">
        <f>IFERROR(VLOOKUP(A920,Colaboradores!A:D,4,),"")</f>
        <v>ASSISTENTE DE MEIO AMBIENTE</v>
      </c>
      <c r="E920" s="4" t="s">
        <v>55</v>
      </c>
      <c r="F920" s="5" t="str">
        <f>IFERROR(VLOOKUP(E920,Procedimentos!A:C,2,),"")</f>
        <v>DIRETRIZES PARA ACOMPANHAMENTO DE AFASTADOS</v>
      </c>
      <c r="G920" s="4" t="s">
        <v>22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4.25" customHeight="1">
      <c r="A921" s="4">
        <v>14785</v>
      </c>
      <c r="B921" s="4" t="str">
        <f>IFERROR(VLOOKUP(A921,Colaboradores!A:D,2,),"")</f>
        <v>ROSEANE CUSTODIO LIMA</v>
      </c>
      <c r="C921" s="4" t="str">
        <f>IFERROR(VLOOKUP(A921,Colaboradores!A:D,3,),"")</f>
        <v>REGIONAL CENTRAL</v>
      </c>
      <c r="D921" s="4" t="str">
        <f>IFERROR(VLOOKUP(A921,Colaboradores!A:D,4,),"")</f>
        <v>ASSISTENTE DE MEIO AMBIENTE</v>
      </c>
      <c r="E921" s="4" t="s">
        <v>46</v>
      </c>
      <c r="F921" s="5" t="str">
        <f>IFERROR(VLOOKUP(E921,Procedimentos!A:C,2,),"")</f>
        <v>POLÍTICA DE SAÚDE E SEGURANÇA DO TRABALHO EMSERH</v>
      </c>
      <c r="G921" s="4" t="s">
        <v>22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4.25" customHeight="1">
      <c r="A922" s="4">
        <v>14785</v>
      </c>
      <c r="B922" s="4" t="str">
        <f>IFERROR(VLOOKUP(A922,Colaboradores!A:D,2,),"")</f>
        <v>ROSEANE CUSTODIO LIMA</v>
      </c>
      <c r="C922" s="4" t="str">
        <f>IFERROR(VLOOKUP(A922,Colaboradores!A:D,3,),"")</f>
        <v>REGIONAL CENTRAL</v>
      </c>
      <c r="D922" s="4" t="str">
        <f>IFERROR(VLOOKUP(A922,Colaboradores!A:D,4,),"")</f>
        <v>ASSISTENTE DE MEIO AMBIENTE</v>
      </c>
      <c r="E922" s="4" t="s">
        <v>41</v>
      </c>
      <c r="F922" s="5" t="str">
        <f>IFERROR(VLOOKUP(E922,Procedimentos!A:C,2,),"")</f>
        <v>DIRETRIZES PARA COMUNICAÇÃO E INVESTIGAÇÃO DE ACIDENTES</v>
      </c>
      <c r="G922" s="4" t="s">
        <v>22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4.25" customHeight="1">
      <c r="A923" s="4">
        <v>14785</v>
      </c>
      <c r="B923" s="4" t="str">
        <f>IFERROR(VLOOKUP(A923,Colaboradores!A:D,2,),"")</f>
        <v>ROSEANE CUSTODIO LIMA</v>
      </c>
      <c r="C923" s="4" t="str">
        <f>IFERROR(VLOOKUP(A923,Colaboradores!A:D,3,),"")</f>
        <v>REGIONAL CENTRAL</v>
      </c>
      <c r="D923" s="4" t="str">
        <f>IFERROR(VLOOKUP(A923,Colaboradores!A:D,4,),"")</f>
        <v>ASSISTENTE DE MEIO AMBIENTE</v>
      </c>
      <c r="E923" s="4" t="s">
        <v>43</v>
      </c>
      <c r="F923" s="5" t="str">
        <f>IFERROR(VLOOKUP(E923,Procedimentos!A:C,2,),"")</f>
        <v>DIÁLOGO DE SAÚDE E SEGURANÇA - DSS</v>
      </c>
      <c r="G923" s="4" t="s">
        <v>22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4.25" customHeight="1">
      <c r="A924" s="4">
        <v>14785</v>
      </c>
      <c r="B924" s="4" t="str">
        <f>IFERROR(VLOOKUP(A924,Colaboradores!A:D,2,),"")</f>
        <v>ROSEANE CUSTODIO LIMA</v>
      </c>
      <c r="C924" s="4" t="str">
        <f>IFERROR(VLOOKUP(A924,Colaboradores!A:D,3,),"")</f>
        <v>REGIONAL CENTRAL</v>
      </c>
      <c r="D924" s="4" t="str">
        <f>IFERROR(VLOOKUP(A924,Colaboradores!A:D,4,),"")</f>
        <v>ASSISTENTE DE MEIO AMBIENTE</v>
      </c>
      <c r="E924" s="4" t="s">
        <v>44</v>
      </c>
      <c r="F924" s="5" t="str">
        <f>IFERROR(VLOOKUP(E924,Procedimentos!A:C,2,),"")</f>
        <v>DIRETRIZES PARA GESTÃO DE EQUIPAMENTOS DE PROTEÇÃO INDIVIDUAL - EPI'S</v>
      </c>
      <c r="G924" s="4" t="s">
        <v>22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4.25" customHeight="1">
      <c r="A925" s="4">
        <v>14785</v>
      </c>
      <c r="B925" s="4" t="str">
        <f>IFERROR(VLOOKUP(A925,Colaboradores!A:D,2,),"")</f>
        <v>ROSEANE CUSTODIO LIMA</v>
      </c>
      <c r="C925" s="4" t="str">
        <f>IFERROR(VLOOKUP(A925,Colaboradores!A:D,3,),"")</f>
        <v>REGIONAL CENTRAL</v>
      </c>
      <c r="D925" s="4" t="str">
        <f>IFERROR(VLOOKUP(A925,Colaboradores!A:D,4,),"")</f>
        <v>ASSISTENTE DE MEIO AMBIENTE</v>
      </c>
      <c r="E925" s="4" t="s">
        <v>45</v>
      </c>
      <c r="F925" s="5" t="str">
        <f>IFERROR(VLOOKUP(E925,Procedimentos!A:C,2,),"")</f>
        <v>CONSTITUIÇÃO INTERNA DE PREVENÇÃO DE ACIDENTES E DE ASSÉDIOS - CIPA</v>
      </c>
      <c r="G925" s="4" t="s">
        <v>22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4.25" customHeight="1">
      <c r="A926" s="4">
        <v>14785</v>
      </c>
      <c r="B926" s="4" t="str">
        <f>IFERROR(VLOOKUP(A926,Colaboradores!A:D,2,),"")</f>
        <v>ROSEANE CUSTODIO LIMA</v>
      </c>
      <c r="C926" s="4" t="str">
        <f>IFERROR(VLOOKUP(A926,Colaboradores!A:D,3,),"")</f>
        <v>REGIONAL CENTRAL</v>
      </c>
      <c r="D926" s="4" t="str">
        <f>IFERROR(VLOOKUP(A926,Colaboradores!A:D,4,),"")</f>
        <v>ASSISTENTE DE MEIO AMBIENTE</v>
      </c>
      <c r="E926" s="4" t="s">
        <v>59</v>
      </c>
      <c r="F926" s="5" t="str">
        <f>IFERROR(VLOOKUP(E926,Procedimentos!A:C,2,),"")</f>
        <v>GERENCIAMENTO DE RISCOS DE SAÚDE, SEGURANÇA E PROCESSOS</v>
      </c>
      <c r="G926" s="4" t="s">
        <v>22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4.25" customHeight="1">
      <c r="A927" s="4">
        <v>14785</v>
      </c>
      <c r="B927" s="4" t="str">
        <f>IFERROR(VLOOKUP(A927,Colaboradores!A:D,2,),"")</f>
        <v>ROSEANE CUSTODIO LIMA</v>
      </c>
      <c r="C927" s="4" t="str">
        <f>IFERROR(VLOOKUP(A927,Colaboradores!A:D,3,),"")</f>
        <v>REGIONAL CENTRAL</v>
      </c>
      <c r="D927" s="4" t="str">
        <f>IFERROR(VLOOKUP(A927,Colaboradores!A:D,4,),"")</f>
        <v>ASSISTENTE DE MEIO AMBIENTE</v>
      </c>
      <c r="E927" s="4" t="s">
        <v>61</v>
      </c>
      <c r="F927" s="5" t="str">
        <f>IFERROR(VLOOKUP(E927,Procedimentos!A:C,2,),"")</f>
        <v>PROCEDIMENTO DE INSPEÇÃO DE SEGURANÇA</v>
      </c>
      <c r="G927" s="4" t="s">
        <v>22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4.25" customHeight="1">
      <c r="A928" s="4">
        <v>14785</v>
      </c>
      <c r="B928" s="4" t="str">
        <f>IFERROR(VLOOKUP(A928,Colaboradores!A:D,2,),"")</f>
        <v>ROSEANE CUSTODIO LIMA</v>
      </c>
      <c r="C928" s="4" t="str">
        <f>IFERROR(VLOOKUP(A928,Colaboradores!A:D,3,),"")</f>
        <v>REGIONAL CENTRAL</v>
      </c>
      <c r="D928" s="4" t="str">
        <f>IFERROR(VLOOKUP(A928,Colaboradores!A:D,4,),"")</f>
        <v>ASSISTENTE DE MEIO AMBIENTE</v>
      </c>
      <c r="E928" s="4" t="s">
        <v>62</v>
      </c>
      <c r="F928" s="5" t="str">
        <f>IFERROR(VLOOKUP(E928,Procedimentos!A:C,2,),"")</f>
        <v>DIRETRIZES PARA ENVIO E RECEBIMENTO DE DOSÍMETRO</v>
      </c>
      <c r="G928" s="4" t="s">
        <v>22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4.25" customHeight="1">
      <c r="A929" s="4">
        <v>13584</v>
      </c>
      <c r="B929" s="4" t="str">
        <f>IFERROR(VLOOKUP(A929,Colaboradores!A:D,2,),"")</f>
        <v>ALANA RODRIGUES FERREIRA</v>
      </c>
      <c r="C929" s="4" t="str">
        <f>IFERROR(VLOOKUP(A929,Colaboradores!A:D,3,),"")</f>
        <v>REGIONAL LESTE</v>
      </c>
      <c r="D929" s="4" t="str">
        <f>IFERROR(VLOOKUP(A929,Colaboradores!A:D,4,),"")</f>
        <v>COORDENADOR DE SSMA</v>
      </c>
      <c r="E929" s="4" t="s">
        <v>66</v>
      </c>
      <c r="F929" s="5" t="str">
        <f>IFERROR(VLOOKUP(E929,Procedimentos!A:C,2,),"")</f>
        <v>PROCEDIMENTO DE GERENCIAMENTO DE RISCOS</v>
      </c>
      <c r="G929" s="4" t="s">
        <v>22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4.25" customHeight="1">
      <c r="A930" s="4">
        <v>13584</v>
      </c>
      <c r="B930" s="4" t="str">
        <f>IFERROR(VLOOKUP(A930,Colaboradores!A:D,2,),"")</f>
        <v>ALANA RODRIGUES FERREIRA</v>
      </c>
      <c r="C930" s="4" t="str">
        <f>IFERROR(VLOOKUP(A930,Colaboradores!A:D,3,),"")</f>
        <v>REGIONAL LESTE</v>
      </c>
      <c r="D930" s="4" t="str">
        <f>IFERROR(VLOOKUP(A930,Colaboradores!A:D,4,),"")</f>
        <v>COORDENADOR DE SSMA</v>
      </c>
      <c r="E930" s="4" t="s">
        <v>58</v>
      </c>
      <c r="F930" s="5" t="str">
        <f>IFERROR(VLOOKUP(E930,Procedimentos!A:C,2,),"")</f>
        <v>POLÍTICA DE QUALIDADE DA DIRETORIA</v>
      </c>
      <c r="G930" s="4" t="s">
        <v>22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4.25" customHeight="1">
      <c r="A931" s="4">
        <v>13584</v>
      </c>
      <c r="B931" s="4" t="str">
        <f>IFERROR(VLOOKUP(A931,Colaboradores!A:D,2,),"")</f>
        <v>ALANA RODRIGUES FERREIRA</v>
      </c>
      <c r="C931" s="4" t="str">
        <f>IFERROR(VLOOKUP(A931,Colaboradores!A:D,3,),"")</f>
        <v>REGIONAL LESTE</v>
      </c>
      <c r="D931" s="4" t="str">
        <f>IFERROR(VLOOKUP(A931,Colaboradores!A:D,4,),"")</f>
        <v>COORDENADOR DE SSMA</v>
      </c>
      <c r="E931" s="4" t="s">
        <v>19</v>
      </c>
      <c r="F931" s="5" t="str">
        <f>IFERROR(VLOOKUP(E931,Procedimentos!A:C,2,),"")</f>
        <v>DIRETRIZES PARA DOCUMENTOS NORMATIVOS</v>
      </c>
      <c r="G931" s="4" t="s">
        <v>22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4.25" customHeight="1">
      <c r="A932" s="4">
        <v>13584</v>
      </c>
      <c r="B932" s="4" t="str">
        <f>IFERROR(VLOOKUP(A932,Colaboradores!A:D,2,),"")</f>
        <v>ALANA RODRIGUES FERREIRA</v>
      </c>
      <c r="C932" s="4" t="str">
        <f>IFERROR(VLOOKUP(A932,Colaboradores!A:D,3,),"")</f>
        <v>REGIONAL LESTE</v>
      </c>
      <c r="D932" s="4" t="str">
        <f>IFERROR(VLOOKUP(A932,Colaboradores!A:D,4,),"")</f>
        <v>COORDENADOR DE SSMA</v>
      </c>
      <c r="E932" s="4" t="s">
        <v>24</v>
      </c>
      <c r="F932" s="5" t="str">
        <f>IFERROR(VLOOKUP(E932,Procedimentos!A:C,2,),"")</f>
        <v>DIRETRIZES  PARA PROGRAMA 5S</v>
      </c>
      <c r="G932" s="4" t="s">
        <v>22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4.25" customHeight="1">
      <c r="A933" s="4">
        <v>13584</v>
      </c>
      <c r="B933" s="4" t="str">
        <f>IFERROR(VLOOKUP(A933,Colaboradores!A:D,2,),"")</f>
        <v>ALANA RODRIGUES FERREIRA</v>
      </c>
      <c r="C933" s="4" t="str">
        <f>IFERROR(VLOOKUP(A933,Colaboradores!A:D,3,),"")</f>
        <v>REGIONAL LESTE</v>
      </c>
      <c r="D933" s="4" t="str">
        <f>IFERROR(VLOOKUP(A933,Colaboradores!A:D,4,),"")</f>
        <v>COORDENADOR DE SSMA</v>
      </c>
      <c r="E933" s="4" t="s">
        <v>67</v>
      </c>
      <c r="F933" s="5" t="str">
        <f>IFERROR(VLOOKUP(E933,Procedimentos!A:C,2,),"")</f>
        <v>SISTEMATICA DE ROTINA DE REUNIÕES DA DESSMA</v>
      </c>
      <c r="G933" s="4" t="s">
        <v>22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4.25" customHeight="1">
      <c r="A934" s="4">
        <v>13584</v>
      </c>
      <c r="B934" s="4" t="str">
        <f>IFERROR(VLOOKUP(A934,Colaboradores!A:D,2,),"")</f>
        <v>ALANA RODRIGUES FERREIRA</v>
      </c>
      <c r="C934" s="4" t="str">
        <f>IFERROR(VLOOKUP(A934,Colaboradores!A:D,3,),"")</f>
        <v>REGIONAL LESTE</v>
      </c>
      <c r="D934" s="4" t="str">
        <f>IFERROR(VLOOKUP(A934,Colaboradores!A:D,4,),"")</f>
        <v>COORDENADOR DE SSMA</v>
      </c>
      <c r="E934" s="4" t="s">
        <v>25</v>
      </c>
      <c r="F934" s="5" t="str">
        <f>IFERROR(VLOOKUP(E934,Procedimentos!A:C,2,),"")</f>
        <v>GARANTIA DA QUALIDADE</v>
      </c>
      <c r="G934" s="4" t="s">
        <v>22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4.25" customHeight="1">
      <c r="A935" s="4">
        <v>13584</v>
      </c>
      <c r="B935" s="4" t="str">
        <f>IFERROR(VLOOKUP(A935,Colaboradores!A:D,2,),"")</f>
        <v>ALANA RODRIGUES FERREIRA</v>
      </c>
      <c r="C935" s="4" t="str">
        <f>IFERROR(VLOOKUP(A935,Colaboradores!A:D,3,),"")</f>
        <v>REGIONAL LESTE</v>
      </c>
      <c r="D935" s="4" t="str">
        <f>IFERROR(VLOOKUP(A935,Colaboradores!A:D,4,),"")</f>
        <v>COORDENADOR DE SSMA</v>
      </c>
      <c r="E935" s="4" t="s">
        <v>68</v>
      </c>
      <c r="F935" s="5" t="str">
        <f>IFERROR(VLOOKUP(E935,Procedimentos!A:C,2,),"")</f>
        <v>GESTÃO INDICADORES</v>
      </c>
      <c r="G935" s="4" t="s">
        <v>22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4.25" customHeight="1">
      <c r="A936" s="4">
        <v>13584</v>
      </c>
      <c r="B936" s="4" t="str">
        <f>IFERROR(VLOOKUP(A936,Colaboradores!A:D,2,),"")</f>
        <v>ALANA RODRIGUES FERREIRA</v>
      </c>
      <c r="C936" s="4" t="str">
        <f>IFERROR(VLOOKUP(A936,Colaboradores!A:D,3,),"")</f>
        <v>REGIONAL LESTE</v>
      </c>
      <c r="D936" s="4" t="str">
        <f>IFERROR(VLOOKUP(A936,Colaboradores!A:D,4,),"")</f>
        <v>COORDENADOR DE SSMA</v>
      </c>
      <c r="E936" s="4" t="s">
        <v>26</v>
      </c>
      <c r="F936" s="5" t="str">
        <f>IFERROR(VLOOKUP(E936,Procedimentos!A:C,2,),"")</f>
        <v>RESPONSABILIDADES E AUTORIDADES DO SGQ</v>
      </c>
      <c r="G936" s="4" t="s">
        <v>22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4.25" customHeight="1">
      <c r="A937" s="4">
        <v>13584</v>
      </c>
      <c r="B937" s="4" t="str">
        <f>IFERROR(VLOOKUP(A937,Colaboradores!A:D,2,),"")</f>
        <v>ALANA RODRIGUES FERREIRA</v>
      </c>
      <c r="C937" s="4" t="str">
        <f>IFERROR(VLOOKUP(A937,Colaboradores!A:D,3,),"")</f>
        <v>REGIONAL LESTE</v>
      </c>
      <c r="D937" s="4" t="str">
        <f>IFERROR(VLOOKUP(A937,Colaboradores!A:D,4,),"")</f>
        <v>COORDENADOR DE SSMA</v>
      </c>
      <c r="E937" s="4" t="s">
        <v>69</v>
      </c>
      <c r="F937" s="5" t="str">
        <f>IFERROR(VLOOKUP(E937,Procedimentos!A:C,2,),"")</f>
        <v>PROCEDIMENTO GESTÃO DE MUDANÇA SGQ</v>
      </c>
      <c r="G937" s="4" t="s">
        <v>22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4.25" customHeight="1">
      <c r="A938" s="4">
        <v>13584</v>
      </c>
      <c r="B938" s="4" t="str">
        <f>IFERROR(VLOOKUP(A938,Colaboradores!A:D,2,),"")</f>
        <v>ALANA RODRIGUES FERREIRA</v>
      </c>
      <c r="C938" s="4" t="str">
        <f>IFERROR(VLOOKUP(A938,Colaboradores!A:D,3,),"")</f>
        <v>REGIONAL LESTE</v>
      </c>
      <c r="D938" s="4" t="str">
        <f>IFERROR(VLOOKUP(A938,Colaboradores!A:D,4,),"")</f>
        <v>COORDENADOR DE SSMA</v>
      </c>
      <c r="E938" s="4" t="s">
        <v>64</v>
      </c>
      <c r="F938" s="5" t="str">
        <f>IFERROR(VLOOKUP(E938,Procedimentos!A:C,2,),"")</f>
        <v>AVALIAÇÃO DESEMPENHO</v>
      </c>
      <c r="G938" s="4" t="s">
        <v>22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4.25" customHeight="1">
      <c r="A939" s="4">
        <v>13584</v>
      </c>
      <c r="B939" s="4" t="str">
        <f>IFERROR(VLOOKUP(A939,Colaboradores!A:D,2,),"")</f>
        <v>ALANA RODRIGUES FERREIRA</v>
      </c>
      <c r="C939" s="4" t="str">
        <f>IFERROR(VLOOKUP(A939,Colaboradores!A:D,3,),"")</f>
        <v>REGIONAL LESTE</v>
      </c>
      <c r="D939" s="4" t="str">
        <f>IFERROR(VLOOKUP(A939,Colaboradores!A:D,4,),"")</f>
        <v>COORDENADOR DE SSMA</v>
      </c>
      <c r="E939" s="4" t="s">
        <v>73</v>
      </c>
      <c r="F939" s="5" t="str">
        <f>IFERROR(VLOOKUP(E939,Procedimentos!A:C,2,),"")</f>
        <v>AQUISIÇÃO DE BENS E SERVIÇOS E AVALIAÇÃO PROVEDORES EXTERNOS</v>
      </c>
      <c r="G939" s="4" t="s">
        <v>22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4.25" customHeight="1">
      <c r="A940" s="4">
        <v>13584</v>
      </c>
      <c r="B940" s="4" t="str">
        <f>IFERROR(VLOOKUP(A940,Colaboradores!A:D,2,),"")</f>
        <v>ALANA RODRIGUES FERREIRA</v>
      </c>
      <c r="C940" s="4" t="str">
        <f>IFERROR(VLOOKUP(A940,Colaboradores!A:D,3,),"")</f>
        <v>REGIONAL LESTE</v>
      </c>
      <c r="D940" s="4" t="str">
        <f>IFERROR(VLOOKUP(A940,Colaboradores!A:D,4,),"")</f>
        <v>COORDENADOR DE SSMA</v>
      </c>
      <c r="E940" s="4" t="s">
        <v>48</v>
      </c>
      <c r="F940" s="5" t="str">
        <f>IFERROR(VLOOKUP(E940,Procedimentos!A:C,2,),"")</f>
        <v>POLÍTICA MEIO AMBIENTE EMSERH</v>
      </c>
      <c r="G940" s="4" t="s">
        <v>22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4.25" customHeight="1">
      <c r="A941" s="4">
        <v>13584</v>
      </c>
      <c r="B941" s="4" t="str">
        <f>IFERROR(VLOOKUP(A941,Colaboradores!A:D,2,),"")</f>
        <v>ALANA RODRIGUES FERREIRA</v>
      </c>
      <c r="C941" s="4" t="str">
        <f>IFERROR(VLOOKUP(A941,Colaboradores!A:D,3,),"")</f>
        <v>REGIONAL LESTE</v>
      </c>
      <c r="D941" s="4" t="str">
        <f>IFERROR(VLOOKUP(A941,Colaboradores!A:D,4,),"")</f>
        <v>COORDENADOR DE SSMA</v>
      </c>
      <c r="E941" s="4" t="s">
        <v>29</v>
      </c>
      <c r="F941" s="5" t="str">
        <f>IFERROR(VLOOKUP(E941,Procedimentos!A:C,2,),"")</f>
        <v>COLETA SELETIVA DESSMA</v>
      </c>
      <c r="G941" s="4" t="s">
        <v>22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4.25" customHeight="1">
      <c r="A942" s="4">
        <v>13584</v>
      </c>
      <c r="B942" s="4" t="str">
        <f>IFERROR(VLOOKUP(A942,Colaboradores!A:D,2,),"")</f>
        <v>ALANA RODRIGUES FERREIRA</v>
      </c>
      <c r="C942" s="4" t="str">
        <f>IFERROR(VLOOKUP(A942,Colaboradores!A:D,3,),"")</f>
        <v>REGIONAL LESTE</v>
      </c>
      <c r="D942" s="4" t="str">
        <f>IFERROR(VLOOKUP(A942,Colaboradores!A:D,4,),"")</f>
        <v>COORDENADOR DE SSMA</v>
      </c>
      <c r="E942" s="4" t="s">
        <v>36</v>
      </c>
      <c r="F942" s="5" t="str">
        <f>IFERROR(VLOOKUP(E942,Procedimentos!A:C,2,),"")</f>
        <v>GESTÃO DE PRODUTOS QUÍMICOS</v>
      </c>
      <c r="G942" s="4" t="s">
        <v>22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4.25" customHeight="1">
      <c r="A943" s="4">
        <v>13584</v>
      </c>
      <c r="B943" s="4" t="str">
        <f>IFERROR(VLOOKUP(A943,Colaboradores!A:D,2,),"")</f>
        <v>ALANA RODRIGUES FERREIRA</v>
      </c>
      <c r="C943" s="4" t="str">
        <f>IFERROR(VLOOKUP(A943,Colaboradores!A:D,3,),"")</f>
        <v>REGIONAL LESTE</v>
      </c>
      <c r="D943" s="4" t="str">
        <f>IFERROR(VLOOKUP(A943,Colaboradores!A:D,4,),"")</f>
        <v>COORDENADOR DE SSMA</v>
      </c>
      <c r="E943" s="4" t="s">
        <v>32</v>
      </c>
      <c r="F943" s="5" t="str">
        <f>IFERROR(VLOOKUP(E943,Procedimentos!A:C,2,),"")</f>
        <v>GESTÃO DE LEVANTAMENTO DE ASPECTOS E IMPACTOS AMBIENTAIS</v>
      </c>
      <c r="G943" s="4" t="s">
        <v>22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4.25" customHeight="1">
      <c r="A944" s="4">
        <v>13584</v>
      </c>
      <c r="B944" s="4" t="str">
        <f>IFERROR(VLOOKUP(A944,Colaboradores!A:D,2,),"")</f>
        <v>ALANA RODRIGUES FERREIRA</v>
      </c>
      <c r="C944" s="4" t="str">
        <f>IFERROR(VLOOKUP(A944,Colaboradores!A:D,3,),"")</f>
        <v>REGIONAL LESTE</v>
      </c>
      <c r="D944" s="4" t="str">
        <f>IFERROR(VLOOKUP(A944,Colaboradores!A:D,4,),"")</f>
        <v>COORDENADOR DE SSMA</v>
      </c>
      <c r="E944" s="4" t="s">
        <v>31</v>
      </c>
      <c r="F944" s="5" t="str">
        <f>IFERROR(VLOOKUP(E944,Procedimentos!A:C,2,),"")</f>
        <v>GESTÃO DE COMUNICAÇÃO, CLASSIFICAÇÃO E INVESTIGAÇÃO DE OCORRÊNCIAS AMBIENTAIS</v>
      </c>
      <c r="G944" s="4" t="s">
        <v>22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4.25" customHeight="1">
      <c r="A945" s="4">
        <v>13584</v>
      </c>
      <c r="B945" s="4" t="str">
        <f>IFERROR(VLOOKUP(A945,Colaboradores!A:D,2,),"")</f>
        <v>ALANA RODRIGUES FERREIRA</v>
      </c>
      <c r="C945" s="4" t="str">
        <f>IFERROR(VLOOKUP(A945,Colaboradores!A:D,3,),"")</f>
        <v>REGIONAL LESTE</v>
      </c>
      <c r="D945" s="4" t="str">
        <f>IFERROR(VLOOKUP(A945,Colaboradores!A:D,4,),"")</f>
        <v>COORDENADOR DE SSMA</v>
      </c>
      <c r="E945" s="4" t="s">
        <v>33</v>
      </c>
      <c r="F945" s="5" t="str">
        <f>IFERROR(VLOOKUP(E945,Procedimentos!A:C,2,),"")</f>
        <v>GESTÃO DE INSPEÇÕES AMBIENTAIS</v>
      </c>
      <c r="G945" s="4" t="s">
        <v>22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4.25" customHeight="1">
      <c r="A946" s="4">
        <v>13584</v>
      </c>
      <c r="B946" s="4" t="str">
        <f>IFERROR(VLOOKUP(A946,Colaboradores!A:D,2,),"")</f>
        <v>ALANA RODRIGUES FERREIRA</v>
      </c>
      <c r="C946" s="4" t="str">
        <f>IFERROR(VLOOKUP(A946,Colaboradores!A:D,3,),"")</f>
        <v>REGIONAL LESTE</v>
      </c>
      <c r="D946" s="4" t="str">
        <f>IFERROR(VLOOKUP(A946,Colaboradores!A:D,4,),"")</f>
        <v>COORDENADOR DE SSMA</v>
      </c>
      <c r="E946" s="4" t="s">
        <v>39</v>
      </c>
      <c r="F946" s="5" t="str">
        <f>IFERROR(VLOOKUP(E946,Procedimentos!A:C,2,),"")</f>
        <v>GESTÃO DE ÁGUAS E EFLUENTES</v>
      </c>
      <c r="G946" s="4" t="s">
        <v>22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4.25" customHeight="1">
      <c r="A947" s="4">
        <v>13584</v>
      </c>
      <c r="B947" s="4" t="str">
        <f>IFERROR(VLOOKUP(A947,Colaboradores!A:D,2,),"")</f>
        <v>ALANA RODRIGUES FERREIRA</v>
      </c>
      <c r="C947" s="4" t="str">
        <f>IFERROR(VLOOKUP(A947,Colaboradores!A:D,3,),"")</f>
        <v>REGIONAL LESTE</v>
      </c>
      <c r="D947" s="4" t="str">
        <f>IFERROR(VLOOKUP(A947,Colaboradores!A:D,4,),"")</f>
        <v>COORDENADOR DE SSMA</v>
      </c>
      <c r="E947" s="4" t="s">
        <v>34</v>
      </c>
      <c r="F947" s="5" t="str">
        <f>IFERROR(VLOOKUP(E947,Procedimentos!A:C,2,),"")</f>
        <v>GESTÃO DE LICENCIAMENTO AMBIENTAL</v>
      </c>
      <c r="G947" s="4" t="s">
        <v>22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4.25" customHeight="1">
      <c r="A948" s="4">
        <v>13584</v>
      </c>
      <c r="B948" s="4" t="str">
        <f>IFERROR(VLOOKUP(A948,Colaboradores!A:D,2,),"")</f>
        <v>ALANA RODRIGUES FERREIRA</v>
      </c>
      <c r="C948" s="4" t="str">
        <f>IFERROR(VLOOKUP(A948,Colaboradores!A:D,3,),"")</f>
        <v>REGIONAL LESTE</v>
      </c>
      <c r="D948" s="4" t="str">
        <f>IFERROR(VLOOKUP(A948,Colaboradores!A:D,4,),"")</f>
        <v>COORDENADOR DE SSMA</v>
      </c>
      <c r="E948" s="4" t="s">
        <v>38</v>
      </c>
      <c r="F948" s="5" t="str">
        <f>IFERROR(VLOOKUP(E948,Procedimentos!A:C,2,),"")</f>
        <v>GESTÃO DE CONDICIONANTES DE LICENCIAMENTO AMBIENTAL</v>
      </c>
      <c r="G948" s="4" t="s">
        <v>22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4.25" customHeight="1">
      <c r="A949" s="4">
        <v>13584</v>
      </c>
      <c r="B949" s="4" t="str">
        <f>IFERROR(VLOOKUP(A949,Colaboradores!A:D,2,),"")</f>
        <v>ALANA RODRIGUES FERREIRA</v>
      </c>
      <c r="C949" s="4" t="str">
        <f>IFERROR(VLOOKUP(A949,Colaboradores!A:D,3,),"")</f>
        <v>REGIONAL LESTE</v>
      </c>
      <c r="D949" s="4" t="str">
        <f>IFERROR(VLOOKUP(A949,Colaboradores!A:D,4,),"")</f>
        <v>COORDENADOR DE SSMA</v>
      </c>
      <c r="E949" s="4" t="s">
        <v>37</v>
      </c>
      <c r="F949" s="5" t="str">
        <f>IFERROR(VLOOKUP(E949,Procedimentos!A:C,2,),"")</f>
        <v>GESTÃO DE RESÍDUOS SÓLIDOS DE SERVIÇOS DE SAÚDE</v>
      </c>
      <c r="G949" s="4" t="s">
        <v>22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4.25" customHeight="1">
      <c r="A950" s="4">
        <v>13584</v>
      </c>
      <c r="B950" s="4" t="str">
        <f>IFERROR(VLOOKUP(A950,Colaboradores!A:D,2,),"")</f>
        <v>ALANA RODRIGUES FERREIRA</v>
      </c>
      <c r="C950" s="4" t="str">
        <f>IFERROR(VLOOKUP(A950,Colaboradores!A:D,3,),"")</f>
        <v>REGIONAL LESTE</v>
      </c>
      <c r="D950" s="4" t="str">
        <f>IFERROR(VLOOKUP(A950,Colaboradores!A:D,4,),"")</f>
        <v>COORDENADOR DE SSMA</v>
      </c>
      <c r="E950" s="4" t="s">
        <v>35</v>
      </c>
      <c r="F950" s="5" t="str">
        <f>IFERROR(VLOOKUP(E950,Procedimentos!A:C,2,),"")</f>
        <v>PROCEDIMENTO DE AFERIÇÃO DE FUMAÇA PRETA</v>
      </c>
      <c r="G950" s="4" t="s">
        <v>22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4.25" customHeight="1">
      <c r="A951" s="4">
        <v>13584</v>
      </c>
      <c r="B951" s="4" t="str">
        <f>IFERROR(VLOOKUP(A951,Colaboradores!A:D,2,),"")</f>
        <v>ALANA RODRIGUES FERREIRA</v>
      </c>
      <c r="C951" s="4" t="str">
        <f>IFERROR(VLOOKUP(A951,Colaboradores!A:D,3,),"")</f>
        <v>REGIONAL LESTE</v>
      </c>
      <c r="D951" s="4" t="str">
        <f>IFERROR(VLOOKUP(A951,Colaboradores!A:D,4,),"")</f>
        <v>COORDENADOR DE SSMA</v>
      </c>
      <c r="E951" s="4" t="s">
        <v>49</v>
      </c>
      <c r="F951" s="5" t="str">
        <f>IFERROR(VLOOKUP(E951,Procedimentos!A:C,2,),"")</f>
        <v>DIRETRIZES PARA REALIZAÇÃO DE EXAMES OCUPACIONAIS</v>
      </c>
      <c r="G951" s="4" t="s">
        <v>22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4.25" customHeight="1">
      <c r="A952" s="4">
        <v>13584</v>
      </c>
      <c r="B952" s="4" t="str">
        <f>IFERROR(VLOOKUP(A952,Colaboradores!A:D,2,),"")</f>
        <v>ALANA RODRIGUES FERREIRA</v>
      </c>
      <c r="C952" s="4" t="str">
        <f>IFERROR(VLOOKUP(A952,Colaboradores!A:D,3,),"")</f>
        <v>REGIONAL LESTE</v>
      </c>
      <c r="D952" s="4" t="str">
        <f>IFERROR(VLOOKUP(A952,Colaboradores!A:D,4,),"")</f>
        <v>COORDENADOR DE SSMA</v>
      </c>
      <c r="E952" s="4" t="s">
        <v>51</v>
      </c>
      <c r="F952" s="5" t="str">
        <f>IFERROR(VLOOKUP(E952,Procedimentos!A:C,2,),"")</f>
        <v>DIRETRIZES PARA ENTREGA DE ATESTADOS MÉDICOS E ODONTOLÓGICOS</v>
      </c>
      <c r="G952" s="4" t="s">
        <v>22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4.25" customHeight="1">
      <c r="A953" s="4">
        <v>13584</v>
      </c>
      <c r="B953" s="4" t="str">
        <f>IFERROR(VLOOKUP(A953,Colaboradores!A:D,2,),"")</f>
        <v>ALANA RODRIGUES FERREIRA</v>
      </c>
      <c r="C953" s="4" t="str">
        <f>IFERROR(VLOOKUP(A953,Colaboradores!A:D,3,),"")</f>
        <v>REGIONAL LESTE</v>
      </c>
      <c r="D953" s="4" t="str">
        <f>IFERROR(VLOOKUP(A953,Colaboradores!A:D,4,),"")</f>
        <v>COORDENADOR DE SSMA</v>
      </c>
      <c r="E953" s="4" t="s">
        <v>52</v>
      </c>
      <c r="F953" s="5" t="str">
        <f>IFERROR(VLOOKUP(E953,Procedimentos!A:C,2,),"")</f>
        <v>DIRETRIZES E ACOMPANHAMENTO  DE ACIDENTE COM MATERIAL BIOLOGICO</v>
      </c>
      <c r="G953" s="4" t="s">
        <v>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4.25" customHeight="1">
      <c r="A954" s="4">
        <v>13584</v>
      </c>
      <c r="B954" s="4" t="str">
        <f>IFERROR(VLOOKUP(A954,Colaboradores!A:D,2,),"")</f>
        <v>ALANA RODRIGUES FERREIRA</v>
      </c>
      <c r="C954" s="4" t="str">
        <f>IFERROR(VLOOKUP(A954,Colaboradores!A:D,3,),"")</f>
        <v>REGIONAL LESTE</v>
      </c>
      <c r="D954" s="4" t="str">
        <f>IFERROR(VLOOKUP(A954,Colaboradores!A:D,4,),"")</f>
        <v>COORDENADOR DE SSMA</v>
      </c>
      <c r="E954" s="4" t="s">
        <v>53</v>
      </c>
      <c r="F954" s="5" t="str">
        <f>IFERROR(VLOOKUP(E954,Procedimentos!A:C,2,),"")</f>
        <v>DIRETRIZES PARA MONITORAMENTO DE GESTANTE</v>
      </c>
      <c r="G954" s="4" t="s">
        <v>22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4.25" customHeight="1">
      <c r="A955" s="4">
        <v>13584</v>
      </c>
      <c r="B955" s="4" t="str">
        <f>IFERROR(VLOOKUP(A955,Colaboradores!A:D,2,),"")</f>
        <v>ALANA RODRIGUES FERREIRA</v>
      </c>
      <c r="C955" s="4" t="str">
        <f>IFERROR(VLOOKUP(A955,Colaboradores!A:D,3,),"")</f>
        <v>REGIONAL LESTE</v>
      </c>
      <c r="D955" s="4" t="str">
        <f>IFERROR(VLOOKUP(A955,Colaboradores!A:D,4,),"")</f>
        <v>COORDENADOR DE SSMA</v>
      </c>
      <c r="E955" s="4" t="s">
        <v>54</v>
      </c>
      <c r="F955" s="5" t="str">
        <f>IFERROR(VLOOKUP(E955,Procedimentos!A:C,2,),"")</f>
        <v>DIRETRIZES DE IMUNIZAÇÃO OCUPACIONAL</v>
      </c>
      <c r="G955" s="4" t="s">
        <v>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4.25" customHeight="1">
      <c r="A956" s="4">
        <v>13584</v>
      </c>
      <c r="B956" s="4" t="str">
        <f>IFERROR(VLOOKUP(A956,Colaboradores!A:D,2,),"")</f>
        <v>ALANA RODRIGUES FERREIRA</v>
      </c>
      <c r="C956" s="4" t="str">
        <f>IFERROR(VLOOKUP(A956,Colaboradores!A:D,3,),"")</f>
        <v>REGIONAL LESTE</v>
      </c>
      <c r="D956" s="4" t="str">
        <f>IFERROR(VLOOKUP(A956,Colaboradores!A:D,4,),"")</f>
        <v>COORDENADOR DE SSMA</v>
      </c>
      <c r="E956" s="4" t="s">
        <v>55</v>
      </c>
      <c r="F956" s="5" t="str">
        <f>IFERROR(VLOOKUP(E956,Procedimentos!A:C,2,),"")</f>
        <v>DIRETRIZES PARA ACOMPANHAMENTO DE AFASTADOS</v>
      </c>
      <c r="G956" s="4" t="s">
        <v>22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4.25" customHeight="1">
      <c r="A957" s="4">
        <v>13584</v>
      </c>
      <c r="B957" s="4" t="str">
        <f>IFERROR(VLOOKUP(A957,Colaboradores!A:D,2,),"")</f>
        <v>ALANA RODRIGUES FERREIRA</v>
      </c>
      <c r="C957" s="4" t="str">
        <f>IFERROR(VLOOKUP(A957,Colaboradores!A:D,3,),"")</f>
        <v>REGIONAL LESTE</v>
      </c>
      <c r="D957" s="4" t="str">
        <f>IFERROR(VLOOKUP(A957,Colaboradores!A:D,4,),"")</f>
        <v>COORDENADOR DE SSMA</v>
      </c>
      <c r="E957" s="4" t="s">
        <v>46</v>
      </c>
      <c r="F957" s="5" t="str">
        <f>IFERROR(VLOOKUP(E957,Procedimentos!A:C,2,),"")</f>
        <v>POLÍTICA DE SAÚDE E SEGURANÇA DO TRABALHO EMSERH</v>
      </c>
      <c r="G957" s="4" t="s">
        <v>22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4.25" customHeight="1">
      <c r="A958" s="4">
        <v>13584</v>
      </c>
      <c r="B958" s="4" t="str">
        <f>IFERROR(VLOOKUP(A958,Colaboradores!A:D,2,),"")</f>
        <v>ALANA RODRIGUES FERREIRA</v>
      </c>
      <c r="C958" s="4" t="str">
        <f>IFERROR(VLOOKUP(A958,Colaboradores!A:D,3,),"")</f>
        <v>REGIONAL LESTE</v>
      </c>
      <c r="D958" s="4" t="str">
        <f>IFERROR(VLOOKUP(A958,Colaboradores!A:D,4,),"")</f>
        <v>COORDENADOR DE SSMA</v>
      </c>
      <c r="E958" s="4" t="s">
        <v>41</v>
      </c>
      <c r="F958" s="5" t="str">
        <f>IFERROR(VLOOKUP(E958,Procedimentos!A:C,2,),"")</f>
        <v>DIRETRIZES PARA COMUNICAÇÃO E INVESTIGAÇÃO DE ACIDENTES</v>
      </c>
      <c r="G958" s="4" t="s">
        <v>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4.25" customHeight="1">
      <c r="A959" s="4">
        <v>13584</v>
      </c>
      <c r="B959" s="4" t="str">
        <f>IFERROR(VLOOKUP(A959,Colaboradores!A:D,2,),"")</f>
        <v>ALANA RODRIGUES FERREIRA</v>
      </c>
      <c r="C959" s="4" t="str">
        <f>IFERROR(VLOOKUP(A959,Colaboradores!A:D,3,),"")</f>
        <v>REGIONAL LESTE</v>
      </c>
      <c r="D959" s="4" t="str">
        <f>IFERROR(VLOOKUP(A959,Colaboradores!A:D,4,),"")</f>
        <v>COORDENADOR DE SSMA</v>
      </c>
      <c r="E959" s="4" t="s">
        <v>43</v>
      </c>
      <c r="F959" s="5" t="str">
        <f>IFERROR(VLOOKUP(E959,Procedimentos!A:C,2,),"")</f>
        <v>DIÁLOGO DE SAÚDE E SEGURANÇA - DSS</v>
      </c>
      <c r="G959" s="4" t="s">
        <v>22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4.25" customHeight="1">
      <c r="A960" s="4">
        <v>13584</v>
      </c>
      <c r="B960" s="4" t="str">
        <f>IFERROR(VLOOKUP(A960,Colaboradores!A:D,2,),"")</f>
        <v>ALANA RODRIGUES FERREIRA</v>
      </c>
      <c r="C960" s="4" t="str">
        <f>IFERROR(VLOOKUP(A960,Colaboradores!A:D,3,),"")</f>
        <v>REGIONAL LESTE</v>
      </c>
      <c r="D960" s="4" t="str">
        <f>IFERROR(VLOOKUP(A960,Colaboradores!A:D,4,),"")</f>
        <v>COORDENADOR DE SSMA</v>
      </c>
      <c r="E960" s="4" t="s">
        <v>44</v>
      </c>
      <c r="F960" s="5" t="str">
        <f>IFERROR(VLOOKUP(E960,Procedimentos!A:C,2,),"")</f>
        <v>DIRETRIZES PARA GESTÃO DE EQUIPAMENTOS DE PROTEÇÃO INDIVIDUAL - EPI'S</v>
      </c>
      <c r="G960" s="4" t="s">
        <v>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4.25" customHeight="1">
      <c r="A961" s="4">
        <v>13584</v>
      </c>
      <c r="B961" s="4" t="str">
        <f>IFERROR(VLOOKUP(A961,Colaboradores!A:D,2,),"")</f>
        <v>ALANA RODRIGUES FERREIRA</v>
      </c>
      <c r="C961" s="4" t="str">
        <f>IFERROR(VLOOKUP(A961,Colaboradores!A:D,3,),"")</f>
        <v>REGIONAL LESTE</v>
      </c>
      <c r="D961" s="4" t="str">
        <f>IFERROR(VLOOKUP(A961,Colaboradores!A:D,4,),"")</f>
        <v>COORDENADOR DE SSMA</v>
      </c>
      <c r="E961" s="4" t="s">
        <v>45</v>
      </c>
      <c r="F961" s="5" t="str">
        <f>IFERROR(VLOOKUP(E961,Procedimentos!A:C,2,),"")</f>
        <v>CONSTITUIÇÃO INTERNA DE PREVENÇÃO DE ACIDENTES E DE ASSÉDIOS - CIPA</v>
      </c>
      <c r="G961" s="4" t="s">
        <v>22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4.25" customHeight="1">
      <c r="A962" s="4">
        <v>13584</v>
      </c>
      <c r="B962" s="4" t="str">
        <f>IFERROR(VLOOKUP(A962,Colaboradores!A:D,2,),"")</f>
        <v>ALANA RODRIGUES FERREIRA</v>
      </c>
      <c r="C962" s="4" t="str">
        <f>IFERROR(VLOOKUP(A962,Colaboradores!A:D,3,),"")</f>
        <v>REGIONAL LESTE</v>
      </c>
      <c r="D962" s="4" t="str">
        <f>IFERROR(VLOOKUP(A962,Colaboradores!A:D,4,),"")</f>
        <v>COORDENADOR DE SSMA</v>
      </c>
      <c r="E962" s="4" t="s">
        <v>59</v>
      </c>
      <c r="F962" s="5" t="str">
        <f>IFERROR(VLOOKUP(E962,Procedimentos!A:C,2,),"")</f>
        <v>GERENCIAMENTO DE RISCOS DE SAÚDE, SEGURANÇA E PROCESSOS</v>
      </c>
      <c r="G962" s="4" t="s">
        <v>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4.25" customHeight="1">
      <c r="A963" s="4">
        <v>13584</v>
      </c>
      <c r="B963" s="4" t="str">
        <f>IFERROR(VLOOKUP(A963,Colaboradores!A:D,2,),"")</f>
        <v>ALANA RODRIGUES FERREIRA</v>
      </c>
      <c r="C963" s="4" t="str">
        <f>IFERROR(VLOOKUP(A963,Colaboradores!A:D,3,),"")</f>
        <v>REGIONAL LESTE</v>
      </c>
      <c r="D963" s="4" t="str">
        <f>IFERROR(VLOOKUP(A963,Colaboradores!A:D,4,),"")</f>
        <v>COORDENADOR DE SSMA</v>
      </c>
      <c r="E963" s="4" t="s">
        <v>61</v>
      </c>
      <c r="F963" s="5" t="str">
        <f>IFERROR(VLOOKUP(E963,Procedimentos!A:C,2,),"")</f>
        <v>PROCEDIMENTO DE INSPEÇÃO DE SEGURANÇA</v>
      </c>
      <c r="G963" s="4" t="s">
        <v>22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4.25" customHeight="1">
      <c r="A964" s="4">
        <v>13584</v>
      </c>
      <c r="B964" s="4" t="str">
        <f>IFERROR(VLOOKUP(A964,Colaboradores!A:D,2,),"")</f>
        <v>ALANA RODRIGUES FERREIRA</v>
      </c>
      <c r="C964" s="4" t="str">
        <f>IFERROR(VLOOKUP(A964,Colaboradores!A:D,3,),"")</f>
        <v>REGIONAL LESTE</v>
      </c>
      <c r="D964" s="4" t="str">
        <f>IFERROR(VLOOKUP(A964,Colaboradores!A:D,4,),"")</f>
        <v>COORDENADOR DE SSMA</v>
      </c>
      <c r="E964" s="4" t="s">
        <v>62</v>
      </c>
      <c r="F964" s="5" t="str">
        <f>IFERROR(VLOOKUP(E964,Procedimentos!A:C,2,),"")</f>
        <v>DIRETRIZES PARA ENVIO E RECEBIMENTO DE DOSÍMETRO</v>
      </c>
      <c r="G964" s="4" t="s">
        <v>22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4.25" customHeight="1">
      <c r="A965" s="4">
        <v>13794</v>
      </c>
      <c r="B965" s="4" t="str">
        <f>IFERROR(VLOOKUP(A965,Colaboradores!A:D,2,),"")</f>
        <v>ERMANDO VIEIRA DE MOURA NETO</v>
      </c>
      <c r="C965" s="4" t="str">
        <f>IFERROR(VLOOKUP(A965,Colaboradores!A:D,3,),"")</f>
        <v>REGIONAL LESTE</v>
      </c>
      <c r="D965" s="4" t="str">
        <f>IFERROR(VLOOKUP(A965,Colaboradores!A:D,4,),"")</f>
        <v>MÉDICO DO TRABALHO</v>
      </c>
      <c r="E965" s="4" t="s">
        <v>58</v>
      </c>
      <c r="F965" s="5" t="str">
        <f>IFERROR(VLOOKUP(E965,Procedimentos!A:C,2,),"")</f>
        <v>POLÍTICA DE QUALIDADE DA DIRETORIA</v>
      </c>
      <c r="G965" s="4" t="s">
        <v>22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4.25" customHeight="1">
      <c r="A966" s="4">
        <v>13794</v>
      </c>
      <c r="B966" s="4" t="str">
        <f>IFERROR(VLOOKUP(A966,Colaboradores!A:D,2,),"")</f>
        <v>ERMANDO VIEIRA DE MOURA NETO</v>
      </c>
      <c r="C966" s="4" t="str">
        <f>IFERROR(VLOOKUP(A966,Colaboradores!A:D,3,),"")</f>
        <v>REGIONAL LESTE</v>
      </c>
      <c r="D966" s="4" t="str">
        <f>IFERROR(VLOOKUP(A966,Colaboradores!A:D,4,),"")</f>
        <v>MÉDICO DO TRABALHO</v>
      </c>
      <c r="E966" s="4" t="s">
        <v>19</v>
      </c>
      <c r="F966" s="5" t="str">
        <f>IFERROR(VLOOKUP(E966,Procedimentos!A:C,2,),"")</f>
        <v>DIRETRIZES PARA DOCUMENTOS NORMATIVOS</v>
      </c>
      <c r="G966" s="4" t="s">
        <v>22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4.25" customHeight="1">
      <c r="A967" s="4">
        <v>13794</v>
      </c>
      <c r="B967" s="4" t="str">
        <f>IFERROR(VLOOKUP(A967,Colaboradores!A:D,2,),"")</f>
        <v>ERMANDO VIEIRA DE MOURA NETO</v>
      </c>
      <c r="C967" s="4" t="str">
        <f>IFERROR(VLOOKUP(A967,Colaboradores!A:D,3,),"")</f>
        <v>REGIONAL LESTE</v>
      </c>
      <c r="D967" s="4" t="str">
        <f>IFERROR(VLOOKUP(A967,Colaboradores!A:D,4,),"")</f>
        <v>MÉDICO DO TRABALHO</v>
      </c>
      <c r="E967" s="4" t="s">
        <v>48</v>
      </c>
      <c r="F967" s="5" t="str">
        <f>IFERROR(VLOOKUP(E967,Procedimentos!A:C,2,),"")</f>
        <v>POLÍTICA MEIO AMBIENTE EMSERH</v>
      </c>
      <c r="G967" s="4" t="s">
        <v>22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4.25" customHeight="1">
      <c r="A968" s="4">
        <v>13794</v>
      </c>
      <c r="B968" s="4" t="str">
        <f>IFERROR(VLOOKUP(A968,Colaboradores!A:D,2,),"")</f>
        <v>ERMANDO VIEIRA DE MOURA NETO</v>
      </c>
      <c r="C968" s="4" t="str">
        <f>IFERROR(VLOOKUP(A968,Colaboradores!A:D,3,),"")</f>
        <v>REGIONAL LESTE</v>
      </c>
      <c r="D968" s="4" t="str">
        <f>IFERROR(VLOOKUP(A968,Colaboradores!A:D,4,),"")</f>
        <v>MÉDICO DO TRABALHO</v>
      </c>
      <c r="E968" s="4" t="s">
        <v>49</v>
      </c>
      <c r="F968" s="5" t="str">
        <f>IFERROR(VLOOKUP(E968,Procedimentos!A:C,2,),"")</f>
        <v>DIRETRIZES PARA REALIZAÇÃO DE EXAMES OCUPACIONAIS</v>
      </c>
      <c r="G968" s="4" t="s">
        <v>22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4.25" customHeight="1">
      <c r="A969" s="4">
        <v>13794</v>
      </c>
      <c r="B969" s="4" t="str">
        <f>IFERROR(VLOOKUP(A969,Colaboradores!A:D,2,),"")</f>
        <v>ERMANDO VIEIRA DE MOURA NETO</v>
      </c>
      <c r="C969" s="4" t="str">
        <f>IFERROR(VLOOKUP(A969,Colaboradores!A:D,3,),"")</f>
        <v>REGIONAL LESTE</v>
      </c>
      <c r="D969" s="4" t="str">
        <f>IFERROR(VLOOKUP(A969,Colaboradores!A:D,4,),"")</f>
        <v>MÉDICO DO TRABALHO</v>
      </c>
      <c r="E969" s="4" t="s">
        <v>51</v>
      </c>
      <c r="F969" s="5" t="str">
        <f>IFERROR(VLOOKUP(E969,Procedimentos!A:C,2,),"")</f>
        <v>DIRETRIZES PARA ENTREGA DE ATESTADOS MÉDICOS E ODONTOLÓGICOS</v>
      </c>
      <c r="G969" s="4" t="s">
        <v>22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4.25" customHeight="1">
      <c r="A970" s="4">
        <v>13794</v>
      </c>
      <c r="B970" s="4" t="str">
        <f>IFERROR(VLOOKUP(A970,Colaboradores!A:D,2,),"")</f>
        <v>ERMANDO VIEIRA DE MOURA NETO</v>
      </c>
      <c r="C970" s="4" t="str">
        <f>IFERROR(VLOOKUP(A970,Colaboradores!A:D,3,),"")</f>
        <v>REGIONAL LESTE</v>
      </c>
      <c r="D970" s="4" t="str">
        <f>IFERROR(VLOOKUP(A970,Colaboradores!A:D,4,),"")</f>
        <v>MÉDICO DO TRABALHO</v>
      </c>
      <c r="E970" s="4" t="s">
        <v>52</v>
      </c>
      <c r="F970" s="5" t="str">
        <f>IFERROR(VLOOKUP(E970,Procedimentos!A:C,2,),"")</f>
        <v>DIRETRIZES E ACOMPANHAMENTO  DE ACIDENTE COM MATERIAL BIOLOGICO</v>
      </c>
      <c r="G970" s="4" t="s">
        <v>22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4.25" customHeight="1">
      <c r="A971" s="4">
        <v>13794</v>
      </c>
      <c r="B971" s="4" t="str">
        <f>IFERROR(VLOOKUP(A971,Colaboradores!A:D,2,),"")</f>
        <v>ERMANDO VIEIRA DE MOURA NETO</v>
      </c>
      <c r="C971" s="4" t="str">
        <f>IFERROR(VLOOKUP(A971,Colaboradores!A:D,3,),"")</f>
        <v>REGIONAL LESTE</v>
      </c>
      <c r="D971" s="4" t="str">
        <f>IFERROR(VLOOKUP(A971,Colaboradores!A:D,4,),"")</f>
        <v>MÉDICO DO TRABALHO</v>
      </c>
      <c r="E971" s="4" t="s">
        <v>53</v>
      </c>
      <c r="F971" s="5" t="str">
        <f>IFERROR(VLOOKUP(E971,Procedimentos!A:C,2,),"")</f>
        <v>DIRETRIZES PARA MONITORAMENTO DE GESTANTE</v>
      </c>
      <c r="G971" s="4" t="s">
        <v>22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4.25" customHeight="1">
      <c r="A972" s="4">
        <v>13794</v>
      </c>
      <c r="B972" s="4" t="str">
        <f>IFERROR(VLOOKUP(A972,Colaboradores!A:D,2,),"")</f>
        <v>ERMANDO VIEIRA DE MOURA NETO</v>
      </c>
      <c r="C972" s="4" t="str">
        <f>IFERROR(VLOOKUP(A972,Colaboradores!A:D,3,),"")</f>
        <v>REGIONAL LESTE</v>
      </c>
      <c r="D972" s="4" t="str">
        <f>IFERROR(VLOOKUP(A972,Colaboradores!A:D,4,),"")</f>
        <v>MÉDICO DO TRABALHO</v>
      </c>
      <c r="E972" s="4" t="s">
        <v>54</v>
      </c>
      <c r="F972" s="5" t="str">
        <f>IFERROR(VLOOKUP(E972,Procedimentos!A:C,2,),"")</f>
        <v>DIRETRIZES DE IMUNIZAÇÃO OCUPACIONAL</v>
      </c>
      <c r="G972" s="4" t="s">
        <v>22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4.25" customHeight="1">
      <c r="A973" s="4">
        <v>13794</v>
      </c>
      <c r="B973" s="4" t="str">
        <f>IFERROR(VLOOKUP(A973,Colaboradores!A:D,2,),"")</f>
        <v>ERMANDO VIEIRA DE MOURA NETO</v>
      </c>
      <c r="C973" s="4" t="str">
        <f>IFERROR(VLOOKUP(A973,Colaboradores!A:D,3,),"")</f>
        <v>REGIONAL LESTE</v>
      </c>
      <c r="D973" s="4" t="str">
        <f>IFERROR(VLOOKUP(A973,Colaboradores!A:D,4,),"")</f>
        <v>MÉDICO DO TRABALHO</v>
      </c>
      <c r="E973" s="4" t="s">
        <v>55</v>
      </c>
      <c r="F973" s="5" t="str">
        <f>IFERROR(VLOOKUP(E973,Procedimentos!A:C,2,),"")</f>
        <v>DIRETRIZES PARA ACOMPANHAMENTO DE AFASTADOS</v>
      </c>
      <c r="G973" s="4" t="s">
        <v>22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4.25" customHeight="1">
      <c r="A974" s="4">
        <v>13794</v>
      </c>
      <c r="B974" s="4" t="str">
        <f>IFERROR(VLOOKUP(A974,Colaboradores!A:D,2,),"")</f>
        <v>ERMANDO VIEIRA DE MOURA NETO</v>
      </c>
      <c r="C974" s="4" t="str">
        <f>IFERROR(VLOOKUP(A974,Colaboradores!A:D,3,),"")</f>
        <v>REGIONAL LESTE</v>
      </c>
      <c r="D974" s="4" t="str">
        <f>IFERROR(VLOOKUP(A974,Colaboradores!A:D,4,),"")</f>
        <v>MÉDICO DO TRABALHO</v>
      </c>
      <c r="E974" s="4" t="s">
        <v>46</v>
      </c>
      <c r="F974" s="5" t="str">
        <f>IFERROR(VLOOKUP(E974,Procedimentos!A:C,2,),"")</f>
        <v>POLÍTICA DE SAÚDE E SEGURANÇA DO TRABALHO EMSERH</v>
      </c>
      <c r="G974" s="4" t="s">
        <v>22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4.25" customHeight="1">
      <c r="A975" s="4">
        <v>14356</v>
      </c>
      <c r="B975" s="4" t="str">
        <f>IFERROR(VLOOKUP(A975,Colaboradores!A:D,2,),"")</f>
        <v>JACILENE BELO LIMA</v>
      </c>
      <c r="C975" s="4" t="str">
        <f>IFERROR(VLOOKUP(A975,Colaboradores!A:D,3,),"")</f>
        <v>REGIONAL LESTE</v>
      </c>
      <c r="D975" s="4" t="str">
        <f>IFERROR(VLOOKUP(A975,Colaboradores!A:D,4,),"")</f>
        <v>ASSISTENTE ADMINISTRATIVO</v>
      </c>
      <c r="E975" s="4" t="s">
        <v>58</v>
      </c>
      <c r="F975" s="5" t="str">
        <f>IFERROR(VLOOKUP(E975,Procedimentos!A:C,2,),"")</f>
        <v>POLÍTICA DE QUALIDADE DA DIRETORIA</v>
      </c>
      <c r="G975" s="4" t="s">
        <v>22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4.25" customHeight="1">
      <c r="A976" s="4">
        <v>14356</v>
      </c>
      <c r="B976" s="4" t="str">
        <f>IFERROR(VLOOKUP(A976,Colaboradores!A:D,2,),"")</f>
        <v>JACILENE BELO LIMA</v>
      </c>
      <c r="C976" s="4" t="str">
        <f>IFERROR(VLOOKUP(A976,Colaboradores!A:D,3,),"")</f>
        <v>REGIONAL LESTE</v>
      </c>
      <c r="D976" s="4" t="str">
        <f>IFERROR(VLOOKUP(A976,Colaboradores!A:D,4,),"")</f>
        <v>ASSISTENTE ADMINISTRATIVO</v>
      </c>
      <c r="E976" s="4" t="s">
        <v>19</v>
      </c>
      <c r="F976" s="5" t="str">
        <f>IFERROR(VLOOKUP(E976,Procedimentos!A:C,2,),"")</f>
        <v>DIRETRIZES PARA DOCUMENTOS NORMATIVOS</v>
      </c>
      <c r="G976" s="4" t="s">
        <v>22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4.25" customHeight="1">
      <c r="A977" s="4">
        <v>14356</v>
      </c>
      <c r="B977" s="4" t="str">
        <f>IFERROR(VLOOKUP(A977,Colaboradores!A:D,2,),"")</f>
        <v>JACILENE BELO LIMA</v>
      </c>
      <c r="C977" s="4" t="str">
        <f>IFERROR(VLOOKUP(A977,Colaboradores!A:D,3,),"")</f>
        <v>REGIONAL LESTE</v>
      </c>
      <c r="D977" s="4" t="str">
        <f>IFERROR(VLOOKUP(A977,Colaboradores!A:D,4,),"")</f>
        <v>ASSISTENTE ADMINISTRATIVO</v>
      </c>
      <c r="E977" s="4" t="s">
        <v>24</v>
      </c>
      <c r="F977" s="5" t="str">
        <f>IFERROR(VLOOKUP(E977,Procedimentos!A:C,2,),"")</f>
        <v>DIRETRIZES  PARA PROGRAMA 5S</v>
      </c>
      <c r="G977" s="4" t="s">
        <v>22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4.25" customHeight="1">
      <c r="A978" s="4">
        <v>14356</v>
      </c>
      <c r="B978" s="4" t="str">
        <f>IFERROR(VLOOKUP(A978,Colaboradores!A:D,2,),"")</f>
        <v>JACILENE BELO LIMA</v>
      </c>
      <c r="C978" s="4" t="str">
        <f>IFERROR(VLOOKUP(A978,Colaboradores!A:D,3,),"")</f>
        <v>REGIONAL LESTE</v>
      </c>
      <c r="D978" s="4" t="str">
        <f>IFERROR(VLOOKUP(A978,Colaboradores!A:D,4,),"")</f>
        <v>ASSISTENTE ADMINISTRATIVO</v>
      </c>
      <c r="E978" s="4" t="s">
        <v>25</v>
      </c>
      <c r="F978" s="5" t="str">
        <f>IFERROR(VLOOKUP(E978,Procedimentos!A:C,2,),"")</f>
        <v>GARANTIA DA QUALIDADE</v>
      </c>
      <c r="G978" s="4" t="s">
        <v>22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4.25" customHeight="1">
      <c r="A979" s="4">
        <v>14356</v>
      </c>
      <c r="B979" s="4" t="str">
        <f>IFERROR(VLOOKUP(A979,Colaboradores!A:D,2,),"")</f>
        <v>JACILENE BELO LIMA</v>
      </c>
      <c r="C979" s="4" t="str">
        <f>IFERROR(VLOOKUP(A979,Colaboradores!A:D,3,),"")</f>
        <v>REGIONAL LESTE</v>
      </c>
      <c r="D979" s="4" t="str">
        <f>IFERROR(VLOOKUP(A979,Colaboradores!A:D,4,),"")</f>
        <v>ASSISTENTE ADMINISTRATIVO</v>
      </c>
      <c r="E979" s="4" t="s">
        <v>26</v>
      </c>
      <c r="F979" s="5" t="str">
        <f>IFERROR(VLOOKUP(E979,Procedimentos!A:C,2,),"")</f>
        <v>RESPONSABILIDADES E AUTORIDADES DO SGQ</v>
      </c>
      <c r="G979" s="4" t="s">
        <v>22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4.25" customHeight="1">
      <c r="A980" s="4">
        <v>14356</v>
      </c>
      <c r="B980" s="4" t="str">
        <f>IFERROR(VLOOKUP(A980,Colaboradores!A:D,2,),"")</f>
        <v>JACILENE BELO LIMA</v>
      </c>
      <c r="C980" s="4" t="str">
        <f>IFERROR(VLOOKUP(A980,Colaboradores!A:D,3,),"")</f>
        <v>REGIONAL LESTE</v>
      </c>
      <c r="D980" s="4" t="str">
        <f>IFERROR(VLOOKUP(A980,Colaboradores!A:D,4,),"")</f>
        <v>ASSISTENTE ADMINISTRATIVO</v>
      </c>
      <c r="E980" s="4" t="s">
        <v>73</v>
      </c>
      <c r="F980" s="5" t="str">
        <f>IFERROR(VLOOKUP(E980,Procedimentos!A:C,2,),"")</f>
        <v>AQUISIÇÃO DE BENS E SERVIÇOS E AVALIAÇÃO PROVEDORES EXTERNOS</v>
      </c>
      <c r="G980" s="4" t="s">
        <v>22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4.25" customHeight="1">
      <c r="A981" s="4">
        <v>14356</v>
      </c>
      <c r="B981" s="4" t="str">
        <f>IFERROR(VLOOKUP(A981,Colaboradores!A:D,2,),"")</f>
        <v>JACILENE BELO LIMA</v>
      </c>
      <c r="C981" s="4" t="str">
        <f>IFERROR(VLOOKUP(A981,Colaboradores!A:D,3,),"")</f>
        <v>REGIONAL LESTE</v>
      </c>
      <c r="D981" s="4" t="str">
        <f>IFERROR(VLOOKUP(A981,Colaboradores!A:D,4,),"")</f>
        <v>ASSISTENTE ADMINISTRATIVO</v>
      </c>
      <c r="E981" s="4" t="s">
        <v>48</v>
      </c>
      <c r="F981" s="5" t="str">
        <f>IFERROR(VLOOKUP(E981,Procedimentos!A:C,2,),"")</f>
        <v>POLÍTICA MEIO AMBIENTE EMSERH</v>
      </c>
      <c r="G981" s="4" t="s">
        <v>22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4.25" customHeight="1">
      <c r="A982" s="4">
        <v>14356</v>
      </c>
      <c r="B982" s="4" t="str">
        <f>IFERROR(VLOOKUP(A982,Colaboradores!A:D,2,),"")</f>
        <v>JACILENE BELO LIMA</v>
      </c>
      <c r="C982" s="4" t="str">
        <f>IFERROR(VLOOKUP(A982,Colaboradores!A:D,3,),"")</f>
        <v>REGIONAL LESTE</v>
      </c>
      <c r="D982" s="4" t="str">
        <f>IFERROR(VLOOKUP(A982,Colaboradores!A:D,4,),"")</f>
        <v>ASSISTENTE ADMINISTRATIVO</v>
      </c>
      <c r="E982" s="4" t="s">
        <v>29</v>
      </c>
      <c r="F982" s="5" t="str">
        <f>IFERROR(VLOOKUP(E982,Procedimentos!A:C,2,),"")</f>
        <v>COLETA SELETIVA DESSMA</v>
      </c>
      <c r="G982" s="4" t="s">
        <v>22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4.25" customHeight="1">
      <c r="A983" s="4">
        <v>14356</v>
      </c>
      <c r="B983" s="4" t="str">
        <f>IFERROR(VLOOKUP(A983,Colaboradores!A:D,2,),"")</f>
        <v>JACILENE BELO LIMA</v>
      </c>
      <c r="C983" s="4" t="str">
        <f>IFERROR(VLOOKUP(A983,Colaboradores!A:D,3,),"")</f>
        <v>REGIONAL LESTE</v>
      </c>
      <c r="D983" s="4" t="str">
        <f>IFERROR(VLOOKUP(A983,Colaboradores!A:D,4,),"")</f>
        <v>ASSISTENTE ADMINISTRATIVO</v>
      </c>
      <c r="E983" s="4" t="s">
        <v>36</v>
      </c>
      <c r="F983" s="5" t="str">
        <f>IFERROR(VLOOKUP(E983,Procedimentos!A:C,2,),"")</f>
        <v>GESTÃO DE PRODUTOS QUÍMICOS</v>
      </c>
      <c r="G983" s="4" t="s">
        <v>22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4.25" customHeight="1">
      <c r="A984" s="4">
        <v>14356</v>
      </c>
      <c r="B984" s="4" t="str">
        <f>IFERROR(VLOOKUP(A984,Colaboradores!A:D,2,),"")</f>
        <v>JACILENE BELO LIMA</v>
      </c>
      <c r="C984" s="4" t="str">
        <f>IFERROR(VLOOKUP(A984,Colaboradores!A:D,3,),"")</f>
        <v>REGIONAL LESTE</v>
      </c>
      <c r="D984" s="4" t="str">
        <f>IFERROR(VLOOKUP(A984,Colaboradores!A:D,4,),"")</f>
        <v>ASSISTENTE ADMINISTRATIVO</v>
      </c>
      <c r="E984" s="4" t="s">
        <v>32</v>
      </c>
      <c r="F984" s="5" t="str">
        <f>IFERROR(VLOOKUP(E984,Procedimentos!A:C,2,),"")</f>
        <v>GESTÃO DE LEVANTAMENTO DE ASPECTOS E IMPACTOS AMBIENTAIS</v>
      </c>
      <c r="G984" s="4" t="s">
        <v>22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4.25" customHeight="1">
      <c r="A985" s="4">
        <v>14356</v>
      </c>
      <c r="B985" s="4" t="str">
        <f>IFERROR(VLOOKUP(A985,Colaboradores!A:D,2,),"")</f>
        <v>JACILENE BELO LIMA</v>
      </c>
      <c r="C985" s="4" t="str">
        <f>IFERROR(VLOOKUP(A985,Colaboradores!A:D,3,),"")</f>
        <v>REGIONAL LESTE</v>
      </c>
      <c r="D985" s="4" t="str">
        <f>IFERROR(VLOOKUP(A985,Colaboradores!A:D,4,),"")</f>
        <v>ASSISTENTE ADMINISTRATIVO</v>
      </c>
      <c r="E985" s="4" t="s">
        <v>31</v>
      </c>
      <c r="F985" s="5" t="str">
        <f>IFERROR(VLOOKUP(E985,Procedimentos!A:C,2,),"")</f>
        <v>GESTÃO DE COMUNICAÇÃO, CLASSIFICAÇÃO E INVESTIGAÇÃO DE OCORRÊNCIAS AMBIENTAIS</v>
      </c>
      <c r="G985" s="4" t="s">
        <v>22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4.25" customHeight="1">
      <c r="A986" s="4">
        <v>14356</v>
      </c>
      <c r="B986" s="4" t="str">
        <f>IFERROR(VLOOKUP(A986,Colaboradores!A:D,2,),"")</f>
        <v>JACILENE BELO LIMA</v>
      </c>
      <c r="C986" s="4" t="str">
        <f>IFERROR(VLOOKUP(A986,Colaboradores!A:D,3,),"")</f>
        <v>REGIONAL LESTE</v>
      </c>
      <c r="D986" s="4" t="str">
        <f>IFERROR(VLOOKUP(A986,Colaboradores!A:D,4,),"")</f>
        <v>ASSISTENTE ADMINISTRATIVO</v>
      </c>
      <c r="E986" s="4" t="s">
        <v>33</v>
      </c>
      <c r="F986" s="5" t="str">
        <f>IFERROR(VLOOKUP(E986,Procedimentos!A:C,2,),"")</f>
        <v>GESTÃO DE INSPEÇÕES AMBIENTAIS</v>
      </c>
      <c r="G986" s="4" t="s">
        <v>22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4.25" customHeight="1">
      <c r="A987" s="4">
        <v>14356</v>
      </c>
      <c r="B987" s="4" t="str">
        <f>IFERROR(VLOOKUP(A987,Colaboradores!A:D,2,),"")</f>
        <v>JACILENE BELO LIMA</v>
      </c>
      <c r="C987" s="4" t="str">
        <f>IFERROR(VLOOKUP(A987,Colaboradores!A:D,3,),"")</f>
        <v>REGIONAL LESTE</v>
      </c>
      <c r="D987" s="4" t="str">
        <f>IFERROR(VLOOKUP(A987,Colaboradores!A:D,4,),"")</f>
        <v>ASSISTENTE ADMINISTRATIVO</v>
      </c>
      <c r="E987" s="4" t="s">
        <v>39</v>
      </c>
      <c r="F987" s="5" t="str">
        <f>IFERROR(VLOOKUP(E987,Procedimentos!A:C,2,),"")</f>
        <v>GESTÃO DE ÁGUAS E EFLUENTES</v>
      </c>
      <c r="G987" s="4" t="s">
        <v>22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4.25" customHeight="1">
      <c r="A988" s="4">
        <v>14356</v>
      </c>
      <c r="B988" s="4" t="str">
        <f>IFERROR(VLOOKUP(A988,Colaboradores!A:D,2,),"")</f>
        <v>JACILENE BELO LIMA</v>
      </c>
      <c r="C988" s="4" t="str">
        <f>IFERROR(VLOOKUP(A988,Colaboradores!A:D,3,),"")</f>
        <v>REGIONAL LESTE</v>
      </c>
      <c r="D988" s="4" t="str">
        <f>IFERROR(VLOOKUP(A988,Colaboradores!A:D,4,),"")</f>
        <v>ASSISTENTE ADMINISTRATIVO</v>
      </c>
      <c r="E988" s="4" t="s">
        <v>34</v>
      </c>
      <c r="F988" s="5" t="str">
        <f>IFERROR(VLOOKUP(E988,Procedimentos!A:C,2,),"")</f>
        <v>GESTÃO DE LICENCIAMENTO AMBIENTAL</v>
      </c>
      <c r="G988" s="4" t="s">
        <v>22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4.25" customHeight="1">
      <c r="A989" s="4">
        <v>14356</v>
      </c>
      <c r="B989" s="4" t="str">
        <f>IFERROR(VLOOKUP(A989,Colaboradores!A:D,2,),"")</f>
        <v>JACILENE BELO LIMA</v>
      </c>
      <c r="C989" s="4" t="str">
        <f>IFERROR(VLOOKUP(A989,Colaboradores!A:D,3,),"")</f>
        <v>REGIONAL LESTE</v>
      </c>
      <c r="D989" s="4" t="str">
        <f>IFERROR(VLOOKUP(A989,Colaboradores!A:D,4,),"")</f>
        <v>ASSISTENTE ADMINISTRATIVO</v>
      </c>
      <c r="E989" s="4" t="s">
        <v>38</v>
      </c>
      <c r="F989" s="5" t="str">
        <f>IFERROR(VLOOKUP(E989,Procedimentos!A:C,2,),"")</f>
        <v>GESTÃO DE CONDICIONANTES DE LICENCIAMENTO AMBIENTAL</v>
      </c>
      <c r="G989" s="4" t="s">
        <v>22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4.25" customHeight="1">
      <c r="A990" s="4">
        <v>14356</v>
      </c>
      <c r="B990" s="4" t="str">
        <f>IFERROR(VLOOKUP(A990,Colaboradores!A:D,2,),"")</f>
        <v>JACILENE BELO LIMA</v>
      </c>
      <c r="C990" s="4" t="str">
        <f>IFERROR(VLOOKUP(A990,Colaboradores!A:D,3,),"")</f>
        <v>REGIONAL LESTE</v>
      </c>
      <c r="D990" s="4" t="str">
        <f>IFERROR(VLOOKUP(A990,Colaboradores!A:D,4,),"")</f>
        <v>ASSISTENTE ADMINISTRATIVO</v>
      </c>
      <c r="E990" s="4" t="s">
        <v>37</v>
      </c>
      <c r="F990" s="5" t="str">
        <f>IFERROR(VLOOKUP(E990,Procedimentos!A:C,2,),"")</f>
        <v>GESTÃO DE RESÍDUOS SÓLIDOS DE SERVIÇOS DE SAÚDE</v>
      </c>
      <c r="G990" s="4" t="s">
        <v>22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4.25" customHeight="1">
      <c r="A991" s="4">
        <v>14356</v>
      </c>
      <c r="B991" s="4" t="str">
        <f>IFERROR(VLOOKUP(A991,Colaboradores!A:D,2,),"")</f>
        <v>JACILENE BELO LIMA</v>
      </c>
      <c r="C991" s="4" t="str">
        <f>IFERROR(VLOOKUP(A991,Colaboradores!A:D,3,),"")</f>
        <v>REGIONAL LESTE</v>
      </c>
      <c r="D991" s="4" t="str">
        <f>IFERROR(VLOOKUP(A991,Colaboradores!A:D,4,),"")</f>
        <v>ASSISTENTE ADMINISTRATIVO</v>
      </c>
      <c r="E991" s="4" t="s">
        <v>35</v>
      </c>
      <c r="F991" s="5" t="str">
        <f>IFERROR(VLOOKUP(E991,Procedimentos!A:C,2,),"")</f>
        <v>PROCEDIMENTO DE AFERIÇÃO DE FUMAÇA PRETA</v>
      </c>
      <c r="G991" s="4" t="s">
        <v>22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4.25" customHeight="1">
      <c r="A992" s="4">
        <v>14356</v>
      </c>
      <c r="B992" s="4" t="str">
        <f>IFERROR(VLOOKUP(A992,Colaboradores!A:D,2,),"")</f>
        <v>JACILENE BELO LIMA</v>
      </c>
      <c r="C992" s="4" t="str">
        <f>IFERROR(VLOOKUP(A992,Colaboradores!A:D,3,),"")</f>
        <v>REGIONAL LESTE</v>
      </c>
      <c r="D992" s="4" t="str">
        <f>IFERROR(VLOOKUP(A992,Colaboradores!A:D,4,),"")</f>
        <v>ASSISTENTE ADMINISTRATIVO</v>
      </c>
      <c r="E992" s="4" t="s">
        <v>49</v>
      </c>
      <c r="F992" s="5" t="str">
        <f>IFERROR(VLOOKUP(E992,Procedimentos!A:C,2,),"")</f>
        <v>DIRETRIZES PARA REALIZAÇÃO DE EXAMES OCUPACIONAIS</v>
      </c>
      <c r="G992" s="4" t="s">
        <v>22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4.25" customHeight="1">
      <c r="A993" s="4">
        <v>14356</v>
      </c>
      <c r="B993" s="4" t="str">
        <f>IFERROR(VLOOKUP(A993,Colaboradores!A:D,2,),"")</f>
        <v>JACILENE BELO LIMA</v>
      </c>
      <c r="C993" s="4" t="str">
        <f>IFERROR(VLOOKUP(A993,Colaboradores!A:D,3,),"")</f>
        <v>REGIONAL LESTE</v>
      </c>
      <c r="D993" s="4" t="str">
        <f>IFERROR(VLOOKUP(A993,Colaboradores!A:D,4,),"")</f>
        <v>ASSISTENTE ADMINISTRATIVO</v>
      </c>
      <c r="E993" s="4" t="s">
        <v>51</v>
      </c>
      <c r="F993" s="5" t="str">
        <f>IFERROR(VLOOKUP(E993,Procedimentos!A:C,2,),"")</f>
        <v>DIRETRIZES PARA ENTREGA DE ATESTADOS MÉDICOS E ODONTOLÓGICOS</v>
      </c>
      <c r="G993" s="4" t="s">
        <v>22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4.25" customHeight="1">
      <c r="A994" s="4">
        <v>14356</v>
      </c>
      <c r="B994" s="4" t="str">
        <f>IFERROR(VLOOKUP(A994,Colaboradores!A:D,2,),"")</f>
        <v>JACILENE BELO LIMA</v>
      </c>
      <c r="C994" s="4" t="str">
        <f>IFERROR(VLOOKUP(A994,Colaboradores!A:D,3,),"")</f>
        <v>REGIONAL LESTE</v>
      </c>
      <c r="D994" s="4" t="str">
        <f>IFERROR(VLOOKUP(A994,Colaboradores!A:D,4,),"")</f>
        <v>ASSISTENTE ADMINISTRATIVO</v>
      </c>
      <c r="E994" s="4" t="s">
        <v>52</v>
      </c>
      <c r="F994" s="5" t="str">
        <f>IFERROR(VLOOKUP(E994,Procedimentos!A:C,2,),"")</f>
        <v>DIRETRIZES E ACOMPANHAMENTO  DE ACIDENTE COM MATERIAL BIOLOGICO</v>
      </c>
      <c r="G994" s="4" t="s">
        <v>22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4.25" customHeight="1">
      <c r="A995" s="4">
        <v>14356</v>
      </c>
      <c r="B995" s="4" t="str">
        <f>IFERROR(VLOOKUP(A995,Colaboradores!A:D,2,),"")</f>
        <v>JACILENE BELO LIMA</v>
      </c>
      <c r="C995" s="4" t="str">
        <f>IFERROR(VLOOKUP(A995,Colaboradores!A:D,3,),"")</f>
        <v>REGIONAL LESTE</v>
      </c>
      <c r="D995" s="4" t="str">
        <f>IFERROR(VLOOKUP(A995,Colaboradores!A:D,4,),"")</f>
        <v>ASSISTENTE ADMINISTRATIVO</v>
      </c>
      <c r="E995" s="4" t="s">
        <v>53</v>
      </c>
      <c r="F995" s="5" t="str">
        <f>IFERROR(VLOOKUP(E995,Procedimentos!A:C,2,),"")</f>
        <v>DIRETRIZES PARA MONITORAMENTO DE GESTANTE</v>
      </c>
      <c r="G995" s="4" t="s">
        <v>22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4.25" customHeight="1">
      <c r="A996" s="4">
        <v>14356</v>
      </c>
      <c r="B996" s="4" t="str">
        <f>IFERROR(VLOOKUP(A996,Colaboradores!A:D,2,),"")</f>
        <v>JACILENE BELO LIMA</v>
      </c>
      <c r="C996" s="4" t="str">
        <f>IFERROR(VLOOKUP(A996,Colaboradores!A:D,3,),"")</f>
        <v>REGIONAL LESTE</v>
      </c>
      <c r="D996" s="4" t="str">
        <f>IFERROR(VLOOKUP(A996,Colaboradores!A:D,4,),"")</f>
        <v>ASSISTENTE ADMINISTRATIVO</v>
      </c>
      <c r="E996" s="4" t="s">
        <v>54</v>
      </c>
      <c r="F996" s="5" t="str">
        <f>IFERROR(VLOOKUP(E996,Procedimentos!A:C,2,),"")</f>
        <v>DIRETRIZES DE IMUNIZAÇÃO OCUPACIONAL</v>
      </c>
      <c r="G996" s="4" t="s">
        <v>22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4.25" customHeight="1">
      <c r="A997" s="4">
        <v>14356</v>
      </c>
      <c r="B997" s="4" t="str">
        <f>IFERROR(VLOOKUP(A997,Colaboradores!A:D,2,),"")</f>
        <v>JACILENE BELO LIMA</v>
      </c>
      <c r="C997" s="4" t="str">
        <f>IFERROR(VLOOKUP(A997,Colaboradores!A:D,3,),"")</f>
        <v>REGIONAL LESTE</v>
      </c>
      <c r="D997" s="4" t="str">
        <f>IFERROR(VLOOKUP(A997,Colaboradores!A:D,4,),"")</f>
        <v>ASSISTENTE ADMINISTRATIVO</v>
      </c>
      <c r="E997" s="4" t="s">
        <v>55</v>
      </c>
      <c r="F997" s="5" t="str">
        <f>IFERROR(VLOOKUP(E997,Procedimentos!A:C,2,),"")</f>
        <v>DIRETRIZES PARA ACOMPANHAMENTO DE AFASTADOS</v>
      </c>
      <c r="G997" s="4" t="s">
        <v>22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4.25" customHeight="1">
      <c r="A998" s="4">
        <v>14356</v>
      </c>
      <c r="B998" s="4" t="str">
        <f>IFERROR(VLOOKUP(A998,Colaboradores!A:D,2,),"")</f>
        <v>JACILENE BELO LIMA</v>
      </c>
      <c r="C998" s="4" t="str">
        <f>IFERROR(VLOOKUP(A998,Colaboradores!A:D,3,),"")</f>
        <v>REGIONAL LESTE</v>
      </c>
      <c r="D998" s="4" t="str">
        <f>IFERROR(VLOOKUP(A998,Colaboradores!A:D,4,),"")</f>
        <v>ASSISTENTE ADMINISTRATIVO</v>
      </c>
      <c r="E998" s="4" t="s">
        <v>46</v>
      </c>
      <c r="F998" s="5" t="str">
        <f>IFERROR(VLOOKUP(E998,Procedimentos!A:C,2,),"")</f>
        <v>POLÍTICA DE SAÚDE E SEGURANÇA DO TRABALHO EMSERH</v>
      </c>
      <c r="G998" s="4" t="s">
        <v>22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4.25" customHeight="1">
      <c r="A999" s="4">
        <v>14356</v>
      </c>
      <c r="B999" s="4" t="str">
        <f>IFERROR(VLOOKUP(A999,Colaboradores!A:D,2,),"")</f>
        <v>JACILENE BELO LIMA</v>
      </c>
      <c r="C999" s="4" t="str">
        <f>IFERROR(VLOOKUP(A999,Colaboradores!A:D,3,),"")</f>
        <v>REGIONAL LESTE</v>
      </c>
      <c r="D999" s="4" t="str">
        <f>IFERROR(VLOOKUP(A999,Colaboradores!A:D,4,),"")</f>
        <v>ASSISTENTE ADMINISTRATIVO</v>
      </c>
      <c r="E999" s="4" t="s">
        <v>41</v>
      </c>
      <c r="F999" s="5" t="str">
        <f>IFERROR(VLOOKUP(E999,Procedimentos!A:C,2,),"")</f>
        <v>DIRETRIZES PARA COMUNICAÇÃO E INVESTIGAÇÃO DE ACIDENTES</v>
      </c>
      <c r="G999" s="4" t="s">
        <v>22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4.25" customHeight="1">
      <c r="A1000" s="4">
        <v>14356</v>
      </c>
      <c r="B1000" s="4" t="str">
        <f>IFERROR(VLOOKUP(A1000,Colaboradores!A:D,2,),"")</f>
        <v>JACILENE BELO LIMA</v>
      </c>
      <c r="C1000" s="4" t="str">
        <f>IFERROR(VLOOKUP(A1000,Colaboradores!A:D,3,),"")</f>
        <v>REGIONAL LESTE</v>
      </c>
      <c r="D1000" s="4" t="str">
        <f>IFERROR(VLOOKUP(A1000,Colaboradores!A:D,4,),"")</f>
        <v>ASSISTENTE ADMINISTRATIVO</v>
      </c>
      <c r="E1000" s="4" t="s">
        <v>43</v>
      </c>
      <c r="F1000" s="5" t="str">
        <f>IFERROR(VLOOKUP(E1000,Procedimentos!A:C,2,),"")</f>
        <v>DIÁLOGO DE SAÚDE E SEGURANÇA - DSS</v>
      </c>
      <c r="G1000" s="4" t="s">
        <v>22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4.25" customHeight="1">
      <c r="A1001" s="4">
        <v>14356</v>
      </c>
      <c r="B1001" s="4" t="str">
        <f>IFERROR(VLOOKUP(A1001,Colaboradores!A:D,2,),"")</f>
        <v>JACILENE BELO LIMA</v>
      </c>
      <c r="C1001" s="4" t="str">
        <f>IFERROR(VLOOKUP(A1001,Colaboradores!A:D,3,),"")</f>
        <v>REGIONAL LESTE</v>
      </c>
      <c r="D1001" s="4" t="str">
        <f>IFERROR(VLOOKUP(A1001,Colaboradores!A:D,4,),"")</f>
        <v>ASSISTENTE ADMINISTRATIVO</v>
      </c>
      <c r="E1001" s="4" t="s">
        <v>44</v>
      </c>
      <c r="F1001" s="5" t="str">
        <f>IFERROR(VLOOKUP(E1001,Procedimentos!A:C,2,),"")</f>
        <v>DIRETRIZES PARA GESTÃO DE EQUIPAMENTOS DE PROTEÇÃO INDIVIDUAL - EPI'S</v>
      </c>
      <c r="G1001" s="4" t="s">
        <v>22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4.25" customHeight="1">
      <c r="A1002" s="4">
        <v>14356</v>
      </c>
      <c r="B1002" s="4" t="str">
        <f>IFERROR(VLOOKUP(A1002,Colaboradores!A:D,2,),"")</f>
        <v>JACILENE BELO LIMA</v>
      </c>
      <c r="C1002" s="4" t="str">
        <f>IFERROR(VLOOKUP(A1002,Colaboradores!A:D,3,),"")</f>
        <v>REGIONAL LESTE</v>
      </c>
      <c r="D1002" s="4" t="str">
        <f>IFERROR(VLOOKUP(A1002,Colaboradores!A:D,4,),"")</f>
        <v>ASSISTENTE ADMINISTRATIVO</v>
      </c>
      <c r="E1002" s="4" t="s">
        <v>45</v>
      </c>
      <c r="F1002" s="5" t="str">
        <f>IFERROR(VLOOKUP(E1002,Procedimentos!A:C,2,),"")</f>
        <v>CONSTITUIÇÃO INTERNA DE PREVENÇÃO DE ACIDENTES E DE ASSÉDIOS - CIPA</v>
      </c>
      <c r="G1002" s="4" t="s">
        <v>22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spans="1:26" ht="14.25" customHeight="1">
      <c r="A1003" s="4">
        <v>14356</v>
      </c>
      <c r="B1003" s="4" t="str">
        <f>IFERROR(VLOOKUP(A1003,Colaboradores!A:D,2,),"")</f>
        <v>JACILENE BELO LIMA</v>
      </c>
      <c r="C1003" s="4" t="str">
        <f>IFERROR(VLOOKUP(A1003,Colaboradores!A:D,3,),"")</f>
        <v>REGIONAL LESTE</v>
      </c>
      <c r="D1003" s="4" t="str">
        <f>IFERROR(VLOOKUP(A1003,Colaboradores!A:D,4,),"")</f>
        <v>ASSISTENTE ADMINISTRATIVO</v>
      </c>
      <c r="E1003" s="4" t="s">
        <v>59</v>
      </c>
      <c r="F1003" s="5" t="str">
        <f>IFERROR(VLOOKUP(E1003,Procedimentos!A:C,2,),"")</f>
        <v>GERENCIAMENTO DE RISCOS DE SAÚDE, SEGURANÇA E PROCESSOS</v>
      </c>
      <c r="G1003" s="4" t="s">
        <v>22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spans="1:26" ht="14.25" customHeight="1">
      <c r="A1004" s="4">
        <v>14356</v>
      </c>
      <c r="B1004" s="4" t="str">
        <f>IFERROR(VLOOKUP(A1004,Colaboradores!A:D,2,),"")</f>
        <v>JACILENE BELO LIMA</v>
      </c>
      <c r="C1004" s="4" t="str">
        <f>IFERROR(VLOOKUP(A1004,Colaboradores!A:D,3,),"")</f>
        <v>REGIONAL LESTE</v>
      </c>
      <c r="D1004" s="4" t="str">
        <f>IFERROR(VLOOKUP(A1004,Colaboradores!A:D,4,),"")</f>
        <v>ASSISTENTE ADMINISTRATIVO</v>
      </c>
      <c r="E1004" s="4" t="s">
        <v>61</v>
      </c>
      <c r="F1004" s="5" t="str">
        <f>IFERROR(VLOOKUP(E1004,Procedimentos!A:C,2,),"")</f>
        <v>PROCEDIMENTO DE INSPEÇÃO DE SEGURANÇA</v>
      </c>
      <c r="G1004" s="4" t="s">
        <v>22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spans="1:26" ht="14.25" customHeight="1">
      <c r="A1005" s="4">
        <v>14356</v>
      </c>
      <c r="B1005" s="4" t="str">
        <f>IFERROR(VLOOKUP(A1005,Colaboradores!A:D,2,),"")</f>
        <v>JACILENE BELO LIMA</v>
      </c>
      <c r="C1005" s="4" t="str">
        <f>IFERROR(VLOOKUP(A1005,Colaboradores!A:D,3,),"")</f>
        <v>REGIONAL LESTE</v>
      </c>
      <c r="D1005" s="4" t="str">
        <f>IFERROR(VLOOKUP(A1005,Colaboradores!A:D,4,),"")</f>
        <v>ASSISTENTE ADMINISTRATIVO</v>
      </c>
      <c r="E1005" s="4" t="s">
        <v>62</v>
      </c>
      <c r="F1005" s="5" t="str">
        <f>IFERROR(VLOOKUP(E1005,Procedimentos!A:C,2,),"")</f>
        <v>DIRETRIZES PARA ENVIO E RECEBIMENTO DE DOSÍMETRO</v>
      </c>
      <c r="G1005" s="4" t="s">
        <v>22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spans="1:26" ht="14.25" customHeight="1">
      <c r="A1006" s="4">
        <v>14357</v>
      </c>
      <c r="B1006" s="4" t="str">
        <f>IFERROR(VLOOKUP(A1006,Colaboradores!A:D,2,),"")</f>
        <v>JAIME VIEIRA GALVAO</v>
      </c>
      <c r="C1006" s="4" t="str">
        <f>IFERROR(VLOOKUP(A1006,Colaboradores!A:D,3,),"")</f>
        <v>REGIONAL LESTE</v>
      </c>
      <c r="D1006" s="4" t="str">
        <f>IFERROR(VLOOKUP(A1006,Colaboradores!A:D,4,),"")</f>
        <v>ENFERMEIRO DO TRABALHO</v>
      </c>
      <c r="E1006" s="4" t="s">
        <v>58</v>
      </c>
      <c r="F1006" s="5" t="str">
        <f>IFERROR(VLOOKUP(E1006,Procedimentos!A:C,2,),"")</f>
        <v>POLÍTICA DE QUALIDADE DA DIRETORIA</v>
      </c>
      <c r="G1006" s="4" t="s">
        <v>22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 spans="1:26" ht="14.25" customHeight="1">
      <c r="A1007" s="4">
        <v>14357</v>
      </c>
      <c r="B1007" s="4" t="str">
        <f>IFERROR(VLOOKUP(A1007,Colaboradores!A:D,2,),"")</f>
        <v>JAIME VIEIRA GALVAO</v>
      </c>
      <c r="C1007" s="4" t="str">
        <f>IFERROR(VLOOKUP(A1007,Colaboradores!A:D,3,),"")</f>
        <v>REGIONAL LESTE</v>
      </c>
      <c r="D1007" s="4" t="str">
        <f>IFERROR(VLOOKUP(A1007,Colaboradores!A:D,4,),"")</f>
        <v>ENFERMEIRO DO TRABALHO</v>
      </c>
      <c r="E1007" s="4" t="s">
        <v>19</v>
      </c>
      <c r="F1007" s="5" t="str">
        <f>IFERROR(VLOOKUP(E1007,Procedimentos!A:C,2,),"")</f>
        <v>DIRETRIZES PARA DOCUMENTOS NORMATIVOS</v>
      </c>
      <c r="G1007" s="4" t="s">
        <v>22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 spans="1:26" ht="14.25" customHeight="1">
      <c r="A1008" s="4">
        <v>14357</v>
      </c>
      <c r="B1008" s="4" t="str">
        <f>IFERROR(VLOOKUP(A1008,Colaboradores!A:D,2,),"")</f>
        <v>JAIME VIEIRA GALVAO</v>
      </c>
      <c r="C1008" s="4" t="str">
        <f>IFERROR(VLOOKUP(A1008,Colaboradores!A:D,3,),"")</f>
        <v>REGIONAL LESTE</v>
      </c>
      <c r="D1008" s="4" t="str">
        <f>IFERROR(VLOOKUP(A1008,Colaboradores!A:D,4,),"")</f>
        <v>ENFERMEIRO DO TRABALHO</v>
      </c>
      <c r="E1008" s="4" t="s">
        <v>24</v>
      </c>
      <c r="F1008" s="5" t="str">
        <f>IFERROR(VLOOKUP(E1008,Procedimentos!A:C,2,),"")</f>
        <v>DIRETRIZES  PARA PROGRAMA 5S</v>
      </c>
      <c r="G1008" s="4" t="s">
        <v>22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 spans="1:26" ht="14.25" customHeight="1">
      <c r="A1009" s="4">
        <v>14357</v>
      </c>
      <c r="B1009" s="4" t="str">
        <f>IFERROR(VLOOKUP(A1009,Colaboradores!A:D,2,),"")</f>
        <v>JAIME VIEIRA GALVAO</v>
      </c>
      <c r="C1009" s="4" t="str">
        <f>IFERROR(VLOOKUP(A1009,Colaboradores!A:D,3,),"")</f>
        <v>REGIONAL LESTE</v>
      </c>
      <c r="D1009" s="4" t="str">
        <f>IFERROR(VLOOKUP(A1009,Colaboradores!A:D,4,),"")</f>
        <v>ENFERMEIRO DO TRABALHO</v>
      </c>
      <c r="E1009" s="4" t="s">
        <v>25</v>
      </c>
      <c r="F1009" s="5" t="str">
        <f>IFERROR(VLOOKUP(E1009,Procedimentos!A:C,2,),"")</f>
        <v>GARANTIA DA QUALIDADE</v>
      </c>
      <c r="G1009" s="4" t="s">
        <v>22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 spans="1:26" ht="14.25" customHeight="1">
      <c r="A1010" s="4">
        <v>14357</v>
      </c>
      <c r="B1010" s="4" t="str">
        <f>IFERROR(VLOOKUP(A1010,Colaboradores!A:D,2,),"")</f>
        <v>JAIME VIEIRA GALVAO</v>
      </c>
      <c r="C1010" s="4" t="str">
        <f>IFERROR(VLOOKUP(A1010,Colaboradores!A:D,3,),"")</f>
        <v>REGIONAL LESTE</v>
      </c>
      <c r="D1010" s="4" t="str">
        <f>IFERROR(VLOOKUP(A1010,Colaboradores!A:D,4,),"")</f>
        <v>ENFERMEIRO DO TRABALHO</v>
      </c>
      <c r="E1010" s="4" t="s">
        <v>26</v>
      </c>
      <c r="F1010" s="5" t="str">
        <f>IFERROR(VLOOKUP(E1010,Procedimentos!A:C,2,),"")</f>
        <v>RESPONSABILIDADES E AUTORIDADES DO SGQ</v>
      </c>
      <c r="G1010" s="4" t="s">
        <v>22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 spans="1:26" ht="14.25" customHeight="1">
      <c r="A1011" s="4">
        <v>14357</v>
      </c>
      <c r="B1011" s="4" t="str">
        <f>IFERROR(VLOOKUP(A1011,Colaboradores!A:D,2,),"")</f>
        <v>JAIME VIEIRA GALVAO</v>
      </c>
      <c r="C1011" s="4" t="str">
        <f>IFERROR(VLOOKUP(A1011,Colaboradores!A:D,3,),"")</f>
        <v>REGIONAL LESTE</v>
      </c>
      <c r="D1011" s="4" t="str">
        <f>IFERROR(VLOOKUP(A1011,Colaboradores!A:D,4,),"")</f>
        <v>ENFERMEIRO DO TRABALHO</v>
      </c>
      <c r="E1011" s="4" t="s">
        <v>73</v>
      </c>
      <c r="F1011" s="5" t="str">
        <f>IFERROR(VLOOKUP(E1011,Procedimentos!A:C,2,),"")</f>
        <v>AQUISIÇÃO DE BENS E SERVIÇOS E AVALIAÇÃO PROVEDORES EXTERNOS</v>
      </c>
      <c r="G1011" s="4" t="s">
        <v>22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 spans="1:26" ht="14.25" customHeight="1">
      <c r="A1012" s="4">
        <v>14357</v>
      </c>
      <c r="B1012" s="4" t="str">
        <f>IFERROR(VLOOKUP(A1012,Colaboradores!A:D,2,),"")</f>
        <v>JAIME VIEIRA GALVAO</v>
      </c>
      <c r="C1012" s="4" t="str">
        <f>IFERROR(VLOOKUP(A1012,Colaboradores!A:D,3,),"")</f>
        <v>REGIONAL LESTE</v>
      </c>
      <c r="D1012" s="4" t="str">
        <f>IFERROR(VLOOKUP(A1012,Colaboradores!A:D,4,),"")</f>
        <v>ENFERMEIRO DO TRABALHO</v>
      </c>
      <c r="E1012" s="4" t="s">
        <v>48</v>
      </c>
      <c r="F1012" s="5" t="str">
        <f>IFERROR(VLOOKUP(E1012,Procedimentos!A:C,2,),"")</f>
        <v>POLÍTICA MEIO AMBIENTE EMSERH</v>
      </c>
      <c r="G1012" s="4" t="s">
        <v>22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 spans="1:26" ht="14.25" customHeight="1">
      <c r="A1013" s="4">
        <v>14357</v>
      </c>
      <c r="B1013" s="4" t="str">
        <f>IFERROR(VLOOKUP(A1013,Colaboradores!A:D,2,),"")</f>
        <v>JAIME VIEIRA GALVAO</v>
      </c>
      <c r="C1013" s="4" t="str">
        <f>IFERROR(VLOOKUP(A1013,Colaboradores!A:D,3,),"")</f>
        <v>REGIONAL LESTE</v>
      </c>
      <c r="D1013" s="4" t="str">
        <f>IFERROR(VLOOKUP(A1013,Colaboradores!A:D,4,),"")</f>
        <v>ENFERMEIRO DO TRABALHO</v>
      </c>
      <c r="E1013" s="4" t="s">
        <v>29</v>
      </c>
      <c r="F1013" s="5" t="str">
        <f>IFERROR(VLOOKUP(E1013,Procedimentos!A:C,2,),"")</f>
        <v>COLETA SELETIVA DESSMA</v>
      </c>
      <c r="G1013" s="4" t="s">
        <v>22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 spans="1:26" ht="14.25" customHeight="1">
      <c r="A1014" s="4">
        <v>14357</v>
      </c>
      <c r="B1014" s="4" t="str">
        <f>IFERROR(VLOOKUP(A1014,Colaboradores!A:D,2,),"")</f>
        <v>JAIME VIEIRA GALVAO</v>
      </c>
      <c r="C1014" s="4" t="str">
        <f>IFERROR(VLOOKUP(A1014,Colaboradores!A:D,3,),"")</f>
        <v>REGIONAL LESTE</v>
      </c>
      <c r="D1014" s="4" t="str">
        <f>IFERROR(VLOOKUP(A1014,Colaboradores!A:D,4,),"")</f>
        <v>ENFERMEIRO DO TRABALHO</v>
      </c>
      <c r="E1014" s="4" t="s">
        <v>36</v>
      </c>
      <c r="F1014" s="5" t="str">
        <f>IFERROR(VLOOKUP(E1014,Procedimentos!A:C,2,),"")</f>
        <v>GESTÃO DE PRODUTOS QUÍMICOS</v>
      </c>
      <c r="G1014" s="4" t="s">
        <v>22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 spans="1:26" ht="14.25" customHeight="1">
      <c r="A1015" s="4">
        <v>14357</v>
      </c>
      <c r="B1015" s="4" t="str">
        <f>IFERROR(VLOOKUP(A1015,Colaboradores!A:D,2,),"")</f>
        <v>JAIME VIEIRA GALVAO</v>
      </c>
      <c r="C1015" s="4" t="str">
        <f>IFERROR(VLOOKUP(A1015,Colaboradores!A:D,3,),"")</f>
        <v>REGIONAL LESTE</v>
      </c>
      <c r="D1015" s="4" t="str">
        <f>IFERROR(VLOOKUP(A1015,Colaboradores!A:D,4,),"")</f>
        <v>ENFERMEIRO DO TRABALHO</v>
      </c>
      <c r="E1015" s="4" t="s">
        <v>32</v>
      </c>
      <c r="F1015" s="5" t="str">
        <f>IFERROR(VLOOKUP(E1015,Procedimentos!A:C,2,),"")</f>
        <v>GESTÃO DE LEVANTAMENTO DE ASPECTOS E IMPACTOS AMBIENTAIS</v>
      </c>
      <c r="G1015" s="4" t="s">
        <v>22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 spans="1:26" ht="14.25" customHeight="1">
      <c r="A1016" s="4">
        <v>14357</v>
      </c>
      <c r="B1016" s="4" t="str">
        <f>IFERROR(VLOOKUP(A1016,Colaboradores!A:D,2,),"")</f>
        <v>JAIME VIEIRA GALVAO</v>
      </c>
      <c r="C1016" s="4" t="str">
        <f>IFERROR(VLOOKUP(A1016,Colaboradores!A:D,3,),"")</f>
        <v>REGIONAL LESTE</v>
      </c>
      <c r="D1016" s="4" t="str">
        <f>IFERROR(VLOOKUP(A1016,Colaboradores!A:D,4,),"")</f>
        <v>ENFERMEIRO DO TRABALHO</v>
      </c>
      <c r="E1016" s="4" t="s">
        <v>31</v>
      </c>
      <c r="F1016" s="5" t="str">
        <f>IFERROR(VLOOKUP(E1016,Procedimentos!A:C,2,),"")</f>
        <v>GESTÃO DE COMUNICAÇÃO, CLASSIFICAÇÃO E INVESTIGAÇÃO DE OCORRÊNCIAS AMBIENTAIS</v>
      </c>
      <c r="G1016" s="4" t="s">
        <v>22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 spans="1:26" ht="14.25" customHeight="1">
      <c r="A1017" s="4">
        <v>14357</v>
      </c>
      <c r="B1017" s="4" t="str">
        <f>IFERROR(VLOOKUP(A1017,Colaboradores!A:D,2,),"")</f>
        <v>JAIME VIEIRA GALVAO</v>
      </c>
      <c r="C1017" s="4" t="str">
        <f>IFERROR(VLOOKUP(A1017,Colaboradores!A:D,3,),"")</f>
        <v>REGIONAL LESTE</v>
      </c>
      <c r="D1017" s="4" t="str">
        <f>IFERROR(VLOOKUP(A1017,Colaboradores!A:D,4,),"")</f>
        <v>ENFERMEIRO DO TRABALHO</v>
      </c>
      <c r="E1017" s="4" t="s">
        <v>33</v>
      </c>
      <c r="F1017" s="5" t="str">
        <f>IFERROR(VLOOKUP(E1017,Procedimentos!A:C,2,),"")</f>
        <v>GESTÃO DE INSPEÇÕES AMBIENTAIS</v>
      </c>
      <c r="G1017" s="4" t="s">
        <v>22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 spans="1:26" ht="14.25" customHeight="1">
      <c r="A1018" s="4">
        <v>14357</v>
      </c>
      <c r="B1018" s="4" t="str">
        <f>IFERROR(VLOOKUP(A1018,Colaboradores!A:D,2,),"")</f>
        <v>JAIME VIEIRA GALVAO</v>
      </c>
      <c r="C1018" s="4" t="str">
        <f>IFERROR(VLOOKUP(A1018,Colaboradores!A:D,3,),"")</f>
        <v>REGIONAL LESTE</v>
      </c>
      <c r="D1018" s="4" t="str">
        <f>IFERROR(VLOOKUP(A1018,Colaboradores!A:D,4,),"")</f>
        <v>ENFERMEIRO DO TRABALHO</v>
      </c>
      <c r="E1018" s="4" t="s">
        <v>39</v>
      </c>
      <c r="F1018" s="5" t="str">
        <f>IFERROR(VLOOKUP(E1018,Procedimentos!A:C,2,),"")</f>
        <v>GESTÃO DE ÁGUAS E EFLUENTES</v>
      </c>
      <c r="G1018" s="4" t="s">
        <v>22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 spans="1:26" ht="14.25" customHeight="1">
      <c r="A1019" s="4">
        <v>14357</v>
      </c>
      <c r="B1019" s="4" t="str">
        <f>IFERROR(VLOOKUP(A1019,Colaboradores!A:D,2,),"")</f>
        <v>JAIME VIEIRA GALVAO</v>
      </c>
      <c r="C1019" s="4" t="str">
        <f>IFERROR(VLOOKUP(A1019,Colaboradores!A:D,3,),"")</f>
        <v>REGIONAL LESTE</v>
      </c>
      <c r="D1019" s="4" t="str">
        <f>IFERROR(VLOOKUP(A1019,Colaboradores!A:D,4,),"")</f>
        <v>ENFERMEIRO DO TRABALHO</v>
      </c>
      <c r="E1019" s="4" t="s">
        <v>34</v>
      </c>
      <c r="F1019" s="5" t="str">
        <f>IFERROR(VLOOKUP(E1019,Procedimentos!A:C,2,),"")</f>
        <v>GESTÃO DE LICENCIAMENTO AMBIENTAL</v>
      </c>
      <c r="G1019" s="4" t="s">
        <v>22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 spans="1:26" ht="14.25" customHeight="1">
      <c r="A1020" s="4">
        <v>14357</v>
      </c>
      <c r="B1020" s="4" t="str">
        <f>IFERROR(VLOOKUP(A1020,Colaboradores!A:D,2,),"")</f>
        <v>JAIME VIEIRA GALVAO</v>
      </c>
      <c r="C1020" s="4" t="str">
        <f>IFERROR(VLOOKUP(A1020,Colaboradores!A:D,3,),"")</f>
        <v>REGIONAL LESTE</v>
      </c>
      <c r="D1020" s="4" t="str">
        <f>IFERROR(VLOOKUP(A1020,Colaboradores!A:D,4,),"")</f>
        <v>ENFERMEIRO DO TRABALHO</v>
      </c>
      <c r="E1020" s="4" t="s">
        <v>38</v>
      </c>
      <c r="F1020" s="5" t="str">
        <f>IFERROR(VLOOKUP(E1020,Procedimentos!A:C,2,),"")</f>
        <v>GESTÃO DE CONDICIONANTES DE LICENCIAMENTO AMBIENTAL</v>
      </c>
      <c r="G1020" s="4" t="s">
        <v>22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 spans="1:26" ht="14.25" customHeight="1">
      <c r="A1021" s="4">
        <v>14357</v>
      </c>
      <c r="B1021" s="4" t="str">
        <f>IFERROR(VLOOKUP(A1021,Colaboradores!A:D,2,),"")</f>
        <v>JAIME VIEIRA GALVAO</v>
      </c>
      <c r="C1021" s="4" t="str">
        <f>IFERROR(VLOOKUP(A1021,Colaboradores!A:D,3,),"")</f>
        <v>REGIONAL LESTE</v>
      </c>
      <c r="D1021" s="4" t="str">
        <f>IFERROR(VLOOKUP(A1021,Colaboradores!A:D,4,),"")</f>
        <v>ENFERMEIRO DO TRABALHO</v>
      </c>
      <c r="E1021" s="4" t="s">
        <v>37</v>
      </c>
      <c r="F1021" s="5" t="str">
        <f>IFERROR(VLOOKUP(E1021,Procedimentos!A:C,2,),"")</f>
        <v>GESTÃO DE RESÍDUOS SÓLIDOS DE SERVIÇOS DE SAÚDE</v>
      </c>
      <c r="G1021" s="4" t="s">
        <v>22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 spans="1:26" ht="14.25" customHeight="1">
      <c r="A1022" s="4">
        <v>14357</v>
      </c>
      <c r="B1022" s="4" t="str">
        <f>IFERROR(VLOOKUP(A1022,Colaboradores!A:D,2,),"")</f>
        <v>JAIME VIEIRA GALVAO</v>
      </c>
      <c r="C1022" s="4" t="str">
        <f>IFERROR(VLOOKUP(A1022,Colaboradores!A:D,3,),"")</f>
        <v>REGIONAL LESTE</v>
      </c>
      <c r="D1022" s="4" t="str">
        <f>IFERROR(VLOOKUP(A1022,Colaboradores!A:D,4,),"")</f>
        <v>ENFERMEIRO DO TRABALHO</v>
      </c>
      <c r="E1022" s="4" t="s">
        <v>35</v>
      </c>
      <c r="F1022" s="5" t="str">
        <f>IFERROR(VLOOKUP(E1022,Procedimentos!A:C,2,),"")</f>
        <v>PROCEDIMENTO DE AFERIÇÃO DE FUMAÇA PRETA</v>
      </c>
      <c r="G1022" s="4" t="s">
        <v>22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 spans="1:26" ht="14.25" customHeight="1">
      <c r="A1023" s="4">
        <v>14357</v>
      </c>
      <c r="B1023" s="4" t="str">
        <f>IFERROR(VLOOKUP(A1023,Colaboradores!A:D,2,),"")</f>
        <v>JAIME VIEIRA GALVAO</v>
      </c>
      <c r="C1023" s="4" t="str">
        <f>IFERROR(VLOOKUP(A1023,Colaboradores!A:D,3,),"")</f>
        <v>REGIONAL LESTE</v>
      </c>
      <c r="D1023" s="4" t="str">
        <f>IFERROR(VLOOKUP(A1023,Colaboradores!A:D,4,),"")</f>
        <v>ENFERMEIRO DO TRABALHO</v>
      </c>
      <c r="E1023" s="4" t="s">
        <v>49</v>
      </c>
      <c r="F1023" s="5" t="str">
        <f>IFERROR(VLOOKUP(E1023,Procedimentos!A:C,2,),"")</f>
        <v>DIRETRIZES PARA REALIZAÇÃO DE EXAMES OCUPACIONAIS</v>
      </c>
      <c r="G1023" s="4" t="s">
        <v>22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 spans="1:26" ht="14.25" customHeight="1">
      <c r="A1024" s="4">
        <v>14357</v>
      </c>
      <c r="B1024" s="4" t="str">
        <f>IFERROR(VLOOKUP(A1024,Colaboradores!A:D,2,),"")</f>
        <v>JAIME VIEIRA GALVAO</v>
      </c>
      <c r="C1024" s="4" t="str">
        <f>IFERROR(VLOOKUP(A1024,Colaboradores!A:D,3,),"")</f>
        <v>REGIONAL LESTE</v>
      </c>
      <c r="D1024" s="4" t="str">
        <f>IFERROR(VLOOKUP(A1024,Colaboradores!A:D,4,),"")</f>
        <v>ENFERMEIRO DO TRABALHO</v>
      </c>
      <c r="E1024" s="4" t="s">
        <v>51</v>
      </c>
      <c r="F1024" s="5" t="str">
        <f>IFERROR(VLOOKUP(E1024,Procedimentos!A:C,2,),"")</f>
        <v>DIRETRIZES PARA ENTREGA DE ATESTADOS MÉDICOS E ODONTOLÓGICOS</v>
      </c>
      <c r="G1024" s="4" t="s">
        <v>22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 spans="1:26" ht="14.25" customHeight="1">
      <c r="A1025" s="4">
        <v>14357</v>
      </c>
      <c r="B1025" s="4" t="str">
        <f>IFERROR(VLOOKUP(A1025,Colaboradores!A:D,2,),"")</f>
        <v>JAIME VIEIRA GALVAO</v>
      </c>
      <c r="C1025" s="4" t="str">
        <f>IFERROR(VLOOKUP(A1025,Colaboradores!A:D,3,),"")</f>
        <v>REGIONAL LESTE</v>
      </c>
      <c r="D1025" s="4" t="str">
        <f>IFERROR(VLOOKUP(A1025,Colaboradores!A:D,4,),"")</f>
        <v>ENFERMEIRO DO TRABALHO</v>
      </c>
      <c r="E1025" s="4" t="s">
        <v>52</v>
      </c>
      <c r="F1025" s="5" t="str">
        <f>IFERROR(VLOOKUP(E1025,Procedimentos!A:C,2,),"")</f>
        <v>DIRETRIZES E ACOMPANHAMENTO  DE ACIDENTE COM MATERIAL BIOLOGICO</v>
      </c>
      <c r="G1025" s="4" t="s">
        <v>22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 spans="1:26" ht="14.25" customHeight="1">
      <c r="A1026" s="4">
        <v>14357</v>
      </c>
      <c r="B1026" s="4" t="str">
        <f>IFERROR(VLOOKUP(A1026,Colaboradores!A:D,2,),"")</f>
        <v>JAIME VIEIRA GALVAO</v>
      </c>
      <c r="C1026" s="4" t="str">
        <f>IFERROR(VLOOKUP(A1026,Colaboradores!A:D,3,),"")</f>
        <v>REGIONAL LESTE</v>
      </c>
      <c r="D1026" s="4" t="str">
        <f>IFERROR(VLOOKUP(A1026,Colaboradores!A:D,4,),"")</f>
        <v>ENFERMEIRO DO TRABALHO</v>
      </c>
      <c r="E1026" s="4" t="s">
        <v>53</v>
      </c>
      <c r="F1026" s="5" t="str">
        <f>IFERROR(VLOOKUP(E1026,Procedimentos!A:C,2,),"")</f>
        <v>DIRETRIZES PARA MONITORAMENTO DE GESTANTE</v>
      </c>
      <c r="G1026" s="4" t="s">
        <v>22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 spans="1:26" ht="14.25" customHeight="1">
      <c r="A1027" s="4">
        <v>14357</v>
      </c>
      <c r="B1027" s="4" t="str">
        <f>IFERROR(VLOOKUP(A1027,Colaboradores!A:D,2,),"")</f>
        <v>JAIME VIEIRA GALVAO</v>
      </c>
      <c r="C1027" s="4" t="str">
        <f>IFERROR(VLOOKUP(A1027,Colaboradores!A:D,3,),"")</f>
        <v>REGIONAL LESTE</v>
      </c>
      <c r="D1027" s="4" t="str">
        <f>IFERROR(VLOOKUP(A1027,Colaboradores!A:D,4,),"")</f>
        <v>ENFERMEIRO DO TRABALHO</v>
      </c>
      <c r="E1027" s="4" t="s">
        <v>54</v>
      </c>
      <c r="F1027" s="5" t="str">
        <f>IFERROR(VLOOKUP(E1027,Procedimentos!A:C,2,),"")</f>
        <v>DIRETRIZES DE IMUNIZAÇÃO OCUPACIONAL</v>
      </c>
      <c r="G1027" s="4" t="s">
        <v>22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 spans="1:26" ht="14.25" customHeight="1">
      <c r="A1028" s="4">
        <v>14357</v>
      </c>
      <c r="B1028" s="4" t="str">
        <f>IFERROR(VLOOKUP(A1028,Colaboradores!A:D,2,),"")</f>
        <v>JAIME VIEIRA GALVAO</v>
      </c>
      <c r="C1028" s="4" t="str">
        <f>IFERROR(VLOOKUP(A1028,Colaboradores!A:D,3,),"")</f>
        <v>REGIONAL LESTE</v>
      </c>
      <c r="D1028" s="4" t="str">
        <f>IFERROR(VLOOKUP(A1028,Colaboradores!A:D,4,),"")</f>
        <v>ENFERMEIRO DO TRABALHO</v>
      </c>
      <c r="E1028" s="4" t="s">
        <v>55</v>
      </c>
      <c r="F1028" s="5" t="str">
        <f>IFERROR(VLOOKUP(E1028,Procedimentos!A:C,2,),"")</f>
        <v>DIRETRIZES PARA ACOMPANHAMENTO DE AFASTADOS</v>
      </c>
      <c r="G1028" s="4" t="s">
        <v>22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 spans="1:26" ht="14.25" customHeight="1">
      <c r="A1029" s="4">
        <v>14357</v>
      </c>
      <c r="B1029" s="4" t="str">
        <f>IFERROR(VLOOKUP(A1029,Colaboradores!A:D,2,),"")</f>
        <v>JAIME VIEIRA GALVAO</v>
      </c>
      <c r="C1029" s="4" t="str">
        <f>IFERROR(VLOOKUP(A1029,Colaboradores!A:D,3,),"")</f>
        <v>REGIONAL LESTE</v>
      </c>
      <c r="D1029" s="4" t="str">
        <f>IFERROR(VLOOKUP(A1029,Colaboradores!A:D,4,),"")</f>
        <v>ENFERMEIRO DO TRABALHO</v>
      </c>
      <c r="E1029" s="4" t="s">
        <v>46</v>
      </c>
      <c r="F1029" s="5" t="str">
        <f>IFERROR(VLOOKUP(E1029,Procedimentos!A:C,2,),"")</f>
        <v>POLÍTICA DE SAÚDE E SEGURANÇA DO TRABALHO EMSERH</v>
      </c>
      <c r="G1029" s="4" t="s">
        <v>22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 spans="1:26" ht="14.25" customHeight="1">
      <c r="A1030" s="4">
        <v>14357</v>
      </c>
      <c r="B1030" s="4" t="str">
        <f>IFERROR(VLOOKUP(A1030,Colaboradores!A:D,2,),"")</f>
        <v>JAIME VIEIRA GALVAO</v>
      </c>
      <c r="C1030" s="4" t="str">
        <f>IFERROR(VLOOKUP(A1030,Colaboradores!A:D,3,),"")</f>
        <v>REGIONAL LESTE</v>
      </c>
      <c r="D1030" s="4" t="str">
        <f>IFERROR(VLOOKUP(A1030,Colaboradores!A:D,4,),"")</f>
        <v>ENFERMEIRO DO TRABALHO</v>
      </c>
      <c r="E1030" s="4" t="s">
        <v>41</v>
      </c>
      <c r="F1030" s="5" t="str">
        <f>IFERROR(VLOOKUP(E1030,Procedimentos!A:C,2,),"")</f>
        <v>DIRETRIZES PARA COMUNICAÇÃO E INVESTIGAÇÃO DE ACIDENTES</v>
      </c>
      <c r="G1030" s="4" t="s">
        <v>22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 spans="1:26" ht="14.25" customHeight="1">
      <c r="A1031" s="4">
        <v>14357</v>
      </c>
      <c r="B1031" s="4" t="str">
        <f>IFERROR(VLOOKUP(A1031,Colaboradores!A:D,2,),"")</f>
        <v>JAIME VIEIRA GALVAO</v>
      </c>
      <c r="C1031" s="4" t="str">
        <f>IFERROR(VLOOKUP(A1031,Colaboradores!A:D,3,),"")</f>
        <v>REGIONAL LESTE</v>
      </c>
      <c r="D1031" s="4" t="str">
        <f>IFERROR(VLOOKUP(A1031,Colaboradores!A:D,4,),"")</f>
        <v>ENFERMEIRO DO TRABALHO</v>
      </c>
      <c r="E1031" s="4" t="s">
        <v>43</v>
      </c>
      <c r="F1031" s="5" t="str">
        <f>IFERROR(VLOOKUP(E1031,Procedimentos!A:C,2,),"")</f>
        <v>DIÁLOGO DE SAÚDE E SEGURANÇA - DSS</v>
      </c>
      <c r="G1031" s="4" t="s">
        <v>22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 spans="1:26" ht="14.25" customHeight="1">
      <c r="A1032" s="4">
        <v>14357</v>
      </c>
      <c r="B1032" s="4" t="str">
        <f>IFERROR(VLOOKUP(A1032,Colaboradores!A:D,2,),"")</f>
        <v>JAIME VIEIRA GALVAO</v>
      </c>
      <c r="C1032" s="4" t="str">
        <f>IFERROR(VLOOKUP(A1032,Colaboradores!A:D,3,),"")</f>
        <v>REGIONAL LESTE</v>
      </c>
      <c r="D1032" s="4" t="str">
        <f>IFERROR(VLOOKUP(A1032,Colaboradores!A:D,4,),"")</f>
        <v>ENFERMEIRO DO TRABALHO</v>
      </c>
      <c r="E1032" s="4" t="s">
        <v>44</v>
      </c>
      <c r="F1032" s="5" t="str">
        <f>IFERROR(VLOOKUP(E1032,Procedimentos!A:C,2,),"")</f>
        <v>DIRETRIZES PARA GESTÃO DE EQUIPAMENTOS DE PROTEÇÃO INDIVIDUAL - EPI'S</v>
      </c>
      <c r="G1032" s="4" t="s">
        <v>22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 spans="1:26" ht="14.25" customHeight="1">
      <c r="A1033" s="4">
        <v>14357</v>
      </c>
      <c r="B1033" s="4" t="str">
        <f>IFERROR(VLOOKUP(A1033,Colaboradores!A:D,2,),"")</f>
        <v>JAIME VIEIRA GALVAO</v>
      </c>
      <c r="C1033" s="4" t="str">
        <f>IFERROR(VLOOKUP(A1033,Colaboradores!A:D,3,),"")</f>
        <v>REGIONAL LESTE</v>
      </c>
      <c r="D1033" s="4" t="str">
        <f>IFERROR(VLOOKUP(A1033,Colaboradores!A:D,4,),"")</f>
        <v>ENFERMEIRO DO TRABALHO</v>
      </c>
      <c r="E1033" s="4" t="s">
        <v>45</v>
      </c>
      <c r="F1033" s="5" t="str">
        <f>IFERROR(VLOOKUP(E1033,Procedimentos!A:C,2,),"")</f>
        <v>CONSTITUIÇÃO INTERNA DE PREVENÇÃO DE ACIDENTES E DE ASSÉDIOS - CIPA</v>
      </c>
      <c r="G1033" s="4" t="s">
        <v>22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 spans="1:26" ht="14.25" customHeight="1">
      <c r="A1034" s="4">
        <v>14357</v>
      </c>
      <c r="B1034" s="4" t="str">
        <f>IFERROR(VLOOKUP(A1034,Colaboradores!A:D,2,),"")</f>
        <v>JAIME VIEIRA GALVAO</v>
      </c>
      <c r="C1034" s="4" t="str">
        <f>IFERROR(VLOOKUP(A1034,Colaboradores!A:D,3,),"")</f>
        <v>REGIONAL LESTE</v>
      </c>
      <c r="D1034" s="4" t="str">
        <f>IFERROR(VLOOKUP(A1034,Colaboradores!A:D,4,),"")</f>
        <v>ENFERMEIRO DO TRABALHO</v>
      </c>
      <c r="E1034" s="4" t="s">
        <v>59</v>
      </c>
      <c r="F1034" s="5" t="str">
        <f>IFERROR(VLOOKUP(E1034,Procedimentos!A:C,2,),"")</f>
        <v>GERENCIAMENTO DE RISCOS DE SAÚDE, SEGURANÇA E PROCESSOS</v>
      </c>
      <c r="G1034" s="4" t="s">
        <v>22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 spans="1:26" ht="14.25" customHeight="1">
      <c r="A1035" s="4">
        <v>14357</v>
      </c>
      <c r="B1035" s="4" t="str">
        <f>IFERROR(VLOOKUP(A1035,Colaboradores!A:D,2,),"")</f>
        <v>JAIME VIEIRA GALVAO</v>
      </c>
      <c r="C1035" s="4" t="str">
        <f>IFERROR(VLOOKUP(A1035,Colaboradores!A:D,3,),"")</f>
        <v>REGIONAL LESTE</v>
      </c>
      <c r="D1035" s="4" t="str">
        <f>IFERROR(VLOOKUP(A1035,Colaboradores!A:D,4,),"")</f>
        <v>ENFERMEIRO DO TRABALHO</v>
      </c>
      <c r="E1035" s="4" t="s">
        <v>61</v>
      </c>
      <c r="F1035" s="5" t="str">
        <f>IFERROR(VLOOKUP(E1035,Procedimentos!A:C,2,),"")</f>
        <v>PROCEDIMENTO DE INSPEÇÃO DE SEGURANÇA</v>
      </c>
      <c r="G1035" s="4" t="s">
        <v>22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 spans="1:26" ht="14.25" customHeight="1">
      <c r="A1036" s="4">
        <v>14357</v>
      </c>
      <c r="B1036" s="4" t="str">
        <f>IFERROR(VLOOKUP(A1036,Colaboradores!A:D,2,),"")</f>
        <v>JAIME VIEIRA GALVAO</v>
      </c>
      <c r="C1036" s="4" t="str">
        <f>IFERROR(VLOOKUP(A1036,Colaboradores!A:D,3,),"")</f>
        <v>REGIONAL LESTE</v>
      </c>
      <c r="D1036" s="4" t="str">
        <f>IFERROR(VLOOKUP(A1036,Colaboradores!A:D,4,),"")</f>
        <v>ENFERMEIRO DO TRABALHO</v>
      </c>
      <c r="E1036" s="4" t="s">
        <v>62</v>
      </c>
      <c r="F1036" s="5" t="str">
        <f>IFERROR(VLOOKUP(E1036,Procedimentos!A:C,2,),"")</f>
        <v>DIRETRIZES PARA ENVIO E RECEBIMENTO DE DOSÍMETRO</v>
      </c>
      <c r="G1036" s="4" t="s">
        <v>22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 spans="1:26" ht="14.25" customHeight="1">
      <c r="A1037" s="4">
        <v>14420</v>
      </c>
      <c r="B1037" s="4" t="str">
        <f>IFERROR(VLOOKUP(A1037,Colaboradores!A:D,2,),"")</f>
        <v>LAYLLA EMANUELLY DA SILVA ARAUJO</v>
      </c>
      <c r="C1037" s="4" t="str">
        <f>IFERROR(VLOOKUP(A1037,Colaboradores!A:D,3,),"")</f>
        <v>REGIONAL LESTE</v>
      </c>
      <c r="D1037" s="4" t="str">
        <f>IFERROR(VLOOKUP(A1037,Colaboradores!A:D,4,),"")</f>
        <v>ASSISTENTE ADMINISTRATIVO</v>
      </c>
      <c r="E1037" s="4" t="s">
        <v>58</v>
      </c>
      <c r="F1037" s="5" t="str">
        <f>IFERROR(VLOOKUP(E1037,Procedimentos!A:C,2,),"")</f>
        <v>POLÍTICA DE QUALIDADE DA DIRETORIA</v>
      </c>
      <c r="G1037" s="4" t="s">
        <v>22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 spans="1:26" ht="14.25" customHeight="1">
      <c r="A1038" s="4">
        <v>14420</v>
      </c>
      <c r="B1038" s="4" t="str">
        <f>IFERROR(VLOOKUP(A1038,Colaboradores!A:D,2,),"")</f>
        <v>LAYLLA EMANUELLY DA SILVA ARAUJO</v>
      </c>
      <c r="C1038" s="4" t="str">
        <f>IFERROR(VLOOKUP(A1038,Colaboradores!A:D,3,),"")</f>
        <v>REGIONAL LESTE</v>
      </c>
      <c r="D1038" s="4" t="str">
        <f>IFERROR(VLOOKUP(A1038,Colaboradores!A:D,4,),"")</f>
        <v>ASSISTENTE ADMINISTRATIVO</v>
      </c>
      <c r="E1038" s="4" t="s">
        <v>19</v>
      </c>
      <c r="F1038" s="5" t="str">
        <f>IFERROR(VLOOKUP(E1038,Procedimentos!A:C,2,),"")</f>
        <v>DIRETRIZES PARA DOCUMENTOS NORMATIVOS</v>
      </c>
      <c r="G1038" s="4" t="s">
        <v>22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 spans="1:26" ht="14.25" customHeight="1">
      <c r="A1039" s="4">
        <v>14420</v>
      </c>
      <c r="B1039" s="4" t="str">
        <f>IFERROR(VLOOKUP(A1039,Colaboradores!A:D,2,),"")</f>
        <v>LAYLLA EMANUELLY DA SILVA ARAUJO</v>
      </c>
      <c r="C1039" s="4" t="str">
        <f>IFERROR(VLOOKUP(A1039,Colaboradores!A:D,3,),"")</f>
        <v>REGIONAL LESTE</v>
      </c>
      <c r="D1039" s="4" t="str">
        <f>IFERROR(VLOOKUP(A1039,Colaboradores!A:D,4,),"")</f>
        <v>ASSISTENTE ADMINISTRATIVO</v>
      </c>
      <c r="E1039" s="4" t="s">
        <v>24</v>
      </c>
      <c r="F1039" s="5" t="str">
        <f>IFERROR(VLOOKUP(E1039,Procedimentos!A:C,2,),"")</f>
        <v>DIRETRIZES  PARA PROGRAMA 5S</v>
      </c>
      <c r="G1039" s="4" t="s">
        <v>22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 spans="1:26" ht="14.25" customHeight="1">
      <c r="A1040" s="4">
        <v>14420</v>
      </c>
      <c r="B1040" s="4" t="str">
        <f>IFERROR(VLOOKUP(A1040,Colaboradores!A:D,2,),"")</f>
        <v>LAYLLA EMANUELLY DA SILVA ARAUJO</v>
      </c>
      <c r="C1040" s="4" t="str">
        <f>IFERROR(VLOOKUP(A1040,Colaboradores!A:D,3,),"")</f>
        <v>REGIONAL LESTE</v>
      </c>
      <c r="D1040" s="4" t="str">
        <f>IFERROR(VLOOKUP(A1040,Colaboradores!A:D,4,),"")</f>
        <v>ASSISTENTE ADMINISTRATIVO</v>
      </c>
      <c r="E1040" s="4" t="s">
        <v>25</v>
      </c>
      <c r="F1040" s="5" t="str">
        <f>IFERROR(VLOOKUP(E1040,Procedimentos!A:C,2,),"")</f>
        <v>GARANTIA DA QUALIDADE</v>
      </c>
      <c r="G1040" s="4" t="s">
        <v>22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 spans="1:26" ht="14.25" customHeight="1">
      <c r="A1041" s="4">
        <v>14420</v>
      </c>
      <c r="B1041" s="4" t="str">
        <f>IFERROR(VLOOKUP(A1041,Colaboradores!A:D,2,),"")</f>
        <v>LAYLLA EMANUELLY DA SILVA ARAUJO</v>
      </c>
      <c r="C1041" s="4" t="str">
        <f>IFERROR(VLOOKUP(A1041,Colaboradores!A:D,3,),"")</f>
        <v>REGIONAL LESTE</v>
      </c>
      <c r="D1041" s="4" t="str">
        <f>IFERROR(VLOOKUP(A1041,Colaboradores!A:D,4,),"")</f>
        <v>ASSISTENTE ADMINISTRATIVO</v>
      </c>
      <c r="E1041" s="4" t="s">
        <v>26</v>
      </c>
      <c r="F1041" s="5" t="str">
        <f>IFERROR(VLOOKUP(E1041,Procedimentos!A:C,2,),"")</f>
        <v>RESPONSABILIDADES E AUTORIDADES DO SGQ</v>
      </c>
      <c r="G1041" s="4" t="s">
        <v>22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 spans="1:26" ht="14.25" customHeight="1">
      <c r="A1042" s="4">
        <v>14420</v>
      </c>
      <c r="B1042" s="4" t="str">
        <f>IFERROR(VLOOKUP(A1042,Colaboradores!A:D,2,),"")</f>
        <v>LAYLLA EMANUELLY DA SILVA ARAUJO</v>
      </c>
      <c r="C1042" s="4" t="str">
        <f>IFERROR(VLOOKUP(A1042,Colaboradores!A:D,3,),"")</f>
        <v>REGIONAL LESTE</v>
      </c>
      <c r="D1042" s="4" t="str">
        <f>IFERROR(VLOOKUP(A1042,Colaboradores!A:D,4,),"")</f>
        <v>ASSISTENTE ADMINISTRATIVO</v>
      </c>
      <c r="E1042" s="4" t="s">
        <v>73</v>
      </c>
      <c r="F1042" s="5" t="str">
        <f>IFERROR(VLOOKUP(E1042,Procedimentos!A:C,2,),"")</f>
        <v>AQUISIÇÃO DE BENS E SERVIÇOS E AVALIAÇÃO PROVEDORES EXTERNOS</v>
      </c>
      <c r="G1042" s="4" t="s">
        <v>22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 spans="1:26" ht="14.25" customHeight="1">
      <c r="A1043" s="4">
        <v>14420</v>
      </c>
      <c r="B1043" s="4" t="str">
        <f>IFERROR(VLOOKUP(A1043,Colaboradores!A:D,2,),"")</f>
        <v>LAYLLA EMANUELLY DA SILVA ARAUJO</v>
      </c>
      <c r="C1043" s="4" t="str">
        <f>IFERROR(VLOOKUP(A1043,Colaboradores!A:D,3,),"")</f>
        <v>REGIONAL LESTE</v>
      </c>
      <c r="D1043" s="4" t="str">
        <f>IFERROR(VLOOKUP(A1043,Colaboradores!A:D,4,),"")</f>
        <v>ASSISTENTE ADMINISTRATIVO</v>
      </c>
      <c r="E1043" s="4" t="s">
        <v>48</v>
      </c>
      <c r="F1043" s="5" t="str">
        <f>IFERROR(VLOOKUP(E1043,Procedimentos!A:C,2,),"")</f>
        <v>POLÍTICA MEIO AMBIENTE EMSERH</v>
      </c>
      <c r="G1043" s="4" t="s">
        <v>22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 spans="1:26" ht="14.25" customHeight="1">
      <c r="A1044" s="4">
        <v>14420</v>
      </c>
      <c r="B1044" s="4" t="str">
        <f>IFERROR(VLOOKUP(A1044,Colaboradores!A:D,2,),"")</f>
        <v>LAYLLA EMANUELLY DA SILVA ARAUJO</v>
      </c>
      <c r="C1044" s="4" t="str">
        <f>IFERROR(VLOOKUP(A1044,Colaboradores!A:D,3,),"")</f>
        <v>REGIONAL LESTE</v>
      </c>
      <c r="D1044" s="4" t="str">
        <f>IFERROR(VLOOKUP(A1044,Colaboradores!A:D,4,),"")</f>
        <v>ASSISTENTE ADMINISTRATIVO</v>
      </c>
      <c r="E1044" s="4" t="s">
        <v>29</v>
      </c>
      <c r="F1044" s="5" t="str">
        <f>IFERROR(VLOOKUP(E1044,Procedimentos!A:C,2,),"")</f>
        <v>COLETA SELETIVA DESSMA</v>
      </c>
      <c r="G1044" s="4" t="s">
        <v>22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 spans="1:26" ht="14.25" customHeight="1">
      <c r="A1045" s="4">
        <v>14420</v>
      </c>
      <c r="B1045" s="4" t="str">
        <f>IFERROR(VLOOKUP(A1045,Colaboradores!A:D,2,),"")</f>
        <v>LAYLLA EMANUELLY DA SILVA ARAUJO</v>
      </c>
      <c r="C1045" s="4" t="str">
        <f>IFERROR(VLOOKUP(A1045,Colaboradores!A:D,3,),"")</f>
        <v>REGIONAL LESTE</v>
      </c>
      <c r="D1045" s="4" t="str">
        <f>IFERROR(VLOOKUP(A1045,Colaboradores!A:D,4,),"")</f>
        <v>ASSISTENTE ADMINISTRATIVO</v>
      </c>
      <c r="E1045" s="4" t="s">
        <v>36</v>
      </c>
      <c r="F1045" s="5" t="str">
        <f>IFERROR(VLOOKUP(E1045,Procedimentos!A:C,2,),"")</f>
        <v>GESTÃO DE PRODUTOS QUÍMICOS</v>
      </c>
      <c r="G1045" s="4" t="s">
        <v>22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 spans="1:26" ht="14.25" customHeight="1">
      <c r="A1046" s="4">
        <v>14420</v>
      </c>
      <c r="B1046" s="4" t="str">
        <f>IFERROR(VLOOKUP(A1046,Colaboradores!A:D,2,),"")</f>
        <v>LAYLLA EMANUELLY DA SILVA ARAUJO</v>
      </c>
      <c r="C1046" s="4" t="str">
        <f>IFERROR(VLOOKUP(A1046,Colaboradores!A:D,3,),"")</f>
        <v>REGIONAL LESTE</v>
      </c>
      <c r="D1046" s="4" t="str">
        <f>IFERROR(VLOOKUP(A1046,Colaboradores!A:D,4,),"")</f>
        <v>ASSISTENTE ADMINISTRATIVO</v>
      </c>
      <c r="E1046" s="4" t="s">
        <v>32</v>
      </c>
      <c r="F1046" s="5" t="str">
        <f>IFERROR(VLOOKUP(E1046,Procedimentos!A:C,2,),"")</f>
        <v>GESTÃO DE LEVANTAMENTO DE ASPECTOS E IMPACTOS AMBIENTAIS</v>
      </c>
      <c r="G1046" s="4" t="s">
        <v>22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 spans="1:26" ht="14.25" customHeight="1">
      <c r="A1047" s="4">
        <v>14420</v>
      </c>
      <c r="B1047" s="4" t="str">
        <f>IFERROR(VLOOKUP(A1047,Colaboradores!A:D,2,),"")</f>
        <v>LAYLLA EMANUELLY DA SILVA ARAUJO</v>
      </c>
      <c r="C1047" s="4" t="str">
        <f>IFERROR(VLOOKUP(A1047,Colaboradores!A:D,3,),"")</f>
        <v>REGIONAL LESTE</v>
      </c>
      <c r="D1047" s="4" t="str">
        <f>IFERROR(VLOOKUP(A1047,Colaboradores!A:D,4,),"")</f>
        <v>ASSISTENTE ADMINISTRATIVO</v>
      </c>
      <c r="E1047" s="4" t="s">
        <v>31</v>
      </c>
      <c r="F1047" s="5" t="str">
        <f>IFERROR(VLOOKUP(E1047,Procedimentos!A:C,2,),"")</f>
        <v>GESTÃO DE COMUNICAÇÃO, CLASSIFICAÇÃO E INVESTIGAÇÃO DE OCORRÊNCIAS AMBIENTAIS</v>
      </c>
      <c r="G1047" s="4" t="s">
        <v>22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 spans="1:26" ht="14.25" customHeight="1">
      <c r="A1048" s="4">
        <v>14420</v>
      </c>
      <c r="B1048" s="4" t="str">
        <f>IFERROR(VLOOKUP(A1048,Colaboradores!A:D,2,),"")</f>
        <v>LAYLLA EMANUELLY DA SILVA ARAUJO</v>
      </c>
      <c r="C1048" s="4" t="str">
        <f>IFERROR(VLOOKUP(A1048,Colaboradores!A:D,3,),"")</f>
        <v>REGIONAL LESTE</v>
      </c>
      <c r="D1048" s="4" t="str">
        <f>IFERROR(VLOOKUP(A1048,Colaboradores!A:D,4,),"")</f>
        <v>ASSISTENTE ADMINISTRATIVO</v>
      </c>
      <c r="E1048" s="4" t="s">
        <v>33</v>
      </c>
      <c r="F1048" s="5" t="str">
        <f>IFERROR(VLOOKUP(E1048,Procedimentos!A:C,2,),"")</f>
        <v>GESTÃO DE INSPEÇÕES AMBIENTAIS</v>
      </c>
      <c r="G1048" s="4" t="s">
        <v>22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 spans="1:26" ht="14.25" customHeight="1">
      <c r="A1049" s="4">
        <v>14420</v>
      </c>
      <c r="B1049" s="4" t="str">
        <f>IFERROR(VLOOKUP(A1049,Colaboradores!A:D,2,),"")</f>
        <v>LAYLLA EMANUELLY DA SILVA ARAUJO</v>
      </c>
      <c r="C1049" s="4" t="str">
        <f>IFERROR(VLOOKUP(A1049,Colaboradores!A:D,3,),"")</f>
        <v>REGIONAL LESTE</v>
      </c>
      <c r="D1049" s="4" t="str">
        <f>IFERROR(VLOOKUP(A1049,Colaboradores!A:D,4,),"")</f>
        <v>ASSISTENTE ADMINISTRATIVO</v>
      </c>
      <c r="E1049" s="4" t="s">
        <v>39</v>
      </c>
      <c r="F1049" s="5" t="str">
        <f>IFERROR(VLOOKUP(E1049,Procedimentos!A:C,2,),"")</f>
        <v>GESTÃO DE ÁGUAS E EFLUENTES</v>
      </c>
      <c r="G1049" s="4" t="s">
        <v>22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 spans="1:26" ht="14.25" customHeight="1">
      <c r="A1050" s="4">
        <v>14420</v>
      </c>
      <c r="B1050" s="4" t="str">
        <f>IFERROR(VLOOKUP(A1050,Colaboradores!A:D,2,),"")</f>
        <v>LAYLLA EMANUELLY DA SILVA ARAUJO</v>
      </c>
      <c r="C1050" s="4" t="str">
        <f>IFERROR(VLOOKUP(A1050,Colaboradores!A:D,3,),"")</f>
        <v>REGIONAL LESTE</v>
      </c>
      <c r="D1050" s="4" t="str">
        <f>IFERROR(VLOOKUP(A1050,Colaboradores!A:D,4,),"")</f>
        <v>ASSISTENTE ADMINISTRATIVO</v>
      </c>
      <c r="E1050" s="4" t="s">
        <v>34</v>
      </c>
      <c r="F1050" s="5" t="str">
        <f>IFERROR(VLOOKUP(E1050,Procedimentos!A:C,2,),"")</f>
        <v>GESTÃO DE LICENCIAMENTO AMBIENTAL</v>
      </c>
      <c r="G1050" s="4" t="s">
        <v>22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 spans="1:26" ht="14.25" customHeight="1">
      <c r="A1051" s="4">
        <v>14420</v>
      </c>
      <c r="B1051" s="4" t="str">
        <f>IFERROR(VLOOKUP(A1051,Colaboradores!A:D,2,),"")</f>
        <v>LAYLLA EMANUELLY DA SILVA ARAUJO</v>
      </c>
      <c r="C1051" s="4" t="str">
        <f>IFERROR(VLOOKUP(A1051,Colaboradores!A:D,3,),"")</f>
        <v>REGIONAL LESTE</v>
      </c>
      <c r="D1051" s="4" t="str">
        <f>IFERROR(VLOOKUP(A1051,Colaboradores!A:D,4,),"")</f>
        <v>ASSISTENTE ADMINISTRATIVO</v>
      </c>
      <c r="E1051" s="4" t="s">
        <v>38</v>
      </c>
      <c r="F1051" s="5" t="str">
        <f>IFERROR(VLOOKUP(E1051,Procedimentos!A:C,2,),"")</f>
        <v>GESTÃO DE CONDICIONANTES DE LICENCIAMENTO AMBIENTAL</v>
      </c>
      <c r="G1051" s="4" t="s">
        <v>22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 spans="1:26" ht="14.25" customHeight="1">
      <c r="A1052" s="4">
        <v>14420</v>
      </c>
      <c r="B1052" s="4" t="str">
        <f>IFERROR(VLOOKUP(A1052,Colaboradores!A:D,2,),"")</f>
        <v>LAYLLA EMANUELLY DA SILVA ARAUJO</v>
      </c>
      <c r="C1052" s="4" t="str">
        <f>IFERROR(VLOOKUP(A1052,Colaboradores!A:D,3,),"")</f>
        <v>REGIONAL LESTE</v>
      </c>
      <c r="D1052" s="4" t="str">
        <f>IFERROR(VLOOKUP(A1052,Colaboradores!A:D,4,),"")</f>
        <v>ASSISTENTE ADMINISTRATIVO</v>
      </c>
      <c r="E1052" s="4" t="s">
        <v>37</v>
      </c>
      <c r="F1052" s="5" t="str">
        <f>IFERROR(VLOOKUP(E1052,Procedimentos!A:C,2,),"")</f>
        <v>GESTÃO DE RESÍDUOS SÓLIDOS DE SERVIÇOS DE SAÚDE</v>
      </c>
      <c r="G1052" s="4" t="s">
        <v>22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 spans="1:26" ht="14.25" customHeight="1">
      <c r="A1053" s="4">
        <v>14420</v>
      </c>
      <c r="B1053" s="4" t="str">
        <f>IFERROR(VLOOKUP(A1053,Colaboradores!A:D,2,),"")</f>
        <v>LAYLLA EMANUELLY DA SILVA ARAUJO</v>
      </c>
      <c r="C1053" s="4" t="str">
        <f>IFERROR(VLOOKUP(A1053,Colaboradores!A:D,3,),"")</f>
        <v>REGIONAL LESTE</v>
      </c>
      <c r="D1053" s="4" t="str">
        <f>IFERROR(VLOOKUP(A1053,Colaboradores!A:D,4,),"")</f>
        <v>ASSISTENTE ADMINISTRATIVO</v>
      </c>
      <c r="E1053" s="4" t="s">
        <v>35</v>
      </c>
      <c r="F1053" s="5" t="str">
        <f>IFERROR(VLOOKUP(E1053,Procedimentos!A:C,2,),"")</f>
        <v>PROCEDIMENTO DE AFERIÇÃO DE FUMAÇA PRETA</v>
      </c>
      <c r="G1053" s="4" t="s">
        <v>22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 spans="1:26" ht="14.25" customHeight="1">
      <c r="A1054" s="4">
        <v>14420</v>
      </c>
      <c r="B1054" s="4" t="str">
        <f>IFERROR(VLOOKUP(A1054,Colaboradores!A:D,2,),"")</f>
        <v>LAYLLA EMANUELLY DA SILVA ARAUJO</v>
      </c>
      <c r="C1054" s="4" t="str">
        <f>IFERROR(VLOOKUP(A1054,Colaboradores!A:D,3,),"")</f>
        <v>REGIONAL LESTE</v>
      </c>
      <c r="D1054" s="4" t="str">
        <f>IFERROR(VLOOKUP(A1054,Colaboradores!A:D,4,),"")</f>
        <v>ASSISTENTE ADMINISTRATIVO</v>
      </c>
      <c r="E1054" s="4" t="s">
        <v>49</v>
      </c>
      <c r="F1054" s="5" t="str">
        <f>IFERROR(VLOOKUP(E1054,Procedimentos!A:C,2,),"")</f>
        <v>DIRETRIZES PARA REALIZAÇÃO DE EXAMES OCUPACIONAIS</v>
      </c>
      <c r="G1054" s="4" t="s">
        <v>22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 spans="1:26" ht="14.25" customHeight="1">
      <c r="A1055" s="4">
        <v>14420</v>
      </c>
      <c r="B1055" s="4" t="str">
        <f>IFERROR(VLOOKUP(A1055,Colaboradores!A:D,2,),"")</f>
        <v>LAYLLA EMANUELLY DA SILVA ARAUJO</v>
      </c>
      <c r="C1055" s="4" t="str">
        <f>IFERROR(VLOOKUP(A1055,Colaboradores!A:D,3,),"")</f>
        <v>REGIONAL LESTE</v>
      </c>
      <c r="D1055" s="4" t="str">
        <f>IFERROR(VLOOKUP(A1055,Colaboradores!A:D,4,),"")</f>
        <v>ASSISTENTE ADMINISTRATIVO</v>
      </c>
      <c r="E1055" s="4" t="s">
        <v>51</v>
      </c>
      <c r="F1055" s="5" t="str">
        <f>IFERROR(VLOOKUP(E1055,Procedimentos!A:C,2,),"")</f>
        <v>DIRETRIZES PARA ENTREGA DE ATESTADOS MÉDICOS E ODONTOLÓGICOS</v>
      </c>
      <c r="G1055" s="4" t="s">
        <v>22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 spans="1:26" ht="14.25" customHeight="1">
      <c r="A1056" s="4">
        <v>14420</v>
      </c>
      <c r="B1056" s="4" t="str">
        <f>IFERROR(VLOOKUP(A1056,Colaboradores!A:D,2,),"")</f>
        <v>LAYLLA EMANUELLY DA SILVA ARAUJO</v>
      </c>
      <c r="C1056" s="4" t="str">
        <f>IFERROR(VLOOKUP(A1056,Colaboradores!A:D,3,),"")</f>
        <v>REGIONAL LESTE</v>
      </c>
      <c r="D1056" s="4" t="str">
        <f>IFERROR(VLOOKUP(A1056,Colaboradores!A:D,4,),"")</f>
        <v>ASSISTENTE ADMINISTRATIVO</v>
      </c>
      <c r="E1056" s="4" t="s">
        <v>52</v>
      </c>
      <c r="F1056" s="5" t="str">
        <f>IFERROR(VLOOKUP(E1056,Procedimentos!A:C,2,),"")</f>
        <v>DIRETRIZES E ACOMPANHAMENTO  DE ACIDENTE COM MATERIAL BIOLOGICO</v>
      </c>
      <c r="G1056" s="4" t="s">
        <v>22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 spans="1:26" ht="14.25" customHeight="1">
      <c r="A1057" s="4">
        <v>14420</v>
      </c>
      <c r="B1057" s="4" t="str">
        <f>IFERROR(VLOOKUP(A1057,Colaboradores!A:D,2,),"")</f>
        <v>LAYLLA EMANUELLY DA SILVA ARAUJO</v>
      </c>
      <c r="C1057" s="4" t="str">
        <f>IFERROR(VLOOKUP(A1057,Colaboradores!A:D,3,),"")</f>
        <v>REGIONAL LESTE</v>
      </c>
      <c r="D1057" s="4" t="str">
        <f>IFERROR(VLOOKUP(A1057,Colaboradores!A:D,4,),"")</f>
        <v>ASSISTENTE ADMINISTRATIVO</v>
      </c>
      <c r="E1057" s="4" t="s">
        <v>53</v>
      </c>
      <c r="F1057" s="5" t="str">
        <f>IFERROR(VLOOKUP(E1057,Procedimentos!A:C,2,),"")</f>
        <v>DIRETRIZES PARA MONITORAMENTO DE GESTANTE</v>
      </c>
      <c r="G1057" s="4" t="s">
        <v>22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 spans="1:26" ht="14.25" customHeight="1">
      <c r="A1058" s="4">
        <v>14420</v>
      </c>
      <c r="B1058" s="4" t="str">
        <f>IFERROR(VLOOKUP(A1058,Colaboradores!A:D,2,),"")</f>
        <v>LAYLLA EMANUELLY DA SILVA ARAUJO</v>
      </c>
      <c r="C1058" s="4" t="str">
        <f>IFERROR(VLOOKUP(A1058,Colaboradores!A:D,3,),"")</f>
        <v>REGIONAL LESTE</v>
      </c>
      <c r="D1058" s="4" t="str">
        <f>IFERROR(VLOOKUP(A1058,Colaboradores!A:D,4,),"")</f>
        <v>ASSISTENTE ADMINISTRATIVO</v>
      </c>
      <c r="E1058" s="4" t="s">
        <v>54</v>
      </c>
      <c r="F1058" s="5" t="str">
        <f>IFERROR(VLOOKUP(E1058,Procedimentos!A:C,2,),"")</f>
        <v>DIRETRIZES DE IMUNIZAÇÃO OCUPACIONAL</v>
      </c>
      <c r="G1058" s="4" t="s">
        <v>22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 spans="1:26" ht="14.25" customHeight="1">
      <c r="A1059" s="4">
        <v>14420</v>
      </c>
      <c r="B1059" s="4" t="str">
        <f>IFERROR(VLOOKUP(A1059,Colaboradores!A:D,2,),"")</f>
        <v>LAYLLA EMANUELLY DA SILVA ARAUJO</v>
      </c>
      <c r="C1059" s="4" t="str">
        <f>IFERROR(VLOOKUP(A1059,Colaboradores!A:D,3,),"")</f>
        <v>REGIONAL LESTE</v>
      </c>
      <c r="D1059" s="4" t="str">
        <f>IFERROR(VLOOKUP(A1059,Colaboradores!A:D,4,),"")</f>
        <v>ASSISTENTE ADMINISTRATIVO</v>
      </c>
      <c r="E1059" s="4" t="s">
        <v>55</v>
      </c>
      <c r="F1059" s="5" t="str">
        <f>IFERROR(VLOOKUP(E1059,Procedimentos!A:C,2,),"")</f>
        <v>DIRETRIZES PARA ACOMPANHAMENTO DE AFASTADOS</v>
      </c>
      <c r="G1059" s="4" t="s">
        <v>22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 spans="1:26" ht="14.25" customHeight="1">
      <c r="A1060" s="4">
        <v>14420</v>
      </c>
      <c r="B1060" s="4" t="str">
        <f>IFERROR(VLOOKUP(A1060,Colaboradores!A:D,2,),"")</f>
        <v>LAYLLA EMANUELLY DA SILVA ARAUJO</v>
      </c>
      <c r="C1060" s="4" t="str">
        <f>IFERROR(VLOOKUP(A1060,Colaboradores!A:D,3,),"")</f>
        <v>REGIONAL LESTE</v>
      </c>
      <c r="D1060" s="4" t="str">
        <f>IFERROR(VLOOKUP(A1060,Colaboradores!A:D,4,),"")</f>
        <v>ASSISTENTE ADMINISTRATIVO</v>
      </c>
      <c r="E1060" s="4" t="s">
        <v>46</v>
      </c>
      <c r="F1060" s="5" t="str">
        <f>IFERROR(VLOOKUP(E1060,Procedimentos!A:C,2,),"")</f>
        <v>POLÍTICA DE SAÚDE E SEGURANÇA DO TRABALHO EMSERH</v>
      </c>
      <c r="G1060" s="4" t="s">
        <v>22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 spans="1:26" ht="14.25" customHeight="1">
      <c r="A1061" s="4">
        <v>14420</v>
      </c>
      <c r="B1061" s="4" t="str">
        <f>IFERROR(VLOOKUP(A1061,Colaboradores!A:D,2,),"")</f>
        <v>LAYLLA EMANUELLY DA SILVA ARAUJO</v>
      </c>
      <c r="C1061" s="4" t="str">
        <f>IFERROR(VLOOKUP(A1061,Colaboradores!A:D,3,),"")</f>
        <v>REGIONAL LESTE</v>
      </c>
      <c r="D1061" s="4" t="str">
        <f>IFERROR(VLOOKUP(A1061,Colaboradores!A:D,4,),"")</f>
        <v>ASSISTENTE ADMINISTRATIVO</v>
      </c>
      <c r="E1061" s="4" t="s">
        <v>41</v>
      </c>
      <c r="F1061" s="5" t="str">
        <f>IFERROR(VLOOKUP(E1061,Procedimentos!A:C,2,),"")</f>
        <v>DIRETRIZES PARA COMUNICAÇÃO E INVESTIGAÇÃO DE ACIDENTES</v>
      </c>
      <c r="G1061" s="4" t="s">
        <v>22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 spans="1:26" ht="14.25" customHeight="1">
      <c r="A1062" s="4">
        <v>14420</v>
      </c>
      <c r="B1062" s="4" t="str">
        <f>IFERROR(VLOOKUP(A1062,Colaboradores!A:D,2,),"")</f>
        <v>LAYLLA EMANUELLY DA SILVA ARAUJO</v>
      </c>
      <c r="C1062" s="4" t="str">
        <f>IFERROR(VLOOKUP(A1062,Colaboradores!A:D,3,),"")</f>
        <v>REGIONAL LESTE</v>
      </c>
      <c r="D1062" s="4" t="str">
        <f>IFERROR(VLOOKUP(A1062,Colaboradores!A:D,4,),"")</f>
        <v>ASSISTENTE ADMINISTRATIVO</v>
      </c>
      <c r="E1062" s="4" t="s">
        <v>43</v>
      </c>
      <c r="F1062" s="5" t="str">
        <f>IFERROR(VLOOKUP(E1062,Procedimentos!A:C,2,),"")</f>
        <v>DIÁLOGO DE SAÚDE E SEGURANÇA - DSS</v>
      </c>
      <c r="G1062" s="4" t="s">
        <v>22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 spans="1:26" ht="14.25" customHeight="1">
      <c r="A1063" s="4">
        <v>14420</v>
      </c>
      <c r="B1063" s="4" t="str">
        <f>IFERROR(VLOOKUP(A1063,Colaboradores!A:D,2,),"")</f>
        <v>LAYLLA EMANUELLY DA SILVA ARAUJO</v>
      </c>
      <c r="C1063" s="4" t="str">
        <f>IFERROR(VLOOKUP(A1063,Colaboradores!A:D,3,),"")</f>
        <v>REGIONAL LESTE</v>
      </c>
      <c r="D1063" s="4" t="str">
        <f>IFERROR(VLOOKUP(A1063,Colaboradores!A:D,4,),"")</f>
        <v>ASSISTENTE ADMINISTRATIVO</v>
      </c>
      <c r="E1063" s="4" t="s">
        <v>44</v>
      </c>
      <c r="F1063" s="5" t="str">
        <f>IFERROR(VLOOKUP(E1063,Procedimentos!A:C,2,),"")</f>
        <v>DIRETRIZES PARA GESTÃO DE EQUIPAMENTOS DE PROTEÇÃO INDIVIDUAL - EPI'S</v>
      </c>
      <c r="G1063" s="4" t="s">
        <v>22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 spans="1:26" ht="14.25" customHeight="1">
      <c r="A1064" s="4">
        <v>14420</v>
      </c>
      <c r="B1064" s="4" t="str">
        <f>IFERROR(VLOOKUP(A1064,Colaboradores!A:D,2,),"")</f>
        <v>LAYLLA EMANUELLY DA SILVA ARAUJO</v>
      </c>
      <c r="C1064" s="4" t="str">
        <f>IFERROR(VLOOKUP(A1064,Colaboradores!A:D,3,),"")</f>
        <v>REGIONAL LESTE</v>
      </c>
      <c r="D1064" s="4" t="str">
        <f>IFERROR(VLOOKUP(A1064,Colaboradores!A:D,4,),"")</f>
        <v>ASSISTENTE ADMINISTRATIVO</v>
      </c>
      <c r="E1064" s="4" t="s">
        <v>45</v>
      </c>
      <c r="F1064" s="5" t="str">
        <f>IFERROR(VLOOKUP(E1064,Procedimentos!A:C,2,),"")</f>
        <v>CONSTITUIÇÃO INTERNA DE PREVENÇÃO DE ACIDENTES E DE ASSÉDIOS - CIPA</v>
      </c>
      <c r="G1064" s="4" t="s">
        <v>22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 spans="1:26" ht="14.25" customHeight="1">
      <c r="A1065" s="4">
        <v>14420</v>
      </c>
      <c r="B1065" s="4" t="str">
        <f>IFERROR(VLOOKUP(A1065,Colaboradores!A:D,2,),"")</f>
        <v>LAYLLA EMANUELLY DA SILVA ARAUJO</v>
      </c>
      <c r="C1065" s="4" t="str">
        <f>IFERROR(VLOOKUP(A1065,Colaboradores!A:D,3,),"")</f>
        <v>REGIONAL LESTE</v>
      </c>
      <c r="D1065" s="4" t="str">
        <f>IFERROR(VLOOKUP(A1065,Colaboradores!A:D,4,),"")</f>
        <v>ASSISTENTE ADMINISTRATIVO</v>
      </c>
      <c r="E1065" s="4" t="s">
        <v>59</v>
      </c>
      <c r="F1065" s="5" t="str">
        <f>IFERROR(VLOOKUP(E1065,Procedimentos!A:C,2,),"")</f>
        <v>GERENCIAMENTO DE RISCOS DE SAÚDE, SEGURANÇA E PROCESSOS</v>
      </c>
      <c r="G1065" s="4" t="s">
        <v>22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 spans="1:26" ht="14.25" customHeight="1">
      <c r="A1066" s="4">
        <v>14420</v>
      </c>
      <c r="B1066" s="4" t="str">
        <f>IFERROR(VLOOKUP(A1066,Colaboradores!A:D,2,),"")</f>
        <v>LAYLLA EMANUELLY DA SILVA ARAUJO</v>
      </c>
      <c r="C1066" s="4" t="str">
        <f>IFERROR(VLOOKUP(A1066,Colaboradores!A:D,3,),"")</f>
        <v>REGIONAL LESTE</v>
      </c>
      <c r="D1066" s="4" t="str">
        <f>IFERROR(VLOOKUP(A1066,Colaboradores!A:D,4,),"")</f>
        <v>ASSISTENTE ADMINISTRATIVO</v>
      </c>
      <c r="E1066" s="4" t="s">
        <v>61</v>
      </c>
      <c r="F1066" s="5" t="str">
        <f>IFERROR(VLOOKUP(E1066,Procedimentos!A:C,2,),"")</f>
        <v>PROCEDIMENTO DE INSPEÇÃO DE SEGURANÇA</v>
      </c>
      <c r="G1066" s="4" t="s">
        <v>22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 spans="1:26" ht="14.25" customHeight="1">
      <c r="A1067" s="4">
        <v>14420</v>
      </c>
      <c r="B1067" s="4" t="str">
        <f>IFERROR(VLOOKUP(A1067,Colaboradores!A:D,2,),"")</f>
        <v>LAYLLA EMANUELLY DA SILVA ARAUJO</v>
      </c>
      <c r="C1067" s="4" t="str">
        <f>IFERROR(VLOOKUP(A1067,Colaboradores!A:D,3,),"")</f>
        <v>REGIONAL LESTE</v>
      </c>
      <c r="D1067" s="4" t="str">
        <f>IFERROR(VLOOKUP(A1067,Colaboradores!A:D,4,),"")</f>
        <v>ASSISTENTE ADMINISTRATIVO</v>
      </c>
      <c r="E1067" s="4" t="s">
        <v>62</v>
      </c>
      <c r="F1067" s="5" t="str">
        <f>IFERROR(VLOOKUP(E1067,Procedimentos!A:C,2,),"")</f>
        <v>DIRETRIZES PARA ENVIO E RECEBIMENTO DE DOSÍMETRO</v>
      </c>
      <c r="G1067" s="4" t="s">
        <v>22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 spans="1:26" ht="14.25" customHeight="1">
      <c r="A1068" s="4">
        <v>14815</v>
      </c>
      <c r="B1068" s="4" t="str">
        <f>IFERROR(VLOOKUP(A1068,Colaboradores!A:D,2,),"")</f>
        <v>NATHALIA CRISTINA DOS SANTOS RODRIGUES</v>
      </c>
      <c r="C1068" s="4" t="str">
        <f>IFERROR(VLOOKUP(A1068,Colaboradores!A:D,3,),"")</f>
        <v>REGIONAL LESTE</v>
      </c>
      <c r="D1068" s="4" t="str">
        <f>IFERROR(VLOOKUP(A1068,Colaboradores!A:D,4,),"")</f>
        <v>ASSISTENTE DE MEIO AMBIENTE</v>
      </c>
      <c r="E1068" s="4" t="s">
        <v>58</v>
      </c>
      <c r="F1068" s="5" t="str">
        <f>IFERROR(VLOOKUP(E1068,Procedimentos!A:C,2,),"")</f>
        <v>POLÍTICA DE QUALIDADE DA DIRETORIA</v>
      </c>
      <c r="G1068" s="4" t="s">
        <v>22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 spans="1:26" ht="14.25" customHeight="1">
      <c r="A1069" s="4">
        <v>14815</v>
      </c>
      <c r="B1069" s="4" t="str">
        <f>IFERROR(VLOOKUP(A1069,Colaboradores!A:D,2,),"")</f>
        <v>NATHALIA CRISTINA DOS SANTOS RODRIGUES</v>
      </c>
      <c r="C1069" s="4" t="str">
        <f>IFERROR(VLOOKUP(A1069,Colaboradores!A:D,3,),"")</f>
        <v>REGIONAL LESTE</v>
      </c>
      <c r="D1069" s="4" t="str">
        <f>IFERROR(VLOOKUP(A1069,Colaboradores!A:D,4,),"")</f>
        <v>ASSISTENTE DE MEIO AMBIENTE</v>
      </c>
      <c r="E1069" s="4" t="s">
        <v>19</v>
      </c>
      <c r="F1069" s="5" t="str">
        <f>IFERROR(VLOOKUP(E1069,Procedimentos!A:C,2,),"")</f>
        <v>DIRETRIZES PARA DOCUMENTOS NORMATIVOS</v>
      </c>
      <c r="G1069" s="4" t="s">
        <v>22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 spans="1:26" ht="14.25" customHeight="1">
      <c r="A1070" s="4">
        <v>14815</v>
      </c>
      <c r="B1070" s="4" t="str">
        <f>IFERROR(VLOOKUP(A1070,Colaboradores!A:D,2,),"")</f>
        <v>NATHALIA CRISTINA DOS SANTOS RODRIGUES</v>
      </c>
      <c r="C1070" s="4" t="str">
        <f>IFERROR(VLOOKUP(A1070,Colaboradores!A:D,3,),"")</f>
        <v>REGIONAL LESTE</v>
      </c>
      <c r="D1070" s="4" t="str">
        <f>IFERROR(VLOOKUP(A1070,Colaboradores!A:D,4,),"")</f>
        <v>ASSISTENTE DE MEIO AMBIENTE</v>
      </c>
      <c r="E1070" s="4" t="s">
        <v>24</v>
      </c>
      <c r="F1070" s="5" t="str">
        <f>IFERROR(VLOOKUP(E1070,Procedimentos!A:C,2,),"")</f>
        <v>DIRETRIZES  PARA PROGRAMA 5S</v>
      </c>
      <c r="G1070" s="4" t="s">
        <v>22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 spans="1:26" ht="14.25" customHeight="1">
      <c r="A1071" s="4">
        <v>14815</v>
      </c>
      <c r="B1071" s="4" t="str">
        <f>IFERROR(VLOOKUP(A1071,Colaboradores!A:D,2,),"")</f>
        <v>NATHALIA CRISTINA DOS SANTOS RODRIGUES</v>
      </c>
      <c r="C1071" s="4" t="str">
        <f>IFERROR(VLOOKUP(A1071,Colaboradores!A:D,3,),"")</f>
        <v>REGIONAL LESTE</v>
      </c>
      <c r="D1071" s="4" t="str">
        <f>IFERROR(VLOOKUP(A1071,Colaboradores!A:D,4,),"")</f>
        <v>ASSISTENTE DE MEIO AMBIENTE</v>
      </c>
      <c r="E1071" s="4" t="s">
        <v>25</v>
      </c>
      <c r="F1071" s="5" t="str">
        <f>IFERROR(VLOOKUP(E1071,Procedimentos!A:C,2,),"")</f>
        <v>GARANTIA DA QUALIDADE</v>
      </c>
      <c r="G1071" s="4" t="s">
        <v>22</v>
      </c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 spans="1:26" ht="14.25" customHeight="1">
      <c r="A1072" s="4">
        <v>14815</v>
      </c>
      <c r="B1072" s="4" t="str">
        <f>IFERROR(VLOOKUP(A1072,Colaboradores!A:D,2,),"")</f>
        <v>NATHALIA CRISTINA DOS SANTOS RODRIGUES</v>
      </c>
      <c r="C1072" s="4" t="str">
        <f>IFERROR(VLOOKUP(A1072,Colaboradores!A:D,3,),"")</f>
        <v>REGIONAL LESTE</v>
      </c>
      <c r="D1072" s="4" t="str">
        <f>IFERROR(VLOOKUP(A1072,Colaboradores!A:D,4,),"")</f>
        <v>ASSISTENTE DE MEIO AMBIENTE</v>
      </c>
      <c r="E1072" s="4" t="s">
        <v>26</v>
      </c>
      <c r="F1072" s="5" t="str">
        <f>IFERROR(VLOOKUP(E1072,Procedimentos!A:C,2,),"")</f>
        <v>RESPONSABILIDADES E AUTORIDADES DO SGQ</v>
      </c>
      <c r="G1072" s="4" t="s">
        <v>22</v>
      </c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 spans="1:26" ht="14.25" customHeight="1">
      <c r="A1073" s="4">
        <v>14815</v>
      </c>
      <c r="B1073" s="4" t="str">
        <f>IFERROR(VLOOKUP(A1073,Colaboradores!A:D,2,),"")</f>
        <v>NATHALIA CRISTINA DOS SANTOS RODRIGUES</v>
      </c>
      <c r="C1073" s="4" t="str">
        <f>IFERROR(VLOOKUP(A1073,Colaboradores!A:D,3,),"")</f>
        <v>REGIONAL LESTE</v>
      </c>
      <c r="D1073" s="4" t="str">
        <f>IFERROR(VLOOKUP(A1073,Colaboradores!A:D,4,),"")</f>
        <v>ASSISTENTE DE MEIO AMBIENTE</v>
      </c>
      <c r="E1073" s="4" t="s">
        <v>73</v>
      </c>
      <c r="F1073" s="5" t="str">
        <f>IFERROR(VLOOKUP(E1073,Procedimentos!A:C,2,),"")</f>
        <v>AQUISIÇÃO DE BENS E SERVIÇOS E AVALIAÇÃO PROVEDORES EXTERNOS</v>
      </c>
      <c r="G1073" s="4" t="s">
        <v>22</v>
      </c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 spans="1:26" ht="14.25" customHeight="1">
      <c r="A1074" s="4">
        <v>14815</v>
      </c>
      <c r="B1074" s="4" t="str">
        <f>IFERROR(VLOOKUP(A1074,Colaboradores!A:D,2,),"")</f>
        <v>NATHALIA CRISTINA DOS SANTOS RODRIGUES</v>
      </c>
      <c r="C1074" s="4" t="str">
        <f>IFERROR(VLOOKUP(A1074,Colaboradores!A:D,3,),"")</f>
        <v>REGIONAL LESTE</v>
      </c>
      <c r="D1074" s="4" t="str">
        <f>IFERROR(VLOOKUP(A1074,Colaboradores!A:D,4,),"")</f>
        <v>ASSISTENTE DE MEIO AMBIENTE</v>
      </c>
      <c r="E1074" s="4" t="s">
        <v>48</v>
      </c>
      <c r="F1074" s="5" t="str">
        <f>IFERROR(VLOOKUP(E1074,Procedimentos!A:C,2,),"")</f>
        <v>POLÍTICA MEIO AMBIENTE EMSERH</v>
      </c>
      <c r="G1074" s="4" t="s">
        <v>22</v>
      </c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 spans="1:26" ht="14.25" customHeight="1">
      <c r="A1075" s="4">
        <v>14815</v>
      </c>
      <c r="B1075" s="4" t="str">
        <f>IFERROR(VLOOKUP(A1075,Colaboradores!A:D,2,),"")</f>
        <v>NATHALIA CRISTINA DOS SANTOS RODRIGUES</v>
      </c>
      <c r="C1075" s="4" t="str">
        <f>IFERROR(VLOOKUP(A1075,Colaboradores!A:D,3,),"")</f>
        <v>REGIONAL LESTE</v>
      </c>
      <c r="D1075" s="4" t="str">
        <f>IFERROR(VLOOKUP(A1075,Colaboradores!A:D,4,),"")</f>
        <v>ASSISTENTE DE MEIO AMBIENTE</v>
      </c>
      <c r="E1075" s="4" t="s">
        <v>29</v>
      </c>
      <c r="F1075" s="5" t="str">
        <f>IFERROR(VLOOKUP(E1075,Procedimentos!A:C,2,),"")</f>
        <v>COLETA SELETIVA DESSMA</v>
      </c>
      <c r="G1075" s="4" t="s">
        <v>22</v>
      </c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 spans="1:26" ht="14.25" customHeight="1">
      <c r="A1076" s="4">
        <v>14815</v>
      </c>
      <c r="B1076" s="4" t="str">
        <f>IFERROR(VLOOKUP(A1076,Colaboradores!A:D,2,),"")</f>
        <v>NATHALIA CRISTINA DOS SANTOS RODRIGUES</v>
      </c>
      <c r="C1076" s="4" t="str">
        <f>IFERROR(VLOOKUP(A1076,Colaboradores!A:D,3,),"")</f>
        <v>REGIONAL LESTE</v>
      </c>
      <c r="D1076" s="4" t="str">
        <f>IFERROR(VLOOKUP(A1076,Colaboradores!A:D,4,),"")</f>
        <v>ASSISTENTE DE MEIO AMBIENTE</v>
      </c>
      <c r="E1076" s="4" t="s">
        <v>36</v>
      </c>
      <c r="F1076" s="5" t="str">
        <f>IFERROR(VLOOKUP(E1076,Procedimentos!A:C,2,),"")</f>
        <v>GESTÃO DE PRODUTOS QUÍMICOS</v>
      </c>
      <c r="G1076" s="4" t="s">
        <v>22</v>
      </c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 spans="1:26" ht="14.25" customHeight="1">
      <c r="A1077" s="4">
        <v>14815</v>
      </c>
      <c r="B1077" s="4" t="str">
        <f>IFERROR(VLOOKUP(A1077,Colaboradores!A:D,2,),"")</f>
        <v>NATHALIA CRISTINA DOS SANTOS RODRIGUES</v>
      </c>
      <c r="C1077" s="4" t="str">
        <f>IFERROR(VLOOKUP(A1077,Colaboradores!A:D,3,),"")</f>
        <v>REGIONAL LESTE</v>
      </c>
      <c r="D1077" s="4" t="str">
        <f>IFERROR(VLOOKUP(A1077,Colaboradores!A:D,4,),"")</f>
        <v>ASSISTENTE DE MEIO AMBIENTE</v>
      </c>
      <c r="E1077" s="4" t="s">
        <v>32</v>
      </c>
      <c r="F1077" s="5" t="str">
        <f>IFERROR(VLOOKUP(E1077,Procedimentos!A:C,2,),"")</f>
        <v>GESTÃO DE LEVANTAMENTO DE ASPECTOS E IMPACTOS AMBIENTAIS</v>
      </c>
      <c r="G1077" s="4" t="s">
        <v>22</v>
      </c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 spans="1:26" ht="14.25" customHeight="1">
      <c r="A1078" s="4">
        <v>14815</v>
      </c>
      <c r="B1078" s="4" t="str">
        <f>IFERROR(VLOOKUP(A1078,Colaboradores!A:D,2,),"")</f>
        <v>NATHALIA CRISTINA DOS SANTOS RODRIGUES</v>
      </c>
      <c r="C1078" s="4" t="str">
        <f>IFERROR(VLOOKUP(A1078,Colaboradores!A:D,3,),"")</f>
        <v>REGIONAL LESTE</v>
      </c>
      <c r="D1078" s="4" t="str">
        <f>IFERROR(VLOOKUP(A1078,Colaboradores!A:D,4,),"")</f>
        <v>ASSISTENTE DE MEIO AMBIENTE</v>
      </c>
      <c r="E1078" s="4" t="s">
        <v>31</v>
      </c>
      <c r="F1078" s="5" t="str">
        <f>IFERROR(VLOOKUP(E1078,Procedimentos!A:C,2,),"")</f>
        <v>GESTÃO DE COMUNICAÇÃO, CLASSIFICAÇÃO E INVESTIGAÇÃO DE OCORRÊNCIAS AMBIENTAIS</v>
      </c>
      <c r="G1078" s="4" t="s">
        <v>22</v>
      </c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 spans="1:26" ht="14.25" customHeight="1">
      <c r="A1079" s="4">
        <v>14815</v>
      </c>
      <c r="B1079" s="4" t="str">
        <f>IFERROR(VLOOKUP(A1079,Colaboradores!A:D,2,),"")</f>
        <v>NATHALIA CRISTINA DOS SANTOS RODRIGUES</v>
      </c>
      <c r="C1079" s="4" t="str">
        <f>IFERROR(VLOOKUP(A1079,Colaboradores!A:D,3,),"")</f>
        <v>REGIONAL LESTE</v>
      </c>
      <c r="D1079" s="4" t="str">
        <f>IFERROR(VLOOKUP(A1079,Colaboradores!A:D,4,),"")</f>
        <v>ASSISTENTE DE MEIO AMBIENTE</v>
      </c>
      <c r="E1079" s="4" t="s">
        <v>33</v>
      </c>
      <c r="F1079" s="5" t="str">
        <f>IFERROR(VLOOKUP(E1079,Procedimentos!A:C,2,),"")</f>
        <v>GESTÃO DE INSPEÇÕES AMBIENTAIS</v>
      </c>
      <c r="G1079" s="4" t="s">
        <v>22</v>
      </c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 spans="1:26" ht="14.25" customHeight="1">
      <c r="A1080" s="4">
        <v>14815</v>
      </c>
      <c r="B1080" s="4" t="str">
        <f>IFERROR(VLOOKUP(A1080,Colaboradores!A:D,2,),"")</f>
        <v>NATHALIA CRISTINA DOS SANTOS RODRIGUES</v>
      </c>
      <c r="C1080" s="4" t="str">
        <f>IFERROR(VLOOKUP(A1080,Colaboradores!A:D,3,),"")</f>
        <v>REGIONAL LESTE</v>
      </c>
      <c r="D1080" s="4" t="str">
        <f>IFERROR(VLOOKUP(A1080,Colaboradores!A:D,4,),"")</f>
        <v>ASSISTENTE DE MEIO AMBIENTE</v>
      </c>
      <c r="E1080" s="4" t="s">
        <v>39</v>
      </c>
      <c r="F1080" s="5" t="str">
        <f>IFERROR(VLOOKUP(E1080,Procedimentos!A:C,2,),"")</f>
        <v>GESTÃO DE ÁGUAS E EFLUENTES</v>
      </c>
      <c r="G1080" s="4" t="s">
        <v>22</v>
      </c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 spans="1:26" ht="14.25" customHeight="1">
      <c r="A1081" s="4">
        <v>14815</v>
      </c>
      <c r="B1081" s="4" t="str">
        <f>IFERROR(VLOOKUP(A1081,Colaboradores!A:D,2,),"")</f>
        <v>NATHALIA CRISTINA DOS SANTOS RODRIGUES</v>
      </c>
      <c r="C1081" s="4" t="str">
        <f>IFERROR(VLOOKUP(A1081,Colaboradores!A:D,3,),"")</f>
        <v>REGIONAL LESTE</v>
      </c>
      <c r="D1081" s="4" t="str">
        <f>IFERROR(VLOOKUP(A1081,Colaboradores!A:D,4,),"")</f>
        <v>ASSISTENTE DE MEIO AMBIENTE</v>
      </c>
      <c r="E1081" s="4" t="s">
        <v>34</v>
      </c>
      <c r="F1081" s="5" t="str">
        <f>IFERROR(VLOOKUP(E1081,Procedimentos!A:C,2,),"")</f>
        <v>GESTÃO DE LICENCIAMENTO AMBIENTAL</v>
      </c>
      <c r="G1081" s="4" t="s">
        <v>22</v>
      </c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 spans="1:26" ht="14.25" customHeight="1">
      <c r="A1082" s="4">
        <v>14815</v>
      </c>
      <c r="B1082" s="4" t="str">
        <f>IFERROR(VLOOKUP(A1082,Colaboradores!A:D,2,),"")</f>
        <v>NATHALIA CRISTINA DOS SANTOS RODRIGUES</v>
      </c>
      <c r="C1082" s="4" t="str">
        <f>IFERROR(VLOOKUP(A1082,Colaboradores!A:D,3,),"")</f>
        <v>REGIONAL LESTE</v>
      </c>
      <c r="D1082" s="4" t="str">
        <f>IFERROR(VLOOKUP(A1082,Colaboradores!A:D,4,),"")</f>
        <v>ASSISTENTE DE MEIO AMBIENTE</v>
      </c>
      <c r="E1082" s="4" t="s">
        <v>38</v>
      </c>
      <c r="F1082" s="5" t="str">
        <f>IFERROR(VLOOKUP(E1082,Procedimentos!A:C,2,),"")</f>
        <v>GESTÃO DE CONDICIONANTES DE LICENCIAMENTO AMBIENTAL</v>
      </c>
      <c r="G1082" s="4" t="s">
        <v>22</v>
      </c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 spans="1:26" ht="14.25" customHeight="1">
      <c r="A1083" s="4">
        <v>14815</v>
      </c>
      <c r="B1083" s="4" t="str">
        <f>IFERROR(VLOOKUP(A1083,Colaboradores!A:D,2,),"")</f>
        <v>NATHALIA CRISTINA DOS SANTOS RODRIGUES</v>
      </c>
      <c r="C1083" s="4" t="str">
        <f>IFERROR(VLOOKUP(A1083,Colaboradores!A:D,3,),"")</f>
        <v>REGIONAL LESTE</v>
      </c>
      <c r="D1083" s="4" t="str">
        <f>IFERROR(VLOOKUP(A1083,Colaboradores!A:D,4,),"")</f>
        <v>ASSISTENTE DE MEIO AMBIENTE</v>
      </c>
      <c r="E1083" s="4" t="s">
        <v>37</v>
      </c>
      <c r="F1083" s="5" t="str">
        <f>IFERROR(VLOOKUP(E1083,Procedimentos!A:C,2,),"")</f>
        <v>GESTÃO DE RESÍDUOS SÓLIDOS DE SERVIÇOS DE SAÚDE</v>
      </c>
      <c r="G1083" s="4" t="s">
        <v>22</v>
      </c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 spans="1:26" ht="14.25" customHeight="1">
      <c r="A1084" s="4">
        <v>14815</v>
      </c>
      <c r="B1084" s="4" t="str">
        <f>IFERROR(VLOOKUP(A1084,Colaboradores!A:D,2,),"")</f>
        <v>NATHALIA CRISTINA DOS SANTOS RODRIGUES</v>
      </c>
      <c r="C1084" s="4" t="str">
        <f>IFERROR(VLOOKUP(A1084,Colaboradores!A:D,3,),"")</f>
        <v>REGIONAL LESTE</v>
      </c>
      <c r="D1084" s="4" t="str">
        <f>IFERROR(VLOOKUP(A1084,Colaboradores!A:D,4,),"")</f>
        <v>ASSISTENTE DE MEIO AMBIENTE</v>
      </c>
      <c r="E1084" s="4" t="s">
        <v>35</v>
      </c>
      <c r="F1084" s="5" t="str">
        <f>IFERROR(VLOOKUP(E1084,Procedimentos!A:C,2,),"")</f>
        <v>PROCEDIMENTO DE AFERIÇÃO DE FUMAÇA PRETA</v>
      </c>
      <c r="G1084" s="4" t="s">
        <v>22</v>
      </c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 spans="1:26" ht="14.25" customHeight="1">
      <c r="A1085" s="4">
        <v>14815</v>
      </c>
      <c r="B1085" s="4" t="str">
        <f>IFERROR(VLOOKUP(A1085,Colaboradores!A:D,2,),"")</f>
        <v>NATHALIA CRISTINA DOS SANTOS RODRIGUES</v>
      </c>
      <c r="C1085" s="4" t="str">
        <f>IFERROR(VLOOKUP(A1085,Colaboradores!A:D,3,),"")</f>
        <v>REGIONAL LESTE</v>
      </c>
      <c r="D1085" s="4" t="str">
        <f>IFERROR(VLOOKUP(A1085,Colaboradores!A:D,4,),"")</f>
        <v>ASSISTENTE DE MEIO AMBIENTE</v>
      </c>
      <c r="E1085" s="4" t="s">
        <v>49</v>
      </c>
      <c r="F1085" s="5" t="str">
        <f>IFERROR(VLOOKUP(E1085,Procedimentos!A:C,2,),"")</f>
        <v>DIRETRIZES PARA REALIZAÇÃO DE EXAMES OCUPACIONAIS</v>
      </c>
      <c r="G1085" s="4" t="s">
        <v>22</v>
      </c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 spans="1:26" ht="14.25" customHeight="1">
      <c r="A1086" s="4">
        <v>14815</v>
      </c>
      <c r="B1086" s="4" t="str">
        <f>IFERROR(VLOOKUP(A1086,Colaboradores!A:D,2,),"")</f>
        <v>NATHALIA CRISTINA DOS SANTOS RODRIGUES</v>
      </c>
      <c r="C1086" s="4" t="str">
        <f>IFERROR(VLOOKUP(A1086,Colaboradores!A:D,3,),"")</f>
        <v>REGIONAL LESTE</v>
      </c>
      <c r="D1086" s="4" t="str">
        <f>IFERROR(VLOOKUP(A1086,Colaboradores!A:D,4,),"")</f>
        <v>ASSISTENTE DE MEIO AMBIENTE</v>
      </c>
      <c r="E1086" s="4" t="s">
        <v>51</v>
      </c>
      <c r="F1086" s="5" t="str">
        <f>IFERROR(VLOOKUP(E1086,Procedimentos!A:C,2,),"")</f>
        <v>DIRETRIZES PARA ENTREGA DE ATESTADOS MÉDICOS E ODONTOLÓGICOS</v>
      </c>
      <c r="G1086" s="4" t="s">
        <v>22</v>
      </c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 spans="1:26" ht="14.25" customHeight="1">
      <c r="A1087" s="4">
        <v>14815</v>
      </c>
      <c r="B1087" s="4" t="str">
        <f>IFERROR(VLOOKUP(A1087,Colaboradores!A:D,2,),"")</f>
        <v>NATHALIA CRISTINA DOS SANTOS RODRIGUES</v>
      </c>
      <c r="C1087" s="4" t="str">
        <f>IFERROR(VLOOKUP(A1087,Colaboradores!A:D,3,),"")</f>
        <v>REGIONAL LESTE</v>
      </c>
      <c r="D1087" s="4" t="str">
        <f>IFERROR(VLOOKUP(A1087,Colaboradores!A:D,4,),"")</f>
        <v>ASSISTENTE DE MEIO AMBIENTE</v>
      </c>
      <c r="E1087" s="4" t="s">
        <v>52</v>
      </c>
      <c r="F1087" s="5" t="str">
        <f>IFERROR(VLOOKUP(E1087,Procedimentos!A:C,2,),"")</f>
        <v>DIRETRIZES E ACOMPANHAMENTO  DE ACIDENTE COM MATERIAL BIOLOGICO</v>
      </c>
      <c r="G1087" s="4" t="s">
        <v>22</v>
      </c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 spans="1:26" ht="14.25" customHeight="1">
      <c r="A1088" s="4">
        <v>14815</v>
      </c>
      <c r="B1088" s="4" t="str">
        <f>IFERROR(VLOOKUP(A1088,Colaboradores!A:D,2,),"")</f>
        <v>NATHALIA CRISTINA DOS SANTOS RODRIGUES</v>
      </c>
      <c r="C1088" s="4" t="str">
        <f>IFERROR(VLOOKUP(A1088,Colaboradores!A:D,3,),"")</f>
        <v>REGIONAL LESTE</v>
      </c>
      <c r="D1088" s="4" t="str">
        <f>IFERROR(VLOOKUP(A1088,Colaboradores!A:D,4,),"")</f>
        <v>ASSISTENTE DE MEIO AMBIENTE</v>
      </c>
      <c r="E1088" s="4" t="s">
        <v>53</v>
      </c>
      <c r="F1088" s="5" t="str">
        <f>IFERROR(VLOOKUP(E1088,Procedimentos!A:C,2,),"")</f>
        <v>DIRETRIZES PARA MONITORAMENTO DE GESTANTE</v>
      </c>
      <c r="G1088" s="4" t="s">
        <v>22</v>
      </c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 spans="1:26" ht="14.25" customHeight="1">
      <c r="A1089" s="4">
        <v>14815</v>
      </c>
      <c r="B1089" s="4" t="str">
        <f>IFERROR(VLOOKUP(A1089,Colaboradores!A:D,2,),"")</f>
        <v>NATHALIA CRISTINA DOS SANTOS RODRIGUES</v>
      </c>
      <c r="C1089" s="4" t="str">
        <f>IFERROR(VLOOKUP(A1089,Colaboradores!A:D,3,),"")</f>
        <v>REGIONAL LESTE</v>
      </c>
      <c r="D1089" s="4" t="str">
        <f>IFERROR(VLOOKUP(A1089,Colaboradores!A:D,4,),"")</f>
        <v>ASSISTENTE DE MEIO AMBIENTE</v>
      </c>
      <c r="E1089" s="4" t="s">
        <v>54</v>
      </c>
      <c r="F1089" s="5" t="str">
        <f>IFERROR(VLOOKUP(E1089,Procedimentos!A:C,2,),"")</f>
        <v>DIRETRIZES DE IMUNIZAÇÃO OCUPACIONAL</v>
      </c>
      <c r="G1089" s="4" t="s">
        <v>22</v>
      </c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 spans="1:26" ht="14.25" customHeight="1">
      <c r="A1090" s="4">
        <v>14815</v>
      </c>
      <c r="B1090" s="4" t="str">
        <f>IFERROR(VLOOKUP(A1090,Colaboradores!A:D,2,),"")</f>
        <v>NATHALIA CRISTINA DOS SANTOS RODRIGUES</v>
      </c>
      <c r="C1090" s="4" t="str">
        <f>IFERROR(VLOOKUP(A1090,Colaboradores!A:D,3,),"")</f>
        <v>REGIONAL LESTE</v>
      </c>
      <c r="D1090" s="4" t="str">
        <f>IFERROR(VLOOKUP(A1090,Colaboradores!A:D,4,),"")</f>
        <v>ASSISTENTE DE MEIO AMBIENTE</v>
      </c>
      <c r="E1090" s="4" t="s">
        <v>55</v>
      </c>
      <c r="F1090" s="5" t="str">
        <f>IFERROR(VLOOKUP(E1090,Procedimentos!A:C,2,),"")</f>
        <v>DIRETRIZES PARA ACOMPANHAMENTO DE AFASTADOS</v>
      </c>
      <c r="G1090" s="4" t="s">
        <v>22</v>
      </c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 spans="1:26" ht="14.25" customHeight="1">
      <c r="A1091" s="4">
        <v>14815</v>
      </c>
      <c r="B1091" s="4" t="str">
        <f>IFERROR(VLOOKUP(A1091,Colaboradores!A:D,2,),"")</f>
        <v>NATHALIA CRISTINA DOS SANTOS RODRIGUES</v>
      </c>
      <c r="C1091" s="4" t="str">
        <f>IFERROR(VLOOKUP(A1091,Colaboradores!A:D,3,),"")</f>
        <v>REGIONAL LESTE</v>
      </c>
      <c r="D1091" s="4" t="str">
        <f>IFERROR(VLOOKUP(A1091,Colaboradores!A:D,4,),"")</f>
        <v>ASSISTENTE DE MEIO AMBIENTE</v>
      </c>
      <c r="E1091" s="4" t="s">
        <v>46</v>
      </c>
      <c r="F1091" s="5" t="str">
        <f>IFERROR(VLOOKUP(E1091,Procedimentos!A:C,2,),"")</f>
        <v>POLÍTICA DE SAÚDE E SEGURANÇA DO TRABALHO EMSERH</v>
      </c>
      <c r="G1091" s="4" t="s">
        <v>22</v>
      </c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 spans="1:26" ht="14.25" customHeight="1">
      <c r="A1092" s="4">
        <v>14815</v>
      </c>
      <c r="B1092" s="4" t="str">
        <f>IFERROR(VLOOKUP(A1092,Colaboradores!A:D,2,),"")</f>
        <v>NATHALIA CRISTINA DOS SANTOS RODRIGUES</v>
      </c>
      <c r="C1092" s="4" t="str">
        <f>IFERROR(VLOOKUP(A1092,Colaboradores!A:D,3,),"")</f>
        <v>REGIONAL LESTE</v>
      </c>
      <c r="D1092" s="4" t="str">
        <f>IFERROR(VLOOKUP(A1092,Colaboradores!A:D,4,),"")</f>
        <v>ASSISTENTE DE MEIO AMBIENTE</v>
      </c>
      <c r="E1092" s="4" t="s">
        <v>41</v>
      </c>
      <c r="F1092" s="5" t="str">
        <f>IFERROR(VLOOKUP(E1092,Procedimentos!A:C,2,),"")</f>
        <v>DIRETRIZES PARA COMUNICAÇÃO E INVESTIGAÇÃO DE ACIDENTES</v>
      </c>
      <c r="G1092" s="4" t="s">
        <v>22</v>
      </c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 spans="1:26" ht="14.25" customHeight="1">
      <c r="A1093" s="4">
        <v>14815</v>
      </c>
      <c r="B1093" s="4" t="str">
        <f>IFERROR(VLOOKUP(A1093,Colaboradores!A:D,2,),"")</f>
        <v>NATHALIA CRISTINA DOS SANTOS RODRIGUES</v>
      </c>
      <c r="C1093" s="4" t="str">
        <f>IFERROR(VLOOKUP(A1093,Colaboradores!A:D,3,),"")</f>
        <v>REGIONAL LESTE</v>
      </c>
      <c r="D1093" s="4" t="str">
        <f>IFERROR(VLOOKUP(A1093,Colaboradores!A:D,4,),"")</f>
        <v>ASSISTENTE DE MEIO AMBIENTE</v>
      </c>
      <c r="E1093" s="4" t="s">
        <v>43</v>
      </c>
      <c r="F1093" s="5" t="str">
        <f>IFERROR(VLOOKUP(E1093,Procedimentos!A:C,2,),"")</f>
        <v>DIÁLOGO DE SAÚDE E SEGURANÇA - DSS</v>
      </c>
      <c r="G1093" s="4" t="s">
        <v>22</v>
      </c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 spans="1:26" ht="14.25" customHeight="1">
      <c r="A1094" s="4">
        <v>14815</v>
      </c>
      <c r="B1094" s="4" t="str">
        <f>IFERROR(VLOOKUP(A1094,Colaboradores!A:D,2,),"")</f>
        <v>NATHALIA CRISTINA DOS SANTOS RODRIGUES</v>
      </c>
      <c r="C1094" s="4" t="str">
        <f>IFERROR(VLOOKUP(A1094,Colaboradores!A:D,3,),"")</f>
        <v>REGIONAL LESTE</v>
      </c>
      <c r="D1094" s="4" t="str">
        <f>IFERROR(VLOOKUP(A1094,Colaboradores!A:D,4,),"")</f>
        <v>ASSISTENTE DE MEIO AMBIENTE</v>
      </c>
      <c r="E1094" s="4" t="s">
        <v>44</v>
      </c>
      <c r="F1094" s="5" t="str">
        <f>IFERROR(VLOOKUP(E1094,Procedimentos!A:C,2,),"")</f>
        <v>DIRETRIZES PARA GESTÃO DE EQUIPAMENTOS DE PROTEÇÃO INDIVIDUAL - EPI'S</v>
      </c>
      <c r="G1094" s="4" t="s">
        <v>22</v>
      </c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 spans="1:26" ht="14.25" customHeight="1">
      <c r="A1095" s="4">
        <v>14815</v>
      </c>
      <c r="B1095" s="4" t="str">
        <f>IFERROR(VLOOKUP(A1095,Colaboradores!A:D,2,),"")</f>
        <v>NATHALIA CRISTINA DOS SANTOS RODRIGUES</v>
      </c>
      <c r="C1095" s="4" t="str">
        <f>IFERROR(VLOOKUP(A1095,Colaboradores!A:D,3,),"")</f>
        <v>REGIONAL LESTE</v>
      </c>
      <c r="D1095" s="4" t="str">
        <f>IFERROR(VLOOKUP(A1095,Colaboradores!A:D,4,),"")</f>
        <v>ASSISTENTE DE MEIO AMBIENTE</v>
      </c>
      <c r="E1095" s="4" t="s">
        <v>45</v>
      </c>
      <c r="F1095" s="5" t="str">
        <f>IFERROR(VLOOKUP(E1095,Procedimentos!A:C,2,),"")</f>
        <v>CONSTITUIÇÃO INTERNA DE PREVENÇÃO DE ACIDENTES E DE ASSÉDIOS - CIPA</v>
      </c>
      <c r="G1095" s="4" t="s">
        <v>22</v>
      </c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 spans="1:26" ht="14.25" customHeight="1">
      <c r="A1096" s="4">
        <v>14815</v>
      </c>
      <c r="B1096" s="4" t="str">
        <f>IFERROR(VLOOKUP(A1096,Colaboradores!A:D,2,),"")</f>
        <v>NATHALIA CRISTINA DOS SANTOS RODRIGUES</v>
      </c>
      <c r="C1096" s="4" t="str">
        <f>IFERROR(VLOOKUP(A1096,Colaboradores!A:D,3,),"")</f>
        <v>REGIONAL LESTE</v>
      </c>
      <c r="D1096" s="4" t="str">
        <f>IFERROR(VLOOKUP(A1096,Colaboradores!A:D,4,),"")</f>
        <v>ASSISTENTE DE MEIO AMBIENTE</v>
      </c>
      <c r="E1096" s="4" t="s">
        <v>59</v>
      </c>
      <c r="F1096" s="5" t="str">
        <f>IFERROR(VLOOKUP(E1096,Procedimentos!A:C,2,),"")</f>
        <v>GERENCIAMENTO DE RISCOS DE SAÚDE, SEGURANÇA E PROCESSOS</v>
      </c>
      <c r="G1096" s="4" t="s">
        <v>22</v>
      </c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 spans="1:26" ht="14.25" customHeight="1">
      <c r="A1097" s="4">
        <v>14815</v>
      </c>
      <c r="B1097" s="4" t="str">
        <f>IFERROR(VLOOKUP(A1097,Colaboradores!A:D,2,),"")</f>
        <v>NATHALIA CRISTINA DOS SANTOS RODRIGUES</v>
      </c>
      <c r="C1097" s="4" t="str">
        <f>IFERROR(VLOOKUP(A1097,Colaboradores!A:D,3,),"")</f>
        <v>REGIONAL LESTE</v>
      </c>
      <c r="D1097" s="4" t="str">
        <f>IFERROR(VLOOKUP(A1097,Colaboradores!A:D,4,),"")</f>
        <v>ASSISTENTE DE MEIO AMBIENTE</v>
      </c>
      <c r="E1097" s="4" t="s">
        <v>61</v>
      </c>
      <c r="F1097" s="5" t="str">
        <f>IFERROR(VLOOKUP(E1097,Procedimentos!A:C,2,),"")</f>
        <v>PROCEDIMENTO DE INSPEÇÃO DE SEGURANÇA</v>
      </c>
      <c r="G1097" s="4" t="s">
        <v>22</v>
      </c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 spans="1:26" ht="14.25" customHeight="1">
      <c r="A1098" s="4">
        <v>14815</v>
      </c>
      <c r="B1098" s="4" t="str">
        <f>IFERROR(VLOOKUP(A1098,Colaboradores!A:D,2,),"")</f>
        <v>NATHALIA CRISTINA DOS SANTOS RODRIGUES</v>
      </c>
      <c r="C1098" s="4" t="str">
        <f>IFERROR(VLOOKUP(A1098,Colaboradores!A:D,3,),"")</f>
        <v>REGIONAL LESTE</v>
      </c>
      <c r="D1098" s="4" t="str">
        <f>IFERROR(VLOOKUP(A1098,Colaboradores!A:D,4,),"")</f>
        <v>ASSISTENTE DE MEIO AMBIENTE</v>
      </c>
      <c r="E1098" s="4" t="s">
        <v>62</v>
      </c>
      <c r="F1098" s="5" t="str">
        <f>IFERROR(VLOOKUP(E1098,Procedimentos!A:C,2,),"")</f>
        <v>DIRETRIZES PARA ENVIO E RECEBIMENTO DE DOSÍMETRO</v>
      </c>
      <c r="G1098" s="4" t="s">
        <v>22</v>
      </c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 spans="1:26" ht="14.25" customHeight="1">
      <c r="A1099" s="4">
        <v>14721</v>
      </c>
      <c r="B1099" s="4" t="str">
        <f>IFERROR(VLOOKUP(A1099,Colaboradores!A:D,2,),"")</f>
        <v>RONILSON FERREIRA OLIVEIRA</v>
      </c>
      <c r="C1099" s="4" t="str">
        <f>IFERROR(VLOOKUP(A1099,Colaboradores!A:D,3,),"")</f>
        <v>REGIONAL LESTE</v>
      </c>
      <c r="D1099" s="4" t="str">
        <f>IFERROR(VLOOKUP(A1099,Colaboradores!A:D,4,),"")</f>
        <v>TÉCNICO DE SEGURANÇA DO TRABALHO</v>
      </c>
      <c r="E1099" s="4" t="s">
        <v>58</v>
      </c>
      <c r="F1099" s="5" t="str">
        <f>IFERROR(VLOOKUP(E1099,Procedimentos!A:C,2,),"")</f>
        <v>POLÍTICA DE QUALIDADE DA DIRETORIA</v>
      </c>
      <c r="G1099" s="4" t="s">
        <v>22</v>
      </c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 spans="1:26" ht="14.25" customHeight="1">
      <c r="A1100" s="4">
        <v>14721</v>
      </c>
      <c r="B1100" s="4" t="str">
        <f>IFERROR(VLOOKUP(A1100,Colaboradores!A:D,2,),"")</f>
        <v>RONILSON FERREIRA OLIVEIRA</v>
      </c>
      <c r="C1100" s="4" t="str">
        <f>IFERROR(VLOOKUP(A1100,Colaboradores!A:D,3,),"")</f>
        <v>REGIONAL LESTE</v>
      </c>
      <c r="D1100" s="4" t="str">
        <f>IFERROR(VLOOKUP(A1100,Colaboradores!A:D,4,),"")</f>
        <v>TÉCNICO DE SEGURANÇA DO TRABALHO</v>
      </c>
      <c r="E1100" s="4" t="s">
        <v>19</v>
      </c>
      <c r="F1100" s="5" t="str">
        <f>IFERROR(VLOOKUP(E1100,Procedimentos!A:C,2,),"")</f>
        <v>DIRETRIZES PARA DOCUMENTOS NORMATIVOS</v>
      </c>
      <c r="G1100" s="4" t="s">
        <v>22</v>
      </c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 spans="1:26" ht="14.25" customHeight="1">
      <c r="A1101" s="4">
        <v>14721</v>
      </c>
      <c r="B1101" s="4" t="str">
        <f>IFERROR(VLOOKUP(A1101,Colaboradores!A:D,2,),"")</f>
        <v>RONILSON FERREIRA OLIVEIRA</v>
      </c>
      <c r="C1101" s="4" t="str">
        <f>IFERROR(VLOOKUP(A1101,Colaboradores!A:D,3,),"")</f>
        <v>REGIONAL LESTE</v>
      </c>
      <c r="D1101" s="4" t="str">
        <f>IFERROR(VLOOKUP(A1101,Colaboradores!A:D,4,),"")</f>
        <v>TÉCNICO DE SEGURANÇA DO TRABALHO</v>
      </c>
      <c r="E1101" s="4" t="s">
        <v>24</v>
      </c>
      <c r="F1101" s="5" t="str">
        <f>IFERROR(VLOOKUP(E1101,Procedimentos!A:C,2,),"")</f>
        <v>DIRETRIZES  PARA PROGRAMA 5S</v>
      </c>
      <c r="G1101" s="4" t="s">
        <v>22</v>
      </c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 spans="1:26" ht="14.25" customHeight="1">
      <c r="A1102" s="4">
        <v>14721</v>
      </c>
      <c r="B1102" s="4" t="str">
        <f>IFERROR(VLOOKUP(A1102,Colaboradores!A:D,2,),"")</f>
        <v>RONILSON FERREIRA OLIVEIRA</v>
      </c>
      <c r="C1102" s="4" t="str">
        <f>IFERROR(VLOOKUP(A1102,Colaboradores!A:D,3,),"")</f>
        <v>REGIONAL LESTE</v>
      </c>
      <c r="D1102" s="4" t="str">
        <f>IFERROR(VLOOKUP(A1102,Colaboradores!A:D,4,),"")</f>
        <v>TÉCNICO DE SEGURANÇA DO TRABALHO</v>
      </c>
      <c r="E1102" s="4" t="s">
        <v>25</v>
      </c>
      <c r="F1102" s="5" t="str">
        <f>IFERROR(VLOOKUP(E1102,Procedimentos!A:C,2,),"")</f>
        <v>GARANTIA DA QUALIDADE</v>
      </c>
      <c r="G1102" s="4" t="s">
        <v>22</v>
      </c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 spans="1:26" ht="14.25" customHeight="1">
      <c r="A1103" s="4">
        <v>14721</v>
      </c>
      <c r="B1103" s="4" t="str">
        <f>IFERROR(VLOOKUP(A1103,Colaboradores!A:D,2,),"")</f>
        <v>RONILSON FERREIRA OLIVEIRA</v>
      </c>
      <c r="C1103" s="4" t="str">
        <f>IFERROR(VLOOKUP(A1103,Colaboradores!A:D,3,),"")</f>
        <v>REGIONAL LESTE</v>
      </c>
      <c r="D1103" s="4" t="str">
        <f>IFERROR(VLOOKUP(A1103,Colaboradores!A:D,4,),"")</f>
        <v>TÉCNICO DE SEGURANÇA DO TRABALHO</v>
      </c>
      <c r="E1103" s="4" t="s">
        <v>26</v>
      </c>
      <c r="F1103" s="5" t="str">
        <f>IFERROR(VLOOKUP(E1103,Procedimentos!A:C,2,),"")</f>
        <v>RESPONSABILIDADES E AUTORIDADES DO SGQ</v>
      </c>
      <c r="G1103" s="4" t="s">
        <v>22</v>
      </c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 spans="1:26" ht="14.25" customHeight="1">
      <c r="A1104" s="4">
        <v>14721</v>
      </c>
      <c r="B1104" s="4" t="str">
        <f>IFERROR(VLOOKUP(A1104,Colaboradores!A:D,2,),"")</f>
        <v>RONILSON FERREIRA OLIVEIRA</v>
      </c>
      <c r="C1104" s="4" t="str">
        <f>IFERROR(VLOOKUP(A1104,Colaboradores!A:D,3,),"")</f>
        <v>REGIONAL LESTE</v>
      </c>
      <c r="D1104" s="4" t="str">
        <f>IFERROR(VLOOKUP(A1104,Colaboradores!A:D,4,),"")</f>
        <v>TÉCNICO DE SEGURANÇA DO TRABALHO</v>
      </c>
      <c r="E1104" s="4" t="s">
        <v>73</v>
      </c>
      <c r="F1104" s="5" t="str">
        <f>IFERROR(VLOOKUP(E1104,Procedimentos!A:C,2,),"")</f>
        <v>AQUISIÇÃO DE BENS E SERVIÇOS E AVALIAÇÃO PROVEDORES EXTERNOS</v>
      </c>
      <c r="G1104" s="4" t="s">
        <v>22</v>
      </c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 spans="1:26" ht="14.25" customHeight="1">
      <c r="A1105" s="4">
        <v>14721</v>
      </c>
      <c r="B1105" s="4" t="str">
        <f>IFERROR(VLOOKUP(A1105,Colaboradores!A:D,2,),"")</f>
        <v>RONILSON FERREIRA OLIVEIRA</v>
      </c>
      <c r="C1105" s="4" t="str">
        <f>IFERROR(VLOOKUP(A1105,Colaboradores!A:D,3,),"")</f>
        <v>REGIONAL LESTE</v>
      </c>
      <c r="D1105" s="4" t="str">
        <f>IFERROR(VLOOKUP(A1105,Colaboradores!A:D,4,),"")</f>
        <v>TÉCNICO DE SEGURANÇA DO TRABALHO</v>
      </c>
      <c r="E1105" s="4" t="s">
        <v>48</v>
      </c>
      <c r="F1105" s="5" t="str">
        <f>IFERROR(VLOOKUP(E1105,Procedimentos!A:C,2,),"")</f>
        <v>POLÍTICA MEIO AMBIENTE EMSERH</v>
      </c>
      <c r="G1105" s="4" t="s">
        <v>22</v>
      </c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 spans="1:26" ht="14.25" customHeight="1">
      <c r="A1106" s="4">
        <v>14721</v>
      </c>
      <c r="B1106" s="4" t="str">
        <f>IFERROR(VLOOKUP(A1106,Colaboradores!A:D,2,),"")</f>
        <v>RONILSON FERREIRA OLIVEIRA</v>
      </c>
      <c r="C1106" s="4" t="str">
        <f>IFERROR(VLOOKUP(A1106,Colaboradores!A:D,3,),"")</f>
        <v>REGIONAL LESTE</v>
      </c>
      <c r="D1106" s="4" t="str">
        <f>IFERROR(VLOOKUP(A1106,Colaboradores!A:D,4,),"")</f>
        <v>TÉCNICO DE SEGURANÇA DO TRABALHO</v>
      </c>
      <c r="E1106" s="4" t="s">
        <v>29</v>
      </c>
      <c r="F1106" s="5" t="str">
        <f>IFERROR(VLOOKUP(E1106,Procedimentos!A:C,2,),"")</f>
        <v>COLETA SELETIVA DESSMA</v>
      </c>
      <c r="G1106" s="4" t="s">
        <v>22</v>
      </c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 spans="1:26" ht="14.25" customHeight="1">
      <c r="A1107" s="4">
        <v>14721</v>
      </c>
      <c r="B1107" s="4" t="str">
        <f>IFERROR(VLOOKUP(A1107,Colaboradores!A:D,2,),"")</f>
        <v>RONILSON FERREIRA OLIVEIRA</v>
      </c>
      <c r="C1107" s="4" t="str">
        <f>IFERROR(VLOOKUP(A1107,Colaboradores!A:D,3,),"")</f>
        <v>REGIONAL LESTE</v>
      </c>
      <c r="D1107" s="4" t="str">
        <f>IFERROR(VLOOKUP(A1107,Colaboradores!A:D,4,),"")</f>
        <v>TÉCNICO DE SEGURANÇA DO TRABALHO</v>
      </c>
      <c r="E1107" s="4" t="s">
        <v>36</v>
      </c>
      <c r="F1107" s="5" t="str">
        <f>IFERROR(VLOOKUP(E1107,Procedimentos!A:C,2,),"")</f>
        <v>GESTÃO DE PRODUTOS QUÍMICOS</v>
      </c>
      <c r="G1107" s="4" t="s">
        <v>22</v>
      </c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 spans="1:26" ht="14.25" customHeight="1">
      <c r="A1108" s="4">
        <v>14721</v>
      </c>
      <c r="B1108" s="4" t="str">
        <f>IFERROR(VLOOKUP(A1108,Colaboradores!A:D,2,),"")</f>
        <v>RONILSON FERREIRA OLIVEIRA</v>
      </c>
      <c r="C1108" s="4" t="str">
        <f>IFERROR(VLOOKUP(A1108,Colaboradores!A:D,3,),"")</f>
        <v>REGIONAL LESTE</v>
      </c>
      <c r="D1108" s="4" t="str">
        <f>IFERROR(VLOOKUP(A1108,Colaboradores!A:D,4,),"")</f>
        <v>TÉCNICO DE SEGURANÇA DO TRABALHO</v>
      </c>
      <c r="E1108" s="4" t="s">
        <v>32</v>
      </c>
      <c r="F1108" s="5" t="str">
        <f>IFERROR(VLOOKUP(E1108,Procedimentos!A:C,2,),"")</f>
        <v>GESTÃO DE LEVANTAMENTO DE ASPECTOS E IMPACTOS AMBIENTAIS</v>
      </c>
      <c r="G1108" s="4" t="s">
        <v>22</v>
      </c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 spans="1:26" ht="14.25" customHeight="1">
      <c r="A1109" s="4">
        <v>14721</v>
      </c>
      <c r="B1109" s="4" t="str">
        <f>IFERROR(VLOOKUP(A1109,Colaboradores!A:D,2,),"")</f>
        <v>RONILSON FERREIRA OLIVEIRA</v>
      </c>
      <c r="C1109" s="4" t="str">
        <f>IFERROR(VLOOKUP(A1109,Colaboradores!A:D,3,),"")</f>
        <v>REGIONAL LESTE</v>
      </c>
      <c r="D1109" s="4" t="str">
        <f>IFERROR(VLOOKUP(A1109,Colaboradores!A:D,4,),"")</f>
        <v>TÉCNICO DE SEGURANÇA DO TRABALHO</v>
      </c>
      <c r="E1109" s="4" t="s">
        <v>31</v>
      </c>
      <c r="F1109" s="5" t="str">
        <f>IFERROR(VLOOKUP(E1109,Procedimentos!A:C,2,),"")</f>
        <v>GESTÃO DE COMUNICAÇÃO, CLASSIFICAÇÃO E INVESTIGAÇÃO DE OCORRÊNCIAS AMBIENTAIS</v>
      </c>
      <c r="G1109" s="4" t="s">
        <v>22</v>
      </c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 spans="1:26" ht="14.25" customHeight="1">
      <c r="A1110" s="4">
        <v>14721</v>
      </c>
      <c r="B1110" s="4" t="str">
        <f>IFERROR(VLOOKUP(A1110,Colaboradores!A:D,2,),"")</f>
        <v>RONILSON FERREIRA OLIVEIRA</v>
      </c>
      <c r="C1110" s="4" t="str">
        <f>IFERROR(VLOOKUP(A1110,Colaboradores!A:D,3,),"")</f>
        <v>REGIONAL LESTE</v>
      </c>
      <c r="D1110" s="4" t="str">
        <f>IFERROR(VLOOKUP(A1110,Colaboradores!A:D,4,),"")</f>
        <v>TÉCNICO DE SEGURANÇA DO TRABALHO</v>
      </c>
      <c r="E1110" s="4" t="s">
        <v>33</v>
      </c>
      <c r="F1110" s="5" t="str">
        <f>IFERROR(VLOOKUP(E1110,Procedimentos!A:C,2,),"")</f>
        <v>GESTÃO DE INSPEÇÕES AMBIENTAIS</v>
      </c>
      <c r="G1110" s="4" t="s">
        <v>22</v>
      </c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 spans="1:26" ht="14.25" customHeight="1">
      <c r="A1111" s="4">
        <v>14721</v>
      </c>
      <c r="B1111" s="4" t="str">
        <f>IFERROR(VLOOKUP(A1111,Colaboradores!A:D,2,),"")</f>
        <v>RONILSON FERREIRA OLIVEIRA</v>
      </c>
      <c r="C1111" s="4" t="str">
        <f>IFERROR(VLOOKUP(A1111,Colaboradores!A:D,3,),"")</f>
        <v>REGIONAL LESTE</v>
      </c>
      <c r="D1111" s="4" t="str">
        <f>IFERROR(VLOOKUP(A1111,Colaboradores!A:D,4,),"")</f>
        <v>TÉCNICO DE SEGURANÇA DO TRABALHO</v>
      </c>
      <c r="E1111" s="4" t="s">
        <v>39</v>
      </c>
      <c r="F1111" s="5" t="str">
        <f>IFERROR(VLOOKUP(E1111,Procedimentos!A:C,2,),"")</f>
        <v>GESTÃO DE ÁGUAS E EFLUENTES</v>
      </c>
      <c r="G1111" s="4" t="s">
        <v>22</v>
      </c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 spans="1:26" ht="14.25" customHeight="1">
      <c r="A1112" s="4">
        <v>14721</v>
      </c>
      <c r="B1112" s="4" t="str">
        <f>IFERROR(VLOOKUP(A1112,Colaboradores!A:D,2,),"")</f>
        <v>RONILSON FERREIRA OLIVEIRA</v>
      </c>
      <c r="C1112" s="4" t="str">
        <f>IFERROR(VLOOKUP(A1112,Colaboradores!A:D,3,),"")</f>
        <v>REGIONAL LESTE</v>
      </c>
      <c r="D1112" s="4" t="str">
        <f>IFERROR(VLOOKUP(A1112,Colaboradores!A:D,4,),"")</f>
        <v>TÉCNICO DE SEGURANÇA DO TRABALHO</v>
      </c>
      <c r="E1112" s="4" t="s">
        <v>34</v>
      </c>
      <c r="F1112" s="5" t="str">
        <f>IFERROR(VLOOKUP(E1112,Procedimentos!A:C,2,),"")</f>
        <v>GESTÃO DE LICENCIAMENTO AMBIENTAL</v>
      </c>
      <c r="G1112" s="4" t="s">
        <v>22</v>
      </c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 spans="1:26" ht="14.25" customHeight="1">
      <c r="A1113" s="4">
        <v>14721</v>
      </c>
      <c r="B1113" s="4" t="str">
        <f>IFERROR(VLOOKUP(A1113,Colaboradores!A:D,2,),"")</f>
        <v>RONILSON FERREIRA OLIVEIRA</v>
      </c>
      <c r="C1113" s="4" t="str">
        <f>IFERROR(VLOOKUP(A1113,Colaboradores!A:D,3,),"")</f>
        <v>REGIONAL LESTE</v>
      </c>
      <c r="D1113" s="4" t="str">
        <f>IFERROR(VLOOKUP(A1113,Colaboradores!A:D,4,),"")</f>
        <v>TÉCNICO DE SEGURANÇA DO TRABALHO</v>
      </c>
      <c r="E1113" s="4" t="s">
        <v>38</v>
      </c>
      <c r="F1113" s="5" t="str">
        <f>IFERROR(VLOOKUP(E1113,Procedimentos!A:C,2,),"")</f>
        <v>GESTÃO DE CONDICIONANTES DE LICENCIAMENTO AMBIENTAL</v>
      </c>
      <c r="G1113" s="4" t="s">
        <v>22</v>
      </c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 spans="1:26" ht="14.25" customHeight="1">
      <c r="A1114" s="4">
        <v>14721</v>
      </c>
      <c r="B1114" s="4" t="str">
        <f>IFERROR(VLOOKUP(A1114,Colaboradores!A:D,2,),"")</f>
        <v>RONILSON FERREIRA OLIVEIRA</v>
      </c>
      <c r="C1114" s="4" t="str">
        <f>IFERROR(VLOOKUP(A1114,Colaboradores!A:D,3,),"")</f>
        <v>REGIONAL LESTE</v>
      </c>
      <c r="D1114" s="4" t="str">
        <f>IFERROR(VLOOKUP(A1114,Colaboradores!A:D,4,),"")</f>
        <v>TÉCNICO DE SEGURANÇA DO TRABALHO</v>
      </c>
      <c r="E1114" s="4" t="s">
        <v>37</v>
      </c>
      <c r="F1114" s="5" t="str">
        <f>IFERROR(VLOOKUP(E1114,Procedimentos!A:C,2,),"")</f>
        <v>GESTÃO DE RESÍDUOS SÓLIDOS DE SERVIÇOS DE SAÚDE</v>
      </c>
      <c r="G1114" s="4" t="s">
        <v>22</v>
      </c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 spans="1:26" ht="14.25" customHeight="1">
      <c r="A1115" s="4">
        <v>14721</v>
      </c>
      <c r="B1115" s="4" t="str">
        <f>IFERROR(VLOOKUP(A1115,Colaboradores!A:D,2,),"")</f>
        <v>RONILSON FERREIRA OLIVEIRA</v>
      </c>
      <c r="C1115" s="4" t="str">
        <f>IFERROR(VLOOKUP(A1115,Colaboradores!A:D,3,),"")</f>
        <v>REGIONAL LESTE</v>
      </c>
      <c r="D1115" s="4" t="str">
        <f>IFERROR(VLOOKUP(A1115,Colaboradores!A:D,4,),"")</f>
        <v>TÉCNICO DE SEGURANÇA DO TRABALHO</v>
      </c>
      <c r="E1115" s="4" t="s">
        <v>35</v>
      </c>
      <c r="F1115" s="5" t="str">
        <f>IFERROR(VLOOKUP(E1115,Procedimentos!A:C,2,),"")</f>
        <v>PROCEDIMENTO DE AFERIÇÃO DE FUMAÇA PRETA</v>
      </c>
      <c r="G1115" s="4" t="s">
        <v>22</v>
      </c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 spans="1:26" ht="14.25" customHeight="1">
      <c r="A1116" s="4">
        <v>14721</v>
      </c>
      <c r="B1116" s="4" t="str">
        <f>IFERROR(VLOOKUP(A1116,Colaboradores!A:D,2,),"")</f>
        <v>RONILSON FERREIRA OLIVEIRA</v>
      </c>
      <c r="C1116" s="4" t="str">
        <f>IFERROR(VLOOKUP(A1116,Colaboradores!A:D,3,),"")</f>
        <v>REGIONAL LESTE</v>
      </c>
      <c r="D1116" s="4" t="str">
        <f>IFERROR(VLOOKUP(A1116,Colaboradores!A:D,4,),"")</f>
        <v>TÉCNICO DE SEGURANÇA DO TRABALHO</v>
      </c>
      <c r="E1116" s="4" t="s">
        <v>49</v>
      </c>
      <c r="F1116" s="5" t="str">
        <f>IFERROR(VLOOKUP(E1116,Procedimentos!A:C,2,),"")</f>
        <v>DIRETRIZES PARA REALIZAÇÃO DE EXAMES OCUPACIONAIS</v>
      </c>
      <c r="G1116" s="4" t="s">
        <v>22</v>
      </c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 spans="1:26" ht="14.25" customHeight="1">
      <c r="A1117" s="4">
        <v>14721</v>
      </c>
      <c r="B1117" s="4" t="str">
        <f>IFERROR(VLOOKUP(A1117,Colaboradores!A:D,2,),"")</f>
        <v>RONILSON FERREIRA OLIVEIRA</v>
      </c>
      <c r="C1117" s="4" t="str">
        <f>IFERROR(VLOOKUP(A1117,Colaboradores!A:D,3,),"")</f>
        <v>REGIONAL LESTE</v>
      </c>
      <c r="D1117" s="4" t="str">
        <f>IFERROR(VLOOKUP(A1117,Colaboradores!A:D,4,),"")</f>
        <v>TÉCNICO DE SEGURANÇA DO TRABALHO</v>
      </c>
      <c r="E1117" s="4" t="s">
        <v>51</v>
      </c>
      <c r="F1117" s="5" t="str">
        <f>IFERROR(VLOOKUP(E1117,Procedimentos!A:C,2,),"")</f>
        <v>DIRETRIZES PARA ENTREGA DE ATESTADOS MÉDICOS E ODONTOLÓGICOS</v>
      </c>
      <c r="G1117" s="4" t="s">
        <v>22</v>
      </c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 spans="1:26" ht="14.25" customHeight="1">
      <c r="A1118" s="4">
        <v>14721</v>
      </c>
      <c r="B1118" s="4" t="str">
        <f>IFERROR(VLOOKUP(A1118,Colaboradores!A:D,2,),"")</f>
        <v>RONILSON FERREIRA OLIVEIRA</v>
      </c>
      <c r="C1118" s="4" t="str">
        <f>IFERROR(VLOOKUP(A1118,Colaboradores!A:D,3,),"")</f>
        <v>REGIONAL LESTE</v>
      </c>
      <c r="D1118" s="4" t="str">
        <f>IFERROR(VLOOKUP(A1118,Colaboradores!A:D,4,),"")</f>
        <v>TÉCNICO DE SEGURANÇA DO TRABALHO</v>
      </c>
      <c r="E1118" s="4" t="s">
        <v>52</v>
      </c>
      <c r="F1118" s="5" t="str">
        <f>IFERROR(VLOOKUP(E1118,Procedimentos!A:C,2,),"")</f>
        <v>DIRETRIZES E ACOMPANHAMENTO  DE ACIDENTE COM MATERIAL BIOLOGICO</v>
      </c>
      <c r="G1118" s="4" t="s">
        <v>22</v>
      </c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 spans="1:26" ht="14.25" customHeight="1">
      <c r="A1119" s="4">
        <v>14721</v>
      </c>
      <c r="B1119" s="4" t="str">
        <f>IFERROR(VLOOKUP(A1119,Colaboradores!A:D,2,),"")</f>
        <v>RONILSON FERREIRA OLIVEIRA</v>
      </c>
      <c r="C1119" s="4" t="str">
        <f>IFERROR(VLOOKUP(A1119,Colaboradores!A:D,3,),"")</f>
        <v>REGIONAL LESTE</v>
      </c>
      <c r="D1119" s="4" t="str">
        <f>IFERROR(VLOOKUP(A1119,Colaboradores!A:D,4,),"")</f>
        <v>TÉCNICO DE SEGURANÇA DO TRABALHO</v>
      </c>
      <c r="E1119" s="4" t="s">
        <v>53</v>
      </c>
      <c r="F1119" s="5" t="str">
        <f>IFERROR(VLOOKUP(E1119,Procedimentos!A:C,2,),"")</f>
        <v>DIRETRIZES PARA MONITORAMENTO DE GESTANTE</v>
      </c>
      <c r="G1119" s="4" t="s">
        <v>22</v>
      </c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 spans="1:26" ht="14.25" customHeight="1">
      <c r="A1120" s="4">
        <v>14721</v>
      </c>
      <c r="B1120" s="4" t="str">
        <f>IFERROR(VLOOKUP(A1120,Colaboradores!A:D,2,),"")</f>
        <v>RONILSON FERREIRA OLIVEIRA</v>
      </c>
      <c r="C1120" s="4" t="str">
        <f>IFERROR(VLOOKUP(A1120,Colaboradores!A:D,3,),"")</f>
        <v>REGIONAL LESTE</v>
      </c>
      <c r="D1120" s="4" t="str">
        <f>IFERROR(VLOOKUP(A1120,Colaboradores!A:D,4,),"")</f>
        <v>TÉCNICO DE SEGURANÇA DO TRABALHO</v>
      </c>
      <c r="E1120" s="4" t="s">
        <v>54</v>
      </c>
      <c r="F1120" s="5" t="str">
        <f>IFERROR(VLOOKUP(E1120,Procedimentos!A:C,2,),"")</f>
        <v>DIRETRIZES DE IMUNIZAÇÃO OCUPACIONAL</v>
      </c>
      <c r="G1120" s="4" t="s">
        <v>22</v>
      </c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 spans="1:26" ht="14.25" customHeight="1">
      <c r="A1121" s="4">
        <v>14721</v>
      </c>
      <c r="B1121" s="4" t="str">
        <f>IFERROR(VLOOKUP(A1121,Colaboradores!A:D,2,),"")</f>
        <v>RONILSON FERREIRA OLIVEIRA</v>
      </c>
      <c r="C1121" s="4" t="str">
        <f>IFERROR(VLOOKUP(A1121,Colaboradores!A:D,3,),"")</f>
        <v>REGIONAL LESTE</v>
      </c>
      <c r="D1121" s="4" t="str">
        <f>IFERROR(VLOOKUP(A1121,Colaboradores!A:D,4,),"")</f>
        <v>TÉCNICO DE SEGURANÇA DO TRABALHO</v>
      </c>
      <c r="E1121" s="4" t="s">
        <v>55</v>
      </c>
      <c r="F1121" s="5" t="str">
        <f>IFERROR(VLOOKUP(E1121,Procedimentos!A:C,2,),"")</f>
        <v>DIRETRIZES PARA ACOMPANHAMENTO DE AFASTADOS</v>
      </c>
      <c r="G1121" s="4" t="s">
        <v>22</v>
      </c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 spans="1:26" ht="14.25" customHeight="1">
      <c r="A1122" s="4">
        <v>14721</v>
      </c>
      <c r="B1122" s="4" t="str">
        <f>IFERROR(VLOOKUP(A1122,Colaboradores!A:D,2,),"")</f>
        <v>RONILSON FERREIRA OLIVEIRA</v>
      </c>
      <c r="C1122" s="4" t="str">
        <f>IFERROR(VLOOKUP(A1122,Colaboradores!A:D,3,),"")</f>
        <v>REGIONAL LESTE</v>
      </c>
      <c r="D1122" s="4" t="str">
        <f>IFERROR(VLOOKUP(A1122,Colaboradores!A:D,4,),"")</f>
        <v>TÉCNICO DE SEGURANÇA DO TRABALHO</v>
      </c>
      <c r="E1122" s="4" t="s">
        <v>46</v>
      </c>
      <c r="F1122" s="5" t="str">
        <f>IFERROR(VLOOKUP(E1122,Procedimentos!A:C,2,),"")</f>
        <v>POLÍTICA DE SAÚDE E SEGURANÇA DO TRABALHO EMSERH</v>
      </c>
      <c r="G1122" s="4" t="s">
        <v>22</v>
      </c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 spans="1:26" ht="14.25" customHeight="1">
      <c r="A1123" s="4">
        <v>14721</v>
      </c>
      <c r="B1123" s="4" t="str">
        <f>IFERROR(VLOOKUP(A1123,Colaboradores!A:D,2,),"")</f>
        <v>RONILSON FERREIRA OLIVEIRA</v>
      </c>
      <c r="C1123" s="4" t="str">
        <f>IFERROR(VLOOKUP(A1123,Colaboradores!A:D,3,),"")</f>
        <v>REGIONAL LESTE</v>
      </c>
      <c r="D1123" s="4" t="str">
        <f>IFERROR(VLOOKUP(A1123,Colaboradores!A:D,4,),"")</f>
        <v>TÉCNICO DE SEGURANÇA DO TRABALHO</v>
      </c>
      <c r="E1123" s="4" t="s">
        <v>41</v>
      </c>
      <c r="F1123" s="5" t="str">
        <f>IFERROR(VLOOKUP(E1123,Procedimentos!A:C,2,),"")</f>
        <v>DIRETRIZES PARA COMUNICAÇÃO E INVESTIGAÇÃO DE ACIDENTES</v>
      </c>
      <c r="G1123" s="4" t="s">
        <v>22</v>
      </c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 spans="1:26" ht="14.25" customHeight="1">
      <c r="A1124" s="4">
        <v>14721</v>
      </c>
      <c r="B1124" s="4" t="str">
        <f>IFERROR(VLOOKUP(A1124,Colaboradores!A:D,2,),"")</f>
        <v>RONILSON FERREIRA OLIVEIRA</v>
      </c>
      <c r="C1124" s="4" t="str">
        <f>IFERROR(VLOOKUP(A1124,Colaboradores!A:D,3,),"")</f>
        <v>REGIONAL LESTE</v>
      </c>
      <c r="D1124" s="4" t="str">
        <f>IFERROR(VLOOKUP(A1124,Colaboradores!A:D,4,),"")</f>
        <v>TÉCNICO DE SEGURANÇA DO TRABALHO</v>
      </c>
      <c r="E1124" s="4" t="s">
        <v>43</v>
      </c>
      <c r="F1124" s="5" t="str">
        <f>IFERROR(VLOOKUP(E1124,Procedimentos!A:C,2,),"")</f>
        <v>DIÁLOGO DE SAÚDE E SEGURANÇA - DSS</v>
      </c>
      <c r="G1124" s="4" t="s">
        <v>22</v>
      </c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 spans="1:26" ht="14.25" customHeight="1">
      <c r="A1125" s="4">
        <v>14721</v>
      </c>
      <c r="B1125" s="4" t="str">
        <f>IFERROR(VLOOKUP(A1125,Colaboradores!A:D,2,),"")</f>
        <v>RONILSON FERREIRA OLIVEIRA</v>
      </c>
      <c r="C1125" s="4" t="str">
        <f>IFERROR(VLOOKUP(A1125,Colaboradores!A:D,3,),"")</f>
        <v>REGIONAL LESTE</v>
      </c>
      <c r="D1125" s="4" t="str">
        <f>IFERROR(VLOOKUP(A1125,Colaboradores!A:D,4,),"")</f>
        <v>TÉCNICO DE SEGURANÇA DO TRABALHO</v>
      </c>
      <c r="E1125" s="4" t="s">
        <v>44</v>
      </c>
      <c r="F1125" s="5" t="str">
        <f>IFERROR(VLOOKUP(E1125,Procedimentos!A:C,2,),"")</f>
        <v>DIRETRIZES PARA GESTÃO DE EQUIPAMENTOS DE PROTEÇÃO INDIVIDUAL - EPI'S</v>
      </c>
      <c r="G1125" s="4" t="s">
        <v>22</v>
      </c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 spans="1:26" ht="14.25" customHeight="1">
      <c r="A1126" s="4">
        <v>14721</v>
      </c>
      <c r="B1126" s="4" t="str">
        <f>IFERROR(VLOOKUP(A1126,Colaboradores!A:D,2,),"")</f>
        <v>RONILSON FERREIRA OLIVEIRA</v>
      </c>
      <c r="C1126" s="4" t="str">
        <f>IFERROR(VLOOKUP(A1126,Colaboradores!A:D,3,),"")</f>
        <v>REGIONAL LESTE</v>
      </c>
      <c r="D1126" s="4" t="str">
        <f>IFERROR(VLOOKUP(A1126,Colaboradores!A:D,4,),"")</f>
        <v>TÉCNICO DE SEGURANÇA DO TRABALHO</v>
      </c>
      <c r="E1126" s="4" t="s">
        <v>45</v>
      </c>
      <c r="F1126" s="5" t="str">
        <f>IFERROR(VLOOKUP(E1126,Procedimentos!A:C,2,),"")</f>
        <v>CONSTITUIÇÃO INTERNA DE PREVENÇÃO DE ACIDENTES E DE ASSÉDIOS - CIPA</v>
      </c>
      <c r="G1126" s="4" t="s">
        <v>22</v>
      </c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 spans="1:26" ht="14.25" customHeight="1">
      <c r="A1127" s="4">
        <v>14721</v>
      </c>
      <c r="B1127" s="4" t="str">
        <f>IFERROR(VLOOKUP(A1127,Colaboradores!A:D,2,),"")</f>
        <v>RONILSON FERREIRA OLIVEIRA</v>
      </c>
      <c r="C1127" s="4" t="str">
        <f>IFERROR(VLOOKUP(A1127,Colaboradores!A:D,3,),"")</f>
        <v>REGIONAL LESTE</v>
      </c>
      <c r="D1127" s="4" t="str">
        <f>IFERROR(VLOOKUP(A1127,Colaboradores!A:D,4,),"")</f>
        <v>TÉCNICO DE SEGURANÇA DO TRABALHO</v>
      </c>
      <c r="E1127" s="4" t="s">
        <v>59</v>
      </c>
      <c r="F1127" s="5" t="str">
        <f>IFERROR(VLOOKUP(E1127,Procedimentos!A:C,2,),"")</f>
        <v>GERENCIAMENTO DE RISCOS DE SAÚDE, SEGURANÇA E PROCESSOS</v>
      </c>
      <c r="G1127" s="4" t="s">
        <v>22</v>
      </c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 spans="1:26" ht="14.25" customHeight="1">
      <c r="A1128" s="4">
        <v>14721</v>
      </c>
      <c r="B1128" s="4" t="str">
        <f>IFERROR(VLOOKUP(A1128,Colaboradores!A:D,2,),"")</f>
        <v>RONILSON FERREIRA OLIVEIRA</v>
      </c>
      <c r="C1128" s="4" t="str">
        <f>IFERROR(VLOOKUP(A1128,Colaboradores!A:D,3,),"")</f>
        <v>REGIONAL LESTE</v>
      </c>
      <c r="D1128" s="4" t="str">
        <f>IFERROR(VLOOKUP(A1128,Colaboradores!A:D,4,),"")</f>
        <v>TÉCNICO DE SEGURANÇA DO TRABALHO</v>
      </c>
      <c r="E1128" s="4" t="s">
        <v>61</v>
      </c>
      <c r="F1128" s="5" t="str">
        <f>IFERROR(VLOOKUP(E1128,Procedimentos!A:C,2,),"")</f>
        <v>PROCEDIMENTO DE INSPEÇÃO DE SEGURANÇA</v>
      </c>
      <c r="G1128" s="4" t="s">
        <v>22</v>
      </c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 spans="1:26" ht="14.25" customHeight="1">
      <c r="A1129" s="4">
        <v>14721</v>
      </c>
      <c r="B1129" s="4" t="str">
        <f>IFERROR(VLOOKUP(A1129,Colaboradores!A:D,2,),"")</f>
        <v>RONILSON FERREIRA OLIVEIRA</v>
      </c>
      <c r="C1129" s="4" t="str">
        <f>IFERROR(VLOOKUP(A1129,Colaboradores!A:D,3,),"")</f>
        <v>REGIONAL LESTE</v>
      </c>
      <c r="D1129" s="4" t="str">
        <f>IFERROR(VLOOKUP(A1129,Colaboradores!A:D,4,),"")</f>
        <v>TÉCNICO DE SEGURANÇA DO TRABALHO</v>
      </c>
      <c r="E1129" s="4" t="s">
        <v>62</v>
      </c>
      <c r="F1129" s="5" t="str">
        <f>IFERROR(VLOOKUP(E1129,Procedimentos!A:C,2,),"")</f>
        <v>DIRETRIZES PARA ENVIO E RECEBIMENTO DE DOSÍMETRO</v>
      </c>
      <c r="G1129" s="4" t="s">
        <v>22</v>
      </c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 spans="1:26" ht="14.25" customHeight="1">
      <c r="A1130" s="4">
        <v>14767</v>
      </c>
      <c r="B1130" s="4" t="str">
        <f>IFERROR(VLOOKUP(A1130,Colaboradores!A:D,2,),"")</f>
        <v>CAIO VINICIUS PEREIRA DO NASCIMENTO</v>
      </c>
      <c r="C1130" s="4" t="str">
        <f>IFERROR(VLOOKUP(A1130,Colaboradores!A:D,3,),"")</f>
        <v>REGIONAL SUL</v>
      </c>
      <c r="D1130" s="4" t="str">
        <f>IFERROR(VLOOKUP(A1130,Colaboradores!A:D,4,),"")</f>
        <v>TÉCNICO DE MEIO AMBIENTE</v>
      </c>
      <c r="E1130" s="4" t="s">
        <v>58</v>
      </c>
      <c r="F1130" s="5" t="str">
        <f>IFERROR(VLOOKUP(E1130,Procedimentos!A:C,2,),"")</f>
        <v>POLÍTICA DE QUALIDADE DA DIRETORIA</v>
      </c>
      <c r="G1130" s="4" t="s">
        <v>22</v>
      </c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 spans="1:26" ht="14.25" customHeight="1">
      <c r="A1131" s="4">
        <v>14767</v>
      </c>
      <c r="B1131" s="4" t="str">
        <f>IFERROR(VLOOKUP(A1131,Colaboradores!A:D,2,),"")</f>
        <v>CAIO VINICIUS PEREIRA DO NASCIMENTO</v>
      </c>
      <c r="C1131" s="4" t="str">
        <f>IFERROR(VLOOKUP(A1131,Colaboradores!A:D,3,),"")</f>
        <v>REGIONAL SUL</v>
      </c>
      <c r="D1131" s="4" t="str">
        <f>IFERROR(VLOOKUP(A1131,Colaboradores!A:D,4,),"")</f>
        <v>TÉCNICO DE MEIO AMBIENTE</v>
      </c>
      <c r="E1131" s="4" t="s">
        <v>19</v>
      </c>
      <c r="F1131" s="5" t="str">
        <f>IFERROR(VLOOKUP(E1131,Procedimentos!A:C,2,),"")</f>
        <v>DIRETRIZES PARA DOCUMENTOS NORMATIVOS</v>
      </c>
      <c r="G1131" s="4" t="s">
        <v>22</v>
      </c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 spans="1:26" ht="14.25" customHeight="1">
      <c r="A1132" s="4">
        <v>14767</v>
      </c>
      <c r="B1132" s="4" t="str">
        <f>IFERROR(VLOOKUP(A1132,Colaboradores!A:D,2,),"")</f>
        <v>CAIO VINICIUS PEREIRA DO NASCIMENTO</v>
      </c>
      <c r="C1132" s="4" t="str">
        <f>IFERROR(VLOOKUP(A1132,Colaboradores!A:D,3,),"")</f>
        <v>REGIONAL SUL</v>
      </c>
      <c r="D1132" s="4" t="str">
        <f>IFERROR(VLOOKUP(A1132,Colaboradores!A:D,4,),"")</f>
        <v>TÉCNICO DE MEIO AMBIENTE</v>
      </c>
      <c r="E1132" s="4" t="s">
        <v>24</v>
      </c>
      <c r="F1132" s="5" t="str">
        <f>IFERROR(VLOOKUP(E1132,Procedimentos!A:C,2,),"")</f>
        <v>DIRETRIZES  PARA PROGRAMA 5S</v>
      </c>
      <c r="G1132" s="4" t="s">
        <v>22</v>
      </c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 spans="1:26" ht="14.25" customHeight="1">
      <c r="A1133" s="4">
        <v>14767</v>
      </c>
      <c r="B1133" s="4" t="str">
        <f>IFERROR(VLOOKUP(A1133,Colaboradores!A:D,2,),"")</f>
        <v>CAIO VINICIUS PEREIRA DO NASCIMENTO</v>
      </c>
      <c r="C1133" s="4" t="str">
        <f>IFERROR(VLOOKUP(A1133,Colaboradores!A:D,3,),"")</f>
        <v>REGIONAL SUL</v>
      </c>
      <c r="D1133" s="4" t="str">
        <f>IFERROR(VLOOKUP(A1133,Colaboradores!A:D,4,),"")</f>
        <v>TÉCNICO DE MEIO AMBIENTE</v>
      </c>
      <c r="E1133" s="4" t="s">
        <v>25</v>
      </c>
      <c r="F1133" s="5" t="str">
        <f>IFERROR(VLOOKUP(E1133,Procedimentos!A:C,2,),"")</f>
        <v>GARANTIA DA QUALIDADE</v>
      </c>
      <c r="G1133" s="4" t="s">
        <v>22</v>
      </c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 spans="1:26" ht="14.25" customHeight="1">
      <c r="A1134" s="4">
        <v>14767</v>
      </c>
      <c r="B1134" s="4" t="str">
        <f>IFERROR(VLOOKUP(A1134,Colaboradores!A:D,2,),"")</f>
        <v>CAIO VINICIUS PEREIRA DO NASCIMENTO</v>
      </c>
      <c r="C1134" s="4" t="str">
        <f>IFERROR(VLOOKUP(A1134,Colaboradores!A:D,3,),"")</f>
        <v>REGIONAL SUL</v>
      </c>
      <c r="D1134" s="4" t="str">
        <f>IFERROR(VLOOKUP(A1134,Colaboradores!A:D,4,),"")</f>
        <v>TÉCNICO DE MEIO AMBIENTE</v>
      </c>
      <c r="E1134" s="4" t="s">
        <v>26</v>
      </c>
      <c r="F1134" s="5" t="str">
        <f>IFERROR(VLOOKUP(E1134,Procedimentos!A:C,2,),"")</f>
        <v>RESPONSABILIDADES E AUTORIDADES DO SGQ</v>
      </c>
      <c r="G1134" s="4" t="s">
        <v>22</v>
      </c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 spans="1:26" ht="14.25" customHeight="1">
      <c r="A1135" s="4">
        <v>14767</v>
      </c>
      <c r="B1135" s="4" t="str">
        <f>IFERROR(VLOOKUP(A1135,Colaboradores!A:D,2,),"")</f>
        <v>CAIO VINICIUS PEREIRA DO NASCIMENTO</v>
      </c>
      <c r="C1135" s="4" t="str">
        <f>IFERROR(VLOOKUP(A1135,Colaboradores!A:D,3,),"")</f>
        <v>REGIONAL SUL</v>
      </c>
      <c r="D1135" s="4" t="str">
        <f>IFERROR(VLOOKUP(A1135,Colaboradores!A:D,4,),"")</f>
        <v>TÉCNICO DE MEIO AMBIENTE</v>
      </c>
      <c r="E1135" s="4" t="s">
        <v>73</v>
      </c>
      <c r="F1135" s="5" t="str">
        <f>IFERROR(VLOOKUP(E1135,Procedimentos!A:C,2,),"")</f>
        <v>AQUISIÇÃO DE BENS E SERVIÇOS E AVALIAÇÃO PROVEDORES EXTERNOS</v>
      </c>
      <c r="G1135" s="4" t="s">
        <v>22</v>
      </c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 spans="1:26" ht="14.25" customHeight="1">
      <c r="A1136" s="4">
        <v>14767</v>
      </c>
      <c r="B1136" s="4" t="str">
        <f>IFERROR(VLOOKUP(A1136,Colaboradores!A:D,2,),"")</f>
        <v>CAIO VINICIUS PEREIRA DO NASCIMENTO</v>
      </c>
      <c r="C1136" s="4" t="str">
        <f>IFERROR(VLOOKUP(A1136,Colaboradores!A:D,3,),"")</f>
        <v>REGIONAL SUL</v>
      </c>
      <c r="D1136" s="4" t="str">
        <f>IFERROR(VLOOKUP(A1136,Colaboradores!A:D,4,),"")</f>
        <v>TÉCNICO DE MEIO AMBIENTE</v>
      </c>
      <c r="E1136" s="4" t="s">
        <v>79</v>
      </c>
      <c r="F1136" s="5" t="str">
        <f>IFERROR(VLOOKUP(E1136,Procedimentos!A:C,2,),"")</f>
        <v>ABERTURA DE PROCESSO DE PAGAMENTO</v>
      </c>
      <c r="G1136" s="4" t="s">
        <v>28</v>
      </c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 spans="1:26" ht="14.25" customHeight="1">
      <c r="A1137" s="4">
        <v>14767</v>
      </c>
      <c r="B1137" s="4" t="str">
        <f>IFERROR(VLOOKUP(A1137,Colaboradores!A:D,2,),"")</f>
        <v>CAIO VINICIUS PEREIRA DO NASCIMENTO</v>
      </c>
      <c r="C1137" s="4" t="str">
        <f>IFERROR(VLOOKUP(A1137,Colaboradores!A:D,3,),"")</f>
        <v>REGIONAL SUL</v>
      </c>
      <c r="D1137" s="4" t="str">
        <f>IFERROR(VLOOKUP(A1137,Colaboradores!A:D,4,),"")</f>
        <v>TÉCNICO DE MEIO AMBIENTE</v>
      </c>
      <c r="E1137" s="4" t="s">
        <v>48</v>
      </c>
      <c r="F1137" s="5" t="str">
        <f>IFERROR(VLOOKUP(E1137,Procedimentos!A:C,2,),"")</f>
        <v>POLÍTICA MEIO AMBIENTE EMSERH</v>
      </c>
      <c r="G1137" s="4" t="s">
        <v>22</v>
      </c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 spans="1:26" ht="14.25" customHeight="1">
      <c r="A1138" s="4">
        <v>14767</v>
      </c>
      <c r="B1138" s="4" t="str">
        <f>IFERROR(VLOOKUP(A1138,Colaboradores!A:D,2,),"")</f>
        <v>CAIO VINICIUS PEREIRA DO NASCIMENTO</v>
      </c>
      <c r="C1138" s="4" t="str">
        <f>IFERROR(VLOOKUP(A1138,Colaboradores!A:D,3,),"")</f>
        <v>REGIONAL SUL</v>
      </c>
      <c r="D1138" s="4" t="str">
        <f>IFERROR(VLOOKUP(A1138,Colaboradores!A:D,4,),"")</f>
        <v>TÉCNICO DE MEIO AMBIENTE</v>
      </c>
      <c r="E1138" s="4" t="s">
        <v>29</v>
      </c>
      <c r="F1138" s="5" t="str">
        <f>IFERROR(VLOOKUP(E1138,Procedimentos!A:C,2,),"")</f>
        <v>COLETA SELETIVA DESSMA</v>
      </c>
      <c r="G1138" s="4" t="s">
        <v>22</v>
      </c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 spans="1:26" ht="14.25" customHeight="1">
      <c r="A1139" s="4">
        <v>14767</v>
      </c>
      <c r="B1139" s="4" t="str">
        <f>IFERROR(VLOOKUP(A1139,Colaboradores!A:D,2,),"")</f>
        <v>CAIO VINICIUS PEREIRA DO NASCIMENTO</v>
      </c>
      <c r="C1139" s="4" t="str">
        <f>IFERROR(VLOOKUP(A1139,Colaboradores!A:D,3,),"")</f>
        <v>REGIONAL SUL</v>
      </c>
      <c r="D1139" s="4" t="str">
        <f>IFERROR(VLOOKUP(A1139,Colaboradores!A:D,4,),"")</f>
        <v>TÉCNICO DE MEIO AMBIENTE</v>
      </c>
      <c r="E1139" s="4" t="s">
        <v>36</v>
      </c>
      <c r="F1139" s="5" t="str">
        <f>IFERROR(VLOOKUP(E1139,Procedimentos!A:C,2,),"")</f>
        <v>GESTÃO DE PRODUTOS QUÍMICOS</v>
      </c>
      <c r="G1139" s="4" t="s">
        <v>22</v>
      </c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 spans="1:26" ht="14.25" customHeight="1">
      <c r="A1140" s="4">
        <v>14767</v>
      </c>
      <c r="B1140" s="4" t="str">
        <f>IFERROR(VLOOKUP(A1140,Colaboradores!A:D,2,),"")</f>
        <v>CAIO VINICIUS PEREIRA DO NASCIMENTO</v>
      </c>
      <c r="C1140" s="4" t="str">
        <f>IFERROR(VLOOKUP(A1140,Colaboradores!A:D,3,),"")</f>
        <v>REGIONAL SUL</v>
      </c>
      <c r="D1140" s="4" t="str">
        <f>IFERROR(VLOOKUP(A1140,Colaboradores!A:D,4,),"")</f>
        <v>TÉCNICO DE MEIO AMBIENTE</v>
      </c>
      <c r="E1140" s="4" t="s">
        <v>32</v>
      </c>
      <c r="F1140" s="5" t="str">
        <f>IFERROR(VLOOKUP(E1140,Procedimentos!A:C,2,),"")</f>
        <v>GESTÃO DE LEVANTAMENTO DE ASPECTOS E IMPACTOS AMBIENTAIS</v>
      </c>
      <c r="G1140" s="4" t="s">
        <v>22</v>
      </c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 spans="1:26" ht="14.25" customHeight="1">
      <c r="A1141" s="4">
        <v>14767</v>
      </c>
      <c r="B1141" s="4" t="str">
        <f>IFERROR(VLOOKUP(A1141,Colaboradores!A:D,2,),"")</f>
        <v>CAIO VINICIUS PEREIRA DO NASCIMENTO</v>
      </c>
      <c r="C1141" s="4" t="str">
        <f>IFERROR(VLOOKUP(A1141,Colaboradores!A:D,3,),"")</f>
        <v>REGIONAL SUL</v>
      </c>
      <c r="D1141" s="4" t="str">
        <f>IFERROR(VLOOKUP(A1141,Colaboradores!A:D,4,),"")</f>
        <v>TÉCNICO DE MEIO AMBIENTE</v>
      </c>
      <c r="E1141" s="4" t="s">
        <v>31</v>
      </c>
      <c r="F1141" s="5" t="str">
        <f>IFERROR(VLOOKUP(E1141,Procedimentos!A:C,2,),"")</f>
        <v>GESTÃO DE COMUNICAÇÃO, CLASSIFICAÇÃO E INVESTIGAÇÃO DE OCORRÊNCIAS AMBIENTAIS</v>
      </c>
      <c r="G1141" s="4" t="s">
        <v>22</v>
      </c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 spans="1:26" ht="14.25" customHeight="1">
      <c r="A1142" s="4">
        <v>14767</v>
      </c>
      <c r="B1142" s="4" t="str">
        <f>IFERROR(VLOOKUP(A1142,Colaboradores!A:D,2,),"")</f>
        <v>CAIO VINICIUS PEREIRA DO NASCIMENTO</v>
      </c>
      <c r="C1142" s="4" t="str">
        <f>IFERROR(VLOOKUP(A1142,Colaboradores!A:D,3,),"")</f>
        <v>REGIONAL SUL</v>
      </c>
      <c r="D1142" s="4" t="str">
        <f>IFERROR(VLOOKUP(A1142,Colaboradores!A:D,4,),"")</f>
        <v>TÉCNICO DE MEIO AMBIENTE</v>
      </c>
      <c r="E1142" s="4" t="s">
        <v>33</v>
      </c>
      <c r="F1142" s="5" t="str">
        <f>IFERROR(VLOOKUP(E1142,Procedimentos!A:C,2,),"")</f>
        <v>GESTÃO DE INSPEÇÕES AMBIENTAIS</v>
      </c>
      <c r="G1142" s="4" t="s">
        <v>22</v>
      </c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 spans="1:26" ht="14.25" customHeight="1">
      <c r="A1143" s="4">
        <v>14767</v>
      </c>
      <c r="B1143" s="4" t="str">
        <f>IFERROR(VLOOKUP(A1143,Colaboradores!A:D,2,),"")</f>
        <v>CAIO VINICIUS PEREIRA DO NASCIMENTO</v>
      </c>
      <c r="C1143" s="4" t="str">
        <f>IFERROR(VLOOKUP(A1143,Colaboradores!A:D,3,),"")</f>
        <v>REGIONAL SUL</v>
      </c>
      <c r="D1143" s="4" t="str">
        <f>IFERROR(VLOOKUP(A1143,Colaboradores!A:D,4,),"")</f>
        <v>TÉCNICO DE MEIO AMBIENTE</v>
      </c>
      <c r="E1143" s="4" t="s">
        <v>39</v>
      </c>
      <c r="F1143" s="5" t="str">
        <f>IFERROR(VLOOKUP(E1143,Procedimentos!A:C,2,),"")</f>
        <v>GESTÃO DE ÁGUAS E EFLUENTES</v>
      </c>
      <c r="G1143" s="4" t="s">
        <v>22</v>
      </c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 spans="1:26" ht="14.25" customHeight="1">
      <c r="A1144" s="4">
        <v>14767</v>
      </c>
      <c r="B1144" s="4" t="str">
        <f>IFERROR(VLOOKUP(A1144,Colaboradores!A:D,2,),"")</f>
        <v>CAIO VINICIUS PEREIRA DO NASCIMENTO</v>
      </c>
      <c r="C1144" s="4" t="str">
        <f>IFERROR(VLOOKUP(A1144,Colaboradores!A:D,3,),"")</f>
        <v>REGIONAL SUL</v>
      </c>
      <c r="D1144" s="4" t="str">
        <f>IFERROR(VLOOKUP(A1144,Colaboradores!A:D,4,),"")</f>
        <v>TÉCNICO DE MEIO AMBIENTE</v>
      </c>
      <c r="E1144" s="4" t="s">
        <v>34</v>
      </c>
      <c r="F1144" s="5" t="str">
        <f>IFERROR(VLOOKUP(E1144,Procedimentos!A:C,2,),"")</f>
        <v>GESTÃO DE LICENCIAMENTO AMBIENTAL</v>
      </c>
      <c r="G1144" s="4" t="s">
        <v>22</v>
      </c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 spans="1:26" ht="14.25" customHeight="1">
      <c r="A1145" s="4">
        <v>14767</v>
      </c>
      <c r="B1145" s="4" t="str">
        <f>IFERROR(VLOOKUP(A1145,Colaboradores!A:D,2,),"")</f>
        <v>CAIO VINICIUS PEREIRA DO NASCIMENTO</v>
      </c>
      <c r="C1145" s="4" t="str">
        <f>IFERROR(VLOOKUP(A1145,Colaboradores!A:D,3,),"")</f>
        <v>REGIONAL SUL</v>
      </c>
      <c r="D1145" s="4" t="str">
        <f>IFERROR(VLOOKUP(A1145,Colaboradores!A:D,4,),"")</f>
        <v>TÉCNICO DE MEIO AMBIENTE</v>
      </c>
      <c r="E1145" s="4" t="s">
        <v>38</v>
      </c>
      <c r="F1145" s="5" t="str">
        <f>IFERROR(VLOOKUP(E1145,Procedimentos!A:C,2,),"")</f>
        <v>GESTÃO DE CONDICIONANTES DE LICENCIAMENTO AMBIENTAL</v>
      </c>
      <c r="G1145" s="4" t="s">
        <v>22</v>
      </c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 spans="1:26" ht="14.25" customHeight="1">
      <c r="A1146" s="4">
        <v>14767</v>
      </c>
      <c r="B1146" s="4" t="str">
        <f>IFERROR(VLOOKUP(A1146,Colaboradores!A:D,2,),"")</f>
        <v>CAIO VINICIUS PEREIRA DO NASCIMENTO</v>
      </c>
      <c r="C1146" s="4" t="str">
        <f>IFERROR(VLOOKUP(A1146,Colaboradores!A:D,3,),"")</f>
        <v>REGIONAL SUL</v>
      </c>
      <c r="D1146" s="4" t="str">
        <f>IFERROR(VLOOKUP(A1146,Colaboradores!A:D,4,),"")</f>
        <v>TÉCNICO DE MEIO AMBIENTE</v>
      </c>
      <c r="E1146" s="4" t="s">
        <v>37</v>
      </c>
      <c r="F1146" s="5" t="str">
        <f>IFERROR(VLOOKUP(E1146,Procedimentos!A:C,2,),"")</f>
        <v>GESTÃO DE RESÍDUOS SÓLIDOS DE SERVIÇOS DE SAÚDE</v>
      </c>
      <c r="G1146" s="4" t="s">
        <v>22</v>
      </c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 spans="1:26" ht="14.25" customHeight="1">
      <c r="A1147" s="4">
        <v>14767</v>
      </c>
      <c r="B1147" s="4" t="str">
        <f>IFERROR(VLOOKUP(A1147,Colaboradores!A:D,2,),"")</f>
        <v>CAIO VINICIUS PEREIRA DO NASCIMENTO</v>
      </c>
      <c r="C1147" s="4" t="str">
        <f>IFERROR(VLOOKUP(A1147,Colaboradores!A:D,3,),"")</f>
        <v>REGIONAL SUL</v>
      </c>
      <c r="D1147" s="4" t="str">
        <f>IFERROR(VLOOKUP(A1147,Colaboradores!A:D,4,),"")</f>
        <v>TÉCNICO DE MEIO AMBIENTE</v>
      </c>
      <c r="E1147" s="4" t="s">
        <v>35</v>
      </c>
      <c r="F1147" s="5" t="str">
        <f>IFERROR(VLOOKUP(E1147,Procedimentos!A:C,2,),"")</f>
        <v>PROCEDIMENTO DE AFERIÇÃO DE FUMAÇA PRETA</v>
      </c>
      <c r="G1147" s="4" t="s">
        <v>22</v>
      </c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 spans="1:26" ht="14.25" customHeight="1">
      <c r="A1148" s="4">
        <v>14767</v>
      </c>
      <c r="B1148" s="4" t="str">
        <f>IFERROR(VLOOKUP(A1148,Colaboradores!A:D,2,),"")</f>
        <v>CAIO VINICIUS PEREIRA DO NASCIMENTO</v>
      </c>
      <c r="C1148" s="4" t="str">
        <f>IFERROR(VLOOKUP(A1148,Colaboradores!A:D,3,),"")</f>
        <v>REGIONAL SUL</v>
      </c>
      <c r="D1148" s="4" t="str">
        <f>IFERROR(VLOOKUP(A1148,Colaboradores!A:D,4,),"")</f>
        <v>TÉCNICO DE MEIO AMBIENTE</v>
      </c>
      <c r="E1148" s="4" t="s">
        <v>49</v>
      </c>
      <c r="F1148" s="5" t="str">
        <f>IFERROR(VLOOKUP(E1148,Procedimentos!A:C,2,),"")</f>
        <v>DIRETRIZES PARA REALIZAÇÃO DE EXAMES OCUPACIONAIS</v>
      </c>
      <c r="G1148" s="4" t="s">
        <v>22</v>
      </c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 spans="1:26" ht="14.25" customHeight="1">
      <c r="A1149" s="4">
        <v>14767</v>
      </c>
      <c r="B1149" s="4" t="str">
        <f>IFERROR(VLOOKUP(A1149,Colaboradores!A:D,2,),"")</f>
        <v>CAIO VINICIUS PEREIRA DO NASCIMENTO</v>
      </c>
      <c r="C1149" s="4" t="str">
        <f>IFERROR(VLOOKUP(A1149,Colaboradores!A:D,3,),"")</f>
        <v>REGIONAL SUL</v>
      </c>
      <c r="D1149" s="4" t="str">
        <f>IFERROR(VLOOKUP(A1149,Colaboradores!A:D,4,),"")</f>
        <v>TÉCNICO DE MEIO AMBIENTE</v>
      </c>
      <c r="E1149" s="4" t="s">
        <v>51</v>
      </c>
      <c r="F1149" s="5" t="str">
        <f>IFERROR(VLOOKUP(E1149,Procedimentos!A:C,2,),"")</f>
        <v>DIRETRIZES PARA ENTREGA DE ATESTADOS MÉDICOS E ODONTOLÓGICOS</v>
      </c>
      <c r="G1149" s="4" t="s">
        <v>22</v>
      </c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 spans="1:26" ht="14.25" customHeight="1">
      <c r="A1150" s="4">
        <v>14767</v>
      </c>
      <c r="B1150" s="4" t="str">
        <f>IFERROR(VLOOKUP(A1150,Colaboradores!A:D,2,),"")</f>
        <v>CAIO VINICIUS PEREIRA DO NASCIMENTO</v>
      </c>
      <c r="C1150" s="4" t="str">
        <f>IFERROR(VLOOKUP(A1150,Colaboradores!A:D,3,),"")</f>
        <v>REGIONAL SUL</v>
      </c>
      <c r="D1150" s="4" t="str">
        <f>IFERROR(VLOOKUP(A1150,Colaboradores!A:D,4,),"")</f>
        <v>TÉCNICO DE MEIO AMBIENTE</v>
      </c>
      <c r="E1150" s="4" t="s">
        <v>52</v>
      </c>
      <c r="F1150" s="5" t="str">
        <f>IFERROR(VLOOKUP(E1150,Procedimentos!A:C,2,),"")</f>
        <v>DIRETRIZES E ACOMPANHAMENTO  DE ACIDENTE COM MATERIAL BIOLOGICO</v>
      </c>
      <c r="G1150" s="4" t="s">
        <v>22</v>
      </c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 spans="1:26" ht="14.25" customHeight="1">
      <c r="A1151" s="4">
        <v>14767</v>
      </c>
      <c r="B1151" s="4" t="str">
        <f>IFERROR(VLOOKUP(A1151,Colaboradores!A:D,2,),"")</f>
        <v>CAIO VINICIUS PEREIRA DO NASCIMENTO</v>
      </c>
      <c r="C1151" s="4" t="str">
        <f>IFERROR(VLOOKUP(A1151,Colaboradores!A:D,3,),"")</f>
        <v>REGIONAL SUL</v>
      </c>
      <c r="D1151" s="4" t="str">
        <f>IFERROR(VLOOKUP(A1151,Colaboradores!A:D,4,),"")</f>
        <v>TÉCNICO DE MEIO AMBIENTE</v>
      </c>
      <c r="E1151" s="4" t="s">
        <v>53</v>
      </c>
      <c r="F1151" s="5" t="str">
        <f>IFERROR(VLOOKUP(E1151,Procedimentos!A:C,2,),"")</f>
        <v>DIRETRIZES PARA MONITORAMENTO DE GESTANTE</v>
      </c>
      <c r="G1151" s="4" t="s">
        <v>22</v>
      </c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 spans="1:26" ht="14.25" customHeight="1">
      <c r="A1152" s="4">
        <v>14767</v>
      </c>
      <c r="B1152" s="4" t="str">
        <f>IFERROR(VLOOKUP(A1152,Colaboradores!A:D,2,),"")</f>
        <v>CAIO VINICIUS PEREIRA DO NASCIMENTO</v>
      </c>
      <c r="C1152" s="4" t="str">
        <f>IFERROR(VLOOKUP(A1152,Colaboradores!A:D,3,),"")</f>
        <v>REGIONAL SUL</v>
      </c>
      <c r="D1152" s="4" t="str">
        <f>IFERROR(VLOOKUP(A1152,Colaboradores!A:D,4,),"")</f>
        <v>TÉCNICO DE MEIO AMBIENTE</v>
      </c>
      <c r="E1152" s="4" t="s">
        <v>54</v>
      </c>
      <c r="F1152" s="5" t="str">
        <f>IFERROR(VLOOKUP(E1152,Procedimentos!A:C,2,),"")</f>
        <v>DIRETRIZES DE IMUNIZAÇÃO OCUPACIONAL</v>
      </c>
      <c r="G1152" s="4" t="s">
        <v>22</v>
      </c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 spans="1:26" ht="14.25" customHeight="1">
      <c r="A1153" s="4">
        <v>14767</v>
      </c>
      <c r="B1153" s="4" t="str">
        <f>IFERROR(VLOOKUP(A1153,Colaboradores!A:D,2,),"")</f>
        <v>CAIO VINICIUS PEREIRA DO NASCIMENTO</v>
      </c>
      <c r="C1153" s="4" t="str">
        <f>IFERROR(VLOOKUP(A1153,Colaboradores!A:D,3,),"")</f>
        <v>REGIONAL SUL</v>
      </c>
      <c r="D1153" s="4" t="str">
        <f>IFERROR(VLOOKUP(A1153,Colaboradores!A:D,4,),"")</f>
        <v>TÉCNICO DE MEIO AMBIENTE</v>
      </c>
      <c r="E1153" s="4" t="s">
        <v>55</v>
      </c>
      <c r="F1153" s="5" t="str">
        <f>IFERROR(VLOOKUP(E1153,Procedimentos!A:C,2,),"")</f>
        <v>DIRETRIZES PARA ACOMPANHAMENTO DE AFASTADOS</v>
      </c>
      <c r="G1153" s="4" t="s">
        <v>22</v>
      </c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 spans="1:26" ht="14.25" customHeight="1">
      <c r="A1154" s="4">
        <v>14767</v>
      </c>
      <c r="B1154" s="4" t="str">
        <f>IFERROR(VLOOKUP(A1154,Colaboradores!A:D,2,),"")</f>
        <v>CAIO VINICIUS PEREIRA DO NASCIMENTO</v>
      </c>
      <c r="C1154" s="4" t="str">
        <f>IFERROR(VLOOKUP(A1154,Colaboradores!A:D,3,),"")</f>
        <v>REGIONAL SUL</v>
      </c>
      <c r="D1154" s="4" t="str">
        <f>IFERROR(VLOOKUP(A1154,Colaboradores!A:D,4,),"")</f>
        <v>TÉCNICO DE MEIO AMBIENTE</v>
      </c>
      <c r="E1154" s="4" t="s">
        <v>46</v>
      </c>
      <c r="F1154" s="5" t="str">
        <f>IFERROR(VLOOKUP(E1154,Procedimentos!A:C,2,),"")</f>
        <v>POLÍTICA DE SAÚDE E SEGURANÇA DO TRABALHO EMSERH</v>
      </c>
      <c r="G1154" s="4" t="s">
        <v>22</v>
      </c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 spans="1:26" ht="14.25" customHeight="1">
      <c r="A1155" s="4">
        <v>14767</v>
      </c>
      <c r="B1155" s="4" t="str">
        <f>IFERROR(VLOOKUP(A1155,Colaboradores!A:D,2,),"")</f>
        <v>CAIO VINICIUS PEREIRA DO NASCIMENTO</v>
      </c>
      <c r="C1155" s="4" t="str">
        <f>IFERROR(VLOOKUP(A1155,Colaboradores!A:D,3,),"")</f>
        <v>REGIONAL SUL</v>
      </c>
      <c r="D1155" s="4" t="str">
        <f>IFERROR(VLOOKUP(A1155,Colaboradores!A:D,4,),"")</f>
        <v>TÉCNICO DE MEIO AMBIENTE</v>
      </c>
      <c r="E1155" s="4" t="s">
        <v>41</v>
      </c>
      <c r="F1155" s="5" t="str">
        <f>IFERROR(VLOOKUP(E1155,Procedimentos!A:C,2,),"")</f>
        <v>DIRETRIZES PARA COMUNICAÇÃO E INVESTIGAÇÃO DE ACIDENTES</v>
      </c>
      <c r="G1155" s="4" t="s">
        <v>22</v>
      </c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 spans="1:26" ht="14.25" customHeight="1">
      <c r="A1156" s="4">
        <v>14767</v>
      </c>
      <c r="B1156" s="4" t="str">
        <f>IFERROR(VLOOKUP(A1156,Colaboradores!A:D,2,),"")</f>
        <v>CAIO VINICIUS PEREIRA DO NASCIMENTO</v>
      </c>
      <c r="C1156" s="4" t="str">
        <f>IFERROR(VLOOKUP(A1156,Colaboradores!A:D,3,),"")</f>
        <v>REGIONAL SUL</v>
      </c>
      <c r="D1156" s="4" t="str">
        <f>IFERROR(VLOOKUP(A1156,Colaboradores!A:D,4,),"")</f>
        <v>TÉCNICO DE MEIO AMBIENTE</v>
      </c>
      <c r="E1156" s="4" t="s">
        <v>43</v>
      </c>
      <c r="F1156" s="5" t="str">
        <f>IFERROR(VLOOKUP(E1156,Procedimentos!A:C,2,),"")</f>
        <v>DIÁLOGO DE SAÚDE E SEGURANÇA - DSS</v>
      </c>
      <c r="G1156" s="4" t="s">
        <v>22</v>
      </c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 spans="1:26" ht="14.25" customHeight="1">
      <c r="A1157" s="4">
        <v>14767</v>
      </c>
      <c r="B1157" s="4" t="str">
        <f>IFERROR(VLOOKUP(A1157,Colaboradores!A:D,2,),"")</f>
        <v>CAIO VINICIUS PEREIRA DO NASCIMENTO</v>
      </c>
      <c r="C1157" s="4" t="str">
        <f>IFERROR(VLOOKUP(A1157,Colaboradores!A:D,3,),"")</f>
        <v>REGIONAL SUL</v>
      </c>
      <c r="D1157" s="4" t="str">
        <f>IFERROR(VLOOKUP(A1157,Colaboradores!A:D,4,),"")</f>
        <v>TÉCNICO DE MEIO AMBIENTE</v>
      </c>
      <c r="E1157" s="4" t="s">
        <v>44</v>
      </c>
      <c r="F1157" s="5" t="str">
        <f>IFERROR(VLOOKUP(E1157,Procedimentos!A:C,2,),"")</f>
        <v>DIRETRIZES PARA GESTÃO DE EQUIPAMENTOS DE PROTEÇÃO INDIVIDUAL - EPI'S</v>
      </c>
      <c r="G1157" s="4" t="s">
        <v>22</v>
      </c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 spans="1:26" ht="14.25" customHeight="1">
      <c r="A1158" s="4">
        <v>14767</v>
      </c>
      <c r="B1158" s="4" t="str">
        <f>IFERROR(VLOOKUP(A1158,Colaboradores!A:D,2,),"")</f>
        <v>CAIO VINICIUS PEREIRA DO NASCIMENTO</v>
      </c>
      <c r="C1158" s="4" t="str">
        <f>IFERROR(VLOOKUP(A1158,Colaboradores!A:D,3,),"")</f>
        <v>REGIONAL SUL</v>
      </c>
      <c r="D1158" s="4" t="str">
        <f>IFERROR(VLOOKUP(A1158,Colaboradores!A:D,4,),"")</f>
        <v>TÉCNICO DE MEIO AMBIENTE</v>
      </c>
      <c r="E1158" s="4" t="s">
        <v>45</v>
      </c>
      <c r="F1158" s="5" t="str">
        <f>IFERROR(VLOOKUP(E1158,Procedimentos!A:C,2,),"")</f>
        <v>CONSTITUIÇÃO INTERNA DE PREVENÇÃO DE ACIDENTES E DE ASSÉDIOS - CIPA</v>
      </c>
      <c r="G1158" s="4" t="s">
        <v>22</v>
      </c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 spans="1:26" ht="14.25" customHeight="1">
      <c r="A1159" s="4">
        <v>14767</v>
      </c>
      <c r="B1159" s="4" t="str">
        <f>IFERROR(VLOOKUP(A1159,Colaboradores!A:D,2,),"")</f>
        <v>CAIO VINICIUS PEREIRA DO NASCIMENTO</v>
      </c>
      <c r="C1159" s="4" t="str">
        <f>IFERROR(VLOOKUP(A1159,Colaboradores!A:D,3,),"")</f>
        <v>REGIONAL SUL</v>
      </c>
      <c r="D1159" s="4" t="str">
        <f>IFERROR(VLOOKUP(A1159,Colaboradores!A:D,4,),"")</f>
        <v>TÉCNICO DE MEIO AMBIENTE</v>
      </c>
      <c r="E1159" s="4" t="s">
        <v>59</v>
      </c>
      <c r="F1159" s="5" t="str">
        <f>IFERROR(VLOOKUP(E1159,Procedimentos!A:C,2,),"")</f>
        <v>GERENCIAMENTO DE RISCOS DE SAÚDE, SEGURANÇA E PROCESSOS</v>
      </c>
      <c r="G1159" s="4" t="s">
        <v>22</v>
      </c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 spans="1:26" ht="14.25" customHeight="1">
      <c r="A1160" s="4">
        <v>14767</v>
      </c>
      <c r="B1160" s="4" t="str">
        <f>IFERROR(VLOOKUP(A1160,Colaboradores!A:D,2,),"")</f>
        <v>CAIO VINICIUS PEREIRA DO NASCIMENTO</v>
      </c>
      <c r="C1160" s="4" t="str">
        <f>IFERROR(VLOOKUP(A1160,Colaboradores!A:D,3,),"")</f>
        <v>REGIONAL SUL</v>
      </c>
      <c r="D1160" s="4" t="str">
        <f>IFERROR(VLOOKUP(A1160,Colaboradores!A:D,4,),"")</f>
        <v>TÉCNICO DE MEIO AMBIENTE</v>
      </c>
      <c r="E1160" s="4" t="s">
        <v>61</v>
      </c>
      <c r="F1160" s="5" t="str">
        <f>IFERROR(VLOOKUP(E1160,Procedimentos!A:C,2,),"")</f>
        <v>PROCEDIMENTO DE INSPEÇÃO DE SEGURANÇA</v>
      </c>
      <c r="G1160" s="4" t="s">
        <v>22</v>
      </c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 spans="1:26" ht="14.25" customHeight="1">
      <c r="A1161" s="4">
        <v>14767</v>
      </c>
      <c r="B1161" s="4" t="str">
        <f>IFERROR(VLOOKUP(A1161,Colaboradores!A:D,2,),"")</f>
        <v>CAIO VINICIUS PEREIRA DO NASCIMENTO</v>
      </c>
      <c r="C1161" s="4" t="str">
        <f>IFERROR(VLOOKUP(A1161,Colaboradores!A:D,3,),"")</f>
        <v>REGIONAL SUL</v>
      </c>
      <c r="D1161" s="4" t="str">
        <f>IFERROR(VLOOKUP(A1161,Colaboradores!A:D,4,),"")</f>
        <v>TÉCNICO DE MEIO AMBIENTE</v>
      </c>
      <c r="E1161" s="4" t="s">
        <v>62</v>
      </c>
      <c r="F1161" s="5" t="str">
        <f>IFERROR(VLOOKUP(E1161,Procedimentos!A:C,2,),"")</f>
        <v>DIRETRIZES PARA ENVIO E RECEBIMENTO DE DOSÍMETRO</v>
      </c>
      <c r="G1161" s="4" t="s">
        <v>22</v>
      </c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 spans="1:26" ht="14.25" customHeight="1">
      <c r="A1162" s="4">
        <v>13964</v>
      </c>
      <c r="B1162" s="4" t="str">
        <f>IFERROR(VLOOKUP(A1162,Colaboradores!A:D,2,),"")</f>
        <v>ESTER MOREIRA AMBROSIO DE CARVALHO</v>
      </c>
      <c r="C1162" s="4" t="str">
        <f>IFERROR(VLOOKUP(A1162,Colaboradores!A:D,3,),"")</f>
        <v>REGIONAL SUL</v>
      </c>
      <c r="D1162" s="4" t="str">
        <f>IFERROR(VLOOKUP(A1162,Colaboradores!A:D,4,),"")</f>
        <v>ENFERMEIRO DO TRABALHO</v>
      </c>
      <c r="E1162" s="4" t="s">
        <v>58</v>
      </c>
      <c r="F1162" s="5" t="str">
        <f>IFERROR(VLOOKUP(E1162,Procedimentos!A:C,2,),"")</f>
        <v>POLÍTICA DE QUALIDADE DA DIRETORIA</v>
      </c>
      <c r="G1162" s="4" t="s">
        <v>22</v>
      </c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 spans="1:26" ht="14.25" customHeight="1">
      <c r="A1163" s="4">
        <v>13964</v>
      </c>
      <c r="B1163" s="4" t="str">
        <f>IFERROR(VLOOKUP(A1163,Colaboradores!A:D,2,),"")</f>
        <v>ESTER MOREIRA AMBROSIO DE CARVALHO</v>
      </c>
      <c r="C1163" s="4" t="str">
        <f>IFERROR(VLOOKUP(A1163,Colaboradores!A:D,3,),"")</f>
        <v>REGIONAL SUL</v>
      </c>
      <c r="D1163" s="4" t="str">
        <f>IFERROR(VLOOKUP(A1163,Colaboradores!A:D,4,),"")</f>
        <v>ENFERMEIRO DO TRABALHO</v>
      </c>
      <c r="E1163" s="4" t="s">
        <v>19</v>
      </c>
      <c r="F1163" s="5" t="str">
        <f>IFERROR(VLOOKUP(E1163,Procedimentos!A:C,2,),"")</f>
        <v>DIRETRIZES PARA DOCUMENTOS NORMATIVOS</v>
      </c>
      <c r="G1163" s="4" t="s">
        <v>22</v>
      </c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 spans="1:26" ht="14.25" customHeight="1">
      <c r="A1164" s="4">
        <v>13964</v>
      </c>
      <c r="B1164" s="4" t="str">
        <f>IFERROR(VLOOKUP(A1164,Colaboradores!A:D,2,),"")</f>
        <v>ESTER MOREIRA AMBROSIO DE CARVALHO</v>
      </c>
      <c r="C1164" s="4" t="str">
        <f>IFERROR(VLOOKUP(A1164,Colaboradores!A:D,3,),"")</f>
        <v>REGIONAL SUL</v>
      </c>
      <c r="D1164" s="4" t="str">
        <f>IFERROR(VLOOKUP(A1164,Colaboradores!A:D,4,),"")</f>
        <v>ENFERMEIRO DO TRABALHO</v>
      </c>
      <c r="E1164" s="4" t="s">
        <v>24</v>
      </c>
      <c r="F1164" s="5" t="str">
        <f>IFERROR(VLOOKUP(E1164,Procedimentos!A:C,2,),"")</f>
        <v>DIRETRIZES  PARA PROGRAMA 5S</v>
      </c>
      <c r="G1164" s="4" t="s">
        <v>22</v>
      </c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 spans="1:26" ht="14.25" customHeight="1">
      <c r="A1165" s="4">
        <v>13964</v>
      </c>
      <c r="B1165" s="4" t="str">
        <f>IFERROR(VLOOKUP(A1165,Colaboradores!A:D,2,),"")</f>
        <v>ESTER MOREIRA AMBROSIO DE CARVALHO</v>
      </c>
      <c r="C1165" s="4" t="str">
        <f>IFERROR(VLOOKUP(A1165,Colaboradores!A:D,3,),"")</f>
        <v>REGIONAL SUL</v>
      </c>
      <c r="D1165" s="4" t="str">
        <f>IFERROR(VLOOKUP(A1165,Colaboradores!A:D,4,),"")</f>
        <v>ENFERMEIRO DO TRABALHO</v>
      </c>
      <c r="E1165" s="4" t="s">
        <v>25</v>
      </c>
      <c r="F1165" s="5" t="str">
        <f>IFERROR(VLOOKUP(E1165,Procedimentos!A:C,2,),"")</f>
        <v>GARANTIA DA QUALIDADE</v>
      </c>
      <c r="G1165" s="4" t="s">
        <v>22</v>
      </c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 spans="1:26" ht="14.25" customHeight="1">
      <c r="A1166" s="4">
        <v>13964</v>
      </c>
      <c r="B1166" s="4" t="str">
        <f>IFERROR(VLOOKUP(A1166,Colaboradores!A:D,2,),"")</f>
        <v>ESTER MOREIRA AMBROSIO DE CARVALHO</v>
      </c>
      <c r="C1166" s="4" t="str">
        <f>IFERROR(VLOOKUP(A1166,Colaboradores!A:D,3,),"")</f>
        <v>REGIONAL SUL</v>
      </c>
      <c r="D1166" s="4" t="str">
        <f>IFERROR(VLOOKUP(A1166,Colaboradores!A:D,4,),"")</f>
        <v>ENFERMEIRO DO TRABALHO</v>
      </c>
      <c r="E1166" s="4" t="s">
        <v>26</v>
      </c>
      <c r="F1166" s="5" t="str">
        <f>IFERROR(VLOOKUP(E1166,Procedimentos!A:C,2,),"")</f>
        <v>RESPONSABILIDADES E AUTORIDADES DO SGQ</v>
      </c>
      <c r="G1166" s="4" t="s">
        <v>22</v>
      </c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 spans="1:26" ht="14.25" customHeight="1">
      <c r="A1167" s="4">
        <v>13964</v>
      </c>
      <c r="B1167" s="4" t="str">
        <f>IFERROR(VLOOKUP(A1167,Colaboradores!A:D,2,),"")</f>
        <v>ESTER MOREIRA AMBROSIO DE CARVALHO</v>
      </c>
      <c r="C1167" s="4" t="str">
        <f>IFERROR(VLOOKUP(A1167,Colaboradores!A:D,3,),"")</f>
        <v>REGIONAL SUL</v>
      </c>
      <c r="D1167" s="4" t="str">
        <f>IFERROR(VLOOKUP(A1167,Colaboradores!A:D,4,),"")</f>
        <v>ENFERMEIRO DO TRABALHO</v>
      </c>
      <c r="E1167" s="4" t="s">
        <v>73</v>
      </c>
      <c r="F1167" s="5" t="str">
        <f>IFERROR(VLOOKUP(E1167,Procedimentos!A:C,2,),"")</f>
        <v>AQUISIÇÃO DE BENS E SERVIÇOS E AVALIAÇÃO PROVEDORES EXTERNOS</v>
      </c>
      <c r="G1167" s="4" t="s">
        <v>22</v>
      </c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 spans="1:26" ht="14.25" customHeight="1">
      <c r="A1168" s="4">
        <v>13964</v>
      </c>
      <c r="B1168" s="4" t="str">
        <f>IFERROR(VLOOKUP(A1168,Colaboradores!A:D,2,),"")</f>
        <v>ESTER MOREIRA AMBROSIO DE CARVALHO</v>
      </c>
      <c r="C1168" s="4" t="str">
        <f>IFERROR(VLOOKUP(A1168,Colaboradores!A:D,3,),"")</f>
        <v>REGIONAL SUL</v>
      </c>
      <c r="D1168" s="4" t="str">
        <f>IFERROR(VLOOKUP(A1168,Colaboradores!A:D,4,),"")</f>
        <v>ENFERMEIRO DO TRABALHO</v>
      </c>
      <c r="E1168" s="4" t="s">
        <v>48</v>
      </c>
      <c r="F1168" s="5" t="str">
        <f>IFERROR(VLOOKUP(E1168,Procedimentos!A:C,2,),"")</f>
        <v>POLÍTICA MEIO AMBIENTE EMSERH</v>
      </c>
      <c r="G1168" s="4" t="s">
        <v>22</v>
      </c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 spans="1:26" ht="14.25" customHeight="1">
      <c r="A1169" s="4">
        <v>13964</v>
      </c>
      <c r="B1169" s="4" t="str">
        <f>IFERROR(VLOOKUP(A1169,Colaboradores!A:D,2,),"")</f>
        <v>ESTER MOREIRA AMBROSIO DE CARVALHO</v>
      </c>
      <c r="C1169" s="4" t="str">
        <f>IFERROR(VLOOKUP(A1169,Colaboradores!A:D,3,),"")</f>
        <v>REGIONAL SUL</v>
      </c>
      <c r="D1169" s="4" t="str">
        <f>IFERROR(VLOOKUP(A1169,Colaboradores!A:D,4,),"")</f>
        <v>ENFERMEIRO DO TRABALHO</v>
      </c>
      <c r="E1169" s="4" t="s">
        <v>29</v>
      </c>
      <c r="F1169" s="5" t="str">
        <f>IFERROR(VLOOKUP(E1169,Procedimentos!A:C,2,),"")</f>
        <v>COLETA SELETIVA DESSMA</v>
      </c>
      <c r="G1169" s="4" t="s">
        <v>22</v>
      </c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 spans="1:26" ht="14.25" customHeight="1">
      <c r="A1170" s="4">
        <v>13964</v>
      </c>
      <c r="B1170" s="4" t="str">
        <f>IFERROR(VLOOKUP(A1170,Colaboradores!A:D,2,),"")</f>
        <v>ESTER MOREIRA AMBROSIO DE CARVALHO</v>
      </c>
      <c r="C1170" s="4" t="str">
        <f>IFERROR(VLOOKUP(A1170,Colaboradores!A:D,3,),"")</f>
        <v>REGIONAL SUL</v>
      </c>
      <c r="D1170" s="4" t="str">
        <f>IFERROR(VLOOKUP(A1170,Colaboradores!A:D,4,),"")</f>
        <v>ENFERMEIRO DO TRABALHO</v>
      </c>
      <c r="E1170" s="4" t="s">
        <v>36</v>
      </c>
      <c r="F1170" s="5" t="str">
        <f>IFERROR(VLOOKUP(E1170,Procedimentos!A:C,2,),"")</f>
        <v>GESTÃO DE PRODUTOS QUÍMICOS</v>
      </c>
      <c r="G1170" s="4" t="s">
        <v>22</v>
      </c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 spans="1:26" ht="14.25" customHeight="1">
      <c r="A1171" s="4">
        <v>13964</v>
      </c>
      <c r="B1171" s="4" t="str">
        <f>IFERROR(VLOOKUP(A1171,Colaboradores!A:D,2,),"")</f>
        <v>ESTER MOREIRA AMBROSIO DE CARVALHO</v>
      </c>
      <c r="C1171" s="4" t="str">
        <f>IFERROR(VLOOKUP(A1171,Colaboradores!A:D,3,),"")</f>
        <v>REGIONAL SUL</v>
      </c>
      <c r="D1171" s="4" t="str">
        <f>IFERROR(VLOOKUP(A1171,Colaboradores!A:D,4,),"")</f>
        <v>ENFERMEIRO DO TRABALHO</v>
      </c>
      <c r="E1171" s="4" t="s">
        <v>32</v>
      </c>
      <c r="F1171" s="5" t="str">
        <f>IFERROR(VLOOKUP(E1171,Procedimentos!A:C,2,),"")</f>
        <v>GESTÃO DE LEVANTAMENTO DE ASPECTOS E IMPACTOS AMBIENTAIS</v>
      </c>
      <c r="G1171" s="4" t="s">
        <v>22</v>
      </c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 spans="1:26" ht="14.25" customHeight="1">
      <c r="A1172" s="4">
        <v>13964</v>
      </c>
      <c r="B1172" s="4" t="str">
        <f>IFERROR(VLOOKUP(A1172,Colaboradores!A:D,2,),"")</f>
        <v>ESTER MOREIRA AMBROSIO DE CARVALHO</v>
      </c>
      <c r="C1172" s="4" t="str">
        <f>IFERROR(VLOOKUP(A1172,Colaboradores!A:D,3,),"")</f>
        <v>REGIONAL SUL</v>
      </c>
      <c r="D1172" s="4" t="str">
        <f>IFERROR(VLOOKUP(A1172,Colaboradores!A:D,4,),"")</f>
        <v>ENFERMEIRO DO TRABALHO</v>
      </c>
      <c r="E1172" s="4" t="s">
        <v>31</v>
      </c>
      <c r="F1172" s="5" t="str">
        <f>IFERROR(VLOOKUP(E1172,Procedimentos!A:C,2,),"")</f>
        <v>GESTÃO DE COMUNICAÇÃO, CLASSIFICAÇÃO E INVESTIGAÇÃO DE OCORRÊNCIAS AMBIENTAIS</v>
      </c>
      <c r="G1172" s="4" t="s">
        <v>22</v>
      </c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 spans="1:26" ht="14.25" customHeight="1">
      <c r="A1173" s="4">
        <v>13964</v>
      </c>
      <c r="B1173" s="4" t="str">
        <f>IFERROR(VLOOKUP(A1173,Colaboradores!A:D,2,),"")</f>
        <v>ESTER MOREIRA AMBROSIO DE CARVALHO</v>
      </c>
      <c r="C1173" s="4" t="str">
        <f>IFERROR(VLOOKUP(A1173,Colaboradores!A:D,3,),"")</f>
        <v>REGIONAL SUL</v>
      </c>
      <c r="D1173" s="4" t="str">
        <f>IFERROR(VLOOKUP(A1173,Colaboradores!A:D,4,),"")</f>
        <v>ENFERMEIRO DO TRABALHO</v>
      </c>
      <c r="E1173" s="4" t="s">
        <v>33</v>
      </c>
      <c r="F1173" s="5" t="str">
        <f>IFERROR(VLOOKUP(E1173,Procedimentos!A:C,2,),"")</f>
        <v>GESTÃO DE INSPEÇÕES AMBIENTAIS</v>
      </c>
      <c r="G1173" s="4" t="s">
        <v>22</v>
      </c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 spans="1:26" ht="14.25" customHeight="1">
      <c r="A1174" s="4">
        <v>13964</v>
      </c>
      <c r="B1174" s="4" t="str">
        <f>IFERROR(VLOOKUP(A1174,Colaboradores!A:D,2,),"")</f>
        <v>ESTER MOREIRA AMBROSIO DE CARVALHO</v>
      </c>
      <c r="C1174" s="4" t="str">
        <f>IFERROR(VLOOKUP(A1174,Colaboradores!A:D,3,),"")</f>
        <v>REGIONAL SUL</v>
      </c>
      <c r="D1174" s="4" t="str">
        <f>IFERROR(VLOOKUP(A1174,Colaboradores!A:D,4,),"")</f>
        <v>ENFERMEIRO DO TRABALHO</v>
      </c>
      <c r="E1174" s="4" t="s">
        <v>39</v>
      </c>
      <c r="F1174" s="5" t="str">
        <f>IFERROR(VLOOKUP(E1174,Procedimentos!A:C,2,),"")</f>
        <v>GESTÃO DE ÁGUAS E EFLUENTES</v>
      </c>
      <c r="G1174" s="4" t="s">
        <v>22</v>
      </c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 spans="1:26" ht="14.25" customHeight="1">
      <c r="A1175" s="4">
        <v>13964</v>
      </c>
      <c r="B1175" s="4" t="str">
        <f>IFERROR(VLOOKUP(A1175,Colaboradores!A:D,2,),"")</f>
        <v>ESTER MOREIRA AMBROSIO DE CARVALHO</v>
      </c>
      <c r="C1175" s="4" t="str">
        <f>IFERROR(VLOOKUP(A1175,Colaboradores!A:D,3,),"")</f>
        <v>REGIONAL SUL</v>
      </c>
      <c r="D1175" s="4" t="str">
        <f>IFERROR(VLOOKUP(A1175,Colaboradores!A:D,4,),"")</f>
        <v>ENFERMEIRO DO TRABALHO</v>
      </c>
      <c r="E1175" s="4" t="s">
        <v>34</v>
      </c>
      <c r="F1175" s="5" t="str">
        <f>IFERROR(VLOOKUP(E1175,Procedimentos!A:C,2,),"")</f>
        <v>GESTÃO DE LICENCIAMENTO AMBIENTAL</v>
      </c>
      <c r="G1175" s="4" t="s">
        <v>22</v>
      </c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 spans="1:26" ht="14.25" customHeight="1">
      <c r="A1176" s="4">
        <v>13964</v>
      </c>
      <c r="B1176" s="4" t="str">
        <f>IFERROR(VLOOKUP(A1176,Colaboradores!A:D,2,),"")</f>
        <v>ESTER MOREIRA AMBROSIO DE CARVALHO</v>
      </c>
      <c r="C1176" s="4" t="str">
        <f>IFERROR(VLOOKUP(A1176,Colaboradores!A:D,3,),"")</f>
        <v>REGIONAL SUL</v>
      </c>
      <c r="D1176" s="4" t="str">
        <f>IFERROR(VLOOKUP(A1176,Colaboradores!A:D,4,),"")</f>
        <v>ENFERMEIRO DO TRABALHO</v>
      </c>
      <c r="E1176" s="4" t="s">
        <v>38</v>
      </c>
      <c r="F1176" s="5" t="str">
        <f>IFERROR(VLOOKUP(E1176,Procedimentos!A:C,2,),"")</f>
        <v>GESTÃO DE CONDICIONANTES DE LICENCIAMENTO AMBIENTAL</v>
      </c>
      <c r="G1176" s="4" t="s">
        <v>22</v>
      </c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 spans="1:26" ht="14.25" customHeight="1">
      <c r="A1177" s="4">
        <v>13964</v>
      </c>
      <c r="B1177" s="4" t="str">
        <f>IFERROR(VLOOKUP(A1177,Colaboradores!A:D,2,),"")</f>
        <v>ESTER MOREIRA AMBROSIO DE CARVALHO</v>
      </c>
      <c r="C1177" s="4" t="str">
        <f>IFERROR(VLOOKUP(A1177,Colaboradores!A:D,3,),"")</f>
        <v>REGIONAL SUL</v>
      </c>
      <c r="D1177" s="4" t="str">
        <f>IFERROR(VLOOKUP(A1177,Colaboradores!A:D,4,),"")</f>
        <v>ENFERMEIRO DO TRABALHO</v>
      </c>
      <c r="E1177" s="4" t="s">
        <v>37</v>
      </c>
      <c r="F1177" s="5" t="str">
        <f>IFERROR(VLOOKUP(E1177,Procedimentos!A:C,2,),"")</f>
        <v>GESTÃO DE RESÍDUOS SÓLIDOS DE SERVIÇOS DE SAÚDE</v>
      </c>
      <c r="G1177" s="4" t="s">
        <v>22</v>
      </c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 spans="1:26" ht="14.25" customHeight="1">
      <c r="A1178" s="4">
        <v>13964</v>
      </c>
      <c r="B1178" s="4" t="str">
        <f>IFERROR(VLOOKUP(A1178,Colaboradores!A:D,2,),"")</f>
        <v>ESTER MOREIRA AMBROSIO DE CARVALHO</v>
      </c>
      <c r="C1178" s="4" t="str">
        <f>IFERROR(VLOOKUP(A1178,Colaboradores!A:D,3,),"")</f>
        <v>REGIONAL SUL</v>
      </c>
      <c r="D1178" s="4" t="str">
        <f>IFERROR(VLOOKUP(A1178,Colaboradores!A:D,4,),"")</f>
        <v>ENFERMEIRO DO TRABALHO</v>
      </c>
      <c r="E1178" s="4" t="s">
        <v>35</v>
      </c>
      <c r="F1178" s="5" t="str">
        <f>IFERROR(VLOOKUP(E1178,Procedimentos!A:C,2,),"")</f>
        <v>PROCEDIMENTO DE AFERIÇÃO DE FUMAÇA PRETA</v>
      </c>
      <c r="G1178" s="4" t="s">
        <v>22</v>
      </c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 spans="1:26" ht="14.25" customHeight="1">
      <c r="A1179" s="4">
        <v>13964</v>
      </c>
      <c r="B1179" s="4" t="str">
        <f>IFERROR(VLOOKUP(A1179,Colaboradores!A:D,2,),"")</f>
        <v>ESTER MOREIRA AMBROSIO DE CARVALHO</v>
      </c>
      <c r="C1179" s="4" t="str">
        <f>IFERROR(VLOOKUP(A1179,Colaboradores!A:D,3,),"")</f>
        <v>REGIONAL SUL</v>
      </c>
      <c r="D1179" s="4" t="str">
        <f>IFERROR(VLOOKUP(A1179,Colaboradores!A:D,4,),"")</f>
        <v>ENFERMEIRO DO TRABALHO</v>
      </c>
      <c r="E1179" s="4" t="s">
        <v>49</v>
      </c>
      <c r="F1179" s="5" t="str">
        <f>IFERROR(VLOOKUP(E1179,Procedimentos!A:C,2,),"")</f>
        <v>DIRETRIZES PARA REALIZAÇÃO DE EXAMES OCUPACIONAIS</v>
      </c>
      <c r="G1179" s="4" t="s">
        <v>22</v>
      </c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 spans="1:26" ht="14.25" customHeight="1">
      <c r="A1180" s="4">
        <v>13964</v>
      </c>
      <c r="B1180" s="4" t="str">
        <f>IFERROR(VLOOKUP(A1180,Colaboradores!A:D,2,),"")</f>
        <v>ESTER MOREIRA AMBROSIO DE CARVALHO</v>
      </c>
      <c r="C1180" s="4" t="str">
        <f>IFERROR(VLOOKUP(A1180,Colaboradores!A:D,3,),"")</f>
        <v>REGIONAL SUL</v>
      </c>
      <c r="D1180" s="4" t="str">
        <f>IFERROR(VLOOKUP(A1180,Colaboradores!A:D,4,),"")</f>
        <v>ENFERMEIRO DO TRABALHO</v>
      </c>
      <c r="E1180" s="4" t="s">
        <v>51</v>
      </c>
      <c r="F1180" s="5" t="str">
        <f>IFERROR(VLOOKUP(E1180,Procedimentos!A:C,2,),"")</f>
        <v>DIRETRIZES PARA ENTREGA DE ATESTADOS MÉDICOS E ODONTOLÓGICOS</v>
      </c>
      <c r="G1180" s="4" t="s">
        <v>22</v>
      </c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 spans="1:26" ht="14.25" customHeight="1">
      <c r="A1181" s="4">
        <v>13964</v>
      </c>
      <c r="B1181" s="4" t="str">
        <f>IFERROR(VLOOKUP(A1181,Colaboradores!A:D,2,),"")</f>
        <v>ESTER MOREIRA AMBROSIO DE CARVALHO</v>
      </c>
      <c r="C1181" s="4" t="str">
        <f>IFERROR(VLOOKUP(A1181,Colaboradores!A:D,3,),"")</f>
        <v>REGIONAL SUL</v>
      </c>
      <c r="D1181" s="4" t="str">
        <f>IFERROR(VLOOKUP(A1181,Colaboradores!A:D,4,),"")</f>
        <v>ENFERMEIRO DO TRABALHO</v>
      </c>
      <c r="E1181" s="4" t="s">
        <v>52</v>
      </c>
      <c r="F1181" s="5" t="str">
        <f>IFERROR(VLOOKUP(E1181,Procedimentos!A:C,2,),"")</f>
        <v>DIRETRIZES E ACOMPANHAMENTO  DE ACIDENTE COM MATERIAL BIOLOGICO</v>
      </c>
      <c r="G1181" s="4" t="s">
        <v>22</v>
      </c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 spans="1:26" ht="14.25" customHeight="1">
      <c r="A1182" s="4">
        <v>13964</v>
      </c>
      <c r="B1182" s="4" t="str">
        <f>IFERROR(VLOOKUP(A1182,Colaboradores!A:D,2,),"")</f>
        <v>ESTER MOREIRA AMBROSIO DE CARVALHO</v>
      </c>
      <c r="C1182" s="4" t="str">
        <f>IFERROR(VLOOKUP(A1182,Colaboradores!A:D,3,),"")</f>
        <v>REGIONAL SUL</v>
      </c>
      <c r="D1182" s="4" t="str">
        <f>IFERROR(VLOOKUP(A1182,Colaboradores!A:D,4,),"")</f>
        <v>ENFERMEIRO DO TRABALHO</v>
      </c>
      <c r="E1182" s="4" t="s">
        <v>53</v>
      </c>
      <c r="F1182" s="5" t="str">
        <f>IFERROR(VLOOKUP(E1182,Procedimentos!A:C,2,),"")</f>
        <v>DIRETRIZES PARA MONITORAMENTO DE GESTANTE</v>
      </c>
      <c r="G1182" s="4" t="s">
        <v>22</v>
      </c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 spans="1:26" ht="14.25" customHeight="1">
      <c r="A1183" s="4">
        <v>13964</v>
      </c>
      <c r="B1183" s="4" t="str">
        <f>IFERROR(VLOOKUP(A1183,Colaboradores!A:D,2,),"")</f>
        <v>ESTER MOREIRA AMBROSIO DE CARVALHO</v>
      </c>
      <c r="C1183" s="4" t="str">
        <f>IFERROR(VLOOKUP(A1183,Colaboradores!A:D,3,),"")</f>
        <v>REGIONAL SUL</v>
      </c>
      <c r="D1183" s="4" t="str">
        <f>IFERROR(VLOOKUP(A1183,Colaboradores!A:D,4,),"")</f>
        <v>ENFERMEIRO DO TRABALHO</v>
      </c>
      <c r="E1183" s="4" t="s">
        <v>54</v>
      </c>
      <c r="F1183" s="5" t="str">
        <f>IFERROR(VLOOKUP(E1183,Procedimentos!A:C,2,),"")</f>
        <v>DIRETRIZES DE IMUNIZAÇÃO OCUPACIONAL</v>
      </c>
      <c r="G1183" s="4" t="s">
        <v>22</v>
      </c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 spans="1:26" ht="14.25" customHeight="1">
      <c r="A1184" s="4">
        <v>13964</v>
      </c>
      <c r="B1184" s="4" t="str">
        <f>IFERROR(VLOOKUP(A1184,Colaboradores!A:D,2,),"")</f>
        <v>ESTER MOREIRA AMBROSIO DE CARVALHO</v>
      </c>
      <c r="C1184" s="4" t="str">
        <f>IFERROR(VLOOKUP(A1184,Colaboradores!A:D,3,),"")</f>
        <v>REGIONAL SUL</v>
      </c>
      <c r="D1184" s="4" t="str">
        <f>IFERROR(VLOOKUP(A1184,Colaboradores!A:D,4,),"")</f>
        <v>ENFERMEIRO DO TRABALHO</v>
      </c>
      <c r="E1184" s="4" t="s">
        <v>55</v>
      </c>
      <c r="F1184" s="5" t="str">
        <f>IFERROR(VLOOKUP(E1184,Procedimentos!A:C,2,),"")</f>
        <v>DIRETRIZES PARA ACOMPANHAMENTO DE AFASTADOS</v>
      </c>
      <c r="G1184" s="4" t="s">
        <v>22</v>
      </c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 spans="1:26" ht="14.25" customHeight="1">
      <c r="A1185" s="4">
        <v>13964</v>
      </c>
      <c r="B1185" s="4" t="str">
        <f>IFERROR(VLOOKUP(A1185,Colaboradores!A:D,2,),"")</f>
        <v>ESTER MOREIRA AMBROSIO DE CARVALHO</v>
      </c>
      <c r="C1185" s="4" t="str">
        <f>IFERROR(VLOOKUP(A1185,Colaboradores!A:D,3,),"")</f>
        <v>REGIONAL SUL</v>
      </c>
      <c r="D1185" s="4" t="str">
        <f>IFERROR(VLOOKUP(A1185,Colaboradores!A:D,4,),"")</f>
        <v>ENFERMEIRO DO TRABALHO</v>
      </c>
      <c r="E1185" s="4" t="s">
        <v>46</v>
      </c>
      <c r="F1185" s="5" t="str">
        <f>IFERROR(VLOOKUP(E1185,Procedimentos!A:C,2,),"")</f>
        <v>POLÍTICA DE SAÚDE E SEGURANÇA DO TRABALHO EMSERH</v>
      </c>
      <c r="G1185" s="4" t="s">
        <v>22</v>
      </c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 spans="1:26" ht="14.25" customHeight="1">
      <c r="A1186" s="4">
        <v>13964</v>
      </c>
      <c r="B1186" s="4" t="str">
        <f>IFERROR(VLOOKUP(A1186,Colaboradores!A:D,2,),"")</f>
        <v>ESTER MOREIRA AMBROSIO DE CARVALHO</v>
      </c>
      <c r="C1186" s="4" t="str">
        <f>IFERROR(VLOOKUP(A1186,Colaboradores!A:D,3,),"")</f>
        <v>REGIONAL SUL</v>
      </c>
      <c r="D1186" s="4" t="str">
        <f>IFERROR(VLOOKUP(A1186,Colaboradores!A:D,4,),"")</f>
        <v>ENFERMEIRO DO TRABALHO</v>
      </c>
      <c r="E1186" s="4" t="s">
        <v>41</v>
      </c>
      <c r="F1186" s="5" t="str">
        <f>IFERROR(VLOOKUP(E1186,Procedimentos!A:C,2,),"")</f>
        <v>DIRETRIZES PARA COMUNICAÇÃO E INVESTIGAÇÃO DE ACIDENTES</v>
      </c>
      <c r="G1186" s="4" t="s">
        <v>22</v>
      </c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 spans="1:26" ht="14.25" customHeight="1">
      <c r="A1187" s="4">
        <v>13964</v>
      </c>
      <c r="B1187" s="4" t="str">
        <f>IFERROR(VLOOKUP(A1187,Colaboradores!A:D,2,),"")</f>
        <v>ESTER MOREIRA AMBROSIO DE CARVALHO</v>
      </c>
      <c r="C1187" s="4" t="str">
        <f>IFERROR(VLOOKUP(A1187,Colaboradores!A:D,3,),"")</f>
        <v>REGIONAL SUL</v>
      </c>
      <c r="D1187" s="4" t="str">
        <f>IFERROR(VLOOKUP(A1187,Colaboradores!A:D,4,),"")</f>
        <v>ENFERMEIRO DO TRABALHO</v>
      </c>
      <c r="E1187" s="4" t="s">
        <v>43</v>
      </c>
      <c r="F1187" s="5" t="str">
        <f>IFERROR(VLOOKUP(E1187,Procedimentos!A:C,2,),"")</f>
        <v>DIÁLOGO DE SAÚDE E SEGURANÇA - DSS</v>
      </c>
      <c r="G1187" s="4" t="s">
        <v>22</v>
      </c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 spans="1:26" ht="14.25" customHeight="1">
      <c r="A1188" s="4">
        <v>13964</v>
      </c>
      <c r="B1188" s="4" t="str">
        <f>IFERROR(VLOOKUP(A1188,Colaboradores!A:D,2,),"")</f>
        <v>ESTER MOREIRA AMBROSIO DE CARVALHO</v>
      </c>
      <c r="C1188" s="4" t="str">
        <f>IFERROR(VLOOKUP(A1188,Colaboradores!A:D,3,),"")</f>
        <v>REGIONAL SUL</v>
      </c>
      <c r="D1188" s="4" t="str">
        <f>IFERROR(VLOOKUP(A1188,Colaboradores!A:D,4,),"")</f>
        <v>ENFERMEIRO DO TRABALHO</v>
      </c>
      <c r="E1188" s="4" t="s">
        <v>44</v>
      </c>
      <c r="F1188" s="5" t="str">
        <f>IFERROR(VLOOKUP(E1188,Procedimentos!A:C,2,),"")</f>
        <v>DIRETRIZES PARA GESTÃO DE EQUIPAMENTOS DE PROTEÇÃO INDIVIDUAL - EPI'S</v>
      </c>
      <c r="G1188" s="4" t="s">
        <v>22</v>
      </c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 spans="1:26" ht="14.25" customHeight="1">
      <c r="A1189" s="4">
        <v>13964</v>
      </c>
      <c r="B1189" s="4" t="str">
        <f>IFERROR(VLOOKUP(A1189,Colaboradores!A:D,2,),"")</f>
        <v>ESTER MOREIRA AMBROSIO DE CARVALHO</v>
      </c>
      <c r="C1189" s="4" t="str">
        <f>IFERROR(VLOOKUP(A1189,Colaboradores!A:D,3,),"")</f>
        <v>REGIONAL SUL</v>
      </c>
      <c r="D1189" s="4" t="str">
        <f>IFERROR(VLOOKUP(A1189,Colaboradores!A:D,4,),"")</f>
        <v>ENFERMEIRO DO TRABALHO</v>
      </c>
      <c r="E1189" s="4" t="s">
        <v>45</v>
      </c>
      <c r="F1189" s="5" t="str">
        <f>IFERROR(VLOOKUP(E1189,Procedimentos!A:C,2,),"")</f>
        <v>CONSTITUIÇÃO INTERNA DE PREVENÇÃO DE ACIDENTES E DE ASSÉDIOS - CIPA</v>
      </c>
      <c r="G1189" s="4" t="s">
        <v>22</v>
      </c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 spans="1:26" ht="14.25" customHeight="1">
      <c r="A1190" s="4">
        <v>13964</v>
      </c>
      <c r="B1190" s="4" t="str">
        <f>IFERROR(VLOOKUP(A1190,Colaboradores!A:D,2,),"")</f>
        <v>ESTER MOREIRA AMBROSIO DE CARVALHO</v>
      </c>
      <c r="C1190" s="4" t="str">
        <f>IFERROR(VLOOKUP(A1190,Colaboradores!A:D,3,),"")</f>
        <v>REGIONAL SUL</v>
      </c>
      <c r="D1190" s="4" t="str">
        <f>IFERROR(VLOOKUP(A1190,Colaboradores!A:D,4,),"")</f>
        <v>ENFERMEIRO DO TRABALHO</v>
      </c>
      <c r="E1190" s="4" t="s">
        <v>59</v>
      </c>
      <c r="F1190" s="5" t="str">
        <f>IFERROR(VLOOKUP(E1190,Procedimentos!A:C,2,),"")</f>
        <v>GERENCIAMENTO DE RISCOS DE SAÚDE, SEGURANÇA E PROCESSOS</v>
      </c>
      <c r="G1190" s="4" t="s">
        <v>22</v>
      </c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 spans="1:26" ht="14.25" customHeight="1">
      <c r="A1191" s="4">
        <v>13964</v>
      </c>
      <c r="B1191" s="4" t="str">
        <f>IFERROR(VLOOKUP(A1191,Colaboradores!A:D,2,),"")</f>
        <v>ESTER MOREIRA AMBROSIO DE CARVALHO</v>
      </c>
      <c r="C1191" s="4" t="str">
        <f>IFERROR(VLOOKUP(A1191,Colaboradores!A:D,3,),"")</f>
        <v>REGIONAL SUL</v>
      </c>
      <c r="D1191" s="4" t="str">
        <f>IFERROR(VLOOKUP(A1191,Colaboradores!A:D,4,),"")</f>
        <v>ENFERMEIRO DO TRABALHO</v>
      </c>
      <c r="E1191" s="4" t="s">
        <v>61</v>
      </c>
      <c r="F1191" s="5" t="str">
        <f>IFERROR(VLOOKUP(E1191,Procedimentos!A:C,2,),"")</f>
        <v>PROCEDIMENTO DE INSPEÇÃO DE SEGURANÇA</v>
      </c>
      <c r="G1191" s="4" t="s">
        <v>22</v>
      </c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 spans="1:26" ht="14.25" customHeight="1">
      <c r="A1192" s="4">
        <v>13964</v>
      </c>
      <c r="B1192" s="4" t="str">
        <f>IFERROR(VLOOKUP(A1192,Colaboradores!A:D,2,),"")</f>
        <v>ESTER MOREIRA AMBROSIO DE CARVALHO</v>
      </c>
      <c r="C1192" s="4" t="str">
        <f>IFERROR(VLOOKUP(A1192,Colaboradores!A:D,3,),"")</f>
        <v>REGIONAL SUL</v>
      </c>
      <c r="D1192" s="4" t="str">
        <f>IFERROR(VLOOKUP(A1192,Colaboradores!A:D,4,),"")</f>
        <v>ENFERMEIRO DO TRABALHO</v>
      </c>
      <c r="E1192" s="4" t="s">
        <v>62</v>
      </c>
      <c r="F1192" s="5" t="str">
        <f>IFERROR(VLOOKUP(E1192,Procedimentos!A:C,2,),"")</f>
        <v>DIRETRIZES PARA ENVIO E RECEBIMENTO DE DOSÍMETRO</v>
      </c>
      <c r="G1192" s="4" t="s">
        <v>22</v>
      </c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 spans="1:26" ht="14.25" customHeight="1">
      <c r="A1193" s="4">
        <v>15100</v>
      </c>
      <c r="B1193" s="4" t="s">
        <v>176</v>
      </c>
      <c r="C1193" s="4" t="str">
        <f>IFERROR(VLOOKUP(A1193,Colaboradores!A:D,3,),"")</f>
        <v>REGIONAL SUL</v>
      </c>
      <c r="D1193" s="4" t="s">
        <v>125</v>
      </c>
      <c r="E1193" s="4" t="s">
        <v>66</v>
      </c>
      <c r="F1193" s="5" t="str">
        <f>IFERROR(VLOOKUP(E1193,Procedimentos!A:C,2,),"")</f>
        <v>PROCEDIMENTO DE GERENCIAMENTO DE RISCOS</v>
      </c>
      <c r="G1193" s="4" t="s">
        <v>22</v>
      </c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 spans="1:26" ht="14.25" customHeight="1">
      <c r="A1194" s="4">
        <v>15100</v>
      </c>
      <c r="B1194" s="4" t="s">
        <v>176</v>
      </c>
      <c r="C1194" s="4" t="str">
        <f>IFERROR(VLOOKUP(A1194,Colaboradores!A:D,3,),"")</f>
        <v>REGIONAL SUL</v>
      </c>
      <c r="D1194" s="4" t="s">
        <v>125</v>
      </c>
      <c r="E1194" s="4" t="s">
        <v>58</v>
      </c>
      <c r="F1194" s="5" t="str">
        <f>IFERROR(VLOOKUP(E1194,Procedimentos!A:C,2,),"")</f>
        <v>POLÍTICA DE QUALIDADE DA DIRETORIA</v>
      </c>
      <c r="G1194" s="4" t="s">
        <v>22</v>
      </c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 spans="1:26" ht="14.25" customHeight="1">
      <c r="A1195" s="4">
        <v>15100</v>
      </c>
      <c r="B1195" s="4" t="s">
        <v>176</v>
      </c>
      <c r="C1195" s="4" t="str">
        <f>IFERROR(VLOOKUP(A1195,Colaboradores!A:D,3,),"")</f>
        <v>REGIONAL SUL</v>
      </c>
      <c r="D1195" s="4" t="s">
        <v>125</v>
      </c>
      <c r="E1195" s="4" t="s">
        <v>19</v>
      </c>
      <c r="F1195" s="5" t="str">
        <f>IFERROR(VLOOKUP(E1195,Procedimentos!A:C,2,),"")</f>
        <v>DIRETRIZES PARA DOCUMENTOS NORMATIVOS</v>
      </c>
      <c r="G1195" s="4" t="s">
        <v>22</v>
      </c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 spans="1:26" ht="14.25" customHeight="1">
      <c r="A1196" s="4">
        <v>15100</v>
      </c>
      <c r="B1196" s="4" t="s">
        <v>176</v>
      </c>
      <c r="C1196" s="4" t="str">
        <f>IFERROR(VLOOKUP(A1196,Colaboradores!A:D,3,),"")</f>
        <v>REGIONAL SUL</v>
      </c>
      <c r="D1196" s="4" t="s">
        <v>125</v>
      </c>
      <c r="E1196" s="4" t="s">
        <v>24</v>
      </c>
      <c r="F1196" s="5" t="str">
        <f>IFERROR(VLOOKUP(E1196,Procedimentos!A:C,2,),"")</f>
        <v>DIRETRIZES  PARA PROGRAMA 5S</v>
      </c>
      <c r="G1196" s="4" t="s">
        <v>22</v>
      </c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 spans="1:26" ht="14.25" customHeight="1">
      <c r="A1197" s="4">
        <v>15100</v>
      </c>
      <c r="B1197" s="4" t="s">
        <v>176</v>
      </c>
      <c r="C1197" s="4" t="str">
        <f>IFERROR(VLOOKUP(A1197,Colaboradores!A:D,3,),"")</f>
        <v>REGIONAL SUL</v>
      </c>
      <c r="D1197" s="4" t="s">
        <v>125</v>
      </c>
      <c r="E1197" s="4" t="s">
        <v>67</v>
      </c>
      <c r="F1197" s="5" t="str">
        <f>IFERROR(VLOOKUP(E1197,Procedimentos!A:C,2,),"")</f>
        <v>SISTEMATICA DE ROTINA DE REUNIÕES DA DESSMA</v>
      </c>
      <c r="G1197" s="4" t="s">
        <v>22</v>
      </c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 spans="1:26" ht="14.25" customHeight="1">
      <c r="A1198" s="4">
        <v>15100</v>
      </c>
      <c r="B1198" s="4" t="s">
        <v>176</v>
      </c>
      <c r="C1198" s="4" t="str">
        <f>IFERROR(VLOOKUP(A1198,Colaboradores!A:D,3,),"")</f>
        <v>REGIONAL SUL</v>
      </c>
      <c r="D1198" s="4" t="s">
        <v>125</v>
      </c>
      <c r="E1198" s="4" t="s">
        <v>25</v>
      </c>
      <c r="F1198" s="5" t="str">
        <f>IFERROR(VLOOKUP(E1198,Procedimentos!A:C,2,),"")</f>
        <v>GARANTIA DA QUALIDADE</v>
      </c>
      <c r="G1198" s="4" t="s">
        <v>22</v>
      </c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 spans="1:26" ht="14.25" customHeight="1">
      <c r="A1199" s="4">
        <v>15100</v>
      </c>
      <c r="B1199" s="4" t="s">
        <v>176</v>
      </c>
      <c r="C1199" s="4" t="str">
        <f>IFERROR(VLOOKUP(A1199,Colaboradores!A:D,3,),"")</f>
        <v>REGIONAL SUL</v>
      </c>
      <c r="D1199" s="4" t="s">
        <v>125</v>
      </c>
      <c r="E1199" s="4" t="s">
        <v>68</v>
      </c>
      <c r="F1199" s="5" t="str">
        <f>IFERROR(VLOOKUP(E1199,Procedimentos!A:C,2,),"")</f>
        <v>GESTÃO INDICADORES</v>
      </c>
      <c r="G1199" s="4" t="s">
        <v>22</v>
      </c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 spans="1:26" ht="14.25" customHeight="1">
      <c r="A1200" s="4">
        <v>15100</v>
      </c>
      <c r="B1200" s="4" t="s">
        <v>176</v>
      </c>
      <c r="C1200" s="4" t="str">
        <f>IFERROR(VLOOKUP(A1200,Colaboradores!A:D,3,),"")</f>
        <v>REGIONAL SUL</v>
      </c>
      <c r="D1200" s="4" t="s">
        <v>125</v>
      </c>
      <c r="E1200" s="4" t="s">
        <v>26</v>
      </c>
      <c r="F1200" s="5" t="str">
        <f>IFERROR(VLOOKUP(E1200,Procedimentos!A:C,2,),"")</f>
        <v>RESPONSABILIDADES E AUTORIDADES DO SGQ</v>
      </c>
      <c r="G1200" s="4" t="s">
        <v>22</v>
      </c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 spans="1:26" ht="14.25" customHeight="1">
      <c r="A1201" s="4">
        <v>15100</v>
      </c>
      <c r="B1201" s="4" t="s">
        <v>176</v>
      </c>
      <c r="C1201" s="4" t="str">
        <f>IFERROR(VLOOKUP(A1201,Colaboradores!A:D,3,),"")</f>
        <v>REGIONAL SUL</v>
      </c>
      <c r="D1201" s="4" t="s">
        <v>125</v>
      </c>
      <c r="E1201" s="4" t="s">
        <v>69</v>
      </c>
      <c r="F1201" s="5" t="str">
        <f>IFERROR(VLOOKUP(E1201,Procedimentos!A:C,2,),"")</f>
        <v>PROCEDIMENTO GESTÃO DE MUDANÇA SGQ</v>
      </c>
      <c r="G1201" s="4" t="s">
        <v>22</v>
      </c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 spans="1:26" ht="14.25" customHeight="1">
      <c r="A1202" s="4">
        <v>15100</v>
      </c>
      <c r="B1202" s="4" t="s">
        <v>176</v>
      </c>
      <c r="C1202" s="4" t="str">
        <f>IFERROR(VLOOKUP(A1202,Colaboradores!A:D,3,),"")</f>
        <v>REGIONAL SUL</v>
      </c>
      <c r="D1202" s="4" t="s">
        <v>125</v>
      </c>
      <c r="E1202" s="4" t="s">
        <v>64</v>
      </c>
      <c r="F1202" s="5" t="str">
        <f>IFERROR(VLOOKUP(E1202,Procedimentos!A:C,2,),"")</f>
        <v>AVALIAÇÃO DESEMPENHO</v>
      </c>
      <c r="G1202" s="4" t="s">
        <v>22</v>
      </c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 spans="1:26" ht="14.25" customHeight="1">
      <c r="A1203" s="4">
        <v>15100</v>
      </c>
      <c r="B1203" s="4" t="s">
        <v>176</v>
      </c>
      <c r="C1203" s="4" t="str">
        <f>IFERROR(VLOOKUP(A1203,Colaboradores!A:D,3,),"")</f>
        <v>REGIONAL SUL</v>
      </c>
      <c r="D1203" s="4" t="s">
        <v>125</v>
      </c>
      <c r="E1203" s="4" t="s">
        <v>73</v>
      </c>
      <c r="F1203" s="5" t="str">
        <f>IFERROR(VLOOKUP(E1203,Procedimentos!A:C,2,),"")</f>
        <v>AQUISIÇÃO DE BENS E SERVIÇOS E AVALIAÇÃO PROVEDORES EXTERNOS</v>
      </c>
      <c r="G1203" s="4" t="s">
        <v>22</v>
      </c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 spans="1:26" ht="14.25" customHeight="1">
      <c r="A1204" s="4">
        <v>15100</v>
      </c>
      <c r="B1204" s="4" t="s">
        <v>176</v>
      </c>
      <c r="C1204" s="4" t="str">
        <f>IFERROR(VLOOKUP(A1204,Colaboradores!A:D,3,),"")</f>
        <v>REGIONAL SUL</v>
      </c>
      <c r="D1204" s="4" t="s">
        <v>125</v>
      </c>
      <c r="E1204" s="4" t="s">
        <v>48</v>
      </c>
      <c r="F1204" s="5" t="str">
        <f>IFERROR(VLOOKUP(E1204,Procedimentos!A:C,2,),"")</f>
        <v>POLÍTICA MEIO AMBIENTE EMSERH</v>
      </c>
      <c r="G1204" s="4" t="s">
        <v>22</v>
      </c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 spans="1:26" ht="14.25" customHeight="1">
      <c r="A1205" s="4">
        <v>15100</v>
      </c>
      <c r="B1205" s="4" t="s">
        <v>176</v>
      </c>
      <c r="C1205" s="4" t="str">
        <f>IFERROR(VLOOKUP(A1205,Colaboradores!A:D,3,),"")</f>
        <v>REGIONAL SUL</v>
      </c>
      <c r="D1205" s="4" t="s">
        <v>125</v>
      </c>
      <c r="E1205" s="4" t="s">
        <v>29</v>
      </c>
      <c r="F1205" s="5" t="str">
        <f>IFERROR(VLOOKUP(E1205,Procedimentos!A:C,2,),"")</f>
        <v>COLETA SELETIVA DESSMA</v>
      </c>
      <c r="G1205" s="4" t="s">
        <v>22</v>
      </c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 spans="1:26" ht="14.25" customHeight="1">
      <c r="A1206" s="4">
        <v>15100</v>
      </c>
      <c r="B1206" s="4" t="s">
        <v>176</v>
      </c>
      <c r="C1206" s="4" t="str">
        <f>IFERROR(VLOOKUP(A1206,Colaboradores!A:D,3,),"")</f>
        <v>REGIONAL SUL</v>
      </c>
      <c r="D1206" s="4" t="s">
        <v>125</v>
      </c>
      <c r="E1206" s="4" t="s">
        <v>36</v>
      </c>
      <c r="F1206" s="5" t="str">
        <f>IFERROR(VLOOKUP(E1206,Procedimentos!A:C,2,),"")</f>
        <v>GESTÃO DE PRODUTOS QUÍMICOS</v>
      </c>
      <c r="G1206" s="4" t="s">
        <v>22</v>
      </c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 spans="1:26" ht="14.25" customHeight="1">
      <c r="A1207" s="4">
        <v>15100</v>
      </c>
      <c r="B1207" s="4" t="s">
        <v>176</v>
      </c>
      <c r="C1207" s="4" t="str">
        <f>IFERROR(VLOOKUP(A1207,Colaboradores!A:D,3,),"")</f>
        <v>REGIONAL SUL</v>
      </c>
      <c r="D1207" s="4" t="s">
        <v>125</v>
      </c>
      <c r="E1207" s="4" t="s">
        <v>32</v>
      </c>
      <c r="F1207" s="5" t="str">
        <f>IFERROR(VLOOKUP(E1207,Procedimentos!A:C,2,),"")</f>
        <v>GESTÃO DE LEVANTAMENTO DE ASPECTOS E IMPACTOS AMBIENTAIS</v>
      </c>
      <c r="G1207" s="4" t="s">
        <v>22</v>
      </c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 spans="1:26" ht="14.25" customHeight="1">
      <c r="A1208" s="4">
        <v>15100</v>
      </c>
      <c r="B1208" s="4" t="s">
        <v>176</v>
      </c>
      <c r="C1208" s="4" t="str">
        <f>IFERROR(VLOOKUP(A1208,Colaboradores!A:D,3,),"")</f>
        <v>REGIONAL SUL</v>
      </c>
      <c r="D1208" s="4" t="s">
        <v>125</v>
      </c>
      <c r="E1208" s="4" t="s">
        <v>31</v>
      </c>
      <c r="F1208" s="5" t="str">
        <f>IFERROR(VLOOKUP(E1208,Procedimentos!A:C,2,),"")</f>
        <v>GESTÃO DE COMUNICAÇÃO, CLASSIFICAÇÃO E INVESTIGAÇÃO DE OCORRÊNCIAS AMBIENTAIS</v>
      </c>
      <c r="G1208" s="4" t="s">
        <v>22</v>
      </c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 spans="1:26" ht="14.25" customHeight="1">
      <c r="A1209" s="4">
        <v>15100</v>
      </c>
      <c r="B1209" s="4" t="s">
        <v>176</v>
      </c>
      <c r="C1209" s="4" t="str">
        <f>IFERROR(VLOOKUP(A1209,Colaboradores!A:D,3,),"")</f>
        <v>REGIONAL SUL</v>
      </c>
      <c r="D1209" s="4" t="s">
        <v>125</v>
      </c>
      <c r="E1209" s="4" t="s">
        <v>33</v>
      </c>
      <c r="F1209" s="5" t="str">
        <f>IFERROR(VLOOKUP(E1209,Procedimentos!A:C,2,),"")</f>
        <v>GESTÃO DE INSPEÇÕES AMBIENTAIS</v>
      </c>
      <c r="G1209" s="4" t="s">
        <v>22</v>
      </c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 spans="1:26" ht="14.25" customHeight="1">
      <c r="A1210" s="4">
        <v>15100</v>
      </c>
      <c r="B1210" s="4" t="s">
        <v>176</v>
      </c>
      <c r="C1210" s="4" t="str">
        <f>IFERROR(VLOOKUP(A1210,Colaboradores!A:D,3,),"")</f>
        <v>REGIONAL SUL</v>
      </c>
      <c r="D1210" s="4" t="s">
        <v>125</v>
      </c>
      <c r="E1210" s="4" t="s">
        <v>39</v>
      </c>
      <c r="F1210" s="5" t="str">
        <f>IFERROR(VLOOKUP(E1210,Procedimentos!A:C,2,),"")</f>
        <v>GESTÃO DE ÁGUAS E EFLUENTES</v>
      </c>
      <c r="G1210" s="4" t="s">
        <v>28</v>
      </c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 spans="1:26" ht="14.25" customHeight="1">
      <c r="A1211" s="4">
        <v>15100</v>
      </c>
      <c r="B1211" s="4" t="s">
        <v>176</v>
      </c>
      <c r="C1211" s="4" t="str">
        <f>IFERROR(VLOOKUP(A1211,Colaboradores!A:D,3,),"")</f>
        <v>REGIONAL SUL</v>
      </c>
      <c r="D1211" s="4" t="s">
        <v>125</v>
      </c>
      <c r="E1211" s="4" t="s">
        <v>34</v>
      </c>
      <c r="F1211" s="5" t="str">
        <f>IFERROR(VLOOKUP(E1211,Procedimentos!A:C,2,),"")</f>
        <v>GESTÃO DE LICENCIAMENTO AMBIENTAL</v>
      </c>
      <c r="G1211" s="4" t="s">
        <v>28</v>
      </c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 spans="1:26" ht="14.25" customHeight="1">
      <c r="A1212" s="4">
        <v>15100</v>
      </c>
      <c r="B1212" s="4" t="s">
        <v>176</v>
      </c>
      <c r="C1212" s="4" t="str">
        <f>IFERROR(VLOOKUP(A1212,Colaboradores!A:D,3,),"")</f>
        <v>REGIONAL SUL</v>
      </c>
      <c r="D1212" s="4" t="s">
        <v>125</v>
      </c>
      <c r="E1212" s="4" t="s">
        <v>38</v>
      </c>
      <c r="F1212" s="5" t="str">
        <f>IFERROR(VLOOKUP(E1212,Procedimentos!A:C,2,),"")</f>
        <v>GESTÃO DE CONDICIONANTES DE LICENCIAMENTO AMBIENTAL</v>
      </c>
      <c r="G1212" s="4" t="s">
        <v>28</v>
      </c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 spans="1:26" ht="14.25" customHeight="1">
      <c r="A1213" s="4">
        <v>15100</v>
      </c>
      <c r="B1213" s="4" t="s">
        <v>176</v>
      </c>
      <c r="C1213" s="4" t="str">
        <f>IFERROR(VLOOKUP(A1213,Colaboradores!A:D,3,),"")</f>
        <v>REGIONAL SUL</v>
      </c>
      <c r="D1213" s="4" t="s">
        <v>125</v>
      </c>
      <c r="E1213" s="4" t="s">
        <v>37</v>
      </c>
      <c r="F1213" s="5" t="str">
        <f>IFERROR(VLOOKUP(E1213,Procedimentos!A:C,2,),"")</f>
        <v>GESTÃO DE RESÍDUOS SÓLIDOS DE SERVIÇOS DE SAÚDE</v>
      </c>
      <c r="G1213" s="4" t="s">
        <v>28</v>
      </c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 spans="1:26" ht="14.25" customHeight="1">
      <c r="A1214" s="4">
        <v>15100</v>
      </c>
      <c r="B1214" s="4" t="s">
        <v>176</v>
      </c>
      <c r="C1214" s="4" t="str">
        <f>IFERROR(VLOOKUP(A1214,Colaboradores!A:D,3,),"")</f>
        <v>REGIONAL SUL</v>
      </c>
      <c r="D1214" s="4" t="s">
        <v>125</v>
      </c>
      <c r="E1214" s="4" t="s">
        <v>35</v>
      </c>
      <c r="F1214" s="5" t="str">
        <f>IFERROR(VLOOKUP(E1214,Procedimentos!A:C,2,),"")</f>
        <v>PROCEDIMENTO DE AFERIÇÃO DE FUMAÇA PRETA</v>
      </c>
      <c r="G1214" s="4" t="s">
        <v>28</v>
      </c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 spans="1:26" ht="14.25" customHeight="1">
      <c r="A1215" s="4">
        <v>15100</v>
      </c>
      <c r="B1215" s="4" t="s">
        <v>176</v>
      </c>
      <c r="C1215" s="4" t="str">
        <f>IFERROR(VLOOKUP(A1215,Colaboradores!A:D,3,),"")</f>
        <v>REGIONAL SUL</v>
      </c>
      <c r="D1215" s="4" t="s">
        <v>125</v>
      </c>
      <c r="E1215" s="4" t="s">
        <v>49</v>
      </c>
      <c r="F1215" s="5" t="str">
        <f>IFERROR(VLOOKUP(E1215,Procedimentos!A:C,2,),"")</f>
        <v>DIRETRIZES PARA REALIZAÇÃO DE EXAMES OCUPACIONAIS</v>
      </c>
      <c r="G1215" s="4" t="s">
        <v>22</v>
      </c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 spans="1:26" ht="14.25" customHeight="1">
      <c r="A1216" s="4">
        <v>15100</v>
      </c>
      <c r="B1216" s="4" t="s">
        <v>176</v>
      </c>
      <c r="C1216" s="4" t="str">
        <f>IFERROR(VLOOKUP(A1216,Colaboradores!A:D,3,),"")</f>
        <v>REGIONAL SUL</v>
      </c>
      <c r="D1216" s="4" t="s">
        <v>125</v>
      </c>
      <c r="E1216" s="4" t="s">
        <v>51</v>
      </c>
      <c r="F1216" s="5" t="str">
        <f>IFERROR(VLOOKUP(E1216,Procedimentos!A:C,2,),"")</f>
        <v>DIRETRIZES PARA ENTREGA DE ATESTADOS MÉDICOS E ODONTOLÓGICOS</v>
      </c>
      <c r="G1216" s="4" t="s">
        <v>22</v>
      </c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 spans="1:26" ht="14.25" customHeight="1">
      <c r="A1217" s="4">
        <v>15100</v>
      </c>
      <c r="B1217" s="4" t="s">
        <v>176</v>
      </c>
      <c r="C1217" s="4" t="str">
        <f>IFERROR(VLOOKUP(A1217,Colaboradores!A:D,3,),"")</f>
        <v>REGIONAL SUL</v>
      </c>
      <c r="D1217" s="4" t="s">
        <v>125</v>
      </c>
      <c r="E1217" s="4" t="s">
        <v>52</v>
      </c>
      <c r="F1217" s="5" t="str">
        <f>IFERROR(VLOOKUP(E1217,Procedimentos!A:C,2,),"")</f>
        <v>DIRETRIZES E ACOMPANHAMENTO  DE ACIDENTE COM MATERIAL BIOLOGICO</v>
      </c>
      <c r="G1217" s="4" t="s">
        <v>22</v>
      </c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 spans="1:26" ht="14.25" customHeight="1">
      <c r="A1218" s="4">
        <v>15100</v>
      </c>
      <c r="B1218" s="4" t="s">
        <v>176</v>
      </c>
      <c r="C1218" s="4" t="str">
        <f>IFERROR(VLOOKUP(A1218,Colaboradores!A:D,3,),"")</f>
        <v>REGIONAL SUL</v>
      </c>
      <c r="D1218" s="4" t="s">
        <v>125</v>
      </c>
      <c r="E1218" s="4" t="s">
        <v>53</v>
      </c>
      <c r="F1218" s="5" t="str">
        <f>IFERROR(VLOOKUP(E1218,Procedimentos!A:C,2,),"")</f>
        <v>DIRETRIZES PARA MONITORAMENTO DE GESTANTE</v>
      </c>
      <c r="G1218" s="4" t="s">
        <v>22</v>
      </c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 spans="1:26" ht="14.25" customHeight="1">
      <c r="A1219" s="4">
        <v>15100</v>
      </c>
      <c r="B1219" s="4" t="s">
        <v>176</v>
      </c>
      <c r="C1219" s="4" t="str">
        <f>IFERROR(VLOOKUP(A1219,Colaboradores!A:D,3,),"")</f>
        <v>REGIONAL SUL</v>
      </c>
      <c r="D1219" s="4" t="s">
        <v>125</v>
      </c>
      <c r="E1219" s="4" t="s">
        <v>54</v>
      </c>
      <c r="F1219" s="5" t="str">
        <f>IFERROR(VLOOKUP(E1219,Procedimentos!A:C,2,),"")</f>
        <v>DIRETRIZES DE IMUNIZAÇÃO OCUPACIONAL</v>
      </c>
      <c r="G1219" s="4" t="s">
        <v>22</v>
      </c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 spans="1:26" ht="14.25" customHeight="1">
      <c r="A1220" s="4">
        <v>15100</v>
      </c>
      <c r="B1220" s="4" t="s">
        <v>176</v>
      </c>
      <c r="C1220" s="4" t="str">
        <f>IFERROR(VLOOKUP(A1220,Colaboradores!A:D,3,),"")</f>
        <v>REGIONAL SUL</v>
      </c>
      <c r="D1220" s="4" t="s">
        <v>125</v>
      </c>
      <c r="E1220" s="4" t="s">
        <v>55</v>
      </c>
      <c r="F1220" s="5" t="str">
        <f>IFERROR(VLOOKUP(E1220,Procedimentos!A:C,2,),"")</f>
        <v>DIRETRIZES PARA ACOMPANHAMENTO DE AFASTADOS</v>
      </c>
      <c r="G1220" s="4" t="s">
        <v>22</v>
      </c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 spans="1:26" ht="14.25" customHeight="1">
      <c r="A1221" s="4">
        <v>15100</v>
      </c>
      <c r="B1221" s="4" t="s">
        <v>176</v>
      </c>
      <c r="C1221" s="4" t="str">
        <f>IFERROR(VLOOKUP(A1221,Colaboradores!A:D,3,),"")</f>
        <v>REGIONAL SUL</v>
      </c>
      <c r="D1221" s="4" t="s">
        <v>125</v>
      </c>
      <c r="E1221" s="4" t="s">
        <v>46</v>
      </c>
      <c r="F1221" s="5" t="str">
        <f>IFERROR(VLOOKUP(E1221,Procedimentos!A:C,2,),"")</f>
        <v>POLÍTICA DE SAÚDE E SEGURANÇA DO TRABALHO EMSERH</v>
      </c>
      <c r="G1221" s="4" t="s">
        <v>22</v>
      </c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 spans="1:26" ht="14.25" customHeight="1">
      <c r="A1222" s="4">
        <v>15100</v>
      </c>
      <c r="B1222" s="4" t="s">
        <v>176</v>
      </c>
      <c r="C1222" s="4" t="str">
        <f>IFERROR(VLOOKUP(A1222,Colaboradores!A:D,3,),"")</f>
        <v>REGIONAL SUL</v>
      </c>
      <c r="D1222" s="4" t="s">
        <v>125</v>
      </c>
      <c r="E1222" s="4" t="s">
        <v>41</v>
      </c>
      <c r="F1222" s="5" t="str">
        <f>IFERROR(VLOOKUP(E1222,Procedimentos!A:C,2,),"")</f>
        <v>DIRETRIZES PARA COMUNICAÇÃO E INVESTIGAÇÃO DE ACIDENTES</v>
      </c>
      <c r="G1222" s="4" t="s">
        <v>22</v>
      </c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 spans="1:26" ht="14.25" customHeight="1">
      <c r="A1223" s="4">
        <v>15100</v>
      </c>
      <c r="B1223" s="4" t="s">
        <v>176</v>
      </c>
      <c r="C1223" s="4" t="str">
        <f>IFERROR(VLOOKUP(A1223,Colaboradores!A:D,3,),"")</f>
        <v>REGIONAL SUL</v>
      </c>
      <c r="D1223" s="4" t="s">
        <v>125</v>
      </c>
      <c r="E1223" s="4" t="s">
        <v>43</v>
      </c>
      <c r="F1223" s="5" t="str">
        <f>IFERROR(VLOOKUP(E1223,Procedimentos!A:C,2,),"")</f>
        <v>DIÁLOGO DE SAÚDE E SEGURANÇA - DSS</v>
      </c>
      <c r="G1223" s="4" t="s">
        <v>22</v>
      </c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 spans="1:26" ht="14.25" customHeight="1">
      <c r="A1224" s="4">
        <v>15100</v>
      </c>
      <c r="B1224" s="4" t="s">
        <v>176</v>
      </c>
      <c r="C1224" s="4" t="str">
        <f>IFERROR(VLOOKUP(A1224,Colaboradores!A:D,3,),"")</f>
        <v>REGIONAL SUL</v>
      </c>
      <c r="D1224" s="4" t="s">
        <v>125</v>
      </c>
      <c r="E1224" s="4" t="s">
        <v>44</v>
      </c>
      <c r="F1224" s="5" t="str">
        <f>IFERROR(VLOOKUP(E1224,Procedimentos!A:C,2,),"")</f>
        <v>DIRETRIZES PARA GESTÃO DE EQUIPAMENTOS DE PROTEÇÃO INDIVIDUAL - EPI'S</v>
      </c>
      <c r="G1224" s="4" t="s">
        <v>22</v>
      </c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 spans="1:26" ht="14.25" customHeight="1">
      <c r="A1225" s="4">
        <v>15100</v>
      </c>
      <c r="B1225" s="4" t="s">
        <v>176</v>
      </c>
      <c r="C1225" s="4" t="str">
        <f>IFERROR(VLOOKUP(A1225,Colaboradores!A:D,3,),"")</f>
        <v>REGIONAL SUL</v>
      </c>
      <c r="D1225" s="4" t="s">
        <v>125</v>
      </c>
      <c r="E1225" s="4" t="s">
        <v>45</v>
      </c>
      <c r="F1225" s="5" t="str">
        <f>IFERROR(VLOOKUP(E1225,Procedimentos!A:C,2,),"")</f>
        <v>CONSTITUIÇÃO INTERNA DE PREVENÇÃO DE ACIDENTES E DE ASSÉDIOS - CIPA</v>
      </c>
      <c r="G1225" s="4" t="s">
        <v>22</v>
      </c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 spans="1:26" ht="14.25" customHeight="1">
      <c r="A1226" s="4">
        <v>15100</v>
      </c>
      <c r="B1226" s="4" t="s">
        <v>176</v>
      </c>
      <c r="C1226" s="4" t="str">
        <f>IFERROR(VLOOKUP(A1226,Colaboradores!A:D,3,),"")</f>
        <v>REGIONAL SUL</v>
      </c>
      <c r="D1226" s="4" t="s">
        <v>125</v>
      </c>
      <c r="E1226" s="4" t="s">
        <v>59</v>
      </c>
      <c r="F1226" s="5" t="str">
        <f>IFERROR(VLOOKUP(E1226,Procedimentos!A:C,2,),"")</f>
        <v>GERENCIAMENTO DE RISCOS DE SAÚDE, SEGURANÇA E PROCESSOS</v>
      </c>
      <c r="G1226" s="4" t="s">
        <v>28</v>
      </c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 spans="1:26" ht="14.25" customHeight="1">
      <c r="A1227" s="4">
        <v>15100</v>
      </c>
      <c r="B1227" s="4" t="s">
        <v>176</v>
      </c>
      <c r="C1227" s="4" t="str">
        <f>IFERROR(VLOOKUP(A1227,Colaboradores!A:D,3,),"")</f>
        <v>REGIONAL SUL</v>
      </c>
      <c r="D1227" s="4" t="s">
        <v>125</v>
      </c>
      <c r="E1227" s="4" t="s">
        <v>61</v>
      </c>
      <c r="F1227" s="5" t="str">
        <f>IFERROR(VLOOKUP(E1227,Procedimentos!A:C,2,),"")</f>
        <v>PROCEDIMENTO DE INSPEÇÃO DE SEGURANÇA</v>
      </c>
      <c r="G1227" s="4" t="s">
        <v>28</v>
      </c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 spans="1:26" ht="14.25" customHeight="1">
      <c r="A1228" s="4">
        <v>15100</v>
      </c>
      <c r="B1228" s="4" t="s">
        <v>176</v>
      </c>
      <c r="C1228" s="4" t="str">
        <f>IFERROR(VLOOKUP(A1228,Colaboradores!A:D,3,),"")</f>
        <v>REGIONAL SUL</v>
      </c>
      <c r="D1228" s="4" t="s">
        <v>125</v>
      </c>
      <c r="E1228" s="4" t="s">
        <v>62</v>
      </c>
      <c r="F1228" s="5" t="str">
        <f>IFERROR(VLOOKUP(E1228,Procedimentos!A:C,2,),"")</f>
        <v>DIRETRIZES PARA ENVIO E RECEBIMENTO DE DOSÍMETRO</v>
      </c>
      <c r="G1228" s="4" t="s">
        <v>28</v>
      </c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 spans="1:26" ht="14.25" customHeight="1">
      <c r="A1229" s="4">
        <v>14321</v>
      </c>
      <c r="B1229" s="4" t="str">
        <f>IFERROR(VLOOKUP(A1229,Colaboradores!A:D,2,),"")</f>
        <v>LAYANA KARINE SILVA BARBOSA</v>
      </c>
      <c r="C1229" s="4" t="str">
        <f>IFERROR(VLOOKUP(A1229,Colaboradores!A:D,3,),"")</f>
        <v>REGIONAL SUL</v>
      </c>
      <c r="D1229" s="4" t="str">
        <f>IFERROR(VLOOKUP(A1229,Colaboradores!A:D,4,),"")</f>
        <v>ASSISTENTE ADMINISTRATIVO</v>
      </c>
      <c r="E1229" s="4" t="s">
        <v>58</v>
      </c>
      <c r="F1229" s="5" t="str">
        <f>IFERROR(VLOOKUP(E1229,Procedimentos!A:C,2,),"")</f>
        <v>POLÍTICA DE QUALIDADE DA DIRETORIA</v>
      </c>
      <c r="G1229" s="4" t="s">
        <v>22</v>
      </c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 spans="1:26" ht="14.25" customHeight="1">
      <c r="A1230" s="4">
        <v>14321</v>
      </c>
      <c r="B1230" s="4" t="str">
        <f>IFERROR(VLOOKUP(A1230,Colaboradores!A:D,2,),"")</f>
        <v>LAYANA KARINE SILVA BARBOSA</v>
      </c>
      <c r="C1230" s="4" t="str">
        <f>IFERROR(VLOOKUP(A1230,Colaboradores!A:D,3,),"")</f>
        <v>REGIONAL SUL</v>
      </c>
      <c r="D1230" s="4" t="str">
        <f>IFERROR(VLOOKUP(A1230,Colaboradores!A:D,4,),"")</f>
        <v>ASSISTENTE ADMINISTRATIVO</v>
      </c>
      <c r="E1230" s="4" t="s">
        <v>19</v>
      </c>
      <c r="F1230" s="5" t="str">
        <f>IFERROR(VLOOKUP(E1230,Procedimentos!A:C,2,),"")</f>
        <v>DIRETRIZES PARA DOCUMENTOS NORMATIVOS</v>
      </c>
      <c r="G1230" s="4" t="s">
        <v>22</v>
      </c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 spans="1:26" ht="14.25" customHeight="1">
      <c r="A1231" s="4">
        <v>14321</v>
      </c>
      <c r="B1231" s="4" t="str">
        <f>IFERROR(VLOOKUP(A1231,Colaboradores!A:D,2,),"")</f>
        <v>LAYANA KARINE SILVA BARBOSA</v>
      </c>
      <c r="C1231" s="4" t="str">
        <f>IFERROR(VLOOKUP(A1231,Colaboradores!A:D,3,),"")</f>
        <v>REGIONAL SUL</v>
      </c>
      <c r="D1231" s="4" t="str">
        <f>IFERROR(VLOOKUP(A1231,Colaboradores!A:D,4,),"")</f>
        <v>ASSISTENTE ADMINISTRATIVO</v>
      </c>
      <c r="E1231" s="4" t="s">
        <v>24</v>
      </c>
      <c r="F1231" s="5" t="str">
        <f>IFERROR(VLOOKUP(E1231,Procedimentos!A:C,2,),"")</f>
        <v>DIRETRIZES  PARA PROGRAMA 5S</v>
      </c>
      <c r="G1231" s="4" t="s">
        <v>22</v>
      </c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 spans="1:26" ht="14.25" customHeight="1">
      <c r="A1232" s="4">
        <v>14321</v>
      </c>
      <c r="B1232" s="4" t="str">
        <f>IFERROR(VLOOKUP(A1232,Colaboradores!A:D,2,),"")</f>
        <v>LAYANA KARINE SILVA BARBOSA</v>
      </c>
      <c r="C1232" s="4" t="str">
        <f>IFERROR(VLOOKUP(A1232,Colaboradores!A:D,3,),"")</f>
        <v>REGIONAL SUL</v>
      </c>
      <c r="D1232" s="4" t="str">
        <f>IFERROR(VLOOKUP(A1232,Colaboradores!A:D,4,),"")</f>
        <v>ASSISTENTE ADMINISTRATIVO</v>
      </c>
      <c r="E1232" s="4" t="s">
        <v>25</v>
      </c>
      <c r="F1232" s="5" t="str">
        <f>IFERROR(VLOOKUP(E1232,Procedimentos!A:C,2,),"")</f>
        <v>GARANTIA DA QUALIDADE</v>
      </c>
      <c r="G1232" s="4" t="s">
        <v>22</v>
      </c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 spans="1:26" ht="14.25" customHeight="1">
      <c r="A1233" s="4">
        <v>14321</v>
      </c>
      <c r="B1233" s="4" t="str">
        <f>IFERROR(VLOOKUP(A1233,Colaboradores!A:D,2,),"")</f>
        <v>LAYANA KARINE SILVA BARBOSA</v>
      </c>
      <c r="C1233" s="4" t="str">
        <f>IFERROR(VLOOKUP(A1233,Colaboradores!A:D,3,),"")</f>
        <v>REGIONAL SUL</v>
      </c>
      <c r="D1233" s="4" t="str">
        <f>IFERROR(VLOOKUP(A1233,Colaboradores!A:D,4,),"")</f>
        <v>ASSISTENTE ADMINISTRATIVO</v>
      </c>
      <c r="E1233" s="4" t="s">
        <v>26</v>
      </c>
      <c r="F1233" s="5" t="str">
        <f>IFERROR(VLOOKUP(E1233,Procedimentos!A:C,2,),"")</f>
        <v>RESPONSABILIDADES E AUTORIDADES DO SGQ</v>
      </c>
      <c r="G1233" s="4" t="s">
        <v>22</v>
      </c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 spans="1:26" ht="14.25" customHeight="1">
      <c r="A1234" s="4">
        <v>14321</v>
      </c>
      <c r="B1234" s="4" t="str">
        <f>IFERROR(VLOOKUP(A1234,Colaboradores!A:D,2,),"")</f>
        <v>LAYANA KARINE SILVA BARBOSA</v>
      </c>
      <c r="C1234" s="4" t="str">
        <f>IFERROR(VLOOKUP(A1234,Colaboradores!A:D,3,),"")</f>
        <v>REGIONAL SUL</v>
      </c>
      <c r="D1234" s="4" t="str">
        <f>IFERROR(VLOOKUP(A1234,Colaboradores!A:D,4,),"")</f>
        <v>ASSISTENTE ADMINISTRATIVO</v>
      </c>
      <c r="E1234" s="4" t="s">
        <v>73</v>
      </c>
      <c r="F1234" s="5" t="str">
        <f>IFERROR(VLOOKUP(E1234,Procedimentos!A:C,2,),"")</f>
        <v>AQUISIÇÃO DE BENS E SERVIÇOS E AVALIAÇÃO PROVEDORES EXTERNOS</v>
      </c>
      <c r="G1234" s="4" t="s">
        <v>22</v>
      </c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 spans="1:26" ht="14.25" customHeight="1">
      <c r="A1235" s="4">
        <v>14321</v>
      </c>
      <c r="B1235" s="4" t="str">
        <f>IFERROR(VLOOKUP(A1235,Colaboradores!A:D,2,),"")</f>
        <v>LAYANA KARINE SILVA BARBOSA</v>
      </c>
      <c r="C1235" s="4" t="str">
        <f>IFERROR(VLOOKUP(A1235,Colaboradores!A:D,3,),"")</f>
        <v>REGIONAL SUL</v>
      </c>
      <c r="D1235" s="4" t="str">
        <f>IFERROR(VLOOKUP(A1235,Colaboradores!A:D,4,),"")</f>
        <v>ASSISTENTE ADMINISTRATIVO</v>
      </c>
      <c r="E1235" s="4" t="s">
        <v>48</v>
      </c>
      <c r="F1235" s="5" t="str">
        <f>IFERROR(VLOOKUP(E1235,Procedimentos!A:C,2,),"")</f>
        <v>POLÍTICA MEIO AMBIENTE EMSERH</v>
      </c>
      <c r="G1235" s="4" t="s">
        <v>22</v>
      </c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 spans="1:26" ht="14.25" customHeight="1">
      <c r="A1236" s="4">
        <v>14321</v>
      </c>
      <c r="B1236" s="4" t="str">
        <f>IFERROR(VLOOKUP(A1236,Colaboradores!A:D,2,),"")</f>
        <v>LAYANA KARINE SILVA BARBOSA</v>
      </c>
      <c r="C1236" s="4" t="str">
        <f>IFERROR(VLOOKUP(A1236,Colaboradores!A:D,3,),"")</f>
        <v>REGIONAL SUL</v>
      </c>
      <c r="D1236" s="4" t="str">
        <f>IFERROR(VLOOKUP(A1236,Colaboradores!A:D,4,),"")</f>
        <v>ASSISTENTE ADMINISTRATIVO</v>
      </c>
      <c r="E1236" s="4" t="s">
        <v>29</v>
      </c>
      <c r="F1236" s="5" t="str">
        <f>IFERROR(VLOOKUP(E1236,Procedimentos!A:C,2,),"")</f>
        <v>COLETA SELETIVA DESSMA</v>
      </c>
      <c r="G1236" s="4" t="s">
        <v>22</v>
      </c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 spans="1:26" ht="14.25" customHeight="1">
      <c r="A1237" s="4">
        <v>14321</v>
      </c>
      <c r="B1237" s="4" t="str">
        <f>IFERROR(VLOOKUP(A1237,Colaboradores!A:D,2,),"")</f>
        <v>LAYANA KARINE SILVA BARBOSA</v>
      </c>
      <c r="C1237" s="4" t="str">
        <f>IFERROR(VLOOKUP(A1237,Colaboradores!A:D,3,),"")</f>
        <v>REGIONAL SUL</v>
      </c>
      <c r="D1237" s="4" t="str">
        <f>IFERROR(VLOOKUP(A1237,Colaboradores!A:D,4,),"")</f>
        <v>ASSISTENTE ADMINISTRATIVO</v>
      </c>
      <c r="E1237" s="4" t="s">
        <v>36</v>
      </c>
      <c r="F1237" s="5" t="str">
        <f>IFERROR(VLOOKUP(E1237,Procedimentos!A:C,2,),"")</f>
        <v>GESTÃO DE PRODUTOS QUÍMICOS</v>
      </c>
      <c r="G1237" s="4" t="s">
        <v>22</v>
      </c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 spans="1:26" ht="14.25" customHeight="1">
      <c r="A1238" s="4">
        <v>14321</v>
      </c>
      <c r="B1238" s="4" t="str">
        <f>IFERROR(VLOOKUP(A1238,Colaboradores!A:D,2,),"")</f>
        <v>LAYANA KARINE SILVA BARBOSA</v>
      </c>
      <c r="C1238" s="4" t="str">
        <f>IFERROR(VLOOKUP(A1238,Colaboradores!A:D,3,),"")</f>
        <v>REGIONAL SUL</v>
      </c>
      <c r="D1238" s="4" t="str">
        <f>IFERROR(VLOOKUP(A1238,Colaboradores!A:D,4,),"")</f>
        <v>ASSISTENTE ADMINISTRATIVO</v>
      </c>
      <c r="E1238" s="4" t="s">
        <v>32</v>
      </c>
      <c r="F1238" s="5" t="str">
        <f>IFERROR(VLOOKUP(E1238,Procedimentos!A:C,2,),"")</f>
        <v>GESTÃO DE LEVANTAMENTO DE ASPECTOS E IMPACTOS AMBIENTAIS</v>
      </c>
      <c r="G1238" s="4" t="s">
        <v>22</v>
      </c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 spans="1:26" ht="14.25" customHeight="1">
      <c r="A1239" s="4">
        <v>14321</v>
      </c>
      <c r="B1239" s="4" t="str">
        <f>IFERROR(VLOOKUP(A1239,Colaboradores!A:D,2,),"")</f>
        <v>LAYANA KARINE SILVA BARBOSA</v>
      </c>
      <c r="C1239" s="4" t="str">
        <f>IFERROR(VLOOKUP(A1239,Colaboradores!A:D,3,),"")</f>
        <v>REGIONAL SUL</v>
      </c>
      <c r="D1239" s="4" t="str">
        <f>IFERROR(VLOOKUP(A1239,Colaboradores!A:D,4,),"")</f>
        <v>ASSISTENTE ADMINISTRATIVO</v>
      </c>
      <c r="E1239" s="4" t="s">
        <v>31</v>
      </c>
      <c r="F1239" s="5" t="str">
        <f>IFERROR(VLOOKUP(E1239,Procedimentos!A:C,2,),"")</f>
        <v>GESTÃO DE COMUNICAÇÃO, CLASSIFICAÇÃO E INVESTIGAÇÃO DE OCORRÊNCIAS AMBIENTAIS</v>
      </c>
      <c r="G1239" s="4" t="s">
        <v>22</v>
      </c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 spans="1:26" ht="14.25" customHeight="1">
      <c r="A1240" s="4">
        <v>14321</v>
      </c>
      <c r="B1240" s="4" t="str">
        <f>IFERROR(VLOOKUP(A1240,Colaboradores!A:D,2,),"")</f>
        <v>LAYANA KARINE SILVA BARBOSA</v>
      </c>
      <c r="C1240" s="4" t="str">
        <f>IFERROR(VLOOKUP(A1240,Colaboradores!A:D,3,),"")</f>
        <v>REGIONAL SUL</v>
      </c>
      <c r="D1240" s="4" t="str">
        <f>IFERROR(VLOOKUP(A1240,Colaboradores!A:D,4,),"")</f>
        <v>ASSISTENTE ADMINISTRATIVO</v>
      </c>
      <c r="E1240" s="4" t="s">
        <v>33</v>
      </c>
      <c r="F1240" s="5" t="str">
        <f>IFERROR(VLOOKUP(E1240,Procedimentos!A:C,2,),"")</f>
        <v>GESTÃO DE INSPEÇÕES AMBIENTAIS</v>
      </c>
      <c r="G1240" s="4" t="s">
        <v>22</v>
      </c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 spans="1:26" ht="14.25" customHeight="1">
      <c r="A1241" s="4">
        <v>14321</v>
      </c>
      <c r="B1241" s="4" t="str">
        <f>IFERROR(VLOOKUP(A1241,Colaboradores!A:D,2,),"")</f>
        <v>LAYANA KARINE SILVA BARBOSA</v>
      </c>
      <c r="C1241" s="4" t="str">
        <f>IFERROR(VLOOKUP(A1241,Colaboradores!A:D,3,),"")</f>
        <v>REGIONAL SUL</v>
      </c>
      <c r="D1241" s="4" t="str">
        <f>IFERROR(VLOOKUP(A1241,Colaboradores!A:D,4,),"")</f>
        <v>ASSISTENTE ADMINISTRATIVO</v>
      </c>
      <c r="E1241" s="4" t="s">
        <v>39</v>
      </c>
      <c r="F1241" s="5" t="str">
        <f>IFERROR(VLOOKUP(E1241,Procedimentos!A:C,2,),"")</f>
        <v>GESTÃO DE ÁGUAS E EFLUENTES</v>
      </c>
      <c r="G1241" s="4" t="s">
        <v>22</v>
      </c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 spans="1:26" ht="14.25" customHeight="1">
      <c r="A1242" s="4">
        <v>14321</v>
      </c>
      <c r="B1242" s="4" t="str">
        <f>IFERROR(VLOOKUP(A1242,Colaboradores!A:D,2,),"")</f>
        <v>LAYANA KARINE SILVA BARBOSA</v>
      </c>
      <c r="C1242" s="4" t="str">
        <f>IFERROR(VLOOKUP(A1242,Colaboradores!A:D,3,),"")</f>
        <v>REGIONAL SUL</v>
      </c>
      <c r="D1242" s="4" t="str">
        <f>IFERROR(VLOOKUP(A1242,Colaboradores!A:D,4,),"")</f>
        <v>ASSISTENTE ADMINISTRATIVO</v>
      </c>
      <c r="E1242" s="4" t="s">
        <v>34</v>
      </c>
      <c r="F1242" s="5" t="str">
        <f>IFERROR(VLOOKUP(E1242,Procedimentos!A:C,2,),"")</f>
        <v>GESTÃO DE LICENCIAMENTO AMBIENTAL</v>
      </c>
      <c r="G1242" s="4" t="s">
        <v>22</v>
      </c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 spans="1:26" ht="14.25" customHeight="1">
      <c r="A1243" s="4">
        <v>14321</v>
      </c>
      <c r="B1243" s="4" t="str">
        <f>IFERROR(VLOOKUP(A1243,Colaboradores!A:D,2,),"")</f>
        <v>LAYANA KARINE SILVA BARBOSA</v>
      </c>
      <c r="C1243" s="4" t="str">
        <f>IFERROR(VLOOKUP(A1243,Colaboradores!A:D,3,),"")</f>
        <v>REGIONAL SUL</v>
      </c>
      <c r="D1243" s="4" t="str">
        <f>IFERROR(VLOOKUP(A1243,Colaboradores!A:D,4,),"")</f>
        <v>ASSISTENTE ADMINISTRATIVO</v>
      </c>
      <c r="E1243" s="4" t="s">
        <v>38</v>
      </c>
      <c r="F1243" s="5" t="str">
        <f>IFERROR(VLOOKUP(E1243,Procedimentos!A:C,2,),"")</f>
        <v>GESTÃO DE CONDICIONANTES DE LICENCIAMENTO AMBIENTAL</v>
      </c>
      <c r="G1243" s="4" t="s">
        <v>22</v>
      </c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 spans="1:26" ht="14.25" customHeight="1">
      <c r="A1244" s="4">
        <v>14321</v>
      </c>
      <c r="B1244" s="4" t="str">
        <f>IFERROR(VLOOKUP(A1244,Colaboradores!A:D,2,),"")</f>
        <v>LAYANA KARINE SILVA BARBOSA</v>
      </c>
      <c r="C1244" s="4" t="str">
        <f>IFERROR(VLOOKUP(A1244,Colaboradores!A:D,3,),"")</f>
        <v>REGIONAL SUL</v>
      </c>
      <c r="D1244" s="4" t="str">
        <f>IFERROR(VLOOKUP(A1244,Colaboradores!A:D,4,),"")</f>
        <v>ASSISTENTE ADMINISTRATIVO</v>
      </c>
      <c r="E1244" s="4" t="s">
        <v>37</v>
      </c>
      <c r="F1244" s="5" t="str">
        <f>IFERROR(VLOOKUP(E1244,Procedimentos!A:C,2,),"")</f>
        <v>GESTÃO DE RESÍDUOS SÓLIDOS DE SERVIÇOS DE SAÚDE</v>
      </c>
      <c r="G1244" s="4" t="s">
        <v>22</v>
      </c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 spans="1:26" ht="14.25" customHeight="1">
      <c r="A1245" s="4">
        <v>14321</v>
      </c>
      <c r="B1245" s="4" t="str">
        <f>IFERROR(VLOOKUP(A1245,Colaboradores!A:D,2,),"")</f>
        <v>LAYANA KARINE SILVA BARBOSA</v>
      </c>
      <c r="C1245" s="4" t="str">
        <f>IFERROR(VLOOKUP(A1245,Colaboradores!A:D,3,),"")</f>
        <v>REGIONAL SUL</v>
      </c>
      <c r="D1245" s="4" t="str">
        <f>IFERROR(VLOOKUP(A1245,Colaboradores!A:D,4,),"")</f>
        <v>ASSISTENTE ADMINISTRATIVO</v>
      </c>
      <c r="E1245" s="4" t="s">
        <v>35</v>
      </c>
      <c r="F1245" s="5" t="str">
        <f>IFERROR(VLOOKUP(E1245,Procedimentos!A:C,2,),"")</f>
        <v>PROCEDIMENTO DE AFERIÇÃO DE FUMAÇA PRETA</v>
      </c>
      <c r="G1245" s="4" t="s">
        <v>22</v>
      </c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 spans="1:26" ht="14.25" customHeight="1">
      <c r="A1246" s="4">
        <v>14321</v>
      </c>
      <c r="B1246" s="4" t="str">
        <f>IFERROR(VLOOKUP(A1246,Colaboradores!A:D,2,),"")</f>
        <v>LAYANA KARINE SILVA BARBOSA</v>
      </c>
      <c r="C1246" s="4" t="str">
        <f>IFERROR(VLOOKUP(A1246,Colaboradores!A:D,3,),"")</f>
        <v>REGIONAL SUL</v>
      </c>
      <c r="D1246" s="4" t="str">
        <f>IFERROR(VLOOKUP(A1246,Colaboradores!A:D,4,),"")</f>
        <v>ASSISTENTE ADMINISTRATIVO</v>
      </c>
      <c r="E1246" s="4" t="s">
        <v>49</v>
      </c>
      <c r="F1246" s="5" t="str">
        <f>IFERROR(VLOOKUP(E1246,Procedimentos!A:C,2,),"")</f>
        <v>DIRETRIZES PARA REALIZAÇÃO DE EXAMES OCUPACIONAIS</v>
      </c>
      <c r="G1246" s="4" t="s">
        <v>22</v>
      </c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 spans="1:26" ht="14.25" customHeight="1">
      <c r="A1247" s="4">
        <v>14321</v>
      </c>
      <c r="B1247" s="4" t="str">
        <f>IFERROR(VLOOKUP(A1247,Colaboradores!A:D,2,),"")</f>
        <v>LAYANA KARINE SILVA BARBOSA</v>
      </c>
      <c r="C1247" s="4" t="str">
        <f>IFERROR(VLOOKUP(A1247,Colaboradores!A:D,3,),"")</f>
        <v>REGIONAL SUL</v>
      </c>
      <c r="D1247" s="4" t="str">
        <f>IFERROR(VLOOKUP(A1247,Colaboradores!A:D,4,),"")</f>
        <v>ASSISTENTE ADMINISTRATIVO</v>
      </c>
      <c r="E1247" s="4" t="s">
        <v>51</v>
      </c>
      <c r="F1247" s="5" t="str">
        <f>IFERROR(VLOOKUP(E1247,Procedimentos!A:C,2,),"")</f>
        <v>DIRETRIZES PARA ENTREGA DE ATESTADOS MÉDICOS E ODONTOLÓGICOS</v>
      </c>
      <c r="G1247" s="4" t="s">
        <v>22</v>
      </c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 spans="1:26" ht="14.25" customHeight="1">
      <c r="A1248" s="4">
        <v>14321</v>
      </c>
      <c r="B1248" s="4" t="str">
        <f>IFERROR(VLOOKUP(A1248,Colaboradores!A:D,2,),"")</f>
        <v>LAYANA KARINE SILVA BARBOSA</v>
      </c>
      <c r="C1248" s="4" t="str">
        <f>IFERROR(VLOOKUP(A1248,Colaboradores!A:D,3,),"")</f>
        <v>REGIONAL SUL</v>
      </c>
      <c r="D1248" s="4" t="str">
        <f>IFERROR(VLOOKUP(A1248,Colaboradores!A:D,4,),"")</f>
        <v>ASSISTENTE ADMINISTRATIVO</v>
      </c>
      <c r="E1248" s="4" t="s">
        <v>52</v>
      </c>
      <c r="F1248" s="5" t="str">
        <f>IFERROR(VLOOKUP(E1248,Procedimentos!A:C,2,),"")</f>
        <v>DIRETRIZES E ACOMPANHAMENTO  DE ACIDENTE COM MATERIAL BIOLOGICO</v>
      </c>
      <c r="G1248" s="4" t="s">
        <v>22</v>
      </c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 spans="1:26" ht="14.25" customHeight="1">
      <c r="A1249" s="4">
        <v>14321</v>
      </c>
      <c r="B1249" s="4" t="str">
        <f>IFERROR(VLOOKUP(A1249,Colaboradores!A:D,2,),"")</f>
        <v>LAYANA KARINE SILVA BARBOSA</v>
      </c>
      <c r="C1249" s="4" t="str">
        <f>IFERROR(VLOOKUP(A1249,Colaboradores!A:D,3,),"")</f>
        <v>REGIONAL SUL</v>
      </c>
      <c r="D1249" s="4" t="str">
        <f>IFERROR(VLOOKUP(A1249,Colaboradores!A:D,4,),"")</f>
        <v>ASSISTENTE ADMINISTRATIVO</v>
      </c>
      <c r="E1249" s="4" t="s">
        <v>53</v>
      </c>
      <c r="F1249" s="5" t="str">
        <f>IFERROR(VLOOKUP(E1249,Procedimentos!A:C,2,),"")</f>
        <v>DIRETRIZES PARA MONITORAMENTO DE GESTANTE</v>
      </c>
      <c r="G1249" s="4" t="s">
        <v>22</v>
      </c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 spans="1:26" ht="14.25" customHeight="1">
      <c r="A1250" s="4">
        <v>14321</v>
      </c>
      <c r="B1250" s="4" t="str">
        <f>IFERROR(VLOOKUP(A1250,Colaboradores!A:D,2,),"")</f>
        <v>LAYANA KARINE SILVA BARBOSA</v>
      </c>
      <c r="C1250" s="4" t="str">
        <f>IFERROR(VLOOKUP(A1250,Colaboradores!A:D,3,),"")</f>
        <v>REGIONAL SUL</v>
      </c>
      <c r="D1250" s="4" t="str">
        <f>IFERROR(VLOOKUP(A1250,Colaboradores!A:D,4,),"")</f>
        <v>ASSISTENTE ADMINISTRATIVO</v>
      </c>
      <c r="E1250" s="4" t="s">
        <v>54</v>
      </c>
      <c r="F1250" s="5" t="str">
        <f>IFERROR(VLOOKUP(E1250,Procedimentos!A:C,2,),"")</f>
        <v>DIRETRIZES DE IMUNIZAÇÃO OCUPACIONAL</v>
      </c>
      <c r="G1250" s="4" t="s">
        <v>22</v>
      </c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 spans="1:26" ht="14.25" customHeight="1">
      <c r="A1251" s="4">
        <v>14321</v>
      </c>
      <c r="B1251" s="4" t="str">
        <f>IFERROR(VLOOKUP(A1251,Colaboradores!A:D,2,),"")</f>
        <v>LAYANA KARINE SILVA BARBOSA</v>
      </c>
      <c r="C1251" s="4" t="str">
        <f>IFERROR(VLOOKUP(A1251,Colaboradores!A:D,3,),"")</f>
        <v>REGIONAL SUL</v>
      </c>
      <c r="D1251" s="4" t="str">
        <f>IFERROR(VLOOKUP(A1251,Colaboradores!A:D,4,),"")</f>
        <v>ASSISTENTE ADMINISTRATIVO</v>
      </c>
      <c r="E1251" s="4" t="s">
        <v>55</v>
      </c>
      <c r="F1251" s="5" t="str">
        <f>IFERROR(VLOOKUP(E1251,Procedimentos!A:C,2,),"")</f>
        <v>DIRETRIZES PARA ACOMPANHAMENTO DE AFASTADOS</v>
      </c>
      <c r="G1251" s="4" t="s">
        <v>22</v>
      </c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 spans="1:26" ht="14.25" customHeight="1">
      <c r="A1252" s="4">
        <v>14321</v>
      </c>
      <c r="B1252" s="4" t="str">
        <f>IFERROR(VLOOKUP(A1252,Colaboradores!A:D,2,),"")</f>
        <v>LAYANA KARINE SILVA BARBOSA</v>
      </c>
      <c r="C1252" s="4" t="str">
        <f>IFERROR(VLOOKUP(A1252,Colaboradores!A:D,3,),"")</f>
        <v>REGIONAL SUL</v>
      </c>
      <c r="D1252" s="4" t="str">
        <f>IFERROR(VLOOKUP(A1252,Colaboradores!A:D,4,),"")</f>
        <v>ASSISTENTE ADMINISTRATIVO</v>
      </c>
      <c r="E1252" s="4" t="s">
        <v>46</v>
      </c>
      <c r="F1252" s="5" t="str">
        <f>IFERROR(VLOOKUP(E1252,Procedimentos!A:C,2,),"")</f>
        <v>POLÍTICA DE SAÚDE E SEGURANÇA DO TRABALHO EMSERH</v>
      </c>
      <c r="G1252" s="4" t="s">
        <v>22</v>
      </c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 spans="1:26" ht="14.25" customHeight="1">
      <c r="A1253" s="4">
        <v>14321</v>
      </c>
      <c r="B1253" s="4" t="str">
        <f>IFERROR(VLOOKUP(A1253,Colaboradores!A:D,2,),"")</f>
        <v>LAYANA KARINE SILVA BARBOSA</v>
      </c>
      <c r="C1253" s="4" t="str">
        <f>IFERROR(VLOOKUP(A1253,Colaboradores!A:D,3,),"")</f>
        <v>REGIONAL SUL</v>
      </c>
      <c r="D1253" s="4" t="str">
        <f>IFERROR(VLOOKUP(A1253,Colaboradores!A:D,4,),"")</f>
        <v>ASSISTENTE ADMINISTRATIVO</v>
      </c>
      <c r="E1253" s="4" t="s">
        <v>41</v>
      </c>
      <c r="F1253" s="5" t="str">
        <f>IFERROR(VLOOKUP(E1253,Procedimentos!A:C,2,),"")</f>
        <v>DIRETRIZES PARA COMUNICAÇÃO E INVESTIGAÇÃO DE ACIDENTES</v>
      </c>
      <c r="G1253" s="4" t="s">
        <v>22</v>
      </c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 spans="1:26" ht="14.25" customHeight="1">
      <c r="A1254" s="4">
        <v>14321</v>
      </c>
      <c r="B1254" s="4" t="str">
        <f>IFERROR(VLOOKUP(A1254,Colaboradores!A:D,2,),"")</f>
        <v>LAYANA KARINE SILVA BARBOSA</v>
      </c>
      <c r="C1254" s="4" t="str">
        <f>IFERROR(VLOOKUP(A1254,Colaboradores!A:D,3,),"")</f>
        <v>REGIONAL SUL</v>
      </c>
      <c r="D1254" s="4" t="str">
        <f>IFERROR(VLOOKUP(A1254,Colaboradores!A:D,4,),"")</f>
        <v>ASSISTENTE ADMINISTRATIVO</v>
      </c>
      <c r="E1254" s="4" t="s">
        <v>43</v>
      </c>
      <c r="F1254" s="5" t="str">
        <f>IFERROR(VLOOKUP(E1254,Procedimentos!A:C,2,),"")</f>
        <v>DIÁLOGO DE SAÚDE E SEGURANÇA - DSS</v>
      </c>
      <c r="G1254" s="4" t="s">
        <v>22</v>
      </c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 spans="1:26" ht="14.25" customHeight="1">
      <c r="A1255" s="4">
        <v>14321</v>
      </c>
      <c r="B1255" s="4" t="str">
        <f>IFERROR(VLOOKUP(A1255,Colaboradores!A:D,2,),"")</f>
        <v>LAYANA KARINE SILVA BARBOSA</v>
      </c>
      <c r="C1255" s="4" t="str">
        <f>IFERROR(VLOOKUP(A1255,Colaboradores!A:D,3,),"")</f>
        <v>REGIONAL SUL</v>
      </c>
      <c r="D1255" s="4" t="str">
        <f>IFERROR(VLOOKUP(A1255,Colaboradores!A:D,4,),"")</f>
        <v>ASSISTENTE ADMINISTRATIVO</v>
      </c>
      <c r="E1255" s="4" t="s">
        <v>44</v>
      </c>
      <c r="F1255" s="5" t="str">
        <f>IFERROR(VLOOKUP(E1255,Procedimentos!A:C,2,),"")</f>
        <v>DIRETRIZES PARA GESTÃO DE EQUIPAMENTOS DE PROTEÇÃO INDIVIDUAL - EPI'S</v>
      </c>
      <c r="G1255" s="4" t="s">
        <v>22</v>
      </c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 spans="1:26" ht="14.25" customHeight="1">
      <c r="A1256" s="4">
        <v>14321</v>
      </c>
      <c r="B1256" s="4" t="str">
        <f>IFERROR(VLOOKUP(A1256,Colaboradores!A:D,2,),"")</f>
        <v>LAYANA KARINE SILVA BARBOSA</v>
      </c>
      <c r="C1256" s="4" t="str">
        <f>IFERROR(VLOOKUP(A1256,Colaboradores!A:D,3,),"")</f>
        <v>REGIONAL SUL</v>
      </c>
      <c r="D1256" s="4" t="str">
        <f>IFERROR(VLOOKUP(A1256,Colaboradores!A:D,4,),"")</f>
        <v>ASSISTENTE ADMINISTRATIVO</v>
      </c>
      <c r="E1256" s="4" t="s">
        <v>45</v>
      </c>
      <c r="F1256" s="5" t="str">
        <f>IFERROR(VLOOKUP(E1256,Procedimentos!A:C,2,),"")</f>
        <v>CONSTITUIÇÃO INTERNA DE PREVENÇÃO DE ACIDENTES E DE ASSÉDIOS - CIPA</v>
      </c>
      <c r="G1256" s="4" t="s">
        <v>22</v>
      </c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 spans="1:26" ht="14.25" customHeight="1">
      <c r="A1257" s="4">
        <v>14321</v>
      </c>
      <c r="B1257" s="4" t="str">
        <f>IFERROR(VLOOKUP(A1257,Colaboradores!A:D,2,),"")</f>
        <v>LAYANA KARINE SILVA BARBOSA</v>
      </c>
      <c r="C1257" s="4" t="str">
        <f>IFERROR(VLOOKUP(A1257,Colaboradores!A:D,3,),"")</f>
        <v>REGIONAL SUL</v>
      </c>
      <c r="D1257" s="4" t="str">
        <f>IFERROR(VLOOKUP(A1257,Colaboradores!A:D,4,),"")</f>
        <v>ASSISTENTE ADMINISTRATIVO</v>
      </c>
      <c r="E1257" s="4" t="s">
        <v>59</v>
      </c>
      <c r="F1257" s="5" t="str">
        <f>IFERROR(VLOOKUP(E1257,Procedimentos!A:C,2,),"")</f>
        <v>GERENCIAMENTO DE RISCOS DE SAÚDE, SEGURANÇA E PROCESSOS</v>
      </c>
      <c r="G1257" s="4" t="s">
        <v>22</v>
      </c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 spans="1:26" ht="14.25" customHeight="1">
      <c r="A1258" s="4">
        <v>14321</v>
      </c>
      <c r="B1258" s="4" t="str">
        <f>IFERROR(VLOOKUP(A1258,Colaboradores!A:D,2,),"")</f>
        <v>LAYANA KARINE SILVA BARBOSA</v>
      </c>
      <c r="C1258" s="4" t="str">
        <f>IFERROR(VLOOKUP(A1258,Colaboradores!A:D,3,),"")</f>
        <v>REGIONAL SUL</v>
      </c>
      <c r="D1258" s="4" t="str">
        <f>IFERROR(VLOOKUP(A1258,Colaboradores!A:D,4,),"")</f>
        <v>ASSISTENTE ADMINISTRATIVO</v>
      </c>
      <c r="E1258" s="4" t="s">
        <v>61</v>
      </c>
      <c r="F1258" s="5" t="str">
        <f>IFERROR(VLOOKUP(E1258,Procedimentos!A:C,2,),"")</f>
        <v>PROCEDIMENTO DE INSPEÇÃO DE SEGURANÇA</v>
      </c>
      <c r="G1258" s="4" t="s">
        <v>22</v>
      </c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 spans="1:26" ht="14.25" customHeight="1">
      <c r="A1259" s="4">
        <v>14321</v>
      </c>
      <c r="B1259" s="4" t="str">
        <f>IFERROR(VLOOKUP(A1259,Colaboradores!A:D,2,),"")</f>
        <v>LAYANA KARINE SILVA BARBOSA</v>
      </c>
      <c r="C1259" s="4" t="str">
        <f>IFERROR(VLOOKUP(A1259,Colaboradores!A:D,3,),"")</f>
        <v>REGIONAL SUL</v>
      </c>
      <c r="D1259" s="4" t="str">
        <f>IFERROR(VLOOKUP(A1259,Colaboradores!A:D,4,),"")</f>
        <v>ASSISTENTE ADMINISTRATIVO</v>
      </c>
      <c r="E1259" s="4" t="s">
        <v>62</v>
      </c>
      <c r="F1259" s="5" t="str">
        <f>IFERROR(VLOOKUP(E1259,Procedimentos!A:C,2,),"")</f>
        <v>DIRETRIZES PARA ENVIO E RECEBIMENTO DE DOSÍMETRO</v>
      </c>
      <c r="G1259" s="4" t="s">
        <v>22</v>
      </c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 spans="1:26" ht="14.25" customHeight="1">
      <c r="A1260" s="4">
        <v>15042</v>
      </c>
      <c r="B1260" s="4" t="str">
        <f>IFERROR(VLOOKUP(A1260,Colaboradores!A:D,2,),"")</f>
        <v>MARIANA CRISTINA FEITOSA SANTOS</v>
      </c>
      <c r="C1260" s="4" t="str">
        <f>IFERROR(VLOOKUP(A1260,Colaboradores!A:D,3,),"")</f>
        <v>REGIONAL SUL</v>
      </c>
      <c r="D1260" s="4" t="str">
        <f>IFERROR(VLOOKUP(A1260,Colaboradores!A:D,4,),"")</f>
        <v>TÉCNICA DE SEGURANÇA DO TRABALHO</v>
      </c>
      <c r="E1260" s="4" t="s">
        <v>58</v>
      </c>
      <c r="F1260" s="5" t="str">
        <f>IFERROR(VLOOKUP(E1260,Procedimentos!A:C,2,),"")</f>
        <v>POLÍTICA DE QUALIDADE DA DIRETORIA</v>
      </c>
      <c r="G1260" s="4" t="s">
        <v>22</v>
      </c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 spans="1:26" ht="14.25" customHeight="1">
      <c r="A1261" s="4">
        <v>15042</v>
      </c>
      <c r="B1261" s="4" t="str">
        <f>IFERROR(VLOOKUP(A1261,Colaboradores!A:D,2,),"")</f>
        <v>MARIANA CRISTINA FEITOSA SANTOS</v>
      </c>
      <c r="C1261" s="4" t="str">
        <f>IFERROR(VLOOKUP(A1261,Colaboradores!A:D,3,),"")</f>
        <v>REGIONAL SUL</v>
      </c>
      <c r="D1261" s="4" t="str">
        <f>IFERROR(VLOOKUP(A1261,Colaboradores!A:D,4,),"")</f>
        <v>TÉCNICA DE SEGURANÇA DO TRABALHO</v>
      </c>
      <c r="E1261" s="4" t="s">
        <v>19</v>
      </c>
      <c r="F1261" s="5" t="str">
        <f>IFERROR(VLOOKUP(E1261,Procedimentos!A:C,2,),"")</f>
        <v>DIRETRIZES PARA DOCUMENTOS NORMATIVOS</v>
      </c>
      <c r="G1261" s="4" t="s">
        <v>22</v>
      </c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 spans="1:26" ht="14.25" customHeight="1">
      <c r="A1262" s="4">
        <v>15042</v>
      </c>
      <c r="B1262" s="4" t="str">
        <f>IFERROR(VLOOKUP(A1262,Colaboradores!A:D,2,),"")</f>
        <v>MARIANA CRISTINA FEITOSA SANTOS</v>
      </c>
      <c r="C1262" s="4" t="str">
        <f>IFERROR(VLOOKUP(A1262,Colaboradores!A:D,3,),"")</f>
        <v>REGIONAL SUL</v>
      </c>
      <c r="D1262" s="4" t="str">
        <f>IFERROR(VLOOKUP(A1262,Colaboradores!A:D,4,),"")</f>
        <v>TÉCNICA DE SEGURANÇA DO TRABALHO</v>
      </c>
      <c r="E1262" s="4" t="s">
        <v>24</v>
      </c>
      <c r="F1262" s="5" t="str">
        <f>IFERROR(VLOOKUP(E1262,Procedimentos!A:C,2,),"")</f>
        <v>DIRETRIZES  PARA PROGRAMA 5S</v>
      </c>
      <c r="G1262" s="4" t="s">
        <v>22</v>
      </c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 spans="1:26" ht="14.25" customHeight="1">
      <c r="A1263" s="4">
        <v>15042</v>
      </c>
      <c r="B1263" s="4" t="str">
        <f>IFERROR(VLOOKUP(A1263,Colaboradores!A:D,2,),"")</f>
        <v>MARIANA CRISTINA FEITOSA SANTOS</v>
      </c>
      <c r="C1263" s="4" t="str">
        <f>IFERROR(VLOOKUP(A1263,Colaboradores!A:D,3,),"")</f>
        <v>REGIONAL SUL</v>
      </c>
      <c r="D1263" s="4" t="str">
        <f>IFERROR(VLOOKUP(A1263,Colaboradores!A:D,4,),"")</f>
        <v>TÉCNICA DE SEGURANÇA DO TRABALHO</v>
      </c>
      <c r="E1263" s="4" t="s">
        <v>25</v>
      </c>
      <c r="F1263" s="5" t="str">
        <f>IFERROR(VLOOKUP(E1263,Procedimentos!A:C,2,),"")</f>
        <v>GARANTIA DA QUALIDADE</v>
      </c>
      <c r="G1263" s="4" t="s">
        <v>22</v>
      </c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 spans="1:26" ht="14.25" customHeight="1">
      <c r="A1264" s="4">
        <v>15042</v>
      </c>
      <c r="B1264" s="4" t="str">
        <f>IFERROR(VLOOKUP(A1264,Colaboradores!A:D,2,),"")</f>
        <v>MARIANA CRISTINA FEITOSA SANTOS</v>
      </c>
      <c r="C1264" s="4" t="str">
        <f>IFERROR(VLOOKUP(A1264,Colaboradores!A:D,3,),"")</f>
        <v>REGIONAL SUL</v>
      </c>
      <c r="D1264" s="4" t="str">
        <f>IFERROR(VLOOKUP(A1264,Colaboradores!A:D,4,),"")</f>
        <v>TÉCNICA DE SEGURANÇA DO TRABALHO</v>
      </c>
      <c r="E1264" s="4" t="s">
        <v>26</v>
      </c>
      <c r="F1264" s="5" t="str">
        <f>IFERROR(VLOOKUP(E1264,Procedimentos!A:C,2,),"")</f>
        <v>RESPONSABILIDADES E AUTORIDADES DO SGQ</v>
      </c>
      <c r="G1264" s="4" t="s">
        <v>22</v>
      </c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 spans="1:26" ht="14.25" customHeight="1">
      <c r="A1265" s="4">
        <v>15042</v>
      </c>
      <c r="B1265" s="4" t="str">
        <f>IFERROR(VLOOKUP(A1265,Colaboradores!A:D,2,),"")</f>
        <v>MARIANA CRISTINA FEITOSA SANTOS</v>
      </c>
      <c r="C1265" s="4" t="str">
        <f>IFERROR(VLOOKUP(A1265,Colaboradores!A:D,3,),"")</f>
        <v>REGIONAL SUL</v>
      </c>
      <c r="D1265" s="4" t="str">
        <f>IFERROR(VLOOKUP(A1265,Colaboradores!A:D,4,),"")</f>
        <v>TÉCNICA DE SEGURANÇA DO TRABALHO</v>
      </c>
      <c r="E1265" s="4" t="s">
        <v>73</v>
      </c>
      <c r="F1265" s="5" t="str">
        <f>IFERROR(VLOOKUP(E1265,Procedimentos!A:C,2,),"")</f>
        <v>AQUISIÇÃO DE BENS E SERVIÇOS E AVALIAÇÃO PROVEDORES EXTERNOS</v>
      </c>
      <c r="G1265" s="4" t="s">
        <v>22</v>
      </c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 spans="1:26" ht="14.25" customHeight="1">
      <c r="A1266" s="4">
        <v>15042</v>
      </c>
      <c r="B1266" s="4" t="str">
        <f>IFERROR(VLOOKUP(A1266,Colaboradores!A:D,2,),"")</f>
        <v>MARIANA CRISTINA FEITOSA SANTOS</v>
      </c>
      <c r="C1266" s="4" t="str">
        <f>IFERROR(VLOOKUP(A1266,Colaboradores!A:D,3,),"")</f>
        <v>REGIONAL SUL</v>
      </c>
      <c r="D1266" s="4" t="str">
        <f>IFERROR(VLOOKUP(A1266,Colaboradores!A:D,4,),"")</f>
        <v>TÉCNICA DE SEGURANÇA DO TRABALHO</v>
      </c>
      <c r="E1266" s="4" t="s">
        <v>48</v>
      </c>
      <c r="F1266" s="5" t="str">
        <f>IFERROR(VLOOKUP(E1266,Procedimentos!A:C,2,),"")</f>
        <v>POLÍTICA MEIO AMBIENTE EMSERH</v>
      </c>
      <c r="G1266" s="4" t="s">
        <v>22</v>
      </c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 spans="1:26" ht="14.25" customHeight="1">
      <c r="A1267" s="4">
        <v>15042</v>
      </c>
      <c r="B1267" s="4" t="str">
        <f>IFERROR(VLOOKUP(A1267,Colaboradores!A:D,2,),"")</f>
        <v>MARIANA CRISTINA FEITOSA SANTOS</v>
      </c>
      <c r="C1267" s="4" t="str">
        <f>IFERROR(VLOOKUP(A1267,Colaboradores!A:D,3,),"")</f>
        <v>REGIONAL SUL</v>
      </c>
      <c r="D1267" s="4" t="str">
        <f>IFERROR(VLOOKUP(A1267,Colaboradores!A:D,4,),"")</f>
        <v>TÉCNICA DE SEGURANÇA DO TRABALHO</v>
      </c>
      <c r="E1267" s="4" t="s">
        <v>29</v>
      </c>
      <c r="F1267" s="5" t="str">
        <f>IFERROR(VLOOKUP(E1267,Procedimentos!A:C,2,),"")</f>
        <v>COLETA SELETIVA DESSMA</v>
      </c>
      <c r="G1267" s="4" t="s">
        <v>22</v>
      </c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 spans="1:26" ht="14.25" customHeight="1">
      <c r="A1268" s="4">
        <v>15042</v>
      </c>
      <c r="B1268" s="4" t="str">
        <f>IFERROR(VLOOKUP(A1268,Colaboradores!A:D,2,),"")</f>
        <v>MARIANA CRISTINA FEITOSA SANTOS</v>
      </c>
      <c r="C1268" s="4" t="str">
        <f>IFERROR(VLOOKUP(A1268,Colaboradores!A:D,3,),"")</f>
        <v>REGIONAL SUL</v>
      </c>
      <c r="D1268" s="4" t="str">
        <f>IFERROR(VLOOKUP(A1268,Colaboradores!A:D,4,),"")</f>
        <v>TÉCNICA DE SEGURANÇA DO TRABALHO</v>
      </c>
      <c r="E1268" s="4" t="s">
        <v>36</v>
      </c>
      <c r="F1268" s="5" t="str">
        <f>IFERROR(VLOOKUP(E1268,Procedimentos!A:C,2,),"")</f>
        <v>GESTÃO DE PRODUTOS QUÍMICOS</v>
      </c>
      <c r="G1268" s="4" t="s">
        <v>22</v>
      </c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 spans="1:26" ht="14.25" customHeight="1">
      <c r="A1269" s="4">
        <v>15042</v>
      </c>
      <c r="B1269" s="4" t="str">
        <f>IFERROR(VLOOKUP(A1269,Colaboradores!A:D,2,),"")</f>
        <v>MARIANA CRISTINA FEITOSA SANTOS</v>
      </c>
      <c r="C1269" s="4" t="str">
        <f>IFERROR(VLOOKUP(A1269,Colaboradores!A:D,3,),"")</f>
        <v>REGIONAL SUL</v>
      </c>
      <c r="D1269" s="4" t="str">
        <f>IFERROR(VLOOKUP(A1269,Colaboradores!A:D,4,),"")</f>
        <v>TÉCNICA DE SEGURANÇA DO TRABALHO</v>
      </c>
      <c r="E1269" s="4" t="s">
        <v>32</v>
      </c>
      <c r="F1269" s="5" t="str">
        <f>IFERROR(VLOOKUP(E1269,Procedimentos!A:C,2,),"")</f>
        <v>GESTÃO DE LEVANTAMENTO DE ASPECTOS E IMPACTOS AMBIENTAIS</v>
      </c>
      <c r="G1269" s="4" t="s">
        <v>22</v>
      </c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 spans="1:26" ht="14.25" customHeight="1">
      <c r="A1270" s="4">
        <v>15042</v>
      </c>
      <c r="B1270" s="4" t="str">
        <f>IFERROR(VLOOKUP(A1270,Colaboradores!A:D,2,),"")</f>
        <v>MARIANA CRISTINA FEITOSA SANTOS</v>
      </c>
      <c r="C1270" s="4" t="str">
        <f>IFERROR(VLOOKUP(A1270,Colaboradores!A:D,3,),"")</f>
        <v>REGIONAL SUL</v>
      </c>
      <c r="D1270" s="4" t="str">
        <f>IFERROR(VLOOKUP(A1270,Colaboradores!A:D,4,),"")</f>
        <v>TÉCNICA DE SEGURANÇA DO TRABALHO</v>
      </c>
      <c r="E1270" s="4" t="s">
        <v>31</v>
      </c>
      <c r="F1270" s="5" t="str">
        <f>IFERROR(VLOOKUP(E1270,Procedimentos!A:C,2,),"")</f>
        <v>GESTÃO DE COMUNICAÇÃO, CLASSIFICAÇÃO E INVESTIGAÇÃO DE OCORRÊNCIAS AMBIENTAIS</v>
      </c>
      <c r="G1270" s="4" t="s">
        <v>22</v>
      </c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 spans="1:26" ht="14.25" customHeight="1">
      <c r="A1271" s="4">
        <v>15042</v>
      </c>
      <c r="B1271" s="4" t="str">
        <f>IFERROR(VLOOKUP(A1271,Colaboradores!A:D,2,),"")</f>
        <v>MARIANA CRISTINA FEITOSA SANTOS</v>
      </c>
      <c r="C1271" s="4" t="str">
        <f>IFERROR(VLOOKUP(A1271,Colaboradores!A:D,3,),"")</f>
        <v>REGIONAL SUL</v>
      </c>
      <c r="D1271" s="4" t="str">
        <f>IFERROR(VLOOKUP(A1271,Colaboradores!A:D,4,),"")</f>
        <v>TÉCNICA DE SEGURANÇA DO TRABALHO</v>
      </c>
      <c r="E1271" s="4" t="s">
        <v>33</v>
      </c>
      <c r="F1271" s="5" t="str">
        <f>IFERROR(VLOOKUP(E1271,Procedimentos!A:C,2,),"")</f>
        <v>GESTÃO DE INSPEÇÕES AMBIENTAIS</v>
      </c>
      <c r="G1271" s="4" t="s">
        <v>22</v>
      </c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 spans="1:26" ht="14.25" customHeight="1">
      <c r="A1272" s="4">
        <v>15042</v>
      </c>
      <c r="B1272" s="4" t="str">
        <f>IFERROR(VLOOKUP(A1272,Colaboradores!A:D,2,),"")</f>
        <v>MARIANA CRISTINA FEITOSA SANTOS</v>
      </c>
      <c r="C1272" s="4" t="str">
        <f>IFERROR(VLOOKUP(A1272,Colaboradores!A:D,3,),"")</f>
        <v>REGIONAL SUL</v>
      </c>
      <c r="D1272" s="4" t="str">
        <f>IFERROR(VLOOKUP(A1272,Colaboradores!A:D,4,),"")</f>
        <v>TÉCNICA DE SEGURANÇA DO TRABALHO</v>
      </c>
      <c r="E1272" s="4" t="s">
        <v>39</v>
      </c>
      <c r="F1272" s="5" t="str">
        <f>IFERROR(VLOOKUP(E1272,Procedimentos!A:C,2,),"")</f>
        <v>GESTÃO DE ÁGUAS E EFLUENTES</v>
      </c>
      <c r="G1272" s="4" t="s">
        <v>22</v>
      </c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 spans="1:26" ht="14.25" customHeight="1">
      <c r="A1273" s="4">
        <v>15042</v>
      </c>
      <c r="B1273" s="4" t="str">
        <f>IFERROR(VLOOKUP(A1273,Colaboradores!A:D,2,),"")</f>
        <v>MARIANA CRISTINA FEITOSA SANTOS</v>
      </c>
      <c r="C1273" s="4" t="str">
        <f>IFERROR(VLOOKUP(A1273,Colaboradores!A:D,3,),"")</f>
        <v>REGIONAL SUL</v>
      </c>
      <c r="D1273" s="4" t="str">
        <f>IFERROR(VLOOKUP(A1273,Colaboradores!A:D,4,),"")</f>
        <v>TÉCNICA DE SEGURANÇA DO TRABALHO</v>
      </c>
      <c r="E1273" s="4" t="s">
        <v>34</v>
      </c>
      <c r="F1273" s="5" t="str">
        <f>IFERROR(VLOOKUP(E1273,Procedimentos!A:C,2,),"")</f>
        <v>GESTÃO DE LICENCIAMENTO AMBIENTAL</v>
      </c>
      <c r="G1273" s="4" t="s">
        <v>22</v>
      </c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 spans="1:26" ht="14.25" customHeight="1">
      <c r="A1274" s="4">
        <v>15042</v>
      </c>
      <c r="B1274" s="4" t="str">
        <f>IFERROR(VLOOKUP(A1274,Colaboradores!A:D,2,),"")</f>
        <v>MARIANA CRISTINA FEITOSA SANTOS</v>
      </c>
      <c r="C1274" s="4" t="str">
        <f>IFERROR(VLOOKUP(A1274,Colaboradores!A:D,3,),"")</f>
        <v>REGIONAL SUL</v>
      </c>
      <c r="D1274" s="4" t="str">
        <f>IFERROR(VLOOKUP(A1274,Colaboradores!A:D,4,),"")</f>
        <v>TÉCNICA DE SEGURANÇA DO TRABALHO</v>
      </c>
      <c r="E1274" s="4" t="s">
        <v>38</v>
      </c>
      <c r="F1274" s="5" t="str">
        <f>IFERROR(VLOOKUP(E1274,Procedimentos!A:C,2,),"")</f>
        <v>GESTÃO DE CONDICIONANTES DE LICENCIAMENTO AMBIENTAL</v>
      </c>
      <c r="G1274" s="4" t="s">
        <v>22</v>
      </c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 spans="1:26" ht="14.25" customHeight="1">
      <c r="A1275" s="4">
        <v>15042</v>
      </c>
      <c r="B1275" s="4" t="str">
        <f>IFERROR(VLOOKUP(A1275,Colaboradores!A:D,2,),"")</f>
        <v>MARIANA CRISTINA FEITOSA SANTOS</v>
      </c>
      <c r="C1275" s="4" t="str">
        <f>IFERROR(VLOOKUP(A1275,Colaboradores!A:D,3,),"")</f>
        <v>REGIONAL SUL</v>
      </c>
      <c r="D1275" s="4" t="str">
        <f>IFERROR(VLOOKUP(A1275,Colaboradores!A:D,4,),"")</f>
        <v>TÉCNICA DE SEGURANÇA DO TRABALHO</v>
      </c>
      <c r="E1275" s="4" t="s">
        <v>37</v>
      </c>
      <c r="F1275" s="5" t="str">
        <f>IFERROR(VLOOKUP(E1275,Procedimentos!A:C,2,),"")</f>
        <v>GESTÃO DE RESÍDUOS SÓLIDOS DE SERVIÇOS DE SAÚDE</v>
      </c>
      <c r="G1275" s="4" t="s">
        <v>22</v>
      </c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 spans="1:26" ht="14.25" customHeight="1">
      <c r="A1276" s="4">
        <v>15042</v>
      </c>
      <c r="B1276" s="4" t="str">
        <f>IFERROR(VLOOKUP(A1276,Colaboradores!A:D,2,),"")</f>
        <v>MARIANA CRISTINA FEITOSA SANTOS</v>
      </c>
      <c r="C1276" s="4" t="str">
        <f>IFERROR(VLOOKUP(A1276,Colaboradores!A:D,3,),"")</f>
        <v>REGIONAL SUL</v>
      </c>
      <c r="D1276" s="4" t="str">
        <f>IFERROR(VLOOKUP(A1276,Colaboradores!A:D,4,),"")</f>
        <v>TÉCNICA DE SEGURANÇA DO TRABALHO</v>
      </c>
      <c r="E1276" s="4" t="s">
        <v>35</v>
      </c>
      <c r="F1276" s="5" t="str">
        <f>IFERROR(VLOOKUP(E1276,Procedimentos!A:C,2,),"")</f>
        <v>PROCEDIMENTO DE AFERIÇÃO DE FUMAÇA PRETA</v>
      </c>
      <c r="G1276" s="4" t="s">
        <v>22</v>
      </c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 spans="1:26" ht="14.25" customHeight="1">
      <c r="A1277" s="4">
        <v>15042</v>
      </c>
      <c r="B1277" s="4" t="str">
        <f>IFERROR(VLOOKUP(A1277,Colaboradores!A:D,2,),"")</f>
        <v>MARIANA CRISTINA FEITOSA SANTOS</v>
      </c>
      <c r="C1277" s="4" t="str">
        <f>IFERROR(VLOOKUP(A1277,Colaboradores!A:D,3,),"")</f>
        <v>REGIONAL SUL</v>
      </c>
      <c r="D1277" s="4" t="str">
        <f>IFERROR(VLOOKUP(A1277,Colaboradores!A:D,4,),"")</f>
        <v>TÉCNICA DE SEGURANÇA DO TRABALHO</v>
      </c>
      <c r="E1277" s="4" t="s">
        <v>49</v>
      </c>
      <c r="F1277" s="5" t="str">
        <f>IFERROR(VLOOKUP(E1277,Procedimentos!A:C,2,),"")</f>
        <v>DIRETRIZES PARA REALIZAÇÃO DE EXAMES OCUPACIONAIS</v>
      </c>
      <c r="G1277" s="4" t="s">
        <v>22</v>
      </c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 spans="1:26" ht="14.25" customHeight="1">
      <c r="A1278" s="4">
        <v>15042</v>
      </c>
      <c r="B1278" s="4" t="str">
        <f>IFERROR(VLOOKUP(A1278,Colaboradores!A:D,2,),"")</f>
        <v>MARIANA CRISTINA FEITOSA SANTOS</v>
      </c>
      <c r="C1278" s="4" t="str">
        <f>IFERROR(VLOOKUP(A1278,Colaboradores!A:D,3,),"")</f>
        <v>REGIONAL SUL</v>
      </c>
      <c r="D1278" s="4" t="str">
        <f>IFERROR(VLOOKUP(A1278,Colaboradores!A:D,4,),"")</f>
        <v>TÉCNICA DE SEGURANÇA DO TRABALHO</v>
      </c>
      <c r="E1278" s="4" t="s">
        <v>51</v>
      </c>
      <c r="F1278" s="5" t="str">
        <f>IFERROR(VLOOKUP(E1278,Procedimentos!A:C,2,),"")</f>
        <v>DIRETRIZES PARA ENTREGA DE ATESTADOS MÉDICOS E ODONTOLÓGICOS</v>
      </c>
      <c r="G1278" s="4" t="s">
        <v>22</v>
      </c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 spans="1:26" ht="14.25" customHeight="1">
      <c r="A1279" s="4">
        <v>15042</v>
      </c>
      <c r="B1279" s="4" t="str">
        <f>IFERROR(VLOOKUP(A1279,Colaboradores!A:D,2,),"")</f>
        <v>MARIANA CRISTINA FEITOSA SANTOS</v>
      </c>
      <c r="C1279" s="4" t="str">
        <f>IFERROR(VLOOKUP(A1279,Colaboradores!A:D,3,),"")</f>
        <v>REGIONAL SUL</v>
      </c>
      <c r="D1279" s="4" t="str">
        <f>IFERROR(VLOOKUP(A1279,Colaboradores!A:D,4,),"")</f>
        <v>TÉCNICA DE SEGURANÇA DO TRABALHO</v>
      </c>
      <c r="E1279" s="4" t="s">
        <v>52</v>
      </c>
      <c r="F1279" s="5" t="str">
        <f>IFERROR(VLOOKUP(E1279,Procedimentos!A:C,2,),"")</f>
        <v>DIRETRIZES E ACOMPANHAMENTO  DE ACIDENTE COM MATERIAL BIOLOGICO</v>
      </c>
      <c r="G1279" s="4" t="s">
        <v>22</v>
      </c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 spans="1:26" ht="14.25" customHeight="1">
      <c r="A1280" s="4">
        <v>15042</v>
      </c>
      <c r="B1280" s="4" t="str">
        <f>IFERROR(VLOOKUP(A1280,Colaboradores!A:D,2,),"")</f>
        <v>MARIANA CRISTINA FEITOSA SANTOS</v>
      </c>
      <c r="C1280" s="4" t="str">
        <f>IFERROR(VLOOKUP(A1280,Colaboradores!A:D,3,),"")</f>
        <v>REGIONAL SUL</v>
      </c>
      <c r="D1280" s="4" t="str">
        <f>IFERROR(VLOOKUP(A1280,Colaboradores!A:D,4,),"")</f>
        <v>TÉCNICA DE SEGURANÇA DO TRABALHO</v>
      </c>
      <c r="E1280" s="4" t="s">
        <v>53</v>
      </c>
      <c r="F1280" s="5" t="str">
        <f>IFERROR(VLOOKUP(E1280,Procedimentos!A:C,2,),"")</f>
        <v>DIRETRIZES PARA MONITORAMENTO DE GESTANTE</v>
      </c>
      <c r="G1280" s="4" t="s">
        <v>22</v>
      </c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 spans="1:26" ht="14.25" customHeight="1">
      <c r="A1281" s="4">
        <v>15042</v>
      </c>
      <c r="B1281" s="4" t="str">
        <f>IFERROR(VLOOKUP(A1281,Colaboradores!A:D,2,),"")</f>
        <v>MARIANA CRISTINA FEITOSA SANTOS</v>
      </c>
      <c r="C1281" s="4" t="str">
        <f>IFERROR(VLOOKUP(A1281,Colaboradores!A:D,3,),"")</f>
        <v>REGIONAL SUL</v>
      </c>
      <c r="D1281" s="4" t="str">
        <f>IFERROR(VLOOKUP(A1281,Colaboradores!A:D,4,),"")</f>
        <v>TÉCNICA DE SEGURANÇA DO TRABALHO</v>
      </c>
      <c r="E1281" s="4" t="s">
        <v>54</v>
      </c>
      <c r="F1281" s="5" t="str">
        <f>IFERROR(VLOOKUP(E1281,Procedimentos!A:C,2,),"")</f>
        <v>DIRETRIZES DE IMUNIZAÇÃO OCUPACIONAL</v>
      </c>
      <c r="G1281" s="4" t="s">
        <v>22</v>
      </c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 spans="1:26" ht="14.25" customHeight="1">
      <c r="A1282" s="4">
        <v>15042</v>
      </c>
      <c r="B1282" s="4" t="str">
        <f>IFERROR(VLOOKUP(A1282,Colaboradores!A:D,2,),"")</f>
        <v>MARIANA CRISTINA FEITOSA SANTOS</v>
      </c>
      <c r="C1282" s="4" t="str">
        <f>IFERROR(VLOOKUP(A1282,Colaboradores!A:D,3,),"")</f>
        <v>REGIONAL SUL</v>
      </c>
      <c r="D1282" s="4" t="str">
        <f>IFERROR(VLOOKUP(A1282,Colaboradores!A:D,4,),"")</f>
        <v>TÉCNICA DE SEGURANÇA DO TRABALHO</v>
      </c>
      <c r="E1282" s="4" t="s">
        <v>55</v>
      </c>
      <c r="F1282" s="5" t="str">
        <f>IFERROR(VLOOKUP(E1282,Procedimentos!A:C,2,),"")</f>
        <v>DIRETRIZES PARA ACOMPANHAMENTO DE AFASTADOS</v>
      </c>
      <c r="G1282" s="4" t="s">
        <v>22</v>
      </c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 spans="1:26" ht="14.25" customHeight="1">
      <c r="A1283" s="4">
        <v>15042</v>
      </c>
      <c r="B1283" s="4" t="str">
        <f>IFERROR(VLOOKUP(A1283,Colaboradores!A:D,2,),"")</f>
        <v>MARIANA CRISTINA FEITOSA SANTOS</v>
      </c>
      <c r="C1283" s="4" t="str">
        <f>IFERROR(VLOOKUP(A1283,Colaboradores!A:D,3,),"")</f>
        <v>REGIONAL SUL</v>
      </c>
      <c r="D1283" s="4" t="str">
        <f>IFERROR(VLOOKUP(A1283,Colaboradores!A:D,4,),"")</f>
        <v>TÉCNICA DE SEGURANÇA DO TRABALHO</v>
      </c>
      <c r="E1283" s="4" t="s">
        <v>46</v>
      </c>
      <c r="F1283" s="5" t="str">
        <f>IFERROR(VLOOKUP(E1283,Procedimentos!A:C,2,),"")</f>
        <v>POLÍTICA DE SAÚDE E SEGURANÇA DO TRABALHO EMSERH</v>
      </c>
      <c r="G1283" s="4" t="s">
        <v>22</v>
      </c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 spans="1:26" ht="14.25" customHeight="1">
      <c r="A1284" s="4">
        <v>15042</v>
      </c>
      <c r="B1284" s="4" t="str">
        <f>IFERROR(VLOOKUP(A1284,Colaboradores!A:D,2,),"")</f>
        <v>MARIANA CRISTINA FEITOSA SANTOS</v>
      </c>
      <c r="C1284" s="4" t="str">
        <f>IFERROR(VLOOKUP(A1284,Colaboradores!A:D,3,),"")</f>
        <v>REGIONAL SUL</v>
      </c>
      <c r="D1284" s="4" t="str">
        <f>IFERROR(VLOOKUP(A1284,Colaboradores!A:D,4,),"")</f>
        <v>TÉCNICA DE SEGURANÇA DO TRABALHO</v>
      </c>
      <c r="E1284" s="4" t="s">
        <v>41</v>
      </c>
      <c r="F1284" s="5" t="str">
        <f>IFERROR(VLOOKUP(E1284,Procedimentos!A:C,2,),"")</f>
        <v>DIRETRIZES PARA COMUNICAÇÃO E INVESTIGAÇÃO DE ACIDENTES</v>
      </c>
      <c r="G1284" s="4" t="s">
        <v>22</v>
      </c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 spans="1:26" ht="14.25" customHeight="1">
      <c r="A1285" s="4">
        <v>15042</v>
      </c>
      <c r="B1285" s="4" t="str">
        <f>IFERROR(VLOOKUP(A1285,Colaboradores!A:D,2,),"")</f>
        <v>MARIANA CRISTINA FEITOSA SANTOS</v>
      </c>
      <c r="C1285" s="4" t="str">
        <f>IFERROR(VLOOKUP(A1285,Colaboradores!A:D,3,),"")</f>
        <v>REGIONAL SUL</v>
      </c>
      <c r="D1285" s="4" t="str">
        <f>IFERROR(VLOOKUP(A1285,Colaboradores!A:D,4,),"")</f>
        <v>TÉCNICA DE SEGURANÇA DO TRABALHO</v>
      </c>
      <c r="E1285" s="4" t="s">
        <v>43</v>
      </c>
      <c r="F1285" s="5" t="str">
        <f>IFERROR(VLOOKUP(E1285,Procedimentos!A:C,2,),"")</f>
        <v>DIÁLOGO DE SAÚDE E SEGURANÇA - DSS</v>
      </c>
      <c r="G1285" s="4" t="s">
        <v>22</v>
      </c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 spans="1:26" ht="14.25" customHeight="1">
      <c r="A1286" s="4">
        <v>15042</v>
      </c>
      <c r="B1286" s="4" t="str">
        <f>IFERROR(VLOOKUP(A1286,Colaboradores!A:D,2,),"")</f>
        <v>MARIANA CRISTINA FEITOSA SANTOS</v>
      </c>
      <c r="C1286" s="4" t="str">
        <f>IFERROR(VLOOKUP(A1286,Colaboradores!A:D,3,),"")</f>
        <v>REGIONAL SUL</v>
      </c>
      <c r="D1286" s="4" t="str">
        <f>IFERROR(VLOOKUP(A1286,Colaboradores!A:D,4,),"")</f>
        <v>TÉCNICA DE SEGURANÇA DO TRABALHO</v>
      </c>
      <c r="E1286" s="4" t="s">
        <v>44</v>
      </c>
      <c r="F1286" s="5" t="str">
        <f>IFERROR(VLOOKUP(E1286,Procedimentos!A:C,2,),"")</f>
        <v>DIRETRIZES PARA GESTÃO DE EQUIPAMENTOS DE PROTEÇÃO INDIVIDUAL - EPI'S</v>
      </c>
      <c r="G1286" s="4" t="s">
        <v>22</v>
      </c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 spans="1:26" ht="14.25" customHeight="1">
      <c r="A1287" s="4">
        <v>15042</v>
      </c>
      <c r="B1287" s="4" t="str">
        <f>IFERROR(VLOOKUP(A1287,Colaboradores!A:D,2,),"")</f>
        <v>MARIANA CRISTINA FEITOSA SANTOS</v>
      </c>
      <c r="C1287" s="4" t="str">
        <f>IFERROR(VLOOKUP(A1287,Colaboradores!A:D,3,),"")</f>
        <v>REGIONAL SUL</v>
      </c>
      <c r="D1287" s="4" t="str">
        <f>IFERROR(VLOOKUP(A1287,Colaboradores!A:D,4,),"")</f>
        <v>TÉCNICA DE SEGURANÇA DO TRABALHO</v>
      </c>
      <c r="E1287" s="4" t="s">
        <v>45</v>
      </c>
      <c r="F1287" s="5" t="str">
        <f>IFERROR(VLOOKUP(E1287,Procedimentos!A:C,2,),"")</f>
        <v>CONSTITUIÇÃO INTERNA DE PREVENÇÃO DE ACIDENTES E DE ASSÉDIOS - CIPA</v>
      </c>
      <c r="G1287" s="4" t="s">
        <v>22</v>
      </c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 spans="1:26" ht="14.25" customHeight="1">
      <c r="A1288" s="4">
        <v>15042</v>
      </c>
      <c r="B1288" s="4" t="str">
        <f>IFERROR(VLOOKUP(A1288,Colaboradores!A:D,2,),"")</f>
        <v>MARIANA CRISTINA FEITOSA SANTOS</v>
      </c>
      <c r="C1288" s="4" t="str">
        <f>IFERROR(VLOOKUP(A1288,Colaboradores!A:D,3,),"")</f>
        <v>REGIONAL SUL</v>
      </c>
      <c r="D1288" s="4" t="str">
        <f>IFERROR(VLOOKUP(A1288,Colaboradores!A:D,4,),"")</f>
        <v>TÉCNICA DE SEGURANÇA DO TRABALHO</v>
      </c>
      <c r="E1288" s="4" t="s">
        <v>59</v>
      </c>
      <c r="F1288" s="5" t="str">
        <f>IFERROR(VLOOKUP(E1288,Procedimentos!A:C,2,),"")</f>
        <v>GERENCIAMENTO DE RISCOS DE SAÚDE, SEGURANÇA E PROCESSOS</v>
      </c>
      <c r="G1288" s="4" t="s">
        <v>22</v>
      </c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 spans="1:26" ht="14.25" customHeight="1">
      <c r="A1289" s="4">
        <v>15042</v>
      </c>
      <c r="B1289" s="4" t="str">
        <f>IFERROR(VLOOKUP(A1289,Colaboradores!A:D,2,),"")</f>
        <v>MARIANA CRISTINA FEITOSA SANTOS</v>
      </c>
      <c r="C1289" s="4" t="str">
        <f>IFERROR(VLOOKUP(A1289,Colaboradores!A:D,3,),"")</f>
        <v>REGIONAL SUL</v>
      </c>
      <c r="D1289" s="4" t="str">
        <f>IFERROR(VLOOKUP(A1289,Colaboradores!A:D,4,),"")</f>
        <v>TÉCNICA DE SEGURANÇA DO TRABALHO</v>
      </c>
      <c r="E1289" s="4" t="s">
        <v>61</v>
      </c>
      <c r="F1289" s="5" t="str">
        <f>IFERROR(VLOOKUP(E1289,Procedimentos!A:C,2,),"")</f>
        <v>PROCEDIMENTO DE INSPEÇÃO DE SEGURANÇA</v>
      </c>
      <c r="G1289" s="4" t="s">
        <v>22</v>
      </c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 spans="1:26" ht="14.25" customHeight="1">
      <c r="A1290" s="4">
        <v>15042</v>
      </c>
      <c r="B1290" s="4" t="str">
        <f>IFERROR(VLOOKUP(A1290,Colaboradores!A:D,2,),"")</f>
        <v>MARIANA CRISTINA FEITOSA SANTOS</v>
      </c>
      <c r="C1290" s="4" t="str">
        <f>IFERROR(VLOOKUP(A1290,Colaboradores!A:D,3,),"")</f>
        <v>REGIONAL SUL</v>
      </c>
      <c r="D1290" s="4" t="str">
        <f>IFERROR(VLOOKUP(A1290,Colaboradores!A:D,4,),"")</f>
        <v>TÉCNICA DE SEGURANÇA DO TRABALHO</v>
      </c>
      <c r="E1290" s="4" t="s">
        <v>62</v>
      </c>
      <c r="F1290" s="5" t="str">
        <f>IFERROR(VLOOKUP(E1290,Procedimentos!A:C,2,),"")</f>
        <v>DIRETRIZES PARA ENVIO E RECEBIMENTO DE DOSÍMETRO</v>
      </c>
      <c r="G1290" s="4" t="s">
        <v>22</v>
      </c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 spans="1:26" ht="14.25" customHeight="1">
      <c r="A1291" s="10">
        <v>12451</v>
      </c>
      <c r="B1291" s="10" t="str">
        <f>IFERROR(VLOOKUP(A1291,Colaboradores!A:D,2,),"")</f>
        <v>JORGE CARLOS ARAUJO DE ARAUJO</v>
      </c>
      <c r="C1291" s="10" t="str">
        <f>IFERROR(VLOOKUP(A1291,Colaboradores!A:D,3,),"")</f>
        <v>DIRETORIA</v>
      </c>
      <c r="D1291" s="10" t="str">
        <f>IFERROR(VLOOKUP(A1291,Colaboradores!A:D,4,),"")</f>
        <v>DIRETOR GERAL</v>
      </c>
      <c r="E1291" s="10" t="s">
        <v>66</v>
      </c>
      <c r="F1291" s="11" t="str">
        <f>IFERROR(VLOOKUP(E1291,Procedimentos!A:C,2,),"")</f>
        <v>PROCEDIMENTO DE GERENCIAMENTO DE RISCOS</v>
      </c>
      <c r="G1291" s="10" t="s">
        <v>22</v>
      </c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4.25" customHeight="1">
      <c r="A1292" s="10">
        <v>12451</v>
      </c>
      <c r="B1292" s="10" t="str">
        <f>IFERROR(VLOOKUP(A1292,Colaboradores!A:D,2,),"")</f>
        <v>JORGE CARLOS ARAUJO DE ARAUJO</v>
      </c>
      <c r="C1292" s="10" t="str">
        <f>IFERROR(VLOOKUP(A1292,Colaboradores!A:D,3,),"")</f>
        <v>DIRETORIA</v>
      </c>
      <c r="D1292" s="10" t="str">
        <f>IFERROR(VLOOKUP(A1292,Colaboradores!A:D,4,),"")</f>
        <v>DIRETOR GERAL</v>
      </c>
      <c r="E1292" s="10" t="s">
        <v>241</v>
      </c>
      <c r="F1292" s="11" t="str">
        <f>IFERROR(VLOOKUP(E1292,Procedimentos!A:C,2,),"")</f>
        <v>PROCEDIMENTO PARA TRÂMITE DOS MEMORANDOS DA OUVIDORIA - Jurídico</v>
      </c>
      <c r="G1292" s="10" t="s">
        <v>28</v>
      </c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4.25" customHeight="1">
      <c r="A1293" s="10">
        <v>12451</v>
      </c>
      <c r="B1293" s="10" t="str">
        <f>IFERROR(VLOOKUP(A1293,Colaboradores!A:D,2,),"")</f>
        <v>JORGE CARLOS ARAUJO DE ARAUJO</v>
      </c>
      <c r="C1293" s="10" t="str">
        <f>IFERROR(VLOOKUP(A1293,Colaboradores!A:D,3,),"")</f>
        <v>DIRETORIA</v>
      </c>
      <c r="D1293" s="10" t="str">
        <f>IFERROR(VLOOKUP(A1293,Colaboradores!A:D,4,),"")</f>
        <v>DIRETOR GERAL</v>
      </c>
      <c r="E1293" s="10" t="s">
        <v>243</v>
      </c>
      <c r="F1293" s="11" t="str">
        <f>IFERROR(VLOOKUP(E1293,Procedimentos!A:C,2,),"")</f>
        <v>PROCEDIMENTO PARA ANÁLISE DE PROCESSOS ADMINISTRATIVOS - Jurídico</v>
      </c>
      <c r="G1293" s="10" t="s">
        <v>28</v>
      </c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4.25" customHeight="1">
      <c r="A1294" s="10">
        <v>12451</v>
      </c>
      <c r="B1294" s="10" t="str">
        <f>IFERROR(VLOOKUP(A1294,Colaboradores!A:D,2,),"")</f>
        <v>JORGE CARLOS ARAUJO DE ARAUJO</v>
      </c>
      <c r="C1294" s="10" t="str">
        <f>IFERROR(VLOOKUP(A1294,Colaboradores!A:D,3,),"")</f>
        <v>DIRETORIA</v>
      </c>
      <c r="D1294" s="10" t="str">
        <f>IFERROR(VLOOKUP(A1294,Colaboradores!A:D,4,),"")</f>
        <v>DIRETOR GERAL</v>
      </c>
      <c r="E1294" s="10" t="s">
        <v>58</v>
      </c>
      <c r="F1294" s="11" t="str">
        <f>IFERROR(VLOOKUP(E1294,Procedimentos!A:C,2,),"")</f>
        <v>POLÍTICA DE QUALIDADE DA DIRETORIA</v>
      </c>
      <c r="G1294" s="10" t="s">
        <v>22</v>
      </c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4.25" customHeight="1">
      <c r="A1295" s="10">
        <v>12451</v>
      </c>
      <c r="B1295" s="10" t="str">
        <f>IFERROR(VLOOKUP(A1295,Colaboradores!A:D,2,),"")</f>
        <v>JORGE CARLOS ARAUJO DE ARAUJO</v>
      </c>
      <c r="C1295" s="10" t="str">
        <f>IFERROR(VLOOKUP(A1295,Colaboradores!A:D,3,),"")</f>
        <v>DIRETORIA</v>
      </c>
      <c r="D1295" s="10" t="str">
        <f>IFERROR(VLOOKUP(A1295,Colaboradores!A:D,4,),"")</f>
        <v>DIRETOR GERAL</v>
      </c>
      <c r="E1295" s="10" t="s">
        <v>19</v>
      </c>
      <c r="F1295" s="11" t="str">
        <f>IFERROR(VLOOKUP(E1295,Procedimentos!A:C,2,),"")</f>
        <v>DIRETRIZES PARA DOCUMENTOS NORMATIVOS</v>
      </c>
      <c r="G1295" s="10" t="s">
        <v>22</v>
      </c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4.25" customHeight="1">
      <c r="A1296" s="10">
        <v>12451</v>
      </c>
      <c r="B1296" s="10" t="str">
        <f>IFERROR(VLOOKUP(A1296,Colaboradores!A:D,2,),"")</f>
        <v>JORGE CARLOS ARAUJO DE ARAUJO</v>
      </c>
      <c r="C1296" s="10" t="str">
        <f>IFERROR(VLOOKUP(A1296,Colaboradores!A:D,3,),"")</f>
        <v>DIRETORIA</v>
      </c>
      <c r="D1296" s="10" t="str">
        <f>IFERROR(VLOOKUP(A1296,Colaboradores!A:D,4,),"")</f>
        <v>DIRETOR GERAL</v>
      </c>
      <c r="E1296" s="10" t="s">
        <v>24</v>
      </c>
      <c r="F1296" s="11" t="str">
        <f>IFERROR(VLOOKUP(E1296,Procedimentos!A:C,2,),"")</f>
        <v>DIRETRIZES  PARA PROGRAMA 5S</v>
      </c>
      <c r="G1296" s="10" t="s">
        <v>22</v>
      </c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4.25" customHeight="1">
      <c r="A1297" s="10">
        <v>12451</v>
      </c>
      <c r="B1297" s="10" t="str">
        <f>IFERROR(VLOOKUP(A1297,Colaboradores!A:D,2,),"")</f>
        <v>JORGE CARLOS ARAUJO DE ARAUJO</v>
      </c>
      <c r="C1297" s="10" t="str">
        <f>IFERROR(VLOOKUP(A1297,Colaboradores!A:D,3,),"")</f>
        <v>DIRETORIA</v>
      </c>
      <c r="D1297" s="10" t="str">
        <f>IFERROR(VLOOKUP(A1297,Colaboradores!A:D,4,),"")</f>
        <v>DIRETOR GERAL</v>
      </c>
      <c r="E1297" s="10" t="s">
        <v>67</v>
      </c>
      <c r="F1297" s="11" t="str">
        <f>IFERROR(VLOOKUP(E1297,Procedimentos!A:C,2,),"")</f>
        <v>SISTEMATICA DE ROTINA DE REUNIÕES DA DESSMA</v>
      </c>
      <c r="G1297" s="10" t="s">
        <v>22</v>
      </c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4.25" customHeight="1">
      <c r="A1298" s="10">
        <v>12451</v>
      </c>
      <c r="B1298" s="10" t="str">
        <f>IFERROR(VLOOKUP(A1298,Colaboradores!A:D,2,),"")</f>
        <v>JORGE CARLOS ARAUJO DE ARAUJO</v>
      </c>
      <c r="C1298" s="10" t="str">
        <f>IFERROR(VLOOKUP(A1298,Colaboradores!A:D,3,),"")</f>
        <v>DIRETORIA</v>
      </c>
      <c r="D1298" s="10" t="str">
        <f>IFERROR(VLOOKUP(A1298,Colaboradores!A:D,4,),"")</f>
        <v>DIRETOR GERAL</v>
      </c>
      <c r="E1298" s="10" t="s">
        <v>25</v>
      </c>
      <c r="F1298" s="11" t="str">
        <f>IFERROR(VLOOKUP(E1298,Procedimentos!A:C,2,),"")</f>
        <v>GARANTIA DA QUALIDADE</v>
      </c>
      <c r="G1298" s="10" t="s">
        <v>22</v>
      </c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4.25" customHeight="1">
      <c r="A1299" s="10">
        <v>12451</v>
      </c>
      <c r="B1299" s="10" t="str">
        <f>IFERROR(VLOOKUP(A1299,Colaboradores!A:D,2,),"")</f>
        <v>JORGE CARLOS ARAUJO DE ARAUJO</v>
      </c>
      <c r="C1299" s="10" t="str">
        <f>IFERROR(VLOOKUP(A1299,Colaboradores!A:D,3,),"")</f>
        <v>DIRETORIA</v>
      </c>
      <c r="D1299" s="10" t="str">
        <f>IFERROR(VLOOKUP(A1299,Colaboradores!A:D,4,),"")</f>
        <v>DIRETOR GERAL</v>
      </c>
      <c r="E1299" s="10" t="s">
        <v>68</v>
      </c>
      <c r="F1299" s="11" t="str">
        <f>IFERROR(VLOOKUP(E1299,Procedimentos!A:C,2,),"")</f>
        <v>GESTÃO INDICADORES</v>
      </c>
      <c r="G1299" s="10" t="s">
        <v>22</v>
      </c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4.25" customHeight="1">
      <c r="A1300" s="10">
        <v>12451</v>
      </c>
      <c r="B1300" s="10" t="str">
        <f>IFERROR(VLOOKUP(A1300,Colaboradores!A:D,2,),"")</f>
        <v>JORGE CARLOS ARAUJO DE ARAUJO</v>
      </c>
      <c r="C1300" s="10" t="str">
        <f>IFERROR(VLOOKUP(A1300,Colaboradores!A:D,3,),"")</f>
        <v>DIRETORIA</v>
      </c>
      <c r="D1300" s="10" t="str">
        <f>IFERROR(VLOOKUP(A1300,Colaboradores!A:D,4,),"")</f>
        <v>DIRETOR GERAL</v>
      </c>
      <c r="E1300" s="10" t="s">
        <v>26</v>
      </c>
      <c r="F1300" s="11" t="str">
        <f>IFERROR(VLOOKUP(E1300,Procedimentos!A:C,2,),"")</f>
        <v>RESPONSABILIDADES E AUTORIDADES DO SGQ</v>
      </c>
      <c r="G1300" s="10" t="s">
        <v>22</v>
      </c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4.25" customHeight="1">
      <c r="A1301" s="10">
        <v>12451</v>
      </c>
      <c r="B1301" s="10" t="str">
        <f>IFERROR(VLOOKUP(A1301,Colaboradores!A:D,2,),"")</f>
        <v>JORGE CARLOS ARAUJO DE ARAUJO</v>
      </c>
      <c r="C1301" s="10" t="str">
        <f>IFERROR(VLOOKUP(A1301,Colaboradores!A:D,3,),"")</f>
        <v>DIRETORIA</v>
      </c>
      <c r="D1301" s="10" t="str">
        <f>IFERROR(VLOOKUP(A1301,Colaboradores!A:D,4,),"")</f>
        <v>DIRETOR GERAL</v>
      </c>
      <c r="E1301" s="10" t="s">
        <v>69</v>
      </c>
      <c r="F1301" s="11" t="str">
        <f>IFERROR(VLOOKUP(E1301,Procedimentos!A:C,2,),"")</f>
        <v>PROCEDIMENTO GESTÃO DE MUDANÇA SGQ</v>
      </c>
      <c r="G1301" s="10" t="s">
        <v>22</v>
      </c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4.25" customHeight="1">
      <c r="A1302" s="10">
        <v>12451</v>
      </c>
      <c r="B1302" s="10" t="str">
        <f>IFERROR(VLOOKUP(A1302,Colaboradores!A:D,2,),"")</f>
        <v>JORGE CARLOS ARAUJO DE ARAUJO</v>
      </c>
      <c r="C1302" s="10" t="str">
        <f>IFERROR(VLOOKUP(A1302,Colaboradores!A:D,3,),"")</f>
        <v>DIRETORIA</v>
      </c>
      <c r="D1302" s="10" t="str">
        <f>IFERROR(VLOOKUP(A1302,Colaboradores!A:D,4,),"")</f>
        <v>DIRETOR GERAL</v>
      </c>
      <c r="E1302" s="10" t="s">
        <v>64</v>
      </c>
      <c r="F1302" s="11" t="str">
        <f>IFERROR(VLOOKUP(E1302,Procedimentos!A:C,2,),"")</f>
        <v>AVALIAÇÃO DESEMPENHO</v>
      </c>
      <c r="G1302" s="10" t="s">
        <v>22</v>
      </c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4.25" customHeight="1">
      <c r="A1303" s="4">
        <v>12451</v>
      </c>
      <c r="B1303" s="4" t="str">
        <f>IFERROR(VLOOKUP(A1303,Colaboradores!A:D,2,),"")</f>
        <v>JORGE CARLOS ARAUJO DE ARAUJO</v>
      </c>
      <c r="C1303" s="4" t="str">
        <f>IFERROR(VLOOKUP(A1303,Colaboradores!A:D,3,),"")</f>
        <v>DIRETORIA</v>
      </c>
      <c r="D1303" s="4" t="str">
        <f>IFERROR(VLOOKUP(A1303,Colaboradores!A:D,4,),"")</f>
        <v>DIRETOR GERAL</v>
      </c>
      <c r="E1303" s="4" t="s">
        <v>73</v>
      </c>
      <c r="F1303" s="5" t="str">
        <f>IFERROR(VLOOKUP(E1303,Procedimentos!A:C,2,),"")</f>
        <v>AQUISIÇÃO DE BENS E SERVIÇOS E AVALIAÇÃO PROVEDORES EXTERNOS</v>
      </c>
      <c r="G1303" s="4" t="s">
        <v>22</v>
      </c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 spans="1:26" ht="14.25" customHeight="1">
      <c r="A1304" s="10">
        <v>12451</v>
      </c>
      <c r="B1304" s="10" t="str">
        <f>IFERROR(VLOOKUP(A1304,Colaboradores!A:D,2,),"")</f>
        <v>JORGE CARLOS ARAUJO DE ARAUJO</v>
      </c>
      <c r="C1304" s="10" t="str">
        <f>IFERROR(VLOOKUP(A1304,Colaboradores!A:D,3,),"")</f>
        <v>DIRETORIA</v>
      </c>
      <c r="D1304" s="10" t="str">
        <f>IFERROR(VLOOKUP(A1304,Colaboradores!A:D,4,),"")</f>
        <v>DIRETOR GERAL</v>
      </c>
      <c r="E1304" s="10" t="s">
        <v>48</v>
      </c>
      <c r="F1304" s="11" t="str">
        <f>IFERROR(VLOOKUP(E1304,Procedimentos!A:C,2,),"")</f>
        <v>POLÍTICA MEIO AMBIENTE EMSERH</v>
      </c>
      <c r="G1304" s="10" t="s">
        <v>22</v>
      </c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4.25" customHeight="1">
      <c r="A1305" s="10">
        <v>12451</v>
      </c>
      <c r="B1305" s="10" t="str">
        <f>IFERROR(VLOOKUP(A1305,Colaboradores!A:D,2,),"")</f>
        <v>JORGE CARLOS ARAUJO DE ARAUJO</v>
      </c>
      <c r="C1305" s="10" t="str">
        <f>IFERROR(VLOOKUP(A1305,Colaboradores!A:D,3,),"")</f>
        <v>DIRETORIA</v>
      </c>
      <c r="D1305" s="10" t="str">
        <f>IFERROR(VLOOKUP(A1305,Colaboradores!A:D,4,),"")</f>
        <v>DIRETOR GERAL</v>
      </c>
      <c r="E1305" s="10" t="s">
        <v>29</v>
      </c>
      <c r="F1305" s="11" t="str">
        <f>IFERROR(VLOOKUP(E1305,Procedimentos!A:C,2,),"")</f>
        <v>COLETA SELETIVA DESSMA</v>
      </c>
      <c r="G1305" s="10" t="s">
        <v>22</v>
      </c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4.25" customHeight="1">
      <c r="A1306" s="10">
        <v>12451</v>
      </c>
      <c r="B1306" s="10" t="str">
        <f>IFERROR(VLOOKUP(A1306,Colaboradores!A:D,2,),"")</f>
        <v>JORGE CARLOS ARAUJO DE ARAUJO</v>
      </c>
      <c r="C1306" s="10" t="str">
        <f>IFERROR(VLOOKUP(A1306,Colaboradores!A:D,3,),"")</f>
        <v>DIRETORIA</v>
      </c>
      <c r="D1306" s="10" t="str">
        <f>IFERROR(VLOOKUP(A1306,Colaboradores!A:D,4,),"")</f>
        <v>DIRETOR GERAL</v>
      </c>
      <c r="E1306" s="10" t="s">
        <v>36</v>
      </c>
      <c r="F1306" s="11" t="str">
        <f>IFERROR(VLOOKUP(E1306,Procedimentos!A:C,2,),"")</f>
        <v>GESTÃO DE PRODUTOS QUÍMICOS</v>
      </c>
      <c r="G1306" s="10" t="s">
        <v>22</v>
      </c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4.25" customHeight="1">
      <c r="A1307" s="10">
        <v>12451</v>
      </c>
      <c r="B1307" s="10" t="str">
        <f>IFERROR(VLOOKUP(A1307,Colaboradores!A:D,2,),"")</f>
        <v>JORGE CARLOS ARAUJO DE ARAUJO</v>
      </c>
      <c r="C1307" s="10" t="str">
        <f>IFERROR(VLOOKUP(A1307,Colaboradores!A:D,3,),"")</f>
        <v>DIRETORIA</v>
      </c>
      <c r="D1307" s="10" t="str">
        <f>IFERROR(VLOOKUP(A1307,Colaboradores!A:D,4,),"")</f>
        <v>DIRETOR GERAL</v>
      </c>
      <c r="E1307" s="10" t="s">
        <v>32</v>
      </c>
      <c r="F1307" s="11" t="str">
        <f>IFERROR(VLOOKUP(E1307,Procedimentos!A:C,2,),"")</f>
        <v>GESTÃO DE LEVANTAMENTO DE ASPECTOS E IMPACTOS AMBIENTAIS</v>
      </c>
      <c r="G1307" s="10" t="s">
        <v>22</v>
      </c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4.25" customHeight="1">
      <c r="A1308" s="10">
        <v>12451</v>
      </c>
      <c r="B1308" s="10" t="str">
        <f>IFERROR(VLOOKUP(A1308,Colaboradores!A:D,2,),"")</f>
        <v>JORGE CARLOS ARAUJO DE ARAUJO</v>
      </c>
      <c r="C1308" s="10" t="str">
        <f>IFERROR(VLOOKUP(A1308,Colaboradores!A:D,3,),"")</f>
        <v>DIRETORIA</v>
      </c>
      <c r="D1308" s="10" t="str">
        <f>IFERROR(VLOOKUP(A1308,Colaboradores!A:D,4,),"")</f>
        <v>DIRETOR GERAL</v>
      </c>
      <c r="E1308" s="10" t="s">
        <v>31</v>
      </c>
      <c r="F1308" s="11" t="str">
        <f>IFERROR(VLOOKUP(E1308,Procedimentos!A:C,2,),"")</f>
        <v>GESTÃO DE COMUNICAÇÃO, CLASSIFICAÇÃO E INVESTIGAÇÃO DE OCORRÊNCIAS AMBIENTAIS</v>
      </c>
      <c r="G1308" s="10" t="s">
        <v>22</v>
      </c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4.25" customHeight="1">
      <c r="A1309" s="10">
        <v>12451</v>
      </c>
      <c r="B1309" s="10" t="str">
        <f>IFERROR(VLOOKUP(A1309,Colaboradores!A:D,2,),"")</f>
        <v>JORGE CARLOS ARAUJO DE ARAUJO</v>
      </c>
      <c r="C1309" s="10" t="str">
        <f>IFERROR(VLOOKUP(A1309,Colaboradores!A:D,3,),"")</f>
        <v>DIRETORIA</v>
      </c>
      <c r="D1309" s="10" t="str">
        <f>IFERROR(VLOOKUP(A1309,Colaboradores!A:D,4,),"")</f>
        <v>DIRETOR GERAL</v>
      </c>
      <c r="E1309" s="10" t="s">
        <v>33</v>
      </c>
      <c r="F1309" s="11" t="str">
        <f>IFERROR(VLOOKUP(E1309,Procedimentos!A:C,2,),"")</f>
        <v>GESTÃO DE INSPEÇÕES AMBIENTAIS</v>
      </c>
      <c r="G1309" s="10" t="s">
        <v>22</v>
      </c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4.25" customHeight="1">
      <c r="A1310" s="10">
        <v>12451</v>
      </c>
      <c r="B1310" s="10" t="str">
        <f>IFERROR(VLOOKUP(A1310,Colaboradores!A:D,2,),"")</f>
        <v>JORGE CARLOS ARAUJO DE ARAUJO</v>
      </c>
      <c r="C1310" s="10" t="str">
        <f>IFERROR(VLOOKUP(A1310,Colaboradores!A:D,3,),"")</f>
        <v>DIRETORIA</v>
      </c>
      <c r="D1310" s="10" t="str">
        <f>IFERROR(VLOOKUP(A1310,Colaboradores!A:D,4,),"")</f>
        <v>DIRETOR GERAL</v>
      </c>
      <c r="E1310" s="10" t="s">
        <v>39</v>
      </c>
      <c r="F1310" s="11" t="str">
        <f>IFERROR(VLOOKUP(E1310,Procedimentos!A:C,2,),"")</f>
        <v>GESTÃO DE ÁGUAS E EFLUENTES</v>
      </c>
      <c r="G1310" s="10" t="s">
        <v>28</v>
      </c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4.25" customHeight="1">
      <c r="A1311" s="10">
        <v>12451</v>
      </c>
      <c r="B1311" s="10" t="str">
        <f>IFERROR(VLOOKUP(A1311,Colaboradores!A:D,2,),"")</f>
        <v>JORGE CARLOS ARAUJO DE ARAUJO</v>
      </c>
      <c r="C1311" s="10" t="str">
        <f>IFERROR(VLOOKUP(A1311,Colaboradores!A:D,3,),"")</f>
        <v>DIRETORIA</v>
      </c>
      <c r="D1311" s="10" t="str">
        <f>IFERROR(VLOOKUP(A1311,Colaboradores!A:D,4,),"")</f>
        <v>DIRETOR GERAL</v>
      </c>
      <c r="E1311" s="10" t="s">
        <v>34</v>
      </c>
      <c r="F1311" s="11" t="str">
        <f>IFERROR(VLOOKUP(E1311,Procedimentos!A:C,2,),"")</f>
        <v>GESTÃO DE LICENCIAMENTO AMBIENTAL</v>
      </c>
      <c r="G1311" s="10" t="s">
        <v>28</v>
      </c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4.25" customHeight="1">
      <c r="A1312" s="10">
        <v>12451</v>
      </c>
      <c r="B1312" s="10" t="str">
        <f>IFERROR(VLOOKUP(A1312,Colaboradores!A:D,2,),"")</f>
        <v>JORGE CARLOS ARAUJO DE ARAUJO</v>
      </c>
      <c r="C1312" s="10" t="str">
        <f>IFERROR(VLOOKUP(A1312,Colaboradores!A:D,3,),"")</f>
        <v>DIRETORIA</v>
      </c>
      <c r="D1312" s="10" t="str">
        <f>IFERROR(VLOOKUP(A1312,Colaboradores!A:D,4,),"")</f>
        <v>DIRETOR GERAL</v>
      </c>
      <c r="E1312" s="10" t="s">
        <v>38</v>
      </c>
      <c r="F1312" s="11" t="str">
        <f>IFERROR(VLOOKUP(E1312,Procedimentos!A:C,2,),"")</f>
        <v>GESTÃO DE CONDICIONANTES DE LICENCIAMENTO AMBIENTAL</v>
      </c>
      <c r="G1312" s="10" t="s">
        <v>28</v>
      </c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4.25" customHeight="1">
      <c r="A1313" s="10">
        <v>12451</v>
      </c>
      <c r="B1313" s="10" t="str">
        <f>IFERROR(VLOOKUP(A1313,Colaboradores!A:D,2,),"")</f>
        <v>JORGE CARLOS ARAUJO DE ARAUJO</v>
      </c>
      <c r="C1313" s="10" t="str">
        <f>IFERROR(VLOOKUP(A1313,Colaboradores!A:D,3,),"")</f>
        <v>DIRETORIA</v>
      </c>
      <c r="D1313" s="10" t="str">
        <f>IFERROR(VLOOKUP(A1313,Colaboradores!A:D,4,),"")</f>
        <v>DIRETOR GERAL</v>
      </c>
      <c r="E1313" s="10" t="s">
        <v>37</v>
      </c>
      <c r="F1313" s="11" t="str">
        <f>IFERROR(VLOOKUP(E1313,Procedimentos!A:C,2,),"")</f>
        <v>GESTÃO DE RESÍDUOS SÓLIDOS DE SERVIÇOS DE SAÚDE</v>
      </c>
      <c r="G1313" s="10" t="s">
        <v>28</v>
      </c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4.25" customHeight="1">
      <c r="A1314" s="10">
        <v>12451</v>
      </c>
      <c r="B1314" s="10" t="str">
        <f>IFERROR(VLOOKUP(A1314,Colaboradores!A:D,2,),"")</f>
        <v>JORGE CARLOS ARAUJO DE ARAUJO</v>
      </c>
      <c r="C1314" s="10" t="str">
        <f>IFERROR(VLOOKUP(A1314,Colaboradores!A:D,3,),"")</f>
        <v>DIRETORIA</v>
      </c>
      <c r="D1314" s="10" t="str">
        <f>IFERROR(VLOOKUP(A1314,Colaboradores!A:D,4,),"")</f>
        <v>DIRETOR GERAL</v>
      </c>
      <c r="E1314" s="10" t="s">
        <v>35</v>
      </c>
      <c r="F1314" s="11" t="str">
        <f>IFERROR(VLOOKUP(E1314,Procedimentos!A:C,2,),"")</f>
        <v>PROCEDIMENTO DE AFERIÇÃO DE FUMAÇA PRETA</v>
      </c>
      <c r="G1314" s="10" t="s">
        <v>28</v>
      </c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4.25" customHeight="1">
      <c r="A1315" s="10">
        <v>12451</v>
      </c>
      <c r="B1315" s="10" t="str">
        <f>IFERROR(VLOOKUP(A1315,Colaboradores!A:D,2,),"")</f>
        <v>JORGE CARLOS ARAUJO DE ARAUJO</v>
      </c>
      <c r="C1315" s="10" t="str">
        <f>IFERROR(VLOOKUP(A1315,Colaboradores!A:D,3,),"")</f>
        <v>DIRETORIA</v>
      </c>
      <c r="D1315" s="10" t="str">
        <f>IFERROR(VLOOKUP(A1315,Colaboradores!A:D,4,),"")</f>
        <v>DIRETOR GERAL</v>
      </c>
      <c r="E1315" s="10" t="s">
        <v>49</v>
      </c>
      <c r="F1315" s="11" t="str">
        <f>IFERROR(VLOOKUP(E1315,Procedimentos!A:C,2,),"")</f>
        <v>DIRETRIZES PARA REALIZAÇÃO DE EXAMES OCUPACIONAIS</v>
      </c>
      <c r="G1315" s="10" t="s">
        <v>22</v>
      </c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4.25" customHeight="1">
      <c r="A1316" s="10">
        <v>12451</v>
      </c>
      <c r="B1316" s="10" t="str">
        <f>IFERROR(VLOOKUP(A1316,Colaboradores!A:D,2,),"")</f>
        <v>JORGE CARLOS ARAUJO DE ARAUJO</v>
      </c>
      <c r="C1316" s="10" t="str">
        <f>IFERROR(VLOOKUP(A1316,Colaboradores!A:D,3,),"")</f>
        <v>DIRETORIA</v>
      </c>
      <c r="D1316" s="10" t="str">
        <f>IFERROR(VLOOKUP(A1316,Colaboradores!A:D,4,),"")</f>
        <v>DIRETOR GERAL</v>
      </c>
      <c r="E1316" s="10" t="s">
        <v>51</v>
      </c>
      <c r="F1316" s="11" t="str">
        <f>IFERROR(VLOOKUP(E1316,Procedimentos!A:C,2,),"")</f>
        <v>DIRETRIZES PARA ENTREGA DE ATESTADOS MÉDICOS E ODONTOLÓGICOS</v>
      </c>
      <c r="G1316" s="10" t="s">
        <v>22</v>
      </c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4.25" customHeight="1">
      <c r="A1317" s="10">
        <v>12451</v>
      </c>
      <c r="B1317" s="10" t="str">
        <f>IFERROR(VLOOKUP(A1317,Colaboradores!A:D,2,),"")</f>
        <v>JORGE CARLOS ARAUJO DE ARAUJO</v>
      </c>
      <c r="C1317" s="10" t="str">
        <f>IFERROR(VLOOKUP(A1317,Colaboradores!A:D,3,),"")</f>
        <v>DIRETORIA</v>
      </c>
      <c r="D1317" s="10" t="str">
        <f>IFERROR(VLOOKUP(A1317,Colaboradores!A:D,4,),"")</f>
        <v>DIRETOR GERAL</v>
      </c>
      <c r="E1317" s="10" t="s">
        <v>52</v>
      </c>
      <c r="F1317" s="11" t="str">
        <f>IFERROR(VLOOKUP(E1317,Procedimentos!A:C,2,),"")</f>
        <v>DIRETRIZES E ACOMPANHAMENTO  DE ACIDENTE COM MATERIAL BIOLOGICO</v>
      </c>
      <c r="G1317" s="10" t="s">
        <v>22</v>
      </c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4.25" customHeight="1">
      <c r="A1318" s="10">
        <v>12451</v>
      </c>
      <c r="B1318" s="10" t="str">
        <f>IFERROR(VLOOKUP(A1318,Colaboradores!A:D,2,),"")</f>
        <v>JORGE CARLOS ARAUJO DE ARAUJO</v>
      </c>
      <c r="C1318" s="10" t="str">
        <f>IFERROR(VLOOKUP(A1318,Colaboradores!A:D,3,),"")</f>
        <v>DIRETORIA</v>
      </c>
      <c r="D1318" s="10" t="str">
        <f>IFERROR(VLOOKUP(A1318,Colaboradores!A:D,4,),"")</f>
        <v>DIRETOR GERAL</v>
      </c>
      <c r="E1318" s="10" t="s">
        <v>53</v>
      </c>
      <c r="F1318" s="11" t="str">
        <f>IFERROR(VLOOKUP(E1318,Procedimentos!A:C,2,),"")</f>
        <v>DIRETRIZES PARA MONITORAMENTO DE GESTANTE</v>
      </c>
      <c r="G1318" s="10" t="s">
        <v>22</v>
      </c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4.25" customHeight="1">
      <c r="A1319" s="10">
        <v>12451</v>
      </c>
      <c r="B1319" s="10" t="str">
        <f>IFERROR(VLOOKUP(A1319,Colaboradores!A:D,2,),"")</f>
        <v>JORGE CARLOS ARAUJO DE ARAUJO</v>
      </c>
      <c r="C1319" s="10" t="str">
        <f>IFERROR(VLOOKUP(A1319,Colaboradores!A:D,3,),"")</f>
        <v>DIRETORIA</v>
      </c>
      <c r="D1319" s="10" t="str">
        <f>IFERROR(VLOOKUP(A1319,Colaboradores!A:D,4,),"")</f>
        <v>DIRETOR GERAL</v>
      </c>
      <c r="E1319" s="10" t="s">
        <v>54</v>
      </c>
      <c r="F1319" s="11" t="str">
        <f>IFERROR(VLOOKUP(E1319,Procedimentos!A:C,2,),"")</f>
        <v>DIRETRIZES DE IMUNIZAÇÃO OCUPACIONAL</v>
      </c>
      <c r="G1319" s="10" t="s">
        <v>22</v>
      </c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4.25" customHeight="1">
      <c r="A1320" s="10">
        <v>12451</v>
      </c>
      <c r="B1320" s="10" t="str">
        <f>IFERROR(VLOOKUP(A1320,Colaboradores!A:D,2,),"")</f>
        <v>JORGE CARLOS ARAUJO DE ARAUJO</v>
      </c>
      <c r="C1320" s="10" t="str">
        <f>IFERROR(VLOOKUP(A1320,Colaboradores!A:D,3,),"")</f>
        <v>DIRETORIA</v>
      </c>
      <c r="D1320" s="10" t="str">
        <f>IFERROR(VLOOKUP(A1320,Colaboradores!A:D,4,),"")</f>
        <v>DIRETOR GERAL</v>
      </c>
      <c r="E1320" s="10" t="s">
        <v>55</v>
      </c>
      <c r="F1320" s="11" t="str">
        <f>IFERROR(VLOOKUP(E1320,Procedimentos!A:C,2,),"")</f>
        <v>DIRETRIZES PARA ACOMPANHAMENTO DE AFASTADOS</v>
      </c>
      <c r="G1320" s="10" t="s">
        <v>22</v>
      </c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4.25" customHeight="1">
      <c r="A1321" s="10">
        <v>12451</v>
      </c>
      <c r="B1321" s="10" t="str">
        <f>IFERROR(VLOOKUP(A1321,Colaboradores!A:D,2,),"")</f>
        <v>JORGE CARLOS ARAUJO DE ARAUJO</v>
      </c>
      <c r="C1321" s="10" t="str">
        <f>IFERROR(VLOOKUP(A1321,Colaboradores!A:D,3,),"")</f>
        <v>DIRETORIA</v>
      </c>
      <c r="D1321" s="10" t="str">
        <f>IFERROR(VLOOKUP(A1321,Colaboradores!A:D,4,),"")</f>
        <v>DIRETOR GERAL</v>
      </c>
      <c r="E1321" s="10" t="s">
        <v>46</v>
      </c>
      <c r="F1321" s="11" t="str">
        <f>IFERROR(VLOOKUP(E1321,Procedimentos!A:C,2,),"")</f>
        <v>POLÍTICA DE SAÚDE E SEGURANÇA DO TRABALHO EMSERH</v>
      </c>
      <c r="G1321" s="10" t="s">
        <v>22</v>
      </c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4.25" customHeight="1">
      <c r="A1322" s="10">
        <v>12451</v>
      </c>
      <c r="B1322" s="10" t="str">
        <f>IFERROR(VLOOKUP(A1322,Colaboradores!A:D,2,),"")</f>
        <v>JORGE CARLOS ARAUJO DE ARAUJO</v>
      </c>
      <c r="C1322" s="10" t="str">
        <f>IFERROR(VLOOKUP(A1322,Colaboradores!A:D,3,),"")</f>
        <v>DIRETORIA</v>
      </c>
      <c r="D1322" s="10" t="str">
        <f>IFERROR(VLOOKUP(A1322,Colaboradores!A:D,4,),"")</f>
        <v>DIRETOR GERAL</v>
      </c>
      <c r="E1322" s="10" t="s">
        <v>41</v>
      </c>
      <c r="F1322" s="11" t="str">
        <f>IFERROR(VLOOKUP(E1322,Procedimentos!A:C,2,),"")</f>
        <v>DIRETRIZES PARA COMUNICAÇÃO E INVESTIGAÇÃO DE ACIDENTES</v>
      </c>
      <c r="G1322" s="10" t="s">
        <v>22</v>
      </c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4.25" customHeight="1">
      <c r="A1323" s="10">
        <v>12451</v>
      </c>
      <c r="B1323" s="10" t="str">
        <f>IFERROR(VLOOKUP(A1323,Colaboradores!A:D,2,),"")</f>
        <v>JORGE CARLOS ARAUJO DE ARAUJO</v>
      </c>
      <c r="C1323" s="10" t="str">
        <f>IFERROR(VLOOKUP(A1323,Colaboradores!A:D,3,),"")</f>
        <v>DIRETORIA</v>
      </c>
      <c r="D1323" s="10" t="str">
        <f>IFERROR(VLOOKUP(A1323,Colaboradores!A:D,4,),"")</f>
        <v>DIRETOR GERAL</v>
      </c>
      <c r="E1323" s="10" t="s">
        <v>43</v>
      </c>
      <c r="F1323" s="11" t="str">
        <f>IFERROR(VLOOKUP(E1323,Procedimentos!A:C,2,),"")</f>
        <v>DIÁLOGO DE SAÚDE E SEGURANÇA - DSS</v>
      </c>
      <c r="G1323" s="10" t="s">
        <v>22</v>
      </c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4.25" customHeight="1">
      <c r="A1324" s="10">
        <v>12451</v>
      </c>
      <c r="B1324" s="10" t="str">
        <f>IFERROR(VLOOKUP(A1324,Colaboradores!A:D,2,),"")</f>
        <v>JORGE CARLOS ARAUJO DE ARAUJO</v>
      </c>
      <c r="C1324" s="10" t="str">
        <f>IFERROR(VLOOKUP(A1324,Colaboradores!A:D,3,),"")</f>
        <v>DIRETORIA</v>
      </c>
      <c r="D1324" s="10" t="str">
        <f>IFERROR(VLOOKUP(A1324,Colaboradores!A:D,4,),"")</f>
        <v>DIRETOR GERAL</v>
      </c>
      <c r="E1324" s="10" t="s">
        <v>44</v>
      </c>
      <c r="F1324" s="11" t="str">
        <f>IFERROR(VLOOKUP(E1324,Procedimentos!A:C,2,),"")</f>
        <v>DIRETRIZES PARA GESTÃO DE EQUIPAMENTOS DE PROTEÇÃO INDIVIDUAL - EPI'S</v>
      </c>
      <c r="G1324" s="10" t="s">
        <v>22</v>
      </c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4.25" customHeight="1">
      <c r="A1325" s="10">
        <v>12451</v>
      </c>
      <c r="B1325" s="10" t="str">
        <f>IFERROR(VLOOKUP(A1325,Colaboradores!A:D,2,),"")</f>
        <v>JORGE CARLOS ARAUJO DE ARAUJO</v>
      </c>
      <c r="C1325" s="10" t="str">
        <f>IFERROR(VLOOKUP(A1325,Colaboradores!A:D,3,),"")</f>
        <v>DIRETORIA</v>
      </c>
      <c r="D1325" s="10" t="str">
        <f>IFERROR(VLOOKUP(A1325,Colaboradores!A:D,4,),"")</f>
        <v>DIRETOR GERAL</v>
      </c>
      <c r="E1325" s="10" t="s">
        <v>45</v>
      </c>
      <c r="F1325" s="11" t="str">
        <f>IFERROR(VLOOKUP(E1325,Procedimentos!A:C,2,),"")</f>
        <v>CONSTITUIÇÃO INTERNA DE PREVENÇÃO DE ACIDENTES E DE ASSÉDIOS - CIPA</v>
      </c>
      <c r="G1325" s="10" t="s">
        <v>22</v>
      </c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4.25" customHeight="1">
      <c r="A1326" s="10">
        <v>12451</v>
      </c>
      <c r="B1326" s="10" t="str">
        <f>IFERROR(VLOOKUP(A1326,Colaboradores!A:D,2,),"")</f>
        <v>JORGE CARLOS ARAUJO DE ARAUJO</v>
      </c>
      <c r="C1326" s="10" t="str">
        <f>IFERROR(VLOOKUP(A1326,Colaboradores!A:D,3,),"")</f>
        <v>DIRETORIA</v>
      </c>
      <c r="D1326" s="10" t="str">
        <f>IFERROR(VLOOKUP(A1326,Colaboradores!A:D,4,),"")</f>
        <v>DIRETOR GERAL</v>
      </c>
      <c r="E1326" s="10" t="s">
        <v>59</v>
      </c>
      <c r="F1326" s="11" t="str">
        <f>IFERROR(VLOOKUP(E1326,Procedimentos!A:C,2,),"")</f>
        <v>GERENCIAMENTO DE RISCOS DE SAÚDE, SEGURANÇA E PROCESSOS</v>
      </c>
      <c r="G1326" s="10" t="s">
        <v>28</v>
      </c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4.25" customHeight="1">
      <c r="A1327" s="10">
        <v>12451</v>
      </c>
      <c r="B1327" s="10" t="str">
        <f>IFERROR(VLOOKUP(A1327,Colaboradores!A:D,2,),"")</f>
        <v>JORGE CARLOS ARAUJO DE ARAUJO</v>
      </c>
      <c r="C1327" s="10" t="str">
        <f>IFERROR(VLOOKUP(A1327,Colaboradores!A:D,3,),"")</f>
        <v>DIRETORIA</v>
      </c>
      <c r="D1327" s="10" t="str">
        <f>IFERROR(VLOOKUP(A1327,Colaboradores!A:D,4,),"")</f>
        <v>DIRETOR GERAL</v>
      </c>
      <c r="E1327" s="10" t="s">
        <v>61</v>
      </c>
      <c r="F1327" s="11" t="str">
        <f>IFERROR(VLOOKUP(E1327,Procedimentos!A:C,2,),"")</f>
        <v>PROCEDIMENTO DE INSPEÇÃO DE SEGURANÇA</v>
      </c>
      <c r="G1327" s="10" t="s">
        <v>28</v>
      </c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4.25" customHeight="1">
      <c r="A1328" s="10">
        <v>12451</v>
      </c>
      <c r="B1328" s="10" t="str">
        <f>IFERROR(VLOOKUP(A1328,Colaboradores!A:D,2,),"")</f>
        <v>JORGE CARLOS ARAUJO DE ARAUJO</v>
      </c>
      <c r="C1328" s="10" t="str">
        <f>IFERROR(VLOOKUP(A1328,Colaboradores!A:D,3,),"")</f>
        <v>DIRETORIA</v>
      </c>
      <c r="D1328" s="10" t="str">
        <f>IFERROR(VLOOKUP(A1328,Colaboradores!A:D,4,),"")</f>
        <v>DIRETOR GERAL</v>
      </c>
      <c r="E1328" s="10" t="s">
        <v>62</v>
      </c>
      <c r="F1328" s="11" t="str">
        <f>IFERROR(VLOOKUP(E1328,Procedimentos!A:C,2,),"")</f>
        <v>DIRETRIZES PARA ENVIO E RECEBIMENTO DE DOSÍMETRO</v>
      </c>
      <c r="G1328" s="10" t="s">
        <v>28</v>
      </c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4.25" customHeight="1">
      <c r="A1329" s="10">
        <v>12671</v>
      </c>
      <c r="B1329" s="10" t="str">
        <f>IFERROR(VLOOKUP(A1329,Colaboradores!A:D,2,),"")</f>
        <v>LEONARDO ESPINDOLA FONSECA ROCHA</v>
      </c>
      <c r="C1329" s="10" t="str">
        <f>IFERROR(VLOOKUP(A1329,Colaboradores!A:D,3,),"")</f>
        <v>DIRETORIA</v>
      </c>
      <c r="D1329" s="10" t="str">
        <f>IFERROR(VLOOKUP(A1329,Colaboradores!A:D,4,),"")</f>
        <v>GERENTE GERAL</v>
      </c>
      <c r="E1329" s="10" t="s">
        <v>66</v>
      </c>
      <c r="F1329" s="11" t="str">
        <f>IFERROR(VLOOKUP(E1329,Procedimentos!A:C,2,),"")</f>
        <v>PROCEDIMENTO DE GERENCIAMENTO DE RISCOS</v>
      </c>
      <c r="G1329" s="10" t="s">
        <v>22</v>
      </c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4.25" customHeight="1">
      <c r="A1330" s="10">
        <v>12671</v>
      </c>
      <c r="B1330" s="10" t="str">
        <f>IFERROR(VLOOKUP(A1330,Colaboradores!A:D,2,),"")</f>
        <v>LEONARDO ESPINDOLA FONSECA ROCHA</v>
      </c>
      <c r="C1330" s="10" t="str">
        <f>IFERROR(VLOOKUP(A1330,Colaboradores!A:D,3,),"")</f>
        <v>DIRETORIA</v>
      </c>
      <c r="D1330" s="10" t="str">
        <f>IFERROR(VLOOKUP(A1330,Colaboradores!A:D,4,),"")</f>
        <v>GERENTE GERAL</v>
      </c>
      <c r="E1330" s="10" t="s">
        <v>241</v>
      </c>
      <c r="F1330" s="11" t="str">
        <f>IFERROR(VLOOKUP(E1330,Procedimentos!A:C,2,),"")</f>
        <v>PROCEDIMENTO PARA TRÂMITE DOS MEMORANDOS DA OUVIDORIA - Jurídico</v>
      </c>
      <c r="G1330" s="10" t="s">
        <v>28</v>
      </c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4.25" customHeight="1">
      <c r="A1331" s="10">
        <v>12671</v>
      </c>
      <c r="B1331" s="10" t="str">
        <f>IFERROR(VLOOKUP(A1331,Colaboradores!A:D,2,),"")</f>
        <v>LEONARDO ESPINDOLA FONSECA ROCHA</v>
      </c>
      <c r="C1331" s="10" t="str">
        <f>IFERROR(VLOOKUP(A1331,Colaboradores!A:D,3,),"")</f>
        <v>DIRETORIA</v>
      </c>
      <c r="D1331" s="10" t="str">
        <f>IFERROR(VLOOKUP(A1331,Colaboradores!A:D,4,),"")</f>
        <v>GERENTE GERAL</v>
      </c>
      <c r="E1331" s="10" t="s">
        <v>243</v>
      </c>
      <c r="F1331" s="11" t="str">
        <f>IFERROR(VLOOKUP(E1331,Procedimentos!A:C,2,),"")</f>
        <v>PROCEDIMENTO PARA ANÁLISE DE PROCESSOS ADMINISTRATIVOS - Jurídico</v>
      </c>
      <c r="G1331" s="10" t="s">
        <v>28</v>
      </c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4.25" customHeight="1">
      <c r="A1332" s="10">
        <v>12671</v>
      </c>
      <c r="B1332" s="10" t="str">
        <f>IFERROR(VLOOKUP(A1332,Colaboradores!A:D,2,),"")</f>
        <v>LEONARDO ESPINDOLA FONSECA ROCHA</v>
      </c>
      <c r="C1332" s="10" t="str">
        <f>IFERROR(VLOOKUP(A1332,Colaboradores!A:D,3,),"")</f>
        <v>DIRETORIA</v>
      </c>
      <c r="D1332" s="10" t="str">
        <f>IFERROR(VLOOKUP(A1332,Colaboradores!A:D,4,),"")</f>
        <v>GERENTE GERAL</v>
      </c>
      <c r="E1332" s="10" t="s">
        <v>58</v>
      </c>
      <c r="F1332" s="11" t="str">
        <f>IFERROR(VLOOKUP(E1332,Procedimentos!A:C,2,),"")</f>
        <v>POLÍTICA DE QUALIDADE DA DIRETORIA</v>
      </c>
      <c r="G1332" s="10" t="s">
        <v>22</v>
      </c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4.25" customHeight="1">
      <c r="A1333" s="10">
        <v>12671</v>
      </c>
      <c r="B1333" s="10" t="str">
        <f>IFERROR(VLOOKUP(A1333,Colaboradores!A:D,2,),"")</f>
        <v>LEONARDO ESPINDOLA FONSECA ROCHA</v>
      </c>
      <c r="C1333" s="10" t="str">
        <f>IFERROR(VLOOKUP(A1333,Colaboradores!A:D,3,),"")</f>
        <v>DIRETORIA</v>
      </c>
      <c r="D1333" s="10" t="str">
        <f>IFERROR(VLOOKUP(A1333,Colaboradores!A:D,4,),"")</f>
        <v>GERENTE GERAL</v>
      </c>
      <c r="E1333" s="10" t="s">
        <v>19</v>
      </c>
      <c r="F1333" s="11" t="str">
        <f>IFERROR(VLOOKUP(E1333,Procedimentos!A:C,2,),"")</f>
        <v>DIRETRIZES PARA DOCUMENTOS NORMATIVOS</v>
      </c>
      <c r="G1333" s="10" t="s">
        <v>22</v>
      </c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4.25" customHeight="1">
      <c r="A1334" s="10">
        <v>12671</v>
      </c>
      <c r="B1334" s="10" t="str">
        <f>IFERROR(VLOOKUP(A1334,Colaboradores!A:D,2,),"")</f>
        <v>LEONARDO ESPINDOLA FONSECA ROCHA</v>
      </c>
      <c r="C1334" s="10" t="str">
        <f>IFERROR(VLOOKUP(A1334,Colaboradores!A:D,3,),"")</f>
        <v>DIRETORIA</v>
      </c>
      <c r="D1334" s="10" t="str">
        <f>IFERROR(VLOOKUP(A1334,Colaboradores!A:D,4,),"")</f>
        <v>GERENTE GERAL</v>
      </c>
      <c r="E1334" s="10" t="s">
        <v>24</v>
      </c>
      <c r="F1334" s="11" t="str">
        <f>IFERROR(VLOOKUP(E1334,Procedimentos!A:C,2,),"")</f>
        <v>DIRETRIZES  PARA PROGRAMA 5S</v>
      </c>
      <c r="G1334" s="10" t="s">
        <v>22</v>
      </c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4.25" customHeight="1">
      <c r="A1335" s="10">
        <v>12671</v>
      </c>
      <c r="B1335" s="10" t="str">
        <f>IFERROR(VLOOKUP(A1335,Colaboradores!A:D,2,),"")</f>
        <v>LEONARDO ESPINDOLA FONSECA ROCHA</v>
      </c>
      <c r="C1335" s="10" t="str">
        <f>IFERROR(VLOOKUP(A1335,Colaboradores!A:D,3,),"")</f>
        <v>DIRETORIA</v>
      </c>
      <c r="D1335" s="10" t="str">
        <f>IFERROR(VLOOKUP(A1335,Colaboradores!A:D,4,),"")</f>
        <v>GERENTE GERAL</v>
      </c>
      <c r="E1335" s="10" t="s">
        <v>67</v>
      </c>
      <c r="F1335" s="11" t="str">
        <f>IFERROR(VLOOKUP(E1335,Procedimentos!A:C,2,),"")</f>
        <v>SISTEMATICA DE ROTINA DE REUNIÕES DA DESSMA</v>
      </c>
      <c r="G1335" s="10" t="s">
        <v>22</v>
      </c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4.25" customHeight="1">
      <c r="A1336" s="10">
        <v>12671</v>
      </c>
      <c r="B1336" s="10" t="str">
        <f>IFERROR(VLOOKUP(A1336,Colaboradores!A:D,2,),"")</f>
        <v>LEONARDO ESPINDOLA FONSECA ROCHA</v>
      </c>
      <c r="C1336" s="10" t="str">
        <f>IFERROR(VLOOKUP(A1336,Colaboradores!A:D,3,),"")</f>
        <v>DIRETORIA</v>
      </c>
      <c r="D1336" s="10" t="str">
        <f>IFERROR(VLOOKUP(A1336,Colaboradores!A:D,4,),"")</f>
        <v>GERENTE GERAL</v>
      </c>
      <c r="E1336" s="10" t="s">
        <v>25</v>
      </c>
      <c r="F1336" s="11" t="str">
        <f>IFERROR(VLOOKUP(E1336,Procedimentos!A:C,2,),"")</f>
        <v>GARANTIA DA QUALIDADE</v>
      </c>
      <c r="G1336" s="10" t="s">
        <v>22</v>
      </c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4.25" customHeight="1">
      <c r="A1337" s="10">
        <v>12671</v>
      </c>
      <c r="B1337" s="10" t="str">
        <f>IFERROR(VLOOKUP(A1337,Colaboradores!A:D,2,),"")</f>
        <v>LEONARDO ESPINDOLA FONSECA ROCHA</v>
      </c>
      <c r="C1337" s="10" t="str">
        <f>IFERROR(VLOOKUP(A1337,Colaboradores!A:D,3,),"")</f>
        <v>DIRETORIA</v>
      </c>
      <c r="D1337" s="10" t="str">
        <f>IFERROR(VLOOKUP(A1337,Colaboradores!A:D,4,),"")</f>
        <v>GERENTE GERAL</v>
      </c>
      <c r="E1337" s="10" t="s">
        <v>68</v>
      </c>
      <c r="F1337" s="11" t="str">
        <f>IFERROR(VLOOKUP(E1337,Procedimentos!A:C,2,),"")</f>
        <v>GESTÃO INDICADORES</v>
      </c>
      <c r="G1337" s="10" t="s">
        <v>22</v>
      </c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4.25" customHeight="1">
      <c r="A1338" s="10">
        <v>12671</v>
      </c>
      <c r="B1338" s="10" t="str">
        <f>IFERROR(VLOOKUP(A1338,Colaboradores!A:D,2,),"")</f>
        <v>LEONARDO ESPINDOLA FONSECA ROCHA</v>
      </c>
      <c r="C1338" s="10" t="str">
        <f>IFERROR(VLOOKUP(A1338,Colaboradores!A:D,3,),"")</f>
        <v>DIRETORIA</v>
      </c>
      <c r="D1338" s="10" t="str">
        <f>IFERROR(VLOOKUP(A1338,Colaboradores!A:D,4,),"")</f>
        <v>GERENTE GERAL</v>
      </c>
      <c r="E1338" s="10" t="s">
        <v>26</v>
      </c>
      <c r="F1338" s="11" t="str">
        <f>IFERROR(VLOOKUP(E1338,Procedimentos!A:C,2,),"")</f>
        <v>RESPONSABILIDADES E AUTORIDADES DO SGQ</v>
      </c>
      <c r="G1338" s="10" t="s">
        <v>22</v>
      </c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4.25" customHeight="1">
      <c r="A1339" s="10">
        <v>12671</v>
      </c>
      <c r="B1339" s="10" t="str">
        <f>IFERROR(VLOOKUP(A1339,Colaboradores!A:D,2,),"")</f>
        <v>LEONARDO ESPINDOLA FONSECA ROCHA</v>
      </c>
      <c r="C1339" s="10" t="str">
        <f>IFERROR(VLOOKUP(A1339,Colaboradores!A:D,3,),"")</f>
        <v>DIRETORIA</v>
      </c>
      <c r="D1339" s="10" t="str">
        <f>IFERROR(VLOOKUP(A1339,Colaboradores!A:D,4,),"")</f>
        <v>GERENTE GERAL</v>
      </c>
      <c r="E1339" s="10" t="s">
        <v>69</v>
      </c>
      <c r="F1339" s="11" t="str">
        <f>IFERROR(VLOOKUP(E1339,Procedimentos!A:C,2,),"")</f>
        <v>PROCEDIMENTO GESTÃO DE MUDANÇA SGQ</v>
      </c>
      <c r="G1339" s="10" t="s">
        <v>22</v>
      </c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4.25" customHeight="1">
      <c r="A1340" s="10">
        <v>12671</v>
      </c>
      <c r="B1340" s="10" t="str">
        <f>IFERROR(VLOOKUP(A1340,Colaboradores!A:D,2,),"")</f>
        <v>LEONARDO ESPINDOLA FONSECA ROCHA</v>
      </c>
      <c r="C1340" s="10" t="str">
        <f>IFERROR(VLOOKUP(A1340,Colaboradores!A:D,3,),"")</f>
        <v>DIRETORIA</v>
      </c>
      <c r="D1340" s="10" t="str">
        <f>IFERROR(VLOOKUP(A1340,Colaboradores!A:D,4,),"")</f>
        <v>GERENTE GERAL</v>
      </c>
      <c r="E1340" s="10" t="s">
        <v>64</v>
      </c>
      <c r="F1340" s="11" t="str">
        <f>IFERROR(VLOOKUP(E1340,Procedimentos!A:C,2,),"")</f>
        <v>AVALIAÇÃO DESEMPENHO</v>
      </c>
      <c r="G1340" s="10" t="s">
        <v>22</v>
      </c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4.25" customHeight="1">
      <c r="A1341" s="4">
        <v>12671</v>
      </c>
      <c r="B1341" s="4" t="str">
        <f>IFERROR(VLOOKUP(A1341,Colaboradores!A:D,2,),"")</f>
        <v>LEONARDO ESPINDOLA FONSECA ROCHA</v>
      </c>
      <c r="C1341" s="4" t="str">
        <f>IFERROR(VLOOKUP(A1341,Colaboradores!A:D,3,),"")</f>
        <v>DIRETORIA</v>
      </c>
      <c r="D1341" s="4" t="str">
        <f>IFERROR(VLOOKUP(A1341,Colaboradores!A:D,4,),"")</f>
        <v>GERENTE GERAL</v>
      </c>
      <c r="E1341" s="4" t="s">
        <v>73</v>
      </c>
      <c r="F1341" s="5" t="str">
        <f>IFERROR(VLOOKUP(E1341,Procedimentos!A:C,2,),"")</f>
        <v>AQUISIÇÃO DE BENS E SERVIÇOS E AVALIAÇÃO PROVEDORES EXTERNOS</v>
      </c>
      <c r="G1341" s="4" t="s">
        <v>22</v>
      </c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 spans="1:26" ht="14.25" customHeight="1">
      <c r="A1342" s="10">
        <v>12671</v>
      </c>
      <c r="B1342" s="10" t="str">
        <f>IFERROR(VLOOKUP(A1342,Colaboradores!A:D,2,),"")</f>
        <v>LEONARDO ESPINDOLA FONSECA ROCHA</v>
      </c>
      <c r="C1342" s="10" t="str">
        <f>IFERROR(VLOOKUP(A1342,Colaboradores!A:D,3,),"")</f>
        <v>DIRETORIA</v>
      </c>
      <c r="D1342" s="10" t="str">
        <f>IFERROR(VLOOKUP(A1342,Colaboradores!A:D,4,),"")</f>
        <v>GERENTE GERAL</v>
      </c>
      <c r="E1342" s="10" t="s">
        <v>79</v>
      </c>
      <c r="F1342" s="11" t="str">
        <f>IFERROR(VLOOKUP(E1342,Procedimentos!A:C,2,),"")</f>
        <v>ABERTURA DE PROCESSO DE PAGAMENTO</v>
      </c>
      <c r="G1342" s="10" t="s">
        <v>22</v>
      </c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4.25" customHeight="1">
      <c r="A1343" s="10">
        <v>12671</v>
      </c>
      <c r="B1343" s="10" t="str">
        <f>IFERROR(VLOOKUP(A1343,Colaboradores!A:D,2,),"")</f>
        <v>LEONARDO ESPINDOLA FONSECA ROCHA</v>
      </c>
      <c r="C1343" s="10" t="str">
        <f>IFERROR(VLOOKUP(A1343,Colaboradores!A:D,3,),"")</f>
        <v>DIRETORIA</v>
      </c>
      <c r="D1343" s="10" t="str">
        <f>IFERROR(VLOOKUP(A1343,Colaboradores!A:D,4,),"")</f>
        <v>GERENTE GERAL</v>
      </c>
      <c r="E1343" s="10" t="s">
        <v>48</v>
      </c>
      <c r="F1343" s="11" t="str">
        <f>IFERROR(VLOOKUP(E1343,Procedimentos!A:C,2,),"")</f>
        <v>POLÍTICA MEIO AMBIENTE EMSERH</v>
      </c>
      <c r="G1343" s="10" t="s">
        <v>22</v>
      </c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4.25" customHeight="1">
      <c r="A1344" s="10">
        <v>12671</v>
      </c>
      <c r="B1344" s="10" t="str">
        <f>IFERROR(VLOOKUP(A1344,Colaboradores!A:D,2,),"")</f>
        <v>LEONARDO ESPINDOLA FONSECA ROCHA</v>
      </c>
      <c r="C1344" s="10" t="str">
        <f>IFERROR(VLOOKUP(A1344,Colaboradores!A:D,3,),"")</f>
        <v>DIRETORIA</v>
      </c>
      <c r="D1344" s="10" t="str">
        <f>IFERROR(VLOOKUP(A1344,Colaboradores!A:D,4,),"")</f>
        <v>GERENTE GERAL</v>
      </c>
      <c r="E1344" s="10" t="s">
        <v>29</v>
      </c>
      <c r="F1344" s="11" t="str">
        <f>IFERROR(VLOOKUP(E1344,Procedimentos!A:C,2,),"")</f>
        <v>COLETA SELETIVA DESSMA</v>
      </c>
      <c r="G1344" s="10" t="s">
        <v>22</v>
      </c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4.25" customHeight="1">
      <c r="A1345" s="10">
        <v>12671</v>
      </c>
      <c r="B1345" s="10" t="str">
        <f>IFERROR(VLOOKUP(A1345,Colaboradores!A:D,2,),"")</f>
        <v>LEONARDO ESPINDOLA FONSECA ROCHA</v>
      </c>
      <c r="C1345" s="10" t="str">
        <f>IFERROR(VLOOKUP(A1345,Colaboradores!A:D,3,),"")</f>
        <v>DIRETORIA</v>
      </c>
      <c r="D1345" s="10" t="str">
        <f>IFERROR(VLOOKUP(A1345,Colaboradores!A:D,4,),"")</f>
        <v>GERENTE GERAL</v>
      </c>
      <c r="E1345" s="10" t="s">
        <v>36</v>
      </c>
      <c r="F1345" s="11" t="str">
        <f>IFERROR(VLOOKUP(E1345,Procedimentos!A:C,2,),"")</f>
        <v>GESTÃO DE PRODUTOS QUÍMICOS</v>
      </c>
      <c r="G1345" s="10" t="s">
        <v>22</v>
      </c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4.25" customHeight="1">
      <c r="A1346" s="10">
        <v>12671</v>
      </c>
      <c r="B1346" s="10" t="str">
        <f>IFERROR(VLOOKUP(A1346,Colaboradores!A:D,2,),"")</f>
        <v>LEONARDO ESPINDOLA FONSECA ROCHA</v>
      </c>
      <c r="C1346" s="10" t="str">
        <f>IFERROR(VLOOKUP(A1346,Colaboradores!A:D,3,),"")</f>
        <v>DIRETORIA</v>
      </c>
      <c r="D1346" s="10" t="str">
        <f>IFERROR(VLOOKUP(A1346,Colaboradores!A:D,4,),"")</f>
        <v>GERENTE GERAL</v>
      </c>
      <c r="E1346" s="10" t="s">
        <v>32</v>
      </c>
      <c r="F1346" s="11" t="str">
        <f>IFERROR(VLOOKUP(E1346,Procedimentos!A:C,2,),"")</f>
        <v>GESTÃO DE LEVANTAMENTO DE ASPECTOS E IMPACTOS AMBIENTAIS</v>
      </c>
      <c r="G1346" s="10" t="s">
        <v>22</v>
      </c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4.25" customHeight="1">
      <c r="A1347" s="10">
        <v>12671</v>
      </c>
      <c r="B1347" s="10" t="str">
        <f>IFERROR(VLOOKUP(A1347,Colaboradores!A:D,2,),"")</f>
        <v>LEONARDO ESPINDOLA FONSECA ROCHA</v>
      </c>
      <c r="C1347" s="10" t="str">
        <f>IFERROR(VLOOKUP(A1347,Colaboradores!A:D,3,),"")</f>
        <v>DIRETORIA</v>
      </c>
      <c r="D1347" s="10" t="str">
        <f>IFERROR(VLOOKUP(A1347,Colaboradores!A:D,4,),"")</f>
        <v>GERENTE GERAL</v>
      </c>
      <c r="E1347" s="10" t="s">
        <v>31</v>
      </c>
      <c r="F1347" s="11" t="str">
        <f>IFERROR(VLOOKUP(E1347,Procedimentos!A:C,2,),"")</f>
        <v>GESTÃO DE COMUNICAÇÃO, CLASSIFICAÇÃO E INVESTIGAÇÃO DE OCORRÊNCIAS AMBIENTAIS</v>
      </c>
      <c r="G1347" s="10" t="s">
        <v>22</v>
      </c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4.25" customHeight="1">
      <c r="A1348" s="10">
        <v>12671</v>
      </c>
      <c r="B1348" s="10" t="str">
        <f>IFERROR(VLOOKUP(A1348,Colaboradores!A:D,2,),"")</f>
        <v>LEONARDO ESPINDOLA FONSECA ROCHA</v>
      </c>
      <c r="C1348" s="10" t="str">
        <f>IFERROR(VLOOKUP(A1348,Colaboradores!A:D,3,),"")</f>
        <v>DIRETORIA</v>
      </c>
      <c r="D1348" s="10" t="str">
        <f>IFERROR(VLOOKUP(A1348,Colaboradores!A:D,4,),"")</f>
        <v>GERENTE GERAL</v>
      </c>
      <c r="E1348" s="10" t="s">
        <v>33</v>
      </c>
      <c r="F1348" s="11" t="str">
        <f>IFERROR(VLOOKUP(E1348,Procedimentos!A:C,2,),"")</f>
        <v>GESTÃO DE INSPEÇÕES AMBIENTAIS</v>
      </c>
      <c r="G1348" s="10" t="s">
        <v>22</v>
      </c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4.25" customHeight="1">
      <c r="A1349" s="10">
        <v>12671</v>
      </c>
      <c r="B1349" s="10" t="str">
        <f>IFERROR(VLOOKUP(A1349,Colaboradores!A:D,2,),"")</f>
        <v>LEONARDO ESPINDOLA FONSECA ROCHA</v>
      </c>
      <c r="C1349" s="10" t="str">
        <f>IFERROR(VLOOKUP(A1349,Colaboradores!A:D,3,),"")</f>
        <v>DIRETORIA</v>
      </c>
      <c r="D1349" s="10" t="str">
        <f>IFERROR(VLOOKUP(A1349,Colaboradores!A:D,4,),"")</f>
        <v>GERENTE GERAL</v>
      </c>
      <c r="E1349" s="10" t="s">
        <v>39</v>
      </c>
      <c r="F1349" s="11" t="str">
        <f>IFERROR(VLOOKUP(E1349,Procedimentos!A:C,2,),"")</f>
        <v>GESTÃO DE ÁGUAS E EFLUENTES</v>
      </c>
      <c r="G1349" s="10" t="s">
        <v>28</v>
      </c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4.25" customHeight="1">
      <c r="A1350" s="10">
        <v>12671</v>
      </c>
      <c r="B1350" s="10" t="str">
        <f>IFERROR(VLOOKUP(A1350,Colaboradores!A:D,2,),"")</f>
        <v>LEONARDO ESPINDOLA FONSECA ROCHA</v>
      </c>
      <c r="C1350" s="10" t="str">
        <f>IFERROR(VLOOKUP(A1350,Colaboradores!A:D,3,),"")</f>
        <v>DIRETORIA</v>
      </c>
      <c r="D1350" s="10" t="str">
        <f>IFERROR(VLOOKUP(A1350,Colaboradores!A:D,4,),"")</f>
        <v>GERENTE GERAL</v>
      </c>
      <c r="E1350" s="10" t="s">
        <v>34</v>
      </c>
      <c r="F1350" s="11" t="str">
        <f>IFERROR(VLOOKUP(E1350,Procedimentos!A:C,2,),"")</f>
        <v>GESTÃO DE LICENCIAMENTO AMBIENTAL</v>
      </c>
      <c r="G1350" s="10" t="s">
        <v>28</v>
      </c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4.25" customHeight="1">
      <c r="A1351" s="10">
        <v>12671</v>
      </c>
      <c r="B1351" s="10" t="str">
        <f>IFERROR(VLOOKUP(A1351,Colaboradores!A:D,2,),"")</f>
        <v>LEONARDO ESPINDOLA FONSECA ROCHA</v>
      </c>
      <c r="C1351" s="10" t="str">
        <f>IFERROR(VLOOKUP(A1351,Colaboradores!A:D,3,),"")</f>
        <v>DIRETORIA</v>
      </c>
      <c r="D1351" s="10" t="str">
        <f>IFERROR(VLOOKUP(A1351,Colaboradores!A:D,4,),"")</f>
        <v>GERENTE GERAL</v>
      </c>
      <c r="E1351" s="10" t="s">
        <v>38</v>
      </c>
      <c r="F1351" s="11" t="str">
        <f>IFERROR(VLOOKUP(E1351,Procedimentos!A:C,2,),"")</f>
        <v>GESTÃO DE CONDICIONANTES DE LICENCIAMENTO AMBIENTAL</v>
      </c>
      <c r="G1351" s="10" t="s">
        <v>28</v>
      </c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4.25" customHeight="1">
      <c r="A1352" s="10">
        <v>12671</v>
      </c>
      <c r="B1352" s="10" t="str">
        <f>IFERROR(VLOOKUP(A1352,Colaboradores!A:D,2,),"")</f>
        <v>LEONARDO ESPINDOLA FONSECA ROCHA</v>
      </c>
      <c r="C1352" s="10" t="str">
        <f>IFERROR(VLOOKUP(A1352,Colaboradores!A:D,3,),"")</f>
        <v>DIRETORIA</v>
      </c>
      <c r="D1352" s="10" t="str">
        <f>IFERROR(VLOOKUP(A1352,Colaboradores!A:D,4,),"")</f>
        <v>GERENTE GERAL</v>
      </c>
      <c r="E1352" s="10" t="s">
        <v>37</v>
      </c>
      <c r="F1352" s="11" t="str">
        <f>IFERROR(VLOOKUP(E1352,Procedimentos!A:C,2,),"")</f>
        <v>GESTÃO DE RESÍDUOS SÓLIDOS DE SERVIÇOS DE SAÚDE</v>
      </c>
      <c r="G1352" s="10" t="s">
        <v>28</v>
      </c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4.25" customHeight="1">
      <c r="A1353" s="10">
        <v>12671</v>
      </c>
      <c r="B1353" s="10" t="str">
        <f>IFERROR(VLOOKUP(A1353,Colaboradores!A:D,2,),"")</f>
        <v>LEONARDO ESPINDOLA FONSECA ROCHA</v>
      </c>
      <c r="C1353" s="10" t="str">
        <f>IFERROR(VLOOKUP(A1353,Colaboradores!A:D,3,),"")</f>
        <v>DIRETORIA</v>
      </c>
      <c r="D1353" s="10" t="str">
        <f>IFERROR(VLOOKUP(A1353,Colaboradores!A:D,4,),"")</f>
        <v>GERENTE GERAL</v>
      </c>
      <c r="E1353" s="10" t="s">
        <v>35</v>
      </c>
      <c r="F1353" s="11" t="str">
        <f>IFERROR(VLOOKUP(E1353,Procedimentos!A:C,2,),"")</f>
        <v>PROCEDIMENTO DE AFERIÇÃO DE FUMAÇA PRETA</v>
      </c>
      <c r="G1353" s="10" t="s">
        <v>28</v>
      </c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4.25" customHeight="1">
      <c r="A1354" s="10">
        <v>12671</v>
      </c>
      <c r="B1354" s="10" t="str">
        <f>IFERROR(VLOOKUP(A1354,Colaboradores!A:D,2,),"")</f>
        <v>LEONARDO ESPINDOLA FONSECA ROCHA</v>
      </c>
      <c r="C1354" s="10" t="str">
        <f>IFERROR(VLOOKUP(A1354,Colaboradores!A:D,3,),"")</f>
        <v>DIRETORIA</v>
      </c>
      <c r="D1354" s="10" t="str">
        <f>IFERROR(VLOOKUP(A1354,Colaboradores!A:D,4,),"")</f>
        <v>GERENTE GERAL</v>
      </c>
      <c r="E1354" s="10" t="s">
        <v>49</v>
      </c>
      <c r="F1354" s="11" t="str">
        <f>IFERROR(VLOOKUP(E1354,Procedimentos!A:C,2,),"")</f>
        <v>DIRETRIZES PARA REALIZAÇÃO DE EXAMES OCUPACIONAIS</v>
      </c>
      <c r="G1354" s="10" t="s">
        <v>22</v>
      </c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4.25" customHeight="1">
      <c r="A1355" s="10">
        <v>12671</v>
      </c>
      <c r="B1355" s="10" t="str">
        <f>IFERROR(VLOOKUP(A1355,Colaboradores!A:D,2,),"")</f>
        <v>LEONARDO ESPINDOLA FONSECA ROCHA</v>
      </c>
      <c r="C1355" s="10" t="str">
        <f>IFERROR(VLOOKUP(A1355,Colaboradores!A:D,3,),"")</f>
        <v>DIRETORIA</v>
      </c>
      <c r="D1355" s="10" t="str">
        <f>IFERROR(VLOOKUP(A1355,Colaboradores!A:D,4,),"")</f>
        <v>GERENTE GERAL</v>
      </c>
      <c r="E1355" s="10" t="s">
        <v>51</v>
      </c>
      <c r="F1355" s="11" t="str">
        <f>IFERROR(VLOOKUP(E1355,Procedimentos!A:C,2,),"")</f>
        <v>DIRETRIZES PARA ENTREGA DE ATESTADOS MÉDICOS E ODONTOLÓGICOS</v>
      </c>
      <c r="G1355" s="10" t="s">
        <v>22</v>
      </c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4.25" customHeight="1">
      <c r="A1356" s="10">
        <v>12671</v>
      </c>
      <c r="B1356" s="10" t="str">
        <f>IFERROR(VLOOKUP(A1356,Colaboradores!A:D,2,),"")</f>
        <v>LEONARDO ESPINDOLA FONSECA ROCHA</v>
      </c>
      <c r="C1356" s="10" t="str">
        <f>IFERROR(VLOOKUP(A1356,Colaboradores!A:D,3,),"")</f>
        <v>DIRETORIA</v>
      </c>
      <c r="D1356" s="10" t="str">
        <f>IFERROR(VLOOKUP(A1356,Colaboradores!A:D,4,),"")</f>
        <v>GERENTE GERAL</v>
      </c>
      <c r="E1356" s="10" t="s">
        <v>52</v>
      </c>
      <c r="F1356" s="11" t="str">
        <f>IFERROR(VLOOKUP(E1356,Procedimentos!A:C,2,),"")</f>
        <v>DIRETRIZES E ACOMPANHAMENTO  DE ACIDENTE COM MATERIAL BIOLOGICO</v>
      </c>
      <c r="G1356" s="10" t="s">
        <v>22</v>
      </c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4.25" customHeight="1">
      <c r="A1357" s="10">
        <v>12671</v>
      </c>
      <c r="B1357" s="10" t="str">
        <f>IFERROR(VLOOKUP(A1357,Colaboradores!A:D,2,),"")</f>
        <v>LEONARDO ESPINDOLA FONSECA ROCHA</v>
      </c>
      <c r="C1357" s="10" t="str">
        <f>IFERROR(VLOOKUP(A1357,Colaboradores!A:D,3,),"")</f>
        <v>DIRETORIA</v>
      </c>
      <c r="D1357" s="10" t="str">
        <f>IFERROR(VLOOKUP(A1357,Colaboradores!A:D,4,),"")</f>
        <v>GERENTE GERAL</v>
      </c>
      <c r="E1357" s="10" t="s">
        <v>53</v>
      </c>
      <c r="F1357" s="11" t="str">
        <f>IFERROR(VLOOKUP(E1357,Procedimentos!A:C,2,),"")</f>
        <v>DIRETRIZES PARA MONITORAMENTO DE GESTANTE</v>
      </c>
      <c r="G1357" s="10" t="s">
        <v>22</v>
      </c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4.25" customHeight="1">
      <c r="A1358" s="10">
        <v>12671</v>
      </c>
      <c r="B1358" s="10" t="str">
        <f>IFERROR(VLOOKUP(A1358,Colaboradores!A:D,2,),"")</f>
        <v>LEONARDO ESPINDOLA FONSECA ROCHA</v>
      </c>
      <c r="C1358" s="10" t="str">
        <f>IFERROR(VLOOKUP(A1358,Colaboradores!A:D,3,),"")</f>
        <v>DIRETORIA</v>
      </c>
      <c r="D1358" s="10" t="str">
        <f>IFERROR(VLOOKUP(A1358,Colaboradores!A:D,4,),"")</f>
        <v>GERENTE GERAL</v>
      </c>
      <c r="E1358" s="10" t="s">
        <v>54</v>
      </c>
      <c r="F1358" s="11" t="str">
        <f>IFERROR(VLOOKUP(E1358,Procedimentos!A:C,2,),"")</f>
        <v>DIRETRIZES DE IMUNIZAÇÃO OCUPACIONAL</v>
      </c>
      <c r="G1358" s="10" t="s">
        <v>22</v>
      </c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4.25" customHeight="1">
      <c r="A1359" s="10">
        <v>12671</v>
      </c>
      <c r="B1359" s="10" t="str">
        <f>IFERROR(VLOOKUP(A1359,Colaboradores!A:D,2,),"")</f>
        <v>LEONARDO ESPINDOLA FONSECA ROCHA</v>
      </c>
      <c r="C1359" s="10" t="str">
        <f>IFERROR(VLOOKUP(A1359,Colaboradores!A:D,3,),"")</f>
        <v>DIRETORIA</v>
      </c>
      <c r="D1359" s="10" t="str">
        <f>IFERROR(VLOOKUP(A1359,Colaboradores!A:D,4,),"")</f>
        <v>GERENTE GERAL</v>
      </c>
      <c r="E1359" s="10" t="s">
        <v>55</v>
      </c>
      <c r="F1359" s="11" t="str">
        <f>IFERROR(VLOOKUP(E1359,Procedimentos!A:C,2,),"")</f>
        <v>DIRETRIZES PARA ACOMPANHAMENTO DE AFASTADOS</v>
      </c>
      <c r="G1359" s="10" t="s">
        <v>22</v>
      </c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4.25" customHeight="1">
      <c r="A1360" s="10">
        <v>12671</v>
      </c>
      <c r="B1360" s="10" t="str">
        <f>IFERROR(VLOOKUP(A1360,Colaboradores!A:D,2,),"")</f>
        <v>LEONARDO ESPINDOLA FONSECA ROCHA</v>
      </c>
      <c r="C1360" s="10" t="str">
        <f>IFERROR(VLOOKUP(A1360,Colaboradores!A:D,3,),"")</f>
        <v>DIRETORIA</v>
      </c>
      <c r="D1360" s="10" t="str">
        <f>IFERROR(VLOOKUP(A1360,Colaboradores!A:D,4,),"")</f>
        <v>GERENTE GERAL</v>
      </c>
      <c r="E1360" s="10" t="s">
        <v>46</v>
      </c>
      <c r="F1360" s="11" t="str">
        <f>IFERROR(VLOOKUP(E1360,Procedimentos!A:C,2,),"")</f>
        <v>POLÍTICA DE SAÚDE E SEGURANÇA DO TRABALHO EMSERH</v>
      </c>
      <c r="G1360" s="10" t="s">
        <v>22</v>
      </c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4.25" customHeight="1">
      <c r="A1361" s="10">
        <v>12671</v>
      </c>
      <c r="B1361" s="10" t="str">
        <f>IFERROR(VLOOKUP(A1361,Colaboradores!A:D,2,),"")</f>
        <v>LEONARDO ESPINDOLA FONSECA ROCHA</v>
      </c>
      <c r="C1361" s="10" t="str">
        <f>IFERROR(VLOOKUP(A1361,Colaboradores!A:D,3,),"")</f>
        <v>DIRETORIA</v>
      </c>
      <c r="D1361" s="10" t="str">
        <f>IFERROR(VLOOKUP(A1361,Colaboradores!A:D,4,),"")</f>
        <v>GERENTE GERAL</v>
      </c>
      <c r="E1361" s="10" t="s">
        <v>41</v>
      </c>
      <c r="F1361" s="11" t="str">
        <f>IFERROR(VLOOKUP(E1361,Procedimentos!A:C,2,),"")</f>
        <v>DIRETRIZES PARA COMUNICAÇÃO E INVESTIGAÇÃO DE ACIDENTES</v>
      </c>
      <c r="G1361" s="10" t="s">
        <v>22</v>
      </c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4.25" customHeight="1">
      <c r="A1362" s="10">
        <v>12671</v>
      </c>
      <c r="B1362" s="10" t="str">
        <f>IFERROR(VLOOKUP(A1362,Colaboradores!A:D,2,),"")</f>
        <v>LEONARDO ESPINDOLA FONSECA ROCHA</v>
      </c>
      <c r="C1362" s="10" t="str">
        <f>IFERROR(VLOOKUP(A1362,Colaboradores!A:D,3,),"")</f>
        <v>DIRETORIA</v>
      </c>
      <c r="D1362" s="10" t="str">
        <f>IFERROR(VLOOKUP(A1362,Colaboradores!A:D,4,),"")</f>
        <v>GERENTE GERAL</v>
      </c>
      <c r="E1362" s="10" t="s">
        <v>43</v>
      </c>
      <c r="F1362" s="11" t="str">
        <f>IFERROR(VLOOKUP(E1362,Procedimentos!A:C,2,),"")</f>
        <v>DIÁLOGO DE SAÚDE E SEGURANÇA - DSS</v>
      </c>
      <c r="G1362" s="10" t="s">
        <v>22</v>
      </c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4.25" customHeight="1">
      <c r="A1363" s="10">
        <v>12671</v>
      </c>
      <c r="B1363" s="10" t="str">
        <f>IFERROR(VLOOKUP(A1363,Colaboradores!A:D,2,),"")</f>
        <v>LEONARDO ESPINDOLA FONSECA ROCHA</v>
      </c>
      <c r="C1363" s="10" t="str">
        <f>IFERROR(VLOOKUP(A1363,Colaboradores!A:D,3,),"")</f>
        <v>DIRETORIA</v>
      </c>
      <c r="D1363" s="10" t="str">
        <f>IFERROR(VLOOKUP(A1363,Colaboradores!A:D,4,),"")</f>
        <v>GERENTE GERAL</v>
      </c>
      <c r="E1363" s="10" t="s">
        <v>44</v>
      </c>
      <c r="F1363" s="11" t="str">
        <f>IFERROR(VLOOKUP(E1363,Procedimentos!A:C,2,),"")</f>
        <v>DIRETRIZES PARA GESTÃO DE EQUIPAMENTOS DE PROTEÇÃO INDIVIDUAL - EPI'S</v>
      </c>
      <c r="G1363" s="10" t="s">
        <v>22</v>
      </c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4.25" customHeight="1">
      <c r="A1364" s="10">
        <v>12671</v>
      </c>
      <c r="B1364" s="10" t="str">
        <f>IFERROR(VLOOKUP(A1364,Colaboradores!A:D,2,),"")</f>
        <v>LEONARDO ESPINDOLA FONSECA ROCHA</v>
      </c>
      <c r="C1364" s="10" t="str">
        <f>IFERROR(VLOOKUP(A1364,Colaboradores!A:D,3,),"")</f>
        <v>DIRETORIA</v>
      </c>
      <c r="D1364" s="10" t="str">
        <f>IFERROR(VLOOKUP(A1364,Colaboradores!A:D,4,),"")</f>
        <v>GERENTE GERAL</v>
      </c>
      <c r="E1364" s="10" t="s">
        <v>45</v>
      </c>
      <c r="F1364" s="11" t="str">
        <f>IFERROR(VLOOKUP(E1364,Procedimentos!A:C,2,),"")</f>
        <v>CONSTITUIÇÃO INTERNA DE PREVENÇÃO DE ACIDENTES E DE ASSÉDIOS - CIPA</v>
      </c>
      <c r="G1364" s="10" t="s">
        <v>22</v>
      </c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4.25" customHeight="1">
      <c r="A1365" s="10">
        <v>12671</v>
      </c>
      <c r="B1365" s="10" t="str">
        <f>IFERROR(VLOOKUP(A1365,Colaboradores!A:D,2,),"")</f>
        <v>LEONARDO ESPINDOLA FONSECA ROCHA</v>
      </c>
      <c r="C1365" s="10" t="str">
        <f>IFERROR(VLOOKUP(A1365,Colaboradores!A:D,3,),"")</f>
        <v>DIRETORIA</v>
      </c>
      <c r="D1365" s="10" t="str">
        <f>IFERROR(VLOOKUP(A1365,Colaboradores!A:D,4,),"")</f>
        <v>GERENTE GERAL</v>
      </c>
      <c r="E1365" s="10" t="s">
        <v>59</v>
      </c>
      <c r="F1365" s="11" t="str">
        <f>IFERROR(VLOOKUP(E1365,Procedimentos!A:C,2,),"")</f>
        <v>GERENCIAMENTO DE RISCOS DE SAÚDE, SEGURANÇA E PROCESSOS</v>
      </c>
      <c r="G1365" s="10" t="s">
        <v>28</v>
      </c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4.25" customHeight="1">
      <c r="A1366" s="10">
        <v>12671</v>
      </c>
      <c r="B1366" s="10" t="str">
        <f>IFERROR(VLOOKUP(A1366,Colaboradores!A:D,2,),"")</f>
        <v>LEONARDO ESPINDOLA FONSECA ROCHA</v>
      </c>
      <c r="C1366" s="10" t="str">
        <f>IFERROR(VLOOKUP(A1366,Colaboradores!A:D,3,),"")</f>
        <v>DIRETORIA</v>
      </c>
      <c r="D1366" s="10" t="str">
        <f>IFERROR(VLOOKUP(A1366,Colaboradores!A:D,4,),"")</f>
        <v>GERENTE GERAL</v>
      </c>
      <c r="E1366" s="10" t="s">
        <v>61</v>
      </c>
      <c r="F1366" s="11" t="str">
        <f>IFERROR(VLOOKUP(E1366,Procedimentos!A:C,2,),"")</f>
        <v>PROCEDIMENTO DE INSPEÇÃO DE SEGURANÇA</v>
      </c>
      <c r="G1366" s="10" t="s">
        <v>28</v>
      </c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4.25" customHeight="1">
      <c r="A1367" s="10">
        <v>12671</v>
      </c>
      <c r="B1367" s="10" t="str">
        <f>IFERROR(VLOOKUP(A1367,Colaboradores!A:D,2,),"")</f>
        <v>LEONARDO ESPINDOLA FONSECA ROCHA</v>
      </c>
      <c r="C1367" s="10" t="str">
        <f>IFERROR(VLOOKUP(A1367,Colaboradores!A:D,3,),"")</f>
        <v>DIRETORIA</v>
      </c>
      <c r="D1367" s="10" t="str">
        <f>IFERROR(VLOOKUP(A1367,Colaboradores!A:D,4,),"")</f>
        <v>GERENTE GERAL</v>
      </c>
      <c r="E1367" s="10" t="s">
        <v>62</v>
      </c>
      <c r="F1367" s="11" t="str">
        <f>IFERROR(VLOOKUP(E1367,Procedimentos!A:C,2,),"")</f>
        <v>DIRETRIZES PARA ENVIO E RECEBIMENTO DE DOSÍMETRO</v>
      </c>
      <c r="G1367" s="10" t="s">
        <v>28</v>
      </c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4.25" customHeight="1">
      <c r="A1368" s="4">
        <v>13810</v>
      </c>
      <c r="B1368" s="4" t="str">
        <f>IFERROR(VLOOKUP(A1368,Colaboradores!A:D,2,),"")</f>
        <v>CAMILA CHAVES SILVA</v>
      </c>
      <c r="C1368" s="4" t="str">
        <f>IFERROR(VLOOKUP(A1368,Colaboradores!A:D,3,),"")</f>
        <v>DIRETORIA</v>
      </c>
      <c r="D1368" s="4" t="str">
        <f>IFERROR(VLOOKUP(A1368,Colaboradores!A:D,4,),"")</f>
        <v>ASSESSOR JURÍDICO</v>
      </c>
      <c r="E1368" s="4" t="s">
        <v>241</v>
      </c>
      <c r="F1368" s="5" t="str">
        <f>IFERROR(VLOOKUP(E1368,Procedimentos!A:C,2,),"")</f>
        <v>PROCEDIMENTO PARA TRÂMITE DOS MEMORANDOS DA OUVIDORIA - Jurídico</v>
      </c>
      <c r="G1368" s="4" t="s">
        <v>28</v>
      </c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 spans="1:26" ht="14.25" customHeight="1">
      <c r="A1369" s="4">
        <v>13810</v>
      </c>
      <c r="B1369" s="4" t="str">
        <f>IFERROR(VLOOKUP(A1369,Colaboradores!A:D,2,),"")</f>
        <v>CAMILA CHAVES SILVA</v>
      </c>
      <c r="C1369" s="4" t="str">
        <f>IFERROR(VLOOKUP(A1369,Colaboradores!A:D,3,),"")</f>
        <v>DIRETORIA</v>
      </c>
      <c r="D1369" s="4" t="str">
        <f>IFERROR(VLOOKUP(A1369,Colaboradores!A:D,4,),"")</f>
        <v>ASSESSOR JURÍDICO</v>
      </c>
      <c r="E1369" s="4" t="s">
        <v>243</v>
      </c>
      <c r="F1369" s="5" t="str">
        <f>IFERROR(VLOOKUP(E1369,Procedimentos!A:C,2,),"")</f>
        <v>PROCEDIMENTO PARA ANÁLISE DE PROCESSOS ADMINISTRATIVOS - Jurídico</v>
      </c>
      <c r="G1369" s="4" t="s">
        <v>28</v>
      </c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 spans="1:26" ht="14.25" customHeight="1">
      <c r="A1370" s="4">
        <v>13810</v>
      </c>
      <c r="B1370" s="4" t="str">
        <f>IFERROR(VLOOKUP(A1370,Colaboradores!A:D,2,),"")</f>
        <v>CAMILA CHAVES SILVA</v>
      </c>
      <c r="C1370" s="4" t="str">
        <f>IFERROR(VLOOKUP(A1370,Colaboradores!A:D,3,),"")</f>
        <v>DIRETORIA</v>
      </c>
      <c r="D1370" s="4" t="str">
        <f>IFERROR(VLOOKUP(A1370,Colaboradores!A:D,4,),"")</f>
        <v>ASSESSOR JURÍDICO</v>
      </c>
      <c r="E1370" s="4" t="s">
        <v>58</v>
      </c>
      <c r="F1370" s="5" t="str">
        <f>IFERROR(VLOOKUP(E1370,Procedimentos!A:C,2,),"")</f>
        <v>POLÍTICA DE QUALIDADE DA DIRETORIA</v>
      </c>
      <c r="G1370" s="4" t="s">
        <v>22</v>
      </c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 spans="1:26" ht="14.25" customHeight="1">
      <c r="A1371" s="4">
        <v>13810</v>
      </c>
      <c r="B1371" s="4" t="str">
        <f>IFERROR(VLOOKUP(A1371,Colaboradores!A:D,2,),"")</f>
        <v>CAMILA CHAVES SILVA</v>
      </c>
      <c r="C1371" s="4" t="str">
        <f>IFERROR(VLOOKUP(A1371,Colaboradores!A:D,3,),"")</f>
        <v>DIRETORIA</v>
      </c>
      <c r="D1371" s="4" t="str">
        <f>IFERROR(VLOOKUP(A1371,Colaboradores!A:D,4,),"")</f>
        <v>ASSESSOR JURÍDICO</v>
      </c>
      <c r="E1371" s="4" t="s">
        <v>19</v>
      </c>
      <c r="F1371" s="5" t="str">
        <f>IFERROR(VLOOKUP(E1371,Procedimentos!A:C,2,),"")</f>
        <v>DIRETRIZES PARA DOCUMENTOS NORMATIVOS</v>
      </c>
      <c r="G1371" s="4" t="s">
        <v>22</v>
      </c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 spans="1:26" ht="14.25" customHeight="1">
      <c r="A1372" s="4">
        <v>13810</v>
      </c>
      <c r="B1372" s="4" t="str">
        <f>IFERROR(VLOOKUP(A1372,Colaboradores!A:D,2,),"")</f>
        <v>CAMILA CHAVES SILVA</v>
      </c>
      <c r="C1372" s="4" t="str">
        <f>IFERROR(VLOOKUP(A1372,Colaboradores!A:D,3,),"")</f>
        <v>DIRETORIA</v>
      </c>
      <c r="D1372" s="4" t="str">
        <f>IFERROR(VLOOKUP(A1372,Colaboradores!A:D,4,),"")</f>
        <v>ASSESSOR JURÍDICO</v>
      </c>
      <c r="E1372" s="4" t="s">
        <v>24</v>
      </c>
      <c r="F1372" s="5" t="str">
        <f>IFERROR(VLOOKUP(E1372,Procedimentos!A:C,2,),"")</f>
        <v>DIRETRIZES  PARA PROGRAMA 5S</v>
      </c>
      <c r="G1372" s="4" t="s">
        <v>22</v>
      </c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 spans="1:26" ht="14.25" customHeight="1">
      <c r="A1373" s="4">
        <v>13810</v>
      </c>
      <c r="B1373" s="4" t="str">
        <f>IFERROR(VLOOKUP(A1373,Colaboradores!A:D,2,),"")</f>
        <v>CAMILA CHAVES SILVA</v>
      </c>
      <c r="C1373" s="4" t="str">
        <f>IFERROR(VLOOKUP(A1373,Colaboradores!A:D,3,),"")</f>
        <v>DIRETORIA</v>
      </c>
      <c r="D1373" s="4" t="str">
        <f>IFERROR(VLOOKUP(A1373,Colaboradores!A:D,4,),"")</f>
        <v>ASSESSOR JURÍDICO</v>
      </c>
      <c r="E1373" s="4" t="s">
        <v>25</v>
      </c>
      <c r="F1373" s="5" t="str">
        <f>IFERROR(VLOOKUP(E1373,Procedimentos!A:C,2,),"")</f>
        <v>GARANTIA DA QUALIDADE</v>
      </c>
      <c r="G1373" s="4" t="s">
        <v>22</v>
      </c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 spans="1:26" ht="14.25" customHeight="1">
      <c r="A1374" s="4">
        <v>13810</v>
      </c>
      <c r="B1374" s="4" t="str">
        <f>IFERROR(VLOOKUP(A1374,Colaboradores!A:D,2,),"")</f>
        <v>CAMILA CHAVES SILVA</v>
      </c>
      <c r="C1374" s="4" t="str">
        <f>IFERROR(VLOOKUP(A1374,Colaboradores!A:D,3,),"")</f>
        <v>DIRETORIA</v>
      </c>
      <c r="D1374" s="4" t="str">
        <f>IFERROR(VLOOKUP(A1374,Colaboradores!A:D,4,),"")</f>
        <v>ASSESSOR JURÍDICO</v>
      </c>
      <c r="E1374" s="4" t="s">
        <v>26</v>
      </c>
      <c r="F1374" s="5" t="str">
        <f>IFERROR(VLOOKUP(E1374,Procedimentos!A:C,2,),"")</f>
        <v>RESPONSABILIDADES E AUTORIDADES DO SGQ</v>
      </c>
      <c r="G1374" s="4" t="s">
        <v>22</v>
      </c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 spans="1:26" ht="14.25" customHeight="1">
      <c r="A1375" s="4">
        <v>13810</v>
      </c>
      <c r="B1375" s="4" t="str">
        <f>IFERROR(VLOOKUP(A1375,Colaboradores!A:D,2,),"")</f>
        <v>CAMILA CHAVES SILVA</v>
      </c>
      <c r="C1375" s="4" t="str">
        <f>IFERROR(VLOOKUP(A1375,Colaboradores!A:D,3,),"")</f>
        <v>DIRETORIA</v>
      </c>
      <c r="D1375" s="4" t="str">
        <f>IFERROR(VLOOKUP(A1375,Colaboradores!A:D,4,),"")</f>
        <v>ASSESSOR JURÍDICO</v>
      </c>
      <c r="E1375" s="4" t="s">
        <v>73</v>
      </c>
      <c r="F1375" s="5" t="str">
        <f>IFERROR(VLOOKUP(E1375,Procedimentos!A:C,2,),"")</f>
        <v>AQUISIÇÃO DE BENS E SERVIÇOS E AVALIAÇÃO PROVEDORES EXTERNOS</v>
      </c>
      <c r="G1375" s="4" t="s">
        <v>22</v>
      </c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 spans="1:26" ht="14.25" customHeight="1">
      <c r="A1376" s="4">
        <v>13810</v>
      </c>
      <c r="B1376" s="4" t="str">
        <f>IFERROR(VLOOKUP(A1376,Colaboradores!A:D,2,),"")</f>
        <v>CAMILA CHAVES SILVA</v>
      </c>
      <c r="C1376" s="4" t="str">
        <f>IFERROR(VLOOKUP(A1376,Colaboradores!A:D,3,),"")</f>
        <v>DIRETORIA</v>
      </c>
      <c r="D1376" s="4" t="str">
        <f>IFERROR(VLOOKUP(A1376,Colaboradores!A:D,4,),"")</f>
        <v>ASSESSOR JURÍDICO</v>
      </c>
      <c r="E1376" s="4" t="s">
        <v>48</v>
      </c>
      <c r="F1376" s="5" t="str">
        <f>IFERROR(VLOOKUP(E1376,Procedimentos!A:C,2,),"")</f>
        <v>POLÍTICA MEIO AMBIENTE EMSERH</v>
      </c>
      <c r="G1376" s="4" t="s">
        <v>22</v>
      </c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 spans="1:26" ht="14.25" customHeight="1">
      <c r="A1377" s="4">
        <v>13810</v>
      </c>
      <c r="B1377" s="4" t="str">
        <f>IFERROR(VLOOKUP(A1377,Colaboradores!A:D,2,),"")</f>
        <v>CAMILA CHAVES SILVA</v>
      </c>
      <c r="C1377" s="4" t="str">
        <f>IFERROR(VLOOKUP(A1377,Colaboradores!A:D,3,),"")</f>
        <v>DIRETORIA</v>
      </c>
      <c r="D1377" s="4" t="str">
        <f>IFERROR(VLOOKUP(A1377,Colaboradores!A:D,4,),"")</f>
        <v>ASSESSOR JURÍDICO</v>
      </c>
      <c r="E1377" s="4" t="s">
        <v>29</v>
      </c>
      <c r="F1377" s="5" t="str">
        <f>IFERROR(VLOOKUP(E1377,Procedimentos!A:C,2,),"")</f>
        <v>COLETA SELETIVA DESSMA</v>
      </c>
      <c r="G1377" s="4" t="s">
        <v>22</v>
      </c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 spans="1:26" ht="14.25" customHeight="1">
      <c r="A1378" s="4">
        <v>13810</v>
      </c>
      <c r="B1378" s="4" t="str">
        <f>IFERROR(VLOOKUP(A1378,Colaboradores!A:D,2,),"")</f>
        <v>CAMILA CHAVES SILVA</v>
      </c>
      <c r="C1378" s="4" t="str">
        <f>IFERROR(VLOOKUP(A1378,Colaboradores!A:D,3,),"")</f>
        <v>DIRETORIA</v>
      </c>
      <c r="D1378" s="4" t="str">
        <f>IFERROR(VLOOKUP(A1378,Colaboradores!A:D,4,),"")</f>
        <v>ASSESSOR JURÍDICO</v>
      </c>
      <c r="E1378" s="4" t="s">
        <v>32</v>
      </c>
      <c r="F1378" s="5" t="str">
        <f>IFERROR(VLOOKUP(E1378,Procedimentos!A:C,2,),"")</f>
        <v>GESTÃO DE LEVANTAMENTO DE ASPECTOS E IMPACTOS AMBIENTAIS</v>
      </c>
      <c r="G1378" s="4" t="s">
        <v>22</v>
      </c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 spans="1:26" ht="14.25" customHeight="1">
      <c r="A1379" s="4">
        <v>13810</v>
      </c>
      <c r="B1379" s="4" t="str">
        <f>IFERROR(VLOOKUP(A1379,Colaboradores!A:D,2,),"")</f>
        <v>CAMILA CHAVES SILVA</v>
      </c>
      <c r="C1379" s="4" t="str">
        <f>IFERROR(VLOOKUP(A1379,Colaboradores!A:D,3,),"")</f>
        <v>DIRETORIA</v>
      </c>
      <c r="D1379" s="4" t="str">
        <f>IFERROR(VLOOKUP(A1379,Colaboradores!A:D,4,),"")</f>
        <v>ASSESSOR JURÍDICO</v>
      </c>
      <c r="E1379" s="4" t="s">
        <v>31</v>
      </c>
      <c r="F1379" s="5" t="str">
        <f>IFERROR(VLOOKUP(E1379,Procedimentos!A:C,2,),"")</f>
        <v>GESTÃO DE COMUNICAÇÃO, CLASSIFICAÇÃO E INVESTIGAÇÃO DE OCORRÊNCIAS AMBIENTAIS</v>
      </c>
      <c r="G1379" s="4" t="s">
        <v>22</v>
      </c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 spans="1:26" ht="14.25" customHeight="1">
      <c r="A1380" s="4">
        <v>13810</v>
      </c>
      <c r="B1380" s="4" t="str">
        <f>IFERROR(VLOOKUP(A1380,Colaboradores!A:D,2,),"")</f>
        <v>CAMILA CHAVES SILVA</v>
      </c>
      <c r="C1380" s="4" t="str">
        <f>IFERROR(VLOOKUP(A1380,Colaboradores!A:D,3,),"")</f>
        <v>DIRETORIA</v>
      </c>
      <c r="D1380" s="4" t="str">
        <f>IFERROR(VLOOKUP(A1380,Colaboradores!A:D,4,),"")</f>
        <v>ASSESSOR JURÍDICO</v>
      </c>
      <c r="E1380" s="4" t="s">
        <v>33</v>
      </c>
      <c r="F1380" s="5" t="str">
        <f>IFERROR(VLOOKUP(E1380,Procedimentos!A:C,2,),"")</f>
        <v>GESTÃO DE INSPEÇÕES AMBIENTAIS</v>
      </c>
      <c r="G1380" s="4" t="s">
        <v>22</v>
      </c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 spans="1:26" ht="14.25" customHeight="1">
      <c r="A1381" s="4">
        <v>13810</v>
      </c>
      <c r="B1381" s="4" t="str">
        <f>IFERROR(VLOOKUP(A1381,Colaboradores!A:D,2,),"")</f>
        <v>CAMILA CHAVES SILVA</v>
      </c>
      <c r="C1381" s="4" t="str">
        <f>IFERROR(VLOOKUP(A1381,Colaboradores!A:D,3,),"")</f>
        <v>DIRETORIA</v>
      </c>
      <c r="D1381" s="4" t="str">
        <f>IFERROR(VLOOKUP(A1381,Colaboradores!A:D,4,),"")</f>
        <v>ASSESSOR JURÍDICO</v>
      </c>
      <c r="E1381" s="4" t="s">
        <v>49</v>
      </c>
      <c r="F1381" s="5" t="str">
        <f>IFERROR(VLOOKUP(E1381,Procedimentos!A:C,2,),"")</f>
        <v>DIRETRIZES PARA REALIZAÇÃO DE EXAMES OCUPACIONAIS</v>
      </c>
      <c r="G1381" s="4" t="s">
        <v>22</v>
      </c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 spans="1:26" ht="14.25" customHeight="1">
      <c r="A1382" s="4">
        <v>13810</v>
      </c>
      <c r="B1382" s="4" t="str">
        <f>IFERROR(VLOOKUP(A1382,Colaboradores!A:D,2,),"")</f>
        <v>CAMILA CHAVES SILVA</v>
      </c>
      <c r="C1382" s="4" t="str">
        <f>IFERROR(VLOOKUP(A1382,Colaboradores!A:D,3,),"")</f>
        <v>DIRETORIA</v>
      </c>
      <c r="D1382" s="4" t="str">
        <f>IFERROR(VLOOKUP(A1382,Colaboradores!A:D,4,),"")</f>
        <v>ASSESSOR JURÍDICO</v>
      </c>
      <c r="E1382" s="4" t="s">
        <v>51</v>
      </c>
      <c r="F1382" s="5" t="str">
        <f>IFERROR(VLOOKUP(E1382,Procedimentos!A:C,2,),"")</f>
        <v>DIRETRIZES PARA ENTREGA DE ATESTADOS MÉDICOS E ODONTOLÓGICOS</v>
      </c>
      <c r="G1382" s="4" t="s">
        <v>22</v>
      </c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 spans="1:26" ht="14.25" customHeight="1">
      <c r="A1383" s="4">
        <v>13810</v>
      </c>
      <c r="B1383" s="4" t="str">
        <f>IFERROR(VLOOKUP(A1383,Colaboradores!A:D,2,),"")</f>
        <v>CAMILA CHAVES SILVA</v>
      </c>
      <c r="C1383" s="4" t="str">
        <f>IFERROR(VLOOKUP(A1383,Colaboradores!A:D,3,),"")</f>
        <v>DIRETORIA</v>
      </c>
      <c r="D1383" s="4" t="str">
        <f>IFERROR(VLOOKUP(A1383,Colaboradores!A:D,4,),"")</f>
        <v>ASSESSOR JURÍDICO</v>
      </c>
      <c r="E1383" s="4" t="s">
        <v>52</v>
      </c>
      <c r="F1383" s="5" t="str">
        <f>IFERROR(VLOOKUP(E1383,Procedimentos!A:C,2,),"")</f>
        <v>DIRETRIZES E ACOMPANHAMENTO  DE ACIDENTE COM MATERIAL BIOLOGICO</v>
      </c>
      <c r="G1383" s="4" t="s">
        <v>22</v>
      </c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 spans="1:26" ht="14.25" customHeight="1">
      <c r="A1384" s="4">
        <v>13810</v>
      </c>
      <c r="B1384" s="4" t="str">
        <f>IFERROR(VLOOKUP(A1384,Colaboradores!A:D,2,),"")</f>
        <v>CAMILA CHAVES SILVA</v>
      </c>
      <c r="C1384" s="4" t="str">
        <f>IFERROR(VLOOKUP(A1384,Colaboradores!A:D,3,),"")</f>
        <v>DIRETORIA</v>
      </c>
      <c r="D1384" s="4" t="str">
        <f>IFERROR(VLOOKUP(A1384,Colaboradores!A:D,4,),"")</f>
        <v>ASSESSOR JURÍDICO</v>
      </c>
      <c r="E1384" s="4" t="s">
        <v>53</v>
      </c>
      <c r="F1384" s="5" t="str">
        <f>IFERROR(VLOOKUP(E1384,Procedimentos!A:C,2,),"")</f>
        <v>DIRETRIZES PARA MONITORAMENTO DE GESTANTE</v>
      </c>
      <c r="G1384" s="4" t="s">
        <v>22</v>
      </c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 spans="1:26" ht="14.25" customHeight="1">
      <c r="A1385" s="4">
        <v>13810</v>
      </c>
      <c r="B1385" s="4" t="str">
        <f>IFERROR(VLOOKUP(A1385,Colaboradores!A:D,2,),"")</f>
        <v>CAMILA CHAVES SILVA</v>
      </c>
      <c r="C1385" s="4" t="str">
        <f>IFERROR(VLOOKUP(A1385,Colaboradores!A:D,3,),"")</f>
        <v>DIRETORIA</v>
      </c>
      <c r="D1385" s="4" t="str">
        <f>IFERROR(VLOOKUP(A1385,Colaboradores!A:D,4,),"")</f>
        <v>ASSESSOR JURÍDICO</v>
      </c>
      <c r="E1385" s="4" t="s">
        <v>54</v>
      </c>
      <c r="F1385" s="5" t="str">
        <f>IFERROR(VLOOKUP(E1385,Procedimentos!A:C,2,),"")</f>
        <v>DIRETRIZES DE IMUNIZAÇÃO OCUPACIONAL</v>
      </c>
      <c r="G1385" s="4" t="s">
        <v>22</v>
      </c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 spans="1:26" ht="14.25" customHeight="1">
      <c r="A1386" s="4">
        <v>13810</v>
      </c>
      <c r="B1386" s="4" t="str">
        <f>IFERROR(VLOOKUP(A1386,Colaboradores!A:D,2,),"")</f>
        <v>CAMILA CHAVES SILVA</v>
      </c>
      <c r="C1386" s="4" t="str">
        <f>IFERROR(VLOOKUP(A1386,Colaboradores!A:D,3,),"")</f>
        <v>DIRETORIA</v>
      </c>
      <c r="D1386" s="4" t="str">
        <f>IFERROR(VLOOKUP(A1386,Colaboradores!A:D,4,),"")</f>
        <v>ASSESSOR JURÍDICO</v>
      </c>
      <c r="E1386" s="4" t="s">
        <v>55</v>
      </c>
      <c r="F1386" s="5" t="str">
        <f>IFERROR(VLOOKUP(E1386,Procedimentos!A:C,2,),"")</f>
        <v>DIRETRIZES PARA ACOMPANHAMENTO DE AFASTADOS</v>
      </c>
      <c r="G1386" s="4" t="s">
        <v>22</v>
      </c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 spans="1:26" ht="14.25" customHeight="1">
      <c r="A1387" s="4">
        <v>13810</v>
      </c>
      <c r="B1387" s="4" t="str">
        <f>IFERROR(VLOOKUP(A1387,Colaboradores!A:D,2,),"")</f>
        <v>CAMILA CHAVES SILVA</v>
      </c>
      <c r="C1387" s="4" t="str">
        <f>IFERROR(VLOOKUP(A1387,Colaboradores!A:D,3,),"")</f>
        <v>DIRETORIA</v>
      </c>
      <c r="D1387" s="4" t="str">
        <f>IFERROR(VLOOKUP(A1387,Colaboradores!A:D,4,),"")</f>
        <v>ASSESSOR JURÍDICO</v>
      </c>
      <c r="E1387" s="4" t="s">
        <v>46</v>
      </c>
      <c r="F1387" s="5" t="str">
        <f>IFERROR(VLOOKUP(E1387,Procedimentos!A:C,2,),"")</f>
        <v>POLÍTICA DE SAÚDE E SEGURANÇA DO TRABALHO EMSERH</v>
      </c>
      <c r="G1387" s="4" t="s">
        <v>22</v>
      </c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 spans="1:26" ht="14.25" customHeight="1">
      <c r="A1388" s="4">
        <v>13810</v>
      </c>
      <c r="B1388" s="4" t="str">
        <f>IFERROR(VLOOKUP(A1388,Colaboradores!A:D,2,),"")</f>
        <v>CAMILA CHAVES SILVA</v>
      </c>
      <c r="C1388" s="4" t="str">
        <f>IFERROR(VLOOKUP(A1388,Colaboradores!A:D,3,),"")</f>
        <v>DIRETORIA</v>
      </c>
      <c r="D1388" s="4" t="str">
        <f>IFERROR(VLOOKUP(A1388,Colaboradores!A:D,4,),"")</f>
        <v>ASSESSOR JURÍDICO</v>
      </c>
      <c r="E1388" s="4" t="s">
        <v>41</v>
      </c>
      <c r="F1388" s="5" t="str">
        <f>IFERROR(VLOOKUP(E1388,Procedimentos!A:C,2,),"")</f>
        <v>DIRETRIZES PARA COMUNICAÇÃO E INVESTIGAÇÃO DE ACIDENTES</v>
      </c>
      <c r="G1388" s="4" t="s">
        <v>22</v>
      </c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 spans="1:26" ht="14.25" customHeight="1">
      <c r="A1389" s="4">
        <v>13810</v>
      </c>
      <c r="B1389" s="4" t="str">
        <f>IFERROR(VLOOKUP(A1389,Colaboradores!A:D,2,),"")</f>
        <v>CAMILA CHAVES SILVA</v>
      </c>
      <c r="C1389" s="4" t="str">
        <f>IFERROR(VLOOKUP(A1389,Colaboradores!A:D,3,),"")</f>
        <v>DIRETORIA</v>
      </c>
      <c r="D1389" s="4" t="str">
        <f>IFERROR(VLOOKUP(A1389,Colaboradores!A:D,4,),"")</f>
        <v>ASSESSOR JURÍDICO</v>
      </c>
      <c r="E1389" s="4" t="s">
        <v>43</v>
      </c>
      <c r="F1389" s="5" t="str">
        <f>IFERROR(VLOOKUP(E1389,Procedimentos!A:C,2,),"")</f>
        <v>DIÁLOGO DE SAÚDE E SEGURANÇA - DSS</v>
      </c>
      <c r="G1389" s="4" t="s">
        <v>22</v>
      </c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 spans="1:26" ht="14.25" customHeight="1">
      <c r="A1390" s="4">
        <v>13810</v>
      </c>
      <c r="B1390" s="4" t="str">
        <f>IFERROR(VLOOKUP(A1390,Colaboradores!A:D,2,),"")</f>
        <v>CAMILA CHAVES SILVA</v>
      </c>
      <c r="C1390" s="4" t="str">
        <f>IFERROR(VLOOKUP(A1390,Colaboradores!A:D,3,),"")</f>
        <v>DIRETORIA</v>
      </c>
      <c r="D1390" s="4" t="str">
        <f>IFERROR(VLOOKUP(A1390,Colaboradores!A:D,4,),"")</f>
        <v>ASSESSOR JURÍDICO</v>
      </c>
      <c r="E1390" s="4" t="s">
        <v>44</v>
      </c>
      <c r="F1390" s="5" t="str">
        <f>IFERROR(VLOOKUP(E1390,Procedimentos!A:C,2,),"")</f>
        <v>DIRETRIZES PARA GESTÃO DE EQUIPAMENTOS DE PROTEÇÃO INDIVIDUAL - EPI'S</v>
      </c>
      <c r="G1390" s="4" t="s">
        <v>22</v>
      </c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 spans="1:26" ht="14.25" customHeight="1">
      <c r="A1391" s="4">
        <v>13810</v>
      </c>
      <c r="B1391" s="4" t="str">
        <f>IFERROR(VLOOKUP(A1391,Colaboradores!A:D,2,),"")</f>
        <v>CAMILA CHAVES SILVA</v>
      </c>
      <c r="C1391" s="4" t="str">
        <f>IFERROR(VLOOKUP(A1391,Colaboradores!A:D,3,),"")</f>
        <v>DIRETORIA</v>
      </c>
      <c r="D1391" s="4" t="str">
        <f>IFERROR(VLOOKUP(A1391,Colaboradores!A:D,4,),"")</f>
        <v>ASSESSOR JURÍDICO</v>
      </c>
      <c r="E1391" s="4" t="s">
        <v>45</v>
      </c>
      <c r="F1391" s="5" t="str">
        <f>IFERROR(VLOOKUP(E1391,Procedimentos!A:C,2,),"")</f>
        <v>CONSTITUIÇÃO INTERNA DE PREVENÇÃO DE ACIDENTES E DE ASSÉDIOS - CIPA</v>
      </c>
      <c r="G1391" s="4" t="s">
        <v>22</v>
      </c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 spans="1:26" ht="14.25" customHeight="1">
      <c r="A1392" s="4">
        <v>15011</v>
      </c>
      <c r="B1392" s="4" t="str">
        <f>IFERROR(VLOOKUP(A1392,Colaboradores!A:D,2,),"")</f>
        <v>RAFAEL FREITAS DE PAULA</v>
      </c>
      <c r="C1392" s="4" t="str">
        <f>IFERROR(VLOOKUP(A1392,Colaboradores!A:D,3,),"")</f>
        <v>GESTÃO INTEGRADA</v>
      </c>
      <c r="D1392" s="4" t="str">
        <f>IFERROR(VLOOKUP(A1392,Colaboradores!A:D,4,),"")</f>
        <v>ANALISTA DA QUALIDADE</v>
      </c>
      <c r="E1392" s="4" t="s">
        <v>58</v>
      </c>
      <c r="F1392" s="5" t="str">
        <f>IFERROR(VLOOKUP(E1392,Procedimentos!A:C,2,),"")</f>
        <v>POLÍTICA DE QUALIDADE DA DIRETORIA</v>
      </c>
      <c r="G1392" s="4" t="s">
        <v>22</v>
      </c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 spans="1:26" ht="14.25" customHeight="1">
      <c r="A1393" s="4">
        <v>15011</v>
      </c>
      <c r="B1393" s="4" t="str">
        <f>IFERROR(VLOOKUP(A1393,Colaboradores!A:D,2,),"")</f>
        <v>RAFAEL FREITAS DE PAULA</v>
      </c>
      <c r="C1393" s="4" t="str">
        <f>IFERROR(VLOOKUP(A1393,Colaboradores!A:D,3,),"")</f>
        <v>GESTÃO INTEGRADA</v>
      </c>
      <c r="D1393" s="4" t="str">
        <f>IFERROR(VLOOKUP(A1393,Colaboradores!A:D,4,),"")</f>
        <v>ANALISTA DA QUALIDADE</v>
      </c>
      <c r="E1393" s="4" t="s">
        <v>19</v>
      </c>
      <c r="F1393" s="5" t="str">
        <f>IFERROR(VLOOKUP(E1393,Procedimentos!A:C,2,),"")</f>
        <v>DIRETRIZES PARA DOCUMENTOS NORMATIVOS</v>
      </c>
      <c r="G1393" s="4" t="s">
        <v>22</v>
      </c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 spans="1:26" ht="14.25" customHeight="1">
      <c r="A1394" s="4">
        <v>15011</v>
      </c>
      <c r="B1394" s="4" t="str">
        <f>IFERROR(VLOOKUP(A1394,Colaboradores!A:D,2,),"")</f>
        <v>RAFAEL FREITAS DE PAULA</v>
      </c>
      <c r="C1394" s="4" t="str">
        <f>IFERROR(VLOOKUP(A1394,Colaboradores!A:D,3,),"")</f>
        <v>GESTÃO INTEGRADA</v>
      </c>
      <c r="D1394" s="4" t="str">
        <f>IFERROR(VLOOKUP(A1394,Colaboradores!A:D,4,),"")</f>
        <v>ANALISTA DA QUALIDADE</v>
      </c>
      <c r="E1394" s="4" t="s">
        <v>24</v>
      </c>
      <c r="F1394" s="5" t="str">
        <f>IFERROR(VLOOKUP(E1394,Procedimentos!A:C,2,),"")</f>
        <v>DIRETRIZES  PARA PROGRAMA 5S</v>
      </c>
      <c r="G1394" s="4" t="s">
        <v>22</v>
      </c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 spans="1:26" ht="14.25" customHeight="1">
      <c r="A1395" s="4">
        <v>15011</v>
      </c>
      <c r="B1395" s="4" t="str">
        <f>IFERROR(VLOOKUP(A1395,Colaboradores!A:D,2,),"")</f>
        <v>RAFAEL FREITAS DE PAULA</v>
      </c>
      <c r="C1395" s="4" t="str">
        <f>IFERROR(VLOOKUP(A1395,Colaboradores!A:D,3,),"")</f>
        <v>GESTÃO INTEGRADA</v>
      </c>
      <c r="D1395" s="4"/>
      <c r="E1395" s="4" t="s">
        <v>67</v>
      </c>
      <c r="F1395" s="5" t="str">
        <f>IFERROR(VLOOKUP(E1395,Procedimentos!A:C,2,),"")</f>
        <v>SISTEMATICA DE ROTINA DE REUNIÕES DA DESSMA</v>
      </c>
      <c r="G1395" s="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 spans="1:26" ht="14.25" customHeight="1">
      <c r="A1396" s="4">
        <v>15011</v>
      </c>
      <c r="B1396" s="4" t="str">
        <f>IFERROR(VLOOKUP(A1396,Colaboradores!A:D,2,),"")</f>
        <v>RAFAEL FREITAS DE PAULA</v>
      </c>
      <c r="C1396" s="4" t="str">
        <f>IFERROR(VLOOKUP(A1396,Colaboradores!A:D,3,),"")</f>
        <v>GESTÃO INTEGRADA</v>
      </c>
      <c r="D1396" s="4" t="str">
        <f>IFERROR(VLOOKUP(A1396,Colaboradores!A:D,4,),"")</f>
        <v>ANALISTA DA QUALIDADE</v>
      </c>
      <c r="E1396" s="4" t="s">
        <v>25</v>
      </c>
      <c r="F1396" s="5" t="str">
        <f>IFERROR(VLOOKUP(E1396,Procedimentos!A:C,2,),"")</f>
        <v>GARANTIA DA QUALIDADE</v>
      </c>
      <c r="G1396" s="4" t="s">
        <v>22</v>
      </c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 spans="1:26" ht="14.25" customHeight="1">
      <c r="A1397" s="4">
        <v>15011</v>
      </c>
      <c r="B1397" s="4" t="str">
        <f>IFERROR(VLOOKUP(A1397,Colaboradores!A:D,2,),"")</f>
        <v>RAFAEL FREITAS DE PAULA</v>
      </c>
      <c r="C1397" s="4" t="str">
        <f>IFERROR(VLOOKUP(A1397,Colaboradores!A:D,3,),"")</f>
        <v>GESTÃO INTEGRADA</v>
      </c>
      <c r="D1397" s="4"/>
      <c r="E1397" s="4" t="s">
        <v>68</v>
      </c>
      <c r="F1397" s="5" t="str">
        <f>IFERROR(VLOOKUP(E1397,Procedimentos!A:C,2,),"")</f>
        <v>GESTÃO INDICADORES</v>
      </c>
      <c r="G1397" s="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 spans="1:26" ht="14.25" customHeight="1">
      <c r="A1398" s="4">
        <v>15011</v>
      </c>
      <c r="B1398" s="4" t="str">
        <f>IFERROR(VLOOKUP(A1398,Colaboradores!A:D,2,),"")</f>
        <v>RAFAEL FREITAS DE PAULA</v>
      </c>
      <c r="C1398" s="4" t="str">
        <f>IFERROR(VLOOKUP(A1398,Colaboradores!A:D,3,),"")</f>
        <v>GESTÃO INTEGRADA</v>
      </c>
      <c r="D1398" s="4" t="str">
        <f>IFERROR(VLOOKUP(A1398,Colaboradores!A:D,4,),"")</f>
        <v>ANALISTA DA QUALIDADE</v>
      </c>
      <c r="E1398" s="4" t="s">
        <v>26</v>
      </c>
      <c r="F1398" s="5" t="str">
        <f>IFERROR(VLOOKUP(E1398,Procedimentos!A:C,2,),"")</f>
        <v>RESPONSABILIDADES E AUTORIDADES DO SGQ</v>
      </c>
      <c r="G1398" s="4" t="s">
        <v>22</v>
      </c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 spans="1:26" ht="14.25" customHeight="1">
      <c r="A1399" s="4">
        <v>15011</v>
      </c>
      <c r="B1399" s="4" t="str">
        <f>IFERROR(VLOOKUP(A1399,Colaboradores!A:D,2,),"")</f>
        <v>RAFAEL FREITAS DE PAULA</v>
      </c>
      <c r="C1399" s="4" t="str">
        <f>IFERROR(VLOOKUP(A1399,Colaboradores!A:D,3,),"")</f>
        <v>GESTÃO INTEGRADA</v>
      </c>
      <c r="D1399" s="4"/>
      <c r="E1399" s="4" t="s">
        <v>69</v>
      </c>
      <c r="F1399" s="5" t="str">
        <f>IFERROR(VLOOKUP(E1399,Procedimentos!A:C,2,),"")</f>
        <v>PROCEDIMENTO GESTÃO DE MUDANÇA SGQ</v>
      </c>
      <c r="G1399" s="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 spans="1:26" ht="14.25" customHeight="1">
      <c r="A1400" s="4">
        <v>15011</v>
      </c>
      <c r="B1400" s="4" t="str">
        <f>IFERROR(VLOOKUP(A1400,Colaboradores!A:D,2,),"")</f>
        <v>RAFAEL FREITAS DE PAULA</v>
      </c>
      <c r="C1400" s="4" t="str">
        <f>IFERROR(VLOOKUP(A1400,Colaboradores!A:D,3,),"")</f>
        <v>GESTÃO INTEGRADA</v>
      </c>
      <c r="D1400" s="4"/>
      <c r="E1400" s="4" t="s">
        <v>64</v>
      </c>
      <c r="F1400" s="5" t="str">
        <f>IFERROR(VLOOKUP(E1400,Procedimentos!A:C,2,),"")</f>
        <v>AVALIAÇÃO DESEMPENHO</v>
      </c>
      <c r="G1400" s="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 spans="1:26" ht="14.25" customHeight="1">
      <c r="A1401" s="4">
        <v>15011</v>
      </c>
      <c r="B1401" s="4" t="str">
        <f>IFERROR(VLOOKUP(A1401,Colaboradores!A:D,2,),"")</f>
        <v>RAFAEL FREITAS DE PAULA</v>
      </c>
      <c r="C1401" s="4" t="str">
        <f>IFERROR(VLOOKUP(A1401,Colaboradores!A:D,3,),"")</f>
        <v>GESTÃO INTEGRADA</v>
      </c>
      <c r="D1401" s="4" t="str">
        <f>IFERROR(VLOOKUP(A1401,Colaboradores!A:D,4,),"")</f>
        <v>ANALISTA DA QUALIDADE</v>
      </c>
      <c r="E1401" s="4" t="s">
        <v>73</v>
      </c>
      <c r="F1401" s="5" t="str">
        <f>IFERROR(VLOOKUP(E1401,Procedimentos!A:C,2,),"")</f>
        <v>AQUISIÇÃO DE BENS E SERVIÇOS E AVALIAÇÃO PROVEDORES EXTERNOS</v>
      </c>
      <c r="G1401" s="4" t="s">
        <v>22</v>
      </c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 spans="1:26" ht="14.25" customHeight="1">
      <c r="A1402" s="4">
        <v>15011</v>
      </c>
      <c r="B1402" s="4" t="str">
        <f>IFERROR(VLOOKUP(A1402,Colaboradores!A:D,2,),"")</f>
        <v>RAFAEL FREITAS DE PAULA</v>
      </c>
      <c r="C1402" s="4" t="str">
        <f>IFERROR(VLOOKUP(A1402,Colaboradores!A:D,3,),"")</f>
        <v>GESTÃO INTEGRADA</v>
      </c>
      <c r="D1402" s="4" t="str">
        <f>IFERROR(VLOOKUP(A1402,Colaboradores!A:D,4,),"")</f>
        <v>ANALISTA DA QUALIDADE</v>
      </c>
      <c r="E1402" s="4" t="s">
        <v>48</v>
      </c>
      <c r="F1402" s="5" t="str">
        <f>IFERROR(VLOOKUP(E1402,Procedimentos!A:C,2,),"")</f>
        <v>POLÍTICA MEIO AMBIENTE EMSERH</v>
      </c>
      <c r="G1402" s="4" t="s">
        <v>22</v>
      </c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 spans="1:26" ht="14.25" customHeight="1">
      <c r="A1403" s="4">
        <v>15011</v>
      </c>
      <c r="B1403" s="4" t="str">
        <f>IFERROR(VLOOKUP(A1403,Colaboradores!A:D,2,),"")</f>
        <v>RAFAEL FREITAS DE PAULA</v>
      </c>
      <c r="C1403" s="4" t="str">
        <f>IFERROR(VLOOKUP(A1403,Colaboradores!A:D,3,),"")</f>
        <v>GESTÃO INTEGRADA</v>
      </c>
      <c r="D1403" s="4" t="str">
        <f>IFERROR(VLOOKUP(A1403,Colaboradores!A:D,4,),"")</f>
        <v>ANALISTA DA QUALIDADE</v>
      </c>
      <c r="E1403" s="4" t="s">
        <v>29</v>
      </c>
      <c r="F1403" s="5" t="str">
        <f>IFERROR(VLOOKUP(E1403,Procedimentos!A:C,2,),"")</f>
        <v>COLETA SELETIVA DESSMA</v>
      </c>
      <c r="G1403" s="4" t="s">
        <v>22</v>
      </c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 spans="1:26" ht="14.25" customHeight="1">
      <c r="A1404" s="4">
        <v>15011</v>
      </c>
      <c r="B1404" s="4" t="str">
        <f>IFERROR(VLOOKUP(A1404,Colaboradores!A:D,2,),"")</f>
        <v>RAFAEL FREITAS DE PAULA</v>
      </c>
      <c r="C1404" s="4" t="str">
        <f>IFERROR(VLOOKUP(A1404,Colaboradores!A:D,3,),"")</f>
        <v>GESTÃO INTEGRADA</v>
      </c>
      <c r="D1404" s="4" t="str">
        <f>IFERROR(VLOOKUP(A1404,Colaboradores!A:D,4,),"")</f>
        <v>ANALISTA DA QUALIDADE</v>
      </c>
      <c r="E1404" s="4" t="s">
        <v>32</v>
      </c>
      <c r="F1404" s="5" t="str">
        <f>IFERROR(VLOOKUP(E1404,Procedimentos!A:C,2,),"")</f>
        <v>GESTÃO DE LEVANTAMENTO DE ASPECTOS E IMPACTOS AMBIENTAIS</v>
      </c>
      <c r="G1404" s="4" t="s">
        <v>22</v>
      </c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 spans="1:26" ht="14.25" customHeight="1">
      <c r="A1405" s="4">
        <v>15011</v>
      </c>
      <c r="B1405" s="4" t="str">
        <f>IFERROR(VLOOKUP(A1405,Colaboradores!A:D,2,),"")</f>
        <v>RAFAEL FREITAS DE PAULA</v>
      </c>
      <c r="C1405" s="4" t="str">
        <f>IFERROR(VLOOKUP(A1405,Colaboradores!A:D,3,),"")</f>
        <v>GESTÃO INTEGRADA</v>
      </c>
      <c r="D1405" s="4" t="str">
        <f>IFERROR(VLOOKUP(A1405,Colaboradores!A:D,4,),"")</f>
        <v>ANALISTA DA QUALIDADE</v>
      </c>
      <c r="E1405" s="4" t="s">
        <v>31</v>
      </c>
      <c r="F1405" s="5" t="str">
        <f>IFERROR(VLOOKUP(E1405,Procedimentos!A:C,2,),"")</f>
        <v>GESTÃO DE COMUNICAÇÃO, CLASSIFICAÇÃO E INVESTIGAÇÃO DE OCORRÊNCIAS AMBIENTAIS</v>
      </c>
      <c r="G1405" s="4" t="s">
        <v>22</v>
      </c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 spans="1:26" ht="14.25" customHeight="1">
      <c r="A1406" s="4">
        <v>15011</v>
      </c>
      <c r="B1406" s="4" t="str">
        <f>IFERROR(VLOOKUP(A1406,Colaboradores!A:D,2,),"")</f>
        <v>RAFAEL FREITAS DE PAULA</v>
      </c>
      <c r="C1406" s="4" t="str">
        <f>IFERROR(VLOOKUP(A1406,Colaboradores!A:D,3,),"")</f>
        <v>GESTÃO INTEGRADA</v>
      </c>
      <c r="D1406" s="4" t="str">
        <f>IFERROR(VLOOKUP(A1406,Colaboradores!A:D,4,),"")</f>
        <v>ANALISTA DA QUALIDADE</v>
      </c>
      <c r="E1406" s="4" t="s">
        <v>33</v>
      </c>
      <c r="F1406" s="5" t="str">
        <f>IFERROR(VLOOKUP(E1406,Procedimentos!A:C,2,),"")</f>
        <v>GESTÃO DE INSPEÇÕES AMBIENTAIS</v>
      </c>
      <c r="G1406" s="4" t="s">
        <v>22</v>
      </c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 spans="1:26" ht="14.25" customHeight="1">
      <c r="A1407" s="4">
        <v>15011</v>
      </c>
      <c r="B1407" s="4" t="str">
        <f>IFERROR(VLOOKUP(A1407,Colaboradores!A:D,2,),"")</f>
        <v>RAFAEL FREITAS DE PAULA</v>
      </c>
      <c r="C1407" s="4" t="str">
        <f>IFERROR(VLOOKUP(A1407,Colaboradores!A:D,3,),"")</f>
        <v>GESTÃO INTEGRADA</v>
      </c>
      <c r="D1407" s="4" t="str">
        <f>IFERROR(VLOOKUP(A1407,Colaboradores!A:D,4,),"")</f>
        <v>ANALISTA DA QUALIDADE</v>
      </c>
      <c r="E1407" s="4" t="s">
        <v>49</v>
      </c>
      <c r="F1407" s="5" t="str">
        <f>IFERROR(VLOOKUP(E1407,Procedimentos!A:C,2,),"")</f>
        <v>DIRETRIZES PARA REALIZAÇÃO DE EXAMES OCUPACIONAIS</v>
      </c>
      <c r="G1407" s="4" t="s">
        <v>22</v>
      </c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 spans="1:26" ht="14.25" customHeight="1">
      <c r="A1408" s="4">
        <v>15011</v>
      </c>
      <c r="B1408" s="4" t="str">
        <f>IFERROR(VLOOKUP(A1408,Colaboradores!A:D,2,),"")</f>
        <v>RAFAEL FREITAS DE PAULA</v>
      </c>
      <c r="C1408" s="4" t="str">
        <f>IFERROR(VLOOKUP(A1408,Colaboradores!A:D,3,),"")</f>
        <v>GESTÃO INTEGRADA</v>
      </c>
      <c r="D1408" s="4" t="str">
        <f>IFERROR(VLOOKUP(A1408,Colaboradores!A:D,4,),"")</f>
        <v>ANALISTA DA QUALIDADE</v>
      </c>
      <c r="E1408" s="4" t="s">
        <v>51</v>
      </c>
      <c r="F1408" s="5" t="str">
        <f>IFERROR(VLOOKUP(E1408,Procedimentos!A:C,2,),"")</f>
        <v>DIRETRIZES PARA ENTREGA DE ATESTADOS MÉDICOS E ODONTOLÓGICOS</v>
      </c>
      <c r="G1408" s="4" t="s">
        <v>22</v>
      </c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 spans="1:26" ht="14.25" customHeight="1">
      <c r="A1409" s="4">
        <v>15011</v>
      </c>
      <c r="B1409" s="4" t="str">
        <f>IFERROR(VLOOKUP(A1409,Colaboradores!A:D,2,),"")</f>
        <v>RAFAEL FREITAS DE PAULA</v>
      </c>
      <c r="C1409" s="4" t="str">
        <f>IFERROR(VLOOKUP(A1409,Colaboradores!A:D,3,),"")</f>
        <v>GESTÃO INTEGRADA</v>
      </c>
      <c r="D1409" s="4" t="str">
        <f>IFERROR(VLOOKUP(A1409,Colaboradores!A:D,4,),"")</f>
        <v>ANALISTA DA QUALIDADE</v>
      </c>
      <c r="E1409" s="4" t="s">
        <v>52</v>
      </c>
      <c r="F1409" s="5" t="str">
        <f>IFERROR(VLOOKUP(E1409,Procedimentos!A:C,2,),"")</f>
        <v>DIRETRIZES E ACOMPANHAMENTO  DE ACIDENTE COM MATERIAL BIOLOGICO</v>
      </c>
      <c r="G1409" s="4" t="s">
        <v>22</v>
      </c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 spans="1:26" ht="14.25" customHeight="1">
      <c r="A1410" s="4">
        <v>15011</v>
      </c>
      <c r="B1410" s="4" t="str">
        <f>IFERROR(VLOOKUP(A1410,Colaboradores!A:D,2,),"")</f>
        <v>RAFAEL FREITAS DE PAULA</v>
      </c>
      <c r="C1410" s="4" t="str">
        <f>IFERROR(VLOOKUP(A1410,Colaboradores!A:D,3,),"")</f>
        <v>GESTÃO INTEGRADA</v>
      </c>
      <c r="D1410" s="4" t="str">
        <f>IFERROR(VLOOKUP(A1410,Colaboradores!A:D,4,),"")</f>
        <v>ANALISTA DA QUALIDADE</v>
      </c>
      <c r="E1410" s="4" t="s">
        <v>53</v>
      </c>
      <c r="F1410" s="5" t="str">
        <f>IFERROR(VLOOKUP(E1410,Procedimentos!A:C,2,),"")</f>
        <v>DIRETRIZES PARA MONITORAMENTO DE GESTANTE</v>
      </c>
      <c r="G1410" s="4" t="s">
        <v>22</v>
      </c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 spans="1:26" ht="14.25" customHeight="1">
      <c r="A1411" s="4">
        <v>15011</v>
      </c>
      <c r="B1411" s="4" t="str">
        <f>IFERROR(VLOOKUP(A1411,Colaboradores!A:D,2,),"")</f>
        <v>RAFAEL FREITAS DE PAULA</v>
      </c>
      <c r="C1411" s="4" t="str">
        <f>IFERROR(VLOOKUP(A1411,Colaboradores!A:D,3,),"")</f>
        <v>GESTÃO INTEGRADA</v>
      </c>
      <c r="D1411" s="4" t="str">
        <f>IFERROR(VLOOKUP(A1411,Colaboradores!A:D,4,),"")</f>
        <v>ANALISTA DA QUALIDADE</v>
      </c>
      <c r="E1411" s="4" t="s">
        <v>54</v>
      </c>
      <c r="F1411" s="5" t="str">
        <f>IFERROR(VLOOKUP(E1411,Procedimentos!A:C,2,),"")</f>
        <v>DIRETRIZES DE IMUNIZAÇÃO OCUPACIONAL</v>
      </c>
      <c r="G1411" s="4" t="s">
        <v>22</v>
      </c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 spans="1:26" ht="14.25" customHeight="1">
      <c r="A1412" s="4">
        <v>15011</v>
      </c>
      <c r="B1412" s="4" t="str">
        <f>IFERROR(VLOOKUP(A1412,Colaboradores!A:D,2,),"")</f>
        <v>RAFAEL FREITAS DE PAULA</v>
      </c>
      <c r="C1412" s="4" t="str">
        <f>IFERROR(VLOOKUP(A1412,Colaboradores!A:D,3,),"")</f>
        <v>GESTÃO INTEGRADA</v>
      </c>
      <c r="D1412" s="4" t="str">
        <f>IFERROR(VLOOKUP(A1412,Colaboradores!A:D,4,),"")</f>
        <v>ANALISTA DA QUALIDADE</v>
      </c>
      <c r="E1412" s="4" t="s">
        <v>55</v>
      </c>
      <c r="F1412" s="5" t="str">
        <f>IFERROR(VLOOKUP(E1412,Procedimentos!A:C,2,),"")</f>
        <v>DIRETRIZES PARA ACOMPANHAMENTO DE AFASTADOS</v>
      </c>
      <c r="G1412" s="4" t="s">
        <v>22</v>
      </c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 spans="1:26" ht="14.25" customHeight="1">
      <c r="A1413" s="4">
        <v>15011</v>
      </c>
      <c r="B1413" s="4" t="str">
        <f>IFERROR(VLOOKUP(A1413,Colaboradores!A:D,2,),"")</f>
        <v>RAFAEL FREITAS DE PAULA</v>
      </c>
      <c r="C1413" s="4" t="str">
        <f>IFERROR(VLOOKUP(A1413,Colaboradores!A:D,3,),"")</f>
        <v>GESTÃO INTEGRADA</v>
      </c>
      <c r="D1413" s="4" t="str">
        <f>IFERROR(VLOOKUP(A1413,Colaboradores!A:D,4,),"")</f>
        <v>ANALISTA DA QUALIDADE</v>
      </c>
      <c r="E1413" s="4" t="s">
        <v>46</v>
      </c>
      <c r="F1413" s="5" t="str">
        <f>IFERROR(VLOOKUP(E1413,Procedimentos!A:C,2,),"")</f>
        <v>POLÍTICA DE SAÚDE E SEGURANÇA DO TRABALHO EMSERH</v>
      </c>
      <c r="G1413" s="4" t="s">
        <v>22</v>
      </c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 spans="1:26" ht="14.25" customHeight="1">
      <c r="A1414" s="4">
        <v>15011</v>
      </c>
      <c r="B1414" s="4" t="str">
        <f>IFERROR(VLOOKUP(A1414,Colaboradores!A:D,2,),"")</f>
        <v>RAFAEL FREITAS DE PAULA</v>
      </c>
      <c r="C1414" s="4" t="str">
        <f>IFERROR(VLOOKUP(A1414,Colaboradores!A:D,3,),"")</f>
        <v>GESTÃO INTEGRADA</v>
      </c>
      <c r="D1414" s="4" t="str">
        <f>IFERROR(VLOOKUP(A1414,Colaboradores!A:D,4,),"")</f>
        <v>ANALISTA DA QUALIDADE</v>
      </c>
      <c r="E1414" s="4" t="s">
        <v>41</v>
      </c>
      <c r="F1414" s="5" t="str">
        <f>IFERROR(VLOOKUP(E1414,Procedimentos!A:C,2,),"")</f>
        <v>DIRETRIZES PARA COMUNICAÇÃO E INVESTIGAÇÃO DE ACIDENTES</v>
      </c>
      <c r="G1414" s="4" t="s">
        <v>22</v>
      </c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 spans="1:26" ht="14.25" customHeight="1">
      <c r="A1415" s="4">
        <v>15011</v>
      </c>
      <c r="B1415" s="4" t="str">
        <f>IFERROR(VLOOKUP(A1415,Colaboradores!A:D,2,),"")</f>
        <v>RAFAEL FREITAS DE PAULA</v>
      </c>
      <c r="C1415" s="4" t="str">
        <f>IFERROR(VLOOKUP(A1415,Colaboradores!A:D,3,),"")</f>
        <v>GESTÃO INTEGRADA</v>
      </c>
      <c r="D1415" s="4" t="str">
        <f>IFERROR(VLOOKUP(A1415,Colaboradores!A:D,4,),"")</f>
        <v>ANALISTA DA QUALIDADE</v>
      </c>
      <c r="E1415" s="4" t="s">
        <v>43</v>
      </c>
      <c r="F1415" s="5" t="str">
        <f>IFERROR(VLOOKUP(E1415,Procedimentos!A:C,2,),"")</f>
        <v>DIÁLOGO DE SAÚDE E SEGURANÇA - DSS</v>
      </c>
      <c r="G1415" s="4" t="s">
        <v>22</v>
      </c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 spans="1:26" ht="14.25" customHeight="1">
      <c r="A1416" s="4">
        <v>15011</v>
      </c>
      <c r="B1416" s="4" t="str">
        <f>IFERROR(VLOOKUP(A1416,Colaboradores!A:D,2,),"")</f>
        <v>RAFAEL FREITAS DE PAULA</v>
      </c>
      <c r="C1416" s="4" t="str">
        <f>IFERROR(VLOOKUP(A1416,Colaboradores!A:D,3,),"")</f>
        <v>GESTÃO INTEGRADA</v>
      </c>
      <c r="D1416" s="4" t="str">
        <f>IFERROR(VLOOKUP(A1416,Colaboradores!A:D,4,),"")</f>
        <v>ANALISTA DA QUALIDADE</v>
      </c>
      <c r="E1416" s="4" t="s">
        <v>44</v>
      </c>
      <c r="F1416" s="5" t="str">
        <f>IFERROR(VLOOKUP(E1416,Procedimentos!A:C,2,),"")</f>
        <v>DIRETRIZES PARA GESTÃO DE EQUIPAMENTOS DE PROTEÇÃO INDIVIDUAL - EPI'S</v>
      </c>
      <c r="G1416" s="4" t="s">
        <v>22</v>
      </c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 spans="1:26" ht="14.25" customHeight="1">
      <c r="A1417" s="4">
        <v>15011</v>
      </c>
      <c r="B1417" s="4" t="str">
        <f>IFERROR(VLOOKUP(A1417,Colaboradores!A:D,2,),"")</f>
        <v>RAFAEL FREITAS DE PAULA</v>
      </c>
      <c r="C1417" s="4" t="str">
        <f>IFERROR(VLOOKUP(A1417,Colaboradores!A:D,3,),"")</f>
        <v>GESTÃO INTEGRADA</v>
      </c>
      <c r="D1417" s="4" t="str">
        <f>IFERROR(VLOOKUP(A1417,Colaboradores!A:D,4,),"")</f>
        <v>ANALISTA DA QUALIDADE</v>
      </c>
      <c r="E1417" s="4" t="s">
        <v>45</v>
      </c>
      <c r="F1417" s="5" t="str">
        <f>IFERROR(VLOOKUP(E1417,Procedimentos!A:C,2,),"")</f>
        <v>CONSTITUIÇÃO INTERNA DE PREVENÇÃO DE ACIDENTES E DE ASSÉDIOS - CIPA</v>
      </c>
      <c r="G1417" s="4" t="s">
        <v>22</v>
      </c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 spans="1:26" ht="14.25" customHeight="1">
      <c r="A1418" s="1">
        <v>15295</v>
      </c>
      <c r="B1418" s="4" t="s">
        <v>126</v>
      </c>
      <c r="C1418" s="4" t="str">
        <f>IFERROR(VLOOKUP(A1418,Colaboradores!A:D,3,),"")</f>
        <v>SAÚDE OCUPACIONAL</v>
      </c>
      <c r="D1418" s="4" t="s">
        <v>127</v>
      </c>
      <c r="E1418" s="4" t="s">
        <v>58</v>
      </c>
      <c r="F1418" s="5" t="str">
        <f>IFERROR(VLOOKUP(E1418,Procedimentos!A:C,2,),"")</f>
        <v>POLÍTICA DE QUALIDADE DA DIRETORIA</v>
      </c>
      <c r="G1418" s="4" t="s">
        <v>22</v>
      </c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 spans="1:26" ht="14.25" customHeight="1">
      <c r="A1419" s="1">
        <v>15295</v>
      </c>
      <c r="B1419" s="4" t="s">
        <v>126</v>
      </c>
      <c r="C1419" s="4" t="str">
        <f>IFERROR(VLOOKUP(A1419,Colaboradores!A:D,3,),"")</f>
        <v>SAÚDE OCUPACIONAL</v>
      </c>
      <c r="D1419" s="4" t="s">
        <v>127</v>
      </c>
      <c r="E1419" s="4" t="s">
        <v>19</v>
      </c>
      <c r="F1419" s="5" t="str">
        <f>IFERROR(VLOOKUP(E1419,Procedimentos!A:C,2,),"")</f>
        <v>DIRETRIZES PARA DOCUMENTOS NORMATIVOS</v>
      </c>
      <c r="G1419" s="4" t="s">
        <v>22</v>
      </c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 spans="1:26" ht="14.25" customHeight="1">
      <c r="A1420" s="1">
        <v>15295</v>
      </c>
      <c r="B1420" s="4" t="s">
        <v>126</v>
      </c>
      <c r="C1420" s="4" t="str">
        <f>IFERROR(VLOOKUP(A1420,Colaboradores!A:D,3,),"")</f>
        <v>SAÚDE OCUPACIONAL</v>
      </c>
      <c r="D1420" s="4" t="s">
        <v>127</v>
      </c>
      <c r="E1420" s="4" t="s">
        <v>24</v>
      </c>
      <c r="F1420" s="5" t="str">
        <f>IFERROR(VLOOKUP(E1420,Procedimentos!A:C,2,),"")</f>
        <v>DIRETRIZES  PARA PROGRAMA 5S</v>
      </c>
      <c r="G1420" s="4" t="s">
        <v>22</v>
      </c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 spans="1:26" ht="14.25" customHeight="1">
      <c r="A1421" s="1">
        <v>15295</v>
      </c>
      <c r="B1421" s="4" t="s">
        <v>126</v>
      </c>
      <c r="C1421" s="4" t="str">
        <f>IFERROR(VLOOKUP(A1421,Colaboradores!A:D,3,),"")</f>
        <v>SAÚDE OCUPACIONAL</v>
      </c>
      <c r="D1421" s="4" t="s">
        <v>127</v>
      </c>
      <c r="E1421" s="4" t="s">
        <v>25</v>
      </c>
      <c r="F1421" s="5" t="str">
        <f>IFERROR(VLOOKUP(E1421,Procedimentos!A:C,2,),"")</f>
        <v>GARANTIA DA QUALIDADE</v>
      </c>
      <c r="G1421" s="4" t="s">
        <v>22</v>
      </c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 spans="1:26" ht="14.25" customHeight="1">
      <c r="A1422" s="1">
        <v>15295</v>
      </c>
      <c r="B1422" s="4" t="s">
        <v>126</v>
      </c>
      <c r="C1422" s="4" t="str">
        <f>IFERROR(VLOOKUP(A1422,Colaboradores!A:D,3,),"")</f>
        <v>SAÚDE OCUPACIONAL</v>
      </c>
      <c r="D1422" s="4" t="s">
        <v>127</v>
      </c>
      <c r="E1422" s="4" t="s">
        <v>26</v>
      </c>
      <c r="F1422" s="5" t="str">
        <f>IFERROR(VLOOKUP(E1422,Procedimentos!A:C,2,),"")</f>
        <v>RESPONSABILIDADES E AUTORIDADES DO SGQ</v>
      </c>
      <c r="G1422" s="4" t="s">
        <v>22</v>
      </c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 spans="1:26" ht="14.25" customHeight="1">
      <c r="A1423" s="1">
        <v>15295</v>
      </c>
      <c r="B1423" s="4" t="str">
        <f>IFERROR(VLOOKUP(A1423,Colaboradores!A:D,2,),"")</f>
        <v>ANA CRISTINA GONÇALVES NUNES</v>
      </c>
      <c r="C1423" s="4" t="str">
        <f>IFERROR(VLOOKUP(A1423,Colaboradores!A:D,3,),"")</f>
        <v>SAÚDE OCUPACIONAL</v>
      </c>
      <c r="D1423" s="4" t="str">
        <f>IFERROR(VLOOKUP(A1423,Colaboradores!A:D,4,),"")</f>
        <v>ENFERMEIRA</v>
      </c>
      <c r="E1423" s="4" t="s">
        <v>73</v>
      </c>
      <c r="F1423" s="5" t="str">
        <f>IFERROR(VLOOKUP(E1423,Procedimentos!A:C,2,),"")</f>
        <v>AQUISIÇÃO DE BENS E SERVIÇOS E AVALIAÇÃO PROVEDORES EXTERNOS</v>
      </c>
      <c r="G1423" s="4" t="s">
        <v>22</v>
      </c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 spans="1:26" ht="14.25" customHeight="1">
      <c r="A1424" s="1">
        <v>15295</v>
      </c>
      <c r="B1424" s="4" t="s">
        <v>126</v>
      </c>
      <c r="C1424" s="4" t="str">
        <f>IFERROR(VLOOKUP(A1424,Colaboradores!A:D,3,),"")</f>
        <v>SAÚDE OCUPACIONAL</v>
      </c>
      <c r="D1424" s="4" t="s">
        <v>127</v>
      </c>
      <c r="E1424" s="4" t="s">
        <v>48</v>
      </c>
      <c r="F1424" s="5" t="str">
        <f>IFERROR(VLOOKUP(E1424,Procedimentos!A:C,2,),"")</f>
        <v>POLÍTICA MEIO AMBIENTE EMSERH</v>
      </c>
      <c r="G1424" s="4" t="s">
        <v>22</v>
      </c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 spans="1:26" ht="14.25" customHeight="1">
      <c r="A1425" s="1">
        <v>15295</v>
      </c>
      <c r="B1425" s="4" t="s">
        <v>126</v>
      </c>
      <c r="C1425" s="4" t="str">
        <f>IFERROR(VLOOKUP(A1425,Colaboradores!A:D,3,),"")</f>
        <v>SAÚDE OCUPACIONAL</v>
      </c>
      <c r="D1425" s="4" t="s">
        <v>127</v>
      </c>
      <c r="E1425" s="4" t="s">
        <v>29</v>
      </c>
      <c r="F1425" s="5" t="str">
        <f>IFERROR(VLOOKUP(E1425,Procedimentos!A:C,2,),"")</f>
        <v>COLETA SELETIVA DESSMA</v>
      </c>
      <c r="G1425" s="4" t="s">
        <v>22</v>
      </c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 spans="1:26" ht="14.25" customHeight="1">
      <c r="A1426" s="1">
        <v>15295</v>
      </c>
      <c r="B1426" s="4" t="s">
        <v>126</v>
      </c>
      <c r="C1426" s="4" t="s">
        <v>47</v>
      </c>
      <c r="D1426" s="4" t="s">
        <v>127</v>
      </c>
      <c r="E1426" s="4" t="s">
        <v>36</v>
      </c>
      <c r="F1426" s="5" t="str">
        <f>IFERROR(VLOOKUP(E1426,Procedimentos!A:C,2,),"")</f>
        <v>GESTÃO DE PRODUTOS QUÍMICOS</v>
      </c>
      <c r="G1426" s="4" t="s">
        <v>22</v>
      </c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 spans="1:26" ht="14.25" customHeight="1">
      <c r="A1427" s="1">
        <v>15295</v>
      </c>
      <c r="B1427" s="4" t="s">
        <v>126</v>
      </c>
      <c r="C1427" s="4" t="str">
        <f>IFERROR(VLOOKUP(A1427,Colaboradores!A:D,3,),"")</f>
        <v>SAÚDE OCUPACIONAL</v>
      </c>
      <c r="D1427" s="4" t="s">
        <v>127</v>
      </c>
      <c r="E1427" s="4" t="s">
        <v>32</v>
      </c>
      <c r="F1427" s="5" t="str">
        <f>IFERROR(VLOOKUP(E1427,Procedimentos!A:C,2,),"")</f>
        <v>GESTÃO DE LEVANTAMENTO DE ASPECTOS E IMPACTOS AMBIENTAIS</v>
      </c>
      <c r="G1427" s="4" t="s">
        <v>22</v>
      </c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 spans="1:26" ht="14.25" customHeight="1">
      <c r="A1428" s="1">
        <v>15295</v>
      </c>
      <c r="B1428" s="4" t="s">
        <v>126</v>
      </c>
      <c r="C1428" s="4" t="str">
        <f>IFERROR(VLOOKUP(A1428,Colaboradores!A:D,3,),"")</f>
        <v>SAÚDE OCUPACIONAL</v>
      </c>
      <c r="D1428" s="4" t="s">
        <v>127</v>
      </c>
      <c r="E1428" s="4" t="s">
        <v>31</v>
      </c>
      <c r="F1428" s="5" t="str">
        <f>IFERROR(VLOOKUP(E1428,Procedimentos!A:C,2,),"")</f>
        <v>GESTÃO DE COMUNICAÇÃO, CLASSIFICAÇÃO E INVESTIGAÇÃO DE OCORRÊNCIAS AMBIENTAIS</v>
      </c>
      <c r="G1428" s="4" t="s">
        <v>22</v>
      </c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 spans="1:26" ht="14.25" customHeight="1">
      <c r="A1429" s="1">
        <v>15295</v>
      </c>
      <c r="B1429" s="4" t="s">
        <v>126</v>
      </c>
      <c r="C1429" s="4" t="str">
        <f>IFERROR(VLOOKUP(A1429,Colaboradores!A:D,3,),"")</f>
        <v>SAÚDE OCUPACIONAL</v>
      </c>
      <c r="D1429" s="4" t="s">
        <v>127</v>
      </c>
      <c r="E1429" s="4" t="s">
        <v>33</v>
      </c>
      <c r="F1429" s="5" t="str">
        <f>IFERROR(VLOOKUP(E1429,Procedimentos!A:C,2,),"")</f>
        <v>GESTÃO DE INSPEÇÕES AMBIENTAIS</v>
      </c>
      <c r="G1429" s="4" t="s">
        <v>22</v>
      </c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 spans="1:26" ht="14.25" customHeight="1">
      <c r="A1430" s="1">
        <v>15295</v>
      </c>
      <c r="B1430" s="4" t="s">
        <v>126</v>
      </c>
      <c r="C1430" s="4" t="str">
        <f>IFERROR(VLOOKUP(A1430,Colaboradores!A:D,3,),"")</f>
        <v>SAÚDE OCUPACIONAL</v>
      </c>
      <c r="D1430" s="4" t="s">
        <v>127</v>
      </c>
      <c r="E1430" s="4" t="s">
        <v>49</v>
      </c>
      <c r="F1430" s="5" t="str">
        <f>IFERROR(VLOOKUP(E1430,Procedimentos!A:C,2,),"")</f>
        <v>DIRETRIZES PARA REALIZAÇÃO DE EXAMES OCUPACIONAIS</v>
      </c>
      <c r="G1430" s="4" t="s">
        <v>22</v>
      </c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 spans="1:26" ht="14.25" customHeight="1">
      <c r="A1431" s="1">
        <v>15295</v>
      </c>
      <c r="B1431" s="4" t="s">
        <v>126</v>
      </c>
      <c r="C1431" s="4" t="str">
        <f>IFERROR(VLOOKUP(A1431,Colaboradores!A:D,3,),"")</f>
        <v>SAÚDE OCUPACIONAL</v>
      </c>
      <c r="D1431" s="4" t="s">
        <v>127</v>
      </c>
      <c r="E1431" s="4" t="s">
        <v>51</v>
      </c>
      <c r="F1431" s="5" t="str">
        <f>IFERROR(VLOOKUP(E1431,Procedimentos!A:C,2,),"")</f>
        <v>DIRETRIZES PARA ENTREGA DE ATESTADOS MÉDICOS E ODONTOLÓGICOS</v>
      </c>
      <c r="G1431" s="4" t="s">
        <v>22</v>
      </c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 spans="1:26" ht="14.25" customHeight="1">
      <c r="A1432" s="1">
        <v>15295</v>
      </c>
      <c r="B1432" s="4" t="s">
        <v>126</v>
      </c>
      <c r="C1432" s="4" t="str">
        <f>IFERROR(VLOOKUP(A1432,Colaboradores!A:D,3,),"")</f>
        <v>SAÚDE OCUPACIONAL</v>
      </c>
      <c r="D1432" s="4" t="s">
        <v>127</v>
      </c>
      <c r="E1432" s="4" t="s">
        <v>52</v>
      </c>
      <c r="F1432" s="5" t="str">
        <f>IFERROR(VLOOKUP(E1432,Procedimentos!A:C,2,),"")</f>
        <v>DIRETRIZES E ACOMPANHAMENTO  DE ACIDENTE COM MATERIAL BIOLOGICO</v>
      </c>
      <c r="G1432" s="4" t="s">
        <v>22</v>
      </c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 spans="1:26" ht="14.25" customHeight="1">
      <c r="A1433" s="1">
        <v>15295</v>
      </c>
      <c r="B1433" s="4" t="s">
        <v>126</v>
      </c>
      <c r="C1433" s="4" t="str">
        <f>IFERROR(VLOOKUP(A1433,Colaboradores!A:D,3,),"")</f>
        <v>SAÚDE OCUPACIONAL</v>
      </c>
      <c r="D1433" s="4" t="s">
        <v>127</v>
      </c>
      <c r="E1433" s="4" t="s">
        <v>53</v>
      </c>
      <c r="F1433" s="5" t="str">
        <f>IFERROR(VLOOKUP(E1433,Procedimentos!A:C,2,),"")</f>
        <v>DIRETRIZES PARA MONITORAMENTO DE GESTANTE</v>
      </c>
      <c r="G1433" s="4" t="s">
        <v>22</v>
      </c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 spans="1:26" ht="14.25" customHeight="1">
      <c r="A1434" s="1">
        <v>15295</v>
      </c>
      <c r="B1434" s="4" t="s">
        <v>126</v>
      </c>
      <c r="C1434" s="4" t="str">
        <f>IFERROR(VLOOKUP(A1434,Colaboradores!A:D,3,),"")</f>
        <v>SAÚDE OCUPACIONAL</v>
      </c>
      <c r="D1434" s="4" t="s">
        <v>127</v>
      </c>
      <c r="E1434" s="4" t="s">
        <v>54</v>
      </c>
      <c r="F1434" s="5" t="str">
        <f>IFERROR(VLOOKUP(E1434,Procedimentos!A:C,2,),"")</f>
        <v>DIRETRIZES DE IMUNIZAÇÃO OCUPACIONAL</v>
      </c>
      <c r="G1434" s="4" t="s">
        <v>22</v>
      </c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 spans="1:26" ht="14.25" customHeight="1">
      <c r="A1435" s="1">
        <v>15295</v>
      </c>
      <c r="B1435" s="4" t="s">
        <v>126</v>
      </c>
      <c r="C1435" s="4" t="str">
        <f>IFERROR(VLOOKUP(A1435,Colaboradores!A:D,3,),"")</f>
        <v>SAÚDE OCUPACIONAL</v>
      </c>
      <c r="D1435" s="4" t="s">
        <v>127</v>
      </c>
      <c r="E1435" s="4" t="s">
        <v>55</v>
      </c>
      <c r="F1435" s="5" t="str">
        <f>IFERROR(VLOOKUP(E1435,Procedimentos!A:C,2,),"")</f>
        <v>DIRETRIZES PARA ACOMPANHAMENTO DE AFASTADOS</v>
      </c>
      <c r="G1435" s="4" t="s">
        <v>22</v>
      </c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 spans="1:26" ht="14.25" customHeight="1">
      <c r="A1436" s="1">
        <v>15295</v>
      </c>
      <c r="B1436" s="4" t="s">
        <v>126</v>
      </c>
      <c r="C1436" s="4" t="str">
        <f>IFERROR(VLOOKUP(A1436,Colaboradores!A:D,3,),"")</f>
        <v>SAÚDE OCUPACIONAL</v>
      </c>
      <c r="D1436" s="4" t="s">
        <v>127</v>
      </c>
      <c r="E1436" s="4" t="s">
        <v>46</v>
      </c>
      <c r="F1436" s="5" t="str">
        <f>IFERROR(VLOOKUP(E1436,Procedimentos!A:C,2,),"")</f>
        <v>POLÍTICA DE SAÚDE E SEGURANÇA DO TRABALHO EMSERH</v>
      </c>
      <c r="G1436" s="4" t="s">
        <v>22</v>
      </c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 spans="1:26" ht="14.25" customHeight="1">
      <c r="A1437" s="1">
        <v>15295</v>
      </c>
      <c r="B1437" s="4" t="s">
        <v>126</v>
      </c>
      <c r="C1437" s="4" t="str">
        <f>IFERROR(VLOOKUP(A1437,Colaboradores!A:D,3,),"")</f>
        <v>SAÚDE OCUPACIONAL</v>
      </c>
      <c r="D1437" s="4" t="s">
        <v>127</v>
      </c>
      <c r="E1437" s="4" t="s">
        <v>41</v>
      </c>
      <c r="F1437" s="5" t="str">
        <f>IFERROR(VLOOKUP(E1437,Procedimentos!A:C,2,),"")</f>
        <v>DIRETRIZES PARA COMUNICAÇÃO E INVESTIGAÇÃO DE ACIDENTES</v>
      </c>
      <c r="G1437" s="4" t="s">
        <v>22</v>
      </c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 spans="1:26" ht="14.25" customHeight="1">
      <c r="A1438" s="1">
        <v>15295</v>
      </c>
      <c r="B1438" s="4" t="s">
        <v>126</v>
      </c>
      <c r="C1438" s="4" t="str">
        <f>IFERROR(VLOOKUP(A1438,Colaboradores!A:D,3,),"")</f>
        <v>SAÚDE OCUPACIONAL</v>
      </c>
      <c r="D1438" s="4" t="s">
        <v>127</v>
      </c>
      <c r="E1438" s="4" t="s">
        <v>43</v>
      </c>
      <c r="F1438" s="5" t="str">
        <f>IFERROR(VLOOKUP(E1438,Procedimentos!A:C,2,),"")</f>
        <v>DIÁLOGO DE SAÚDE E SEGURANÇA - DSS</v>
      </c>
      <c r="G1438" s="4" t="s">
        <v>22</v>
      </c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 spans="1:26" ht="14.25" customHeight="1">
      <c r="A1439" s="1">
        <v>15295</v>
      </c>
      <c r="B1439" s="4" t="s">
        <v>126</v>
      </c>
      <c r="C1439" s="4" t="str">
        <f>IFERROR(VLOOKUP(A1439,Colaboradores!A:D,3,),"")</f>
        <v>SAÚDE OCUPACIONAL</v>
      </c>
      <c r="D1439" s="4" t="s">
        <v>127</v>
      </c>
      <c r="E1439" s="4" t="s">
        <v>44</v>
      </c>
      <c r="F1439" s="5" t="str">
        <f>IFERROR(VLOOKUP(E1439,Procedimentos!A:C,2,),"")</f>
        <v>DIRETRIZES PARA GESTÃO DE EQUIPAMENTOS DE PROTEÇÃO INDIVIDUAL - EPI'S</v>
      </c>
      <c r="G1439" s="4" t="s">
        <v>22</v>
      </c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 spans="1:26" ht="14.25" customHeight="1">
      <c r="A1440" s="1">
        <v>15295</v>
      </c>
      <c r="B1440" s="4" t="s">
        <v>126</v>
      </c>
      <c r="C1440" s="4" t="str">
        <f>IFERROR(VLOOKUP(A1440,Colaboradores!A:D,3,),"")</f>
        <v>SAÚDE OCUPACIONAL</v>
      </c>
      <c r="D1440" s="4" t="s">
        <v>127</v>
      </c>
      <c r="E1440" s="4" t="s">
        <v>45</v>
      </c>
      <c r="F1440" s="5" t="str">
        <f>IFERROR(VLOOKUP(E1440,Procedimentos!A:C,2,),"")</f>
        <v>CONSTITUIÇÃO INTERNA DE PREVENÇÃO DE ACIDENTES E DE ASSÉDIOS - CIPA</v>
      </c>
      <c r="G1440" s="4" t="s">
        <v>22</v>
      </c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 spans="1:26" ht="14.25" customHeight="1">
      <c r="A1441" s="4">
        <v>12330</v>
      </c>
      <c r="B1441" s="4" t="str">
        <f>IFERROR(VLOOKUP(A1441,Colaboradores!A:D,2,),"")</f>
        <v>BIANCA GUEDES SILVA ALMEIDA</v>
      </c>
      <c r="C1441" s="4" t="str">
        <f>IFERROR(VLOOKUP(A1441,Colaboradores!A:D,3,),"")</f>
        <v>SAÚDE OCUPACIONAL</v>
      </c>
      <c r="D1441" s="4" t="str">
        <f>IFERROR(VLOOKUP(A1441,Colaboradores!A:D,4,),"")</f>
        <v>NUTRICIONISTA</v>
      </c>
      <c r="E1441" s="4" t="s">
        <v>58</v>
      </c>
      <c r="F1441" s="5" t="str">
        <f>IFERROR(VLOOKUP(E1441,Procedimentos!A:C,2,),"")</f>
        <v>POLÍTICA DE QUALIDADE DA DIRETORIA</v>
      </c>
      <c r="G1441" s="4" t="s">
        <v>22</v>
      </c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 spans="1:26" ht="14.25" customHeight="1">
      <c r="A1442" s="4">
        <v>12330</v>
      </c>
      <c r="B1442" s="4" t="str">
        <f>IFERROR(VLOOKUP(A1442,Colaboradores!A:D,2,),"")</f>
        <v>BIANCA GUEDES SILVA ALMEIDA</v>
      </c>
      <c r="C1442" s="4" t="str">
        <f>IFERROR(VLOOKUP(A1442,Colaboradores!A:D,3,),"")</f>
        <v>SAÚDE OCUPACIONAL</v>
      </c>
      <c r="D1442" s="4" t="str">
        <f>IFERROR(VLOOKUP(A1442,Colaboradores!A:D,4,),"")</f>
        <v>NUTRICIONISTA</v>
      </c>
      <c r="E1442" s="4" t="s">
        <v>19</v>
      </c>
      <c r="F1442" s="5" t="str">
        <f>IFERROR(VLOOKUP(E1442,Procedimentos!A:C,2,),"")</f>
        <v>DIRETRIZES PARA DOCUMENTOS NORMATIVOS</v>
      </c>
      <c r="G1442" s="4" t="s">
        <v>22</v>
      </c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 spans="1:26" ht="14.25" customHeight="1">
      <c r="A1443" s="4">
        <v>12330</v>
      </c>
      <c r="B1443" s="4" t="str">
        <f>IFERROR(VLOOKUP(A1443,Colaboradores!A:D,2,),"")</f>
        <v>BIANCA GUEDES SILVA ALMEIDA</v>
      </c>
      <c r="C1443" s="4" t="str">
        <f>IFERROR(VLOOKUP(A1443,Colaboradores!A:D,3,),"")</f>
        <v>SAÚDE OCUPACIONAL</v>
      </c>
      <c r="D1443" s="4" t="str">
        <f>IFERROR(VLOOKUP(A1443,Colaboradores!A:D,4,),"")</f>
        <v>NUTRICIONISTA</v>
      </c>
      <c r="E1443" s="4" t="s">
        <v>24</v>
      </c>
      <c r="F1443" s="5" t="str">
        <f>IFERROR(VLOOKUP(E1443,Procedimentos!A:C,2,),"")</f>
        <v>DIRETRIZES  PARA PROGRAMA 5S</v>
      </c>
      <c r="G1443" s="4" t="s">
        <v>22</v>
      </c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 spans="1:26" ht="14.25" customHeight="1">
      <c r="A1444" s="4">
        <v>12330</v>
      </c>
      <c r="B1444" s="4" t="str">
        <f>IFERROR(VLOOKUP(A1444,Colaboradores!A:D,2,),"")</f>
        <v>BIANCA GUEDES SILVA ALMEIDA</v>
      </c>
      <c r="C1444" s="4" t="str">
        <f>IFERROR(VLOOKUP(A1444,Colaboradores!A:D,3,),"")</f>
        <v>SAÚDE OCUPACIONAL</v>
      </c>
      <c r="D1444" s="4" t="str">
        <f>IFERROR(VLOOKUP(A1444,Colaboradores!A:D,4,),"")</f>
        <v>NUTRICIONISTA</v>
      </c>
      <c r="E1444" s="4" t="s">
        <v>25</v>
      </c>
      <c r="F1444" s="5" t="str">
        <f>IFERROR(VLOOKUP(E1444,Procedimentos!A:C,2,),"")</f>
        <v>GARANTIA DA QUALIDADE</v>
      </c>
      <c r="G1444" s="4" t="s">
        <v>22</v>
      </c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 spans="1:26" ht="14.25" customHeight="1">
      <c r="A1445" s="4">
        <v>12330</v>
      </c>
      <c r="B1445" s="4" t="str">
        <f>IFERROR(VLOOKUP(A1445,Colaboradores!A:D,2,),"")</f>
        <v>BIANCA GUEDES SILVA ALMEIDA</v>
      </c>
      <c r="C1445" s="4" t="str">
        <f>IFERROR(VLOOKUP(A1445,Colaboradores!A:D,3,),"")</f>
        <v>SAÚDE OCUPACIONAL</v>
      </c>
      <c r="D1445" s="4" t="str">
        <f>IFERROR(VLOOKUP(A1445,Colaboradores!A:D,4,),"")</f>
        <v>NUTRICIONISTA</v>
      </c>
      <c r="E1445" s="4" t="s">
        <v>26</v>
      </c>
      <c r="F1445" s="5" t="str">
        <f>IFERROR(VLOOKUP(E1445,Procedimentos!A:C,2,),"")</f>
        <v>RESPONSABILIDADES E AUTORIDADES DO SGQ</v>
      </c>
      <c r="G1445" s="4" t="s">
        <v>22</v>
      </c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 spans="1:26" ht="14.25" customHeight="1">
      <c r="A1446" s="4">
        <v>12330</v>
      </c>
      <c r="B1446" s="4" t="str">
        <f>IFERROR(VLOOKUP(A1446,Colaboradores!A:D,2,),"")</f>
        <v>BIANCA GUEDES SILVA ALMEIDA</v>
      </c>
      <c r="C1446" s="4" t="str">
        <f>IFERROR(VLOOKUP(A1446,Colaboradores!A:D,3,),"")</f>
        <v>SAÚDE OCUPACIONAL</v>
      </c>
      <c r="D1446" s="4" t="str">
        <f>IFERROR(VLOOKUP(A1446,Colaboradores!A:D,4,),"")</f>
        <v>NUTRICIONISTA</v>
      </c>
      <c r="E1446" s="4" t="s">
        <v>73</v>
      </c>
      <c r="F1446" s="5" t="str">
        <f>IFERROR(VLOOKUP(E1446,Procedimentos!A:C,2,),"")</f>
        <v>AQUISIÇÃO DE BENS E SERVIÇOS E AVALIAÇÃO PROVEDORES EXTERNOS</v>
      </c>
      <c r="G1446" s="4" t="s">
        <v>22</v>
      </c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 spans="1:26" ht="14.25" customHeight="1">
      <c r="A1447" s="4">
        <v>12330</v>
      </c>
      <c r="B1447" s="4" t="str">
        <f>IFERROR(VLOOKUP(A1447,Colaboradores!A:D,2,),"")</f>
        <v>BIANCA GUEDES SILVA ALMEIDA</v>
      </c>
      <c r="C1447" s="4" t="str">
        <f>IFERROR(VLOOKUP(A1447,Colaboradores!A:D,3,),"")</f>
        <v>SAÚDE OCUPACIONAL</v>
      </c>
      <c r="D1447" s="4" t="str">
        <f>IFERROR(VLOOKUP(A1447,Colaboradores!A:D,4,),"")</f>
        <v>NUTRICIONISTA</v>
      </c>
      <c r="E1447" s="4" t="s">
        <v>48</v>
      </c>
      <c r="F1447" s="5" t="str">
        <f>IFERROR(VLOOKUP(E1447,Procedimentos!A:C,2,),"")</f>
        <v>POLÍTICA MEIO AMBIENTE EMSERH</v>
      </c>
      <c r="G1447" s="4" t="s">
        <v>22</v>
      </c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 spans="1:26" ht="14.25" customHeight="1">
      <c r="A1448" s="4">
        <v>12330</v>
      </c>
      <c r="B1448" s="4" t="str">
        <f>IFERROR(VLOOKUP(A1448,Colaboradores!A:D,2,),"")</f>
        <v>BIANCA GUEDES SILVA ALMEIDA</v>
      </c>
      <c r="C1448" s="4" t="str">
        <f>IFERROR(VLOOKUP(A1448,Colaboradores!A:D,3,),"")</f>
        <v>SAÚDE OCUPACIONAL</v>
      </c>
      <c r="D1448" s="4" t="str">
        <f>IFERROR(VLOOKUP(A1448,Colaboradores!A:D,4,),"")</f>
        <v>NUTRICIONISTA</v>
      </c>
      <c r="E1448" s="4" t="s">
        <v>29</v>
      </c>
      <c r="F1448" s="5" t="str">
        <f>IFERROR(VLOOKUP(E1448,Procedimentos!A:C,2,),"")</f>
        <v>COLETA SELETIVA DESSMA</v>
      </c>
      <c r="G1448" s="4" t="s">
        <v>22</v>
      </c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 spans="1:26" ht="14.25" customHeight="1">
      <c r="A1449" s="4">
        <v>12330</v>
      </c>
      <c r="B1449" s="4" t="str">
        <f>IFERROR(VLOOKUP(A1449,Colaboradores!A:D,2,),"")</f>
        <v>BIANCA GUEDES SILVA ALMEIDA</v>
      </c>
      <c r="C1449" s="4" t="str">
        <f>IFERROR(VLOOKUP(A1449,Colaboradores!A:D,3,),"")</f>
        <v>SAÚDE OCUPACIONAL</v>
      </c>
      <c r="D1449" s="4" t="str">
        <f>IFERROR(VLOOKUP(A1449,Colaboradores!A:D,4,),"")</f>
        <v>NUTRICIONISTA</v>
      </c>
      <c r="E1449" s="4" t="s">
        <v>36</v>
      </c>
      <c r="F1449" s="5" t="str">
        <f>IFERROR(VLOOKUP(E1449,Procedimentos!A:C,2,),"")</f>
        <v>GESTÃO DE PRODUTOS QUÍMICOS</v>
      </c>
      <c r="G1449" s="4" t="s">
        <v>22</v>
      </c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 spans="1:26" ht="14.25" customHeight="1">
      <c r="A1450" s="4">
        <v>12330</v>
      </c>
      <c r="B1450" s="4" t="str">
        <f>IFERROR(VLOOKUP(A1450,Colaboradores!A:D,2,),"")</f>
        <v>BIANCA GUEDES SILVA ALMEIDA</v>
      </c>
      <c r="C1450" s="4" t="str">
        <f>IFERROR(VLOOKUP(A1450,Colaboradores!A:D,3,),"")</f>
        <v>SAÚDE OCUPACIONAL</v>
      </c>
      <c r="D1450" s="4" t="str">
        <f>IFERROR(VLOOKUP(A1450,Colaboradores!A:D,4,),"")</f>
        <v>NUTRICIONISTA</v>
      </c>
      <c r="E1450" s="4" t="s">
        <v>32</v>
      </c>
      <c r="F1450" s="5" t="str">
        <f>IFERROR(VLOOKUP(E1450,Procedimentos!A:C,2,),"")</f>
        <v>GESTÃO DE LEVANTAMENTO DE ASPECTOS E IMPACTOS AMBIENTAIS</v>
      </c>
      <c r="G1450" s="4" t="s">
        <v>22</v>
      </c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 spans="1:26" ht="14.25" customHeight="1">
      <c r="A1451" s="4">
        <v>12330</v>
      </c>
      <c r="B1451" s="4" t="str">
        <f>IFERROR(VLOOKUP(A1451,Colaboradores!A:D,2,),"")</f>
        <v>BIANCA GUEDES SILVA ALMEIDA</v>
      </c>
      <c r="C1451" s="4" t="str">
        <f>IFERROR(VLOOKUP(A1451,Colaboradores!A:D,3,),"")</f>
        <v>SAÚDE OCUPACIONAL</v>
      </c>
      <c r="D1451" s="4" t="str">
        <f>IFERROR(VLOOKUP(A1451,Colaboradores!A:D,4,),"")</f>
        <v>NUTRICIONISTA</v>
      </c>
      <c r="E1451" s="4" t="s">
        <v>31</v>
      </c>
      <c r="F1451" s="5" t="str">
        <f>IFERROR(VLOOKUP(E1451,Procedimentos!A:C,2,),"")</f>
        <v>GESTÃO DE COMUNICAÇÃO, CLASSIFICAÇÃO E INVESTIGAÇÃO DE OCORRÊNCIAS AMBIENTAIS</v>
      </c>
      <c r="G1451" s="4" t="s">
        <v>22</v>
      </c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 spans="1:26" ht="14.25" customHeight="1">
      <c r="A1452" s="4">
        <v>12330</v>
      </c>
      <c r="B1452" s="4" t="str">
        <f>IFERROR(VLOOKUP(A1452,Colaboradores!A:D,2,),"")</f>
        <v>BIANCA GUEDES SILVA ALMEIDA</v>
      </c>
      <c r="C1452" s="4" t="str">
        <f>IFERROR(VLOOKUP(A1452,Colaboradores!A:D,3,),"")</f>
        <v>SAÚDE OCUPACIONAL</v>
      </c>
      <c r="D1452" s="4" t="str">
        <f>IFERROR(VLOOKUP(A1452,Colaboradores!A:D,4,),"")</f>
        <v>NUTRICIONISTA</v>
      </c>
      <c r="E1452" s="4" t="s">
        <v>33</v>
      </c>
      <c r="F1452" s="5" t="str">
        <f>IFERROR(VLOOKUP(E1452,Procedimentos!A:C,2,),"")</f>
        <v>GESTÃO DE INSPEÇÕES AMBIENTAIS</v>
      </c>
      <c r="G1452" s="4" t="s">
        <v>22</v>
      </c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 spans="1:26" ht="14.25" customHeight="1">
      <c r="A1453" s="4">
        <v>12330</v>
      </c>
      <c r="B1453" s="4" t="str">
        <f>IFERROR(VLOOKUP(A1453,Colaboradores!A:D,2,),"")</f>
        <v>BIANCA GUEDES SILVA ALMEIDA</v>
      </c>
      <c r="C1453" s="4" t="str">
        <f>IFERROR(VLOOKUP(A1453,Colaboradores!A:D,3,),"")</f>
        <v>SAÚDE OCUPACIONAL</v>
      </c>
      <c r="D1453" s="4" t="str">
        <f>IFERROR(VLOOKUP(A1453,Colaboradores!A:D,4,),"")</f>
        <v>NUTRICIONISTA</v>
      </c>
      <c r="E1453" s="4" t="s">
        <v>49</v>
      </c>
      <c r="F1453" s="5" t="str">
        <f>IFERROR(VLOOKUP(E1453,Procedimentos!A:C,2,),"")</f>
        <v>DIRETRIZES PARA REALIZAÇÃO DE EXAMES OCUPACIONAIS</v>
      </c>
      <c r="G1453" s="4" t="s">
        <v>22</v>
      </c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 spans="1:26" ht="14.25" customHeight="1">
      <c r="A1454" s="4">
        <v>12330</v>
      </c>
      <c r="B1454" s="4" t="str">
        <f>IFERROR(VLOOKUP(A1454,Colaboradores!A:D,2,),"")</f>
        <v>BIANCA GUEDES SILVA ALMEIDA</v>
      </c>
      <c r="C1454" s="4" t="str">
        <f>IFERROR(VLOOKUP(A1454,Colaboradores!A:D,3,),"")</f>
        <v>SAÚDE OCUPACIONAL</v>
      </c>
      <c r="D1454" s="4" t="str">
        <f>IFERROR(VLOOKUP(A1454,Colaboradores!A:D,4,),"")</f>
        <v>NUTRICIONISTA</v>
      </c>
      <c r="E1454" s="4" t="s">
        <v>51</v>
      </c>
      <c r="F1454" s="5" t="str">
        <f>IFERROR(VLOOKUP(E1454,Procedimentos!A:C,2,),"")</f>
        <v>DIRETRIZES PARA ENTREGA DE ATESTADOS MÉDICOS E ODONTOLÓGICOS</v>
      </c>
      <c r="G1454" s="4" t="s">
        <v>22</v>
      </c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 spans="1:26" ht="14.25" customHeight="1">
      <c r="A1455" s="4">
        <v>12330</v>
      </c>
      <c r="B1455" s="4" t="str">
        <f>IFERROR(VLOOKUP(A1455,Colaboradores!A:D,2,),"")</f>
        <v>BIANCA GUEDES SILVA ALMEIDA</v>
      </c>
      <c r="C1455" s="4" t="str">
        <f>IFERROR(VLOOKUP(A1455,Colaboradores!A:D,3,),"")</f>
        <v>SAÚDE OCUPACIONAL</v>
      </c>
      <c r="D1455" s="4" t="str">
        <f>IFERROR(VLOOKUP(A1455,Colaboradores!A:D,4,),"")</f>
        <v>NUTRICIONISTA</v>
      </c>
      <c r="E1455" s="4" t="s">
        <v>52</v>
      </c>
      <c r="F1455" s="5" t="str">
        <f>IFERROR(VLOOKUP(E1455,Procedimentos!A:C,2,),"")</f>
        <v>DIRETRIZES E ACOMPANHAMENTO  DE ACIDENTE COM MATERIAL BIOLOGICO</v>
      </c>
      <c r="G1455" s="4" t="s">
        <v>22</v>
      </c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 spans="1:26" ht="14.25" customHeight="1">
      <c r="A1456" s="4">
        <v>12330</v>
      </c>
      <c r="B1456" s="4" t="str">
        <f>IFERROR(VLOOKUP(A1456,Colaboradores!A:D,2,),"")</f>
        <v>BIANCA GUEDES SILVA ALMEIDA</v>
      </c>
      <c r="C1456" s="4" t="str">
        <f>IFERROR(VLOOKUP(A1456,Colaboradores!A:D,3,),"")</f>
        <v>SAÚDE OCUPACIONAL</v>
      </c>
      <c r="D1456" s="4" t="str">
        <f>IFERROR(VLOOKUP(A1456,Colaboradores!A:D,4,),"")</f>
        <v>NUTRICIONISTA</v>
      </c>
      <c r="E1456" s="4" t="s">
        <v>53</v>
      </c>
      <c r="F1456" s="5" t="str">
        <f>IFERROR(VLOOKUP(E1456,Procedimentos!A:C,2,),"")</f>
        <v>DIRETRIZES PARA MONITORAMENTO DE GESTANTE</v>
      </c>
      <c r="G1456" s="4" t="s">
        <v>22</v>
      </c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 spans="1:26" ht="14.25" customHeight="1">
      <c r="A1457" s="4">
        <v>12330</v>
      </c>
      <c r="B1457" s="4" t="str">
        <f>IFERROR(VLOOKUP(A1457,Colaboradores!A:D,2,),"")</f>
        <v>BIANCA GUEDES SILVA ALMEIDA</v>
      </c>
      <c r="C1457" s="4" t="str">
        <f>IFERROR(VLOOKUP(A1457,Colaboradores!A:D,3,),"")</f>
        <v>SAÚDE OCUPACIONAL</v>
      </c>
      <c r="D1457" s="4" t="str">
        <f>IFERROR(VLOOKUP(A1457,Colaboradores!A:D,4,),"")</f>
        <v>NUTRICIONISTA</v>
      </c>
      <c r="E1457" s="4" t="s">
        <v>54</v>
      </c>
      <c r="F1457" s="5" t="str">
        <f>IFERROR(VLOOKUP(E1457,Procedimentos!A:C,2,),"")</f>
        <v>DIRETRIZES DE IMUNIZAÇÃO OCUPACIONAL</v>
      </c>
      <c r="G1457" s="4" t="s">
        <v>22</v>
      </c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 spans="1:26" ht="14.25" customHeight="1">
      <c r="A1458" s="4">
        <v>12330</v>
      </c>
      <c r="B1458" s="4" t="str">
        <f>IFERROR(VLOOKUP(A1458,Colaboradores!A:D,2,),"")</f>
        <v>BIANCA GUEDES SILVA ALMEIDA</v>
      </c>
      <c r="C1458" s="4" t="str">
        <f>IFERROR(VLOOKUP(A1458,Colaboradores!A:D,3,),"")</f>
        <v>SAÚDE OCUPACIONAL</v>
      </c>
      <c r="D1458" s="4" t="str">
        <f>IFERROR(VLOOKUP(A1458,Colaboradores!A:D,4,),"")</f>
        <v>NUTRICIONISTA</v>
      </c>
      <c r="E1458" s="4" t="s">
        <v>55</v>
      </c>
      <c r="F1458" s="5" t="str">
        <f>IFERROR(VLOOKUP(E1458,Procedimentos!A:C,2,),"")</f>
        <v>DIRETRIZES PARA ACOMPANHAMENTO DE AFASTADOS</v>
      </c>
      <c r="G1458" s="4" t="s">
        <v>22</v>
      </c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 spans="1:26" ht="14.25" customHeight="1">
      <c r="A1459" s="4">
        <v>12330</v>
      </c>
      <c r="B1459" s="4" t="str">
        <f>IFERROR(VLOOKUP(A1459,Colaboradores!A:D,2,),"")</f>
        <v>BIANCA GUEDES SILVA ALMEIDA</v>
      </c>
      <c r="C1459" s="4" t="str">
        <f>IFERROR(VLOOKUP(A1459,Colaboradores!A:D,3,),"")</f>
        <v>SAÚDE OCUPACIONAL</v>
      </c>
      <c r="D1459" s="4" t="str">
        <f>IFERROR(VLOOKUP(A1459,Colaboradores!A:D,4,),"")</f>
        <v>NUTRICIONISTA</v>
      </c>
      <c r="E1459" s="4" t="s">
        <v>46</v>
      </c>
      <c r="F1459" s="5" t="str">
        <f>IFERROR(VLOOKUP(E1459,Procedimentos!A:C,2,),"")</f>
        <v>POLÍTICA DE SAÚDE E SEGURANÇA DO TRABALHO EMSERH</v>
      </c>
      <c r="G1459" s="4" t="s">
        <v>22</v>
      </c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 spans="1:26" ht="14.25" customHeight="1">
      <c r="A1460" s="4">
        <v>12330</v>
      </c>
      <c r="B1460" s="4" t="str">
        <f>IFERROR(VLOOKUP(A1460,Colaboradores!A:D,2,),"")</f>
        <v>BIANCA GUEDES SILVA ALMEIDA</v>
      </c>
      <c r="C1460" s="4" t="str">
        <f>IFERROR(VLOOKUP(A1460,Colaboradores!A:D,3,),"")</f>
        <v>SAÚDE OCUPACIONAL</v>
      </c>
      <c r="D1460" s="4" t="str">
        <f>IFERROR(VLOOKUP(A1460,Colaboradores!A:D,4,),"")</f>
        <v>NUTRICIONISTA</v>
      </c>
      <c r="E1460" s="4" t="s">
        <v>41</v>
      </c>
      <c r="F1460" s="5" t="str">
        <f>IFERROR(VLOOKUP(E1460,Procedimentos!A:C,2,),"")</f>
        <v>DIRETRIZES PARA COMUNICAÇÃO E INVESTIGAÇÃO DE ACIDENTES</v>
      </c>
      <c r="G1460" s="4" t="s">
        <v>22</v>
      </c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 spans="1:26" ht="14.25" customHeight="1">
      <c r="A1461" s="4">
        <v>12330</v>
      </c>
      <c r="B1461" s="4" t="str">
        <f>IFERROR(VLOOKUP(A1461,Colaboradores!A:D,2,),"")</f>
        <v>BIANCA GUEDES SILVA ALMEIDA</v>
      </c>
      <c r="C1461" s="4" t="str">
        <f>IFERROR(VLOOKUP(A1461,Colaboradores!A:D,3,),"")</f>
        <v>SAÚDE OCUPACIONAL</v>
      </c>
      <c r="D1461" s="4" t="str">
        <f>IFERROR(VLOOKUP(A1461,Colaboradores!A:D,4,),"")</f>
        <v>NUTRICIONISTA</v>
      </c>
      <c r="E1461" s="4" t="s">
        <v>43</v>
      </c>
      <c r="F1461" s="5" t="str">
        <f>IFERROR(VLOOKUP(E1461,Procedimentos!A:C,2,),"")</f>
        <v>DIÁLOGO DE SAÚDE E SEGURANÇA - DSS</v>
      </c>
      <c r="G1461" s="4" t="s">
        <v>22</v>
      </c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 spans="1:26" ht="14.25" customHeight="1">
      <c r="A1462" s="4">
        <v>12330</v>
      </c>
      <c r="B1462" s="4" t="str">
        <f>IFERROR(VLOOKUP(A1462,Colaboradores!A:D,2,),"")</f>
        <v>BIANCA GUEDES SILVA ALMEIDA</v>
      </c>
      <c r="C1462" s="4" t="str">
        <f>IFERROR(VLOOKUP(A1462,Colaboradores!A:D,3,),"")</f>
        <v>SAÚDE OCUPACIONAL</v>
      </c>
      <c r="D1462" s="4" t="str">
        <f>IFERROR(VLOOKUP(A1462,Colaboradores!A:D,4,),"")</f>
        <v>NUTRICIONISTA</v>
      </c>
      <c r="E1462" s="4" t="s">
        <v>44</v>
      </c>
      <c r="F1462" s="5" t="str">
        <f>IFERROR(VLOOKUP(E1462,Procedimentos!A:C,2,),"")</f>
        <v>DIRETRIZES PARA GESTÃO DE EQUIPAMENTOS DE PROTEÇÃO INDIVIDUAL - EPI'S</v>
      </c>
      <c r="G1462" s="4" t="s">
        <v>22</v>
      </c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 spans="1:26" ht="14.25" customHeight="1">
      <c r="A1463" s="4">
        <v>12330</v>
      </c>
      <c r="B1463" s="4" t="str">
        <f>IFERROR(VLOOKUP(A1463,Colaboradores!A:D,2,),"")</f>
        <v>BIANCA GUEDES SILVA ALMEIDA</v>
      </c>
      <c r="C1463" s="4" t="str">
        <f>IFERROR(VLOOKUP(A1463,Colaboradores!A:D,3,),"")</f>
        <v>SAÚDE OCUPACIONAL</v>
      </c>
      <c r="D1463" s="4" t="str">
        <f>IFERROR(VLOOKUP(A1463,Colaboradores!A:D,4,),"")</f>
        <v>NUTRICIONISTA</v>
      </c>
      <c r="E1463" s="4" t="s">
        <v>45</v>
      </c>
      <c r="F1463" s="5" t="str">
        <f>IFERROR(VLOOKUP(E1463,Procedimentos!A:C,2,),"")</f>
        <v>CONSTITUIÇÃO INTERNA DE PREVENÇÃO DE ACIDENTES E DE ASSÉDIOS - CIPA</v>
      </c>
      <c r="G1463" s="4" t="s">
        <v>22</v>
      </c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 spans="1:26" ht="14.25" customHeight="1">
      <c r="A1464" s="4">
        <v>3109</v>
      </c>
      <c r="B1464" s="4" t="str">
        <f>IFERROR(VLOOKUP(A1464,Colaboradores!A:D,2,),"")</f>
        <v>BRUNO ARRUDA DE AMORIM OLIVEIRA</v>
      </c>
      <c r="C1464" s="4" t="str">
        <f>IFERROR(VLOOKUP(A1464,Colaboradores!A:D,3,),"")</f>
        <v>SAÚDE OCUPACIONAL</v>
      </c>
      <c r="D1464" s="4" t="str">
        <f>IFERROR(VLOOKUP(A1464,Colaboradores!A:D,4,),"")</f>
        <v>MÉDICO DO TRABALHO</v>
      </c>
      <c r="E1464" s="4" t="s">
        <v>58</v>
      </c>
      <c r="F1464" s="5" t="str">
        <f>IFERROR(VLOOKUP(E1464,Procedimentos!A:C,2,),"")</f>
        <v>POLÍTICA DE QUALIDADE DA DIRETORIA</v>
      </c>
      <c r="G1464" s="4" t="s">
        <v>22</v>
      </c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 spans="1:26" ht="14.25" customHeight="1">
      <c r="A1465" s="4">
        <v>3109</v>
      </c>
      <c r="B1465" s="4" t="str">
        <f>IFERROR(VLOOKUP(A1465,Colaboradores!A:D,2,),"")</f>
        <v>BRUNO ARRUDA DE AMORIM OLIVEIRA</v>
      </c>
      <c r="C1465" s="4" t="str">
        <f>IFERROR(VLOOKUP(A1465,Colaboradores!A:D,3,),"")</f>
        <v>SAÚDE OCUPACIONAL</v>
      </c>
      <c r="D1465" s="4" t="str">
        <f>IFERROR(VLOOKUP(A1465,Colaboradores!A:D,4,),"")</f>
        <v>MÉDICO DO TRABALHO</v>
      </c>
      <c r="E1465" s="4" t="s">
        <v>19</v>
      </c>
      <c r="F1465" s="5" t="str">
        <f>IFERROR(VLOOKUP(E1465,Procedimentos!A:C,2,),"")</f>
        <v>DIRETRIZES PARA DOCUMENTOS NORMATIVOS</v>
      </c>
      <c r="G1465" s="4" t="s">
        <v>22</v>
      </c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 spans="1:26" ht="14.25" customHeight="1">
      <c r="A1466" s="4">
        <v>3109</v>
      </c>
      <c r="B1466" s="4" t="str">
        <f>IFERROR(VLOOKUP(A1466,Colaboradores!A:D,2,),"")</f>
        <v>BRUNO ARRUDA DE AMORIM OLIVEIRA</v>
      </c>
      <c r="C1466" s="4" t="str">
        <f>IFERROR(VLOOKUP(A1466,Colaboradores!A:D,3,),"")</f>
        <v>SAÚDE OCUPACIONAL</v>
      </c>
      <c r="D1466" s="4" t="str">
        <f>IFERROR(VLOOKUP(A1466,Colaboradores!A:D,4,),"")</f>
        <v>MÉDICO DO TRABALHO</v>
      </c>
      <c r="E1466" s="4" t="s">
        <v>48</v>
      </c>
      <c r="F1466" s="5" t="str">
        <f>IFERROR(VLOOKUP(E1466,Procedimentos!A:C,2,),"")</f>
        <v>POLÍTICA MEIO AMBIENTE EMSERH</v>
      </c>
      <c r="G1466" s="4" t="s">
        <v>22</v>
      </c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 spans="1:26" ht="14.25" customHeight="1">
      <c r="A1467" s="4">
        <v>3109</v>
      </c>
      <c r="B1467" s="4" t="str">
        <f>IFERROR(VLOOKUP(A1467,Colaboradores!A:D,2,),"")</f>
        <v>BRUNO ARRUDA DE AMORIM OLIVEIRA</v>
      </c>
      <c r="C1467" s="4" t="str">
        <f>IFERROR(VLOOKUP(A1467,Colaboradores!A:D,3,),"")</f>
        <v>SAÚDE OCUPACIONAL</v>
      </c>
      <c r="D1467" s="4" t="str">
        <f>IFERROR(VLOOKUP(A1467,Colaboradores!A:D,4,),"")</f>
        <v>MÉDICO DO TRABALHO</v>
      </c>
      <c r="E1467" s="4" t="s">
        <v>49</v>
      </c>
      <c r="F1467" s="5" t="str">
        <f>IFERROR(VLOOKUP(E1467,Procedimentos!A:C,2,),"")</f>
        <v>DIRETRIZES PARA REALIZAÇÃO DE EXAMES OCUPACIONAIS</v>
      </c>
      <c r="G1467" s="4" t="s">
        <v>22</v>
      </c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 spans="1:26" ht="14.25" customHeight="1">
      <c r="A1468" s="4">
        <v>3109</v>
      </c>
      <c r="B1468" s="4" t="str">
        <f>IFERROR(VLOOKUP(A1468,Colaboradores!A:D,2,),"")</f>
        <v>BRUNO ARRUDA DE AMORIM OLIVEIRA</v>
      </c>
      <c r="C1468" s="4" t="str">
        <f>IFERROR(VLOOKUP(A1468,Colaboradores!A:D,3,),"")</f>
        <v>SAÚDE OCUPACIONAL</v>
      </c>
      <c r="D1468" s="4" t="str">
        <f>IFERROR(VLOOKUP(A1468,Colaboradores!A:D,4,),"")</f>
        <v>MÉDICO DO TRABALHO</v>
      </c>
      <c r="E1468" s="4" t="s">
        <v>51</v>
      </c>
      <c r="F1468" s="5" t="str">
        <f>IFERROR(VLOOKUP(E1468,Procedimentos!A:C,2,),"")</f>
        <v>DIRETRIZES PARA ENTREGA DE ATESTADOS MÉDICOS E ODONTOLÓGICOS</v>
      </c>
      <c r="G1468" s="4" t="s">
        <v>22</v>
      </c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 spans="1:26" ht="14.25" customHeight="1">
      <c r="A1469" s="4">
        <v>3109</v>
      </c>
      <c r="B1469" s="4" t="str">
        <f>IFERROR(VLOOKUP(A1469,Colaboradores!A:D,2,),"")</f>
        <v>BRUNO ARRUDA DE AMORIM OLIVEIRA</v>
      </c>
      <c r="C1469" s="4" t="str">
        <f>IFERROR(VLOOKUP(A1469,Colaboradores!A:D,3,),"")</f>
        <v>SAÚDE OCUPACIONAL</v>
      </c>
      <c r="D1469" s="4" t="str">
        <f>IFERROR(VLOOKUP(A1469,Colaboradores!A:D,4,),"")</f>
        <v>MÉDICO DO TRABALHO</v>
      </c>
      <c r="E1469" s="4" t="s">
        <v>52</v>
      </c>
      <c r="F1469" s="5" t="str">
        <f>IFERROR(VLOOKUP(E1469,Procedimentos!A:C,2,),"")</f>
        <v>DIRETRIZES E ACOMPANHAMENTO  DE ACIDENTE COM MATERIAL BIOLOGICO</v>
      </c>
      <c r="G1469" s="4" t="s">
        <v>22</v>
      </c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 spans="1:26" ht="14.25" customHeight="1">
      <c r="A1470" s="4">
        <v>3109</v>
      </c>
      <c r="B1470" s="4" t="str">
        <f>IFERROR(VLOOKUP(A1470,Colaboradores!A:D,2,),"")</f>
        <v>BRUNO ARRUDA DE AMORIM OLIVEIRA</v>
      </c>
      <c r="C1470" s="4" t="str">
        <f>IFERROR(VLOOKUP(A1470,Colaboradores!A:D,3,),"")</f>
        <v>SAÚDE OCUPACIONAL</v>
      </c>
      <c r="D1470" s="4" t="str">
        <f>IFERROR(VLOOKUP(A1470,Colaboradores!A:D,4,),"")</f>
        <v>MÉDICO DO TRABALHO</v>
      </c>
      <c r="E1470" s="4" t="s">
        <v>53</v>
      </c>
      <c r="F1470" s="5" t="str">
        <f>IFERROR(VLOOKUP(E1470,Procedimentos!A:C,2,),"")</f>
        <v>DIRETRIZES PARA MONITORAMENTO DE GESTANTE</v>
      </c>
      <c r="G1470" s="4" t="s">
        <v>22</v>
      </c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 spans="1:26" ht="14.25" customHeight="1">
      <c r="A1471" s="4">
        <v>3109</v>
      </c>
      <c r="B1471" s="4" t="str">
        <f>IFERROR(VLOOKUP(A1471,Colaboradores!A:D,2,),"")</f>
        <v>BRUNO ARRUDA DE AMORIM OLIVEIRA</v>
      </c>
      <c r="C1471" s="4" t="str">
        <f>IFERROR(VLOOKUP(A1471,Colaboradores!A:D,3,),"")</f>
        <v>SAÚDE OCUPACIONAL</v>
      </c>
      <c r="D1471" s="4" t="str">
        <f>IFERROR(VLOOKUP(A1471,Colaboradores!A:D,4,),"")</f>
        <v>MÉDICO DO TRABALHO</v>
      </c>
      <c r="E1471" s="4" t="s">
        <v>54</v>
      </c>
      <c r="F1471" s="5" t="str">
        <f>IFERROR(VLOOKUP(E1471,Procedimentos!A:C,2,),"")</f>
        <v>DIRETRIZES DE IMUNIZAÇÃO OCUPACIONAL</v>
      </c>
      <c r="G1471" s="4" t="s">
        <v>22</v>
      </c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 spans="1:26" ht="14.25" customHeight="1">
      <c r="A1472" s="4">
        <v>3109</v>
      </c>
      <c r="B1472" s="4" t="str">
        <f>IFERROR(VLOOKUP(A1472,Colaboradores!A:D,2,),"")</f>
        <v>BRUNO ARRUDA DE AMORIM OLIVEIRA</v>
      </c>
      <c r="C1472" s="4" t="str">
        <f>IFERROR(VLOOKUP(A1472,Colaboradores!A:D,3,),"")</f>
        <v>SAÚDE OCUPACIONAL</v>
      </c>
      <c r="D1472" s="4" t="str">
        <f>IFERROR(VLOOKUP(A1472,Colaboradores!A:D,4,),"")</f>
        <v>MÉDICO DO TRABALHO</v>
      </c>
      <c r="E1472" s="4" t="s">
        <v>55</v>
      </c>
      <c r="F1472" s="5" t="str">
        <f>IFERROR(VLOOKUP(E1472,Procedimentos!A:C,2,),"")</f>
        <v>DIRETRIZES PARA ACOMPANHAMENTO DE AFASTADOS</v>
      </c>
      <c r="G1472" s="4" t="s">
        <v>22</v>
      </c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 spans="1:26" ht="14.25" customHeight="1">
      <c r="A1473" s="4">
        <v>3109</v>
      </c>
      <c r="B1473" s="4" t="str">
        <f>IFERROR(VLOOKUP(A1473,Colaboradores!A:D,2,),"")</f>
        <v>BRUNO ARRUDA DE AMORIM OLIVEIRA</v>
      </c>
      <c r="C1473" s="4" t="str">
        <f>IFERROR(VLOOKUP(A1473,Colaboradores!A:D,3,),"")</f>
        <v>SAÚDE OCUPACIONAL</v>
      </c>
      <c r="D1473" s="4" t="str">
        <f>IFERROR(VLOOKUP(A1473,Colaboradores!A:D,4,),"")</f>
        <v>MÉDICO DO TRABALHO</v>
      </c>
      <c r="E1473" s="4" t="s">
        <v>46</v>
      </c>
      <c r="F1473" s="5" t="str">
        <f>IFERROR(VLOOKUP(E1473,Procedimentos!A:C,2,),"")</f>
        <v>POLÍTICA DE SAÚDE E SEGURANÇA DO TRABALHO EMSERH</v>
      </c>
      <c r="G1473" s="4" t="s">
        <v>22</v>
      </c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 spans="1:26" ht="14.25" customHeight="1">
      <c r="A1474" s="4">
        <v>7590</v>
      </c>
      <c r="B1474" s="4" t="str">
        <f>IFERROR(VLOOKUP(A1474,Colaboradores!A:D,2,),"")</f>
        <v>FABIOLA SOUSA MOURA BORGES</v>
      </c>
      <c r="C1474" s="4" t="str">
        <f>IFERROR(VLOOKUP(A1474,Colaboradores!A:D,3,),"")</f>
        <v>SAÚDE OCUPACIONAL</v>
      </c>
      <c r="D1474" s="4" t="str">
        <f>IFERROR(VLOOKUP(A1474,Colaboradores!A:D,4,),"")</f>
        <v>GERENTE DE SAÚDE OCUPACIONAL</v>
      </c>
      <c r="E1474" s="4" t="s">
        <v>66</v>
      </c>
      <c r="F1474" s="5" t="str">
        <f>IFERROR(VLOOKUP(E1474,Procedimentos!A:C,2,),"")</f>
        <v>PROCEDIMENTO DE GERENCIAMENTO DE RISCOS</v>
      </c>
      <c r="G1474" s="4" t="s">
        <v>22</v>
      </c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 spans="1:26" ht="14.25" customHeight="1">
      <c r="A1475" s="4">
        <v>7590</v>
      </c>
      <c r="B1475" s="4" t="str">
        <f>IFERROR(VLOOKUP(A1475,Colaboradores!A:D,2,),"")</f>
        <v>FABIOLA SOUSA MOURA BORGES</v>
      </c>
      <c r="C1475" s="4" t="str">
        <f>IFERROR(VLOOKUP(A1475,Colaboradores!A:D,3,),"")</f>
        <v>SAÚDE OCUPACIONAL</v>
      </c>
      <c r="D1475" s="4" t="str">
        <f>IFERROR(VLOOKUP(A1475,Colaboradores!A:D,4,),"")</f>
        <v>GERENTE DE SAÚDE OCUPACIONAL</v>
      </c>
      <c r="E1475" s="4" t="s">
        <v>58</v>
      </c>
      <c r="F1475" s="5" t="str">
        <f>IFERROR(VLOOKUP(E1475,Procedimentos!A:C,2,),"")</f>
        <v>POLÍTICA DE QUALIDADE DA DIRETORIA</v>
      </c>
      <c r="G1475" s="4" t="s">
        <v>22</v>
      </c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 spans="1:26" ht="14.25" customHeight="1">
      <c r="A1476" s="4">
        <v>7590</v>
      </c>
      <c r="B1476" s="4" t="str">
        <f>IFERROR(VLOOKUP(A1476,Colaboradores!A:D,2,),"")</f>
        <v>FABIOLA SOUSA MOURA BORGES</v>
      </c>
      <c r="C1476" s="4" t="str">
        <f>IFERROR(VLOOKUP(A1476,Colaboradores!A:D,3,),"")</f>
        <v>SAÚDE OCUPACIONAL</v>
      </c>
      <c r="D1476" s="4" t="str">
        <f>IFERROR(VLOOKUP(A1476,Colaboradores!A:D,4,),"")</f>
        <v>GERENTE DE SAÚDE OCUPACIONAL</v>
      </c>
      <c r="E1476" s="4" t="s">
        <v>19</v>
      </c>
      <c r="F1476" s="5" t="str">
        <f>IFERROR(VLOOKUP(E1476,Procedimentos!A:C,2,),"")</f>
        <v>DIRETRIZES PARA DOCUMENTOS NORMATIVOS</v>
      </c>
      <c r="G1476" s="4" t="s">
        <v>22</v>
      </c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 spans="1:26" ht="14.25" customHeight="1">
      <c r="A1477" s="4">
        <v>7590</v>
      </c>
      <c r="B1477" s="4" t="str">
        <f>IFERROR(VLOOKUP(A1477,Colaboradores!A:D,2,),"")</f>
        <v>FABIOLA SOUSA MOURA BORGES</v>
      </c>
      <c r="C1477" s="4" t="str">
        <f>IFERROR(VLOOKUP(A1477,Colaboradores!A:D,3,),"")</f>
        <v>SAÚDE OCUPACIONAL</v>
      </c>
      <c r="D1477" s="4" t="str">
        <f>IFERROR(VLOOKUP(A1477,Colaboradores!A:D,4,),"")</f>
        <v>GERENTE DE SAÚDE OCUPACIONAL</v>
      </c>
      <c r="E1477" s="4" t="s">
        <v>24</v>
      </c>
      <c r="F1477" s="5" t="str">
        <f>IFERROR(VLOOKUP(E1477,Procedimentos!A:C,2,),"")</f>
        <v>DIRETRIZES  PARA PROGRAMA 5S</v>
      </c>
      <c r="G1477" s="4" t="s">
        <v>22</v>
      </c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 spans="1:26" ht="14.25" customHeight="1">
      <c r="A1478" s="4">
        <v>7590</v>
      </c>
      <c r="B1478" s="4" t="str">
        <f>IFERROR(VLOOKUP(A1478,Colaboradores!A:D,2,),"")</f>
        <v>FABIOLA SOUSA MOURA BORGES</v>
      </c>
      <c r="C1478" s="4" t="str">
        <f>IFERROR(VLOOKUP(A1478,Colaboradores!A:D,3,),"")</f>
        <v>SAÚDE OCUPACIONAL</v>
      </c>
      <c r="D1478" s="4" t="str">
        <f>IFERROR(VLOOKUP(A1478,Colaboradores!A:D,4,),"")</f>
        <v>GERENTE DE SAÚDE OCUPACIONAL</v>
      </c>
      <c r="E1478" s="4" t="s">
        <v>67</v>
      </c>
      <c r="F1478" s="5" t="str">
        <f>IFERROR(VLOOKUP(E1478,Procedimentos!A:C,2,),"")</f>
        <v>SISTEMATICA DE ROTINA DE REUNIÕES DA DESSMA</v>
      </c>
      <c r="G1478" s="4" t="s">
        <v>22</v>
      </c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 spans="1:26" ht="14.25" customHeight="1">
      <c r="A1479" s="4">
        <v>7590</v>
      </c>
      <c r="B1479" s="4" t="str">
        <f>IFERROR(VLOOKUP(A1479,Colaboradores!A:D,2,),"")</f>
        <v>FABIOLA SOUSA MOURA BORGES</v>
      </c>
      <c r="C1479" s="4" t="str">
        <f>IFERROR(VLOOKUP(A1479,Colaboradores!A:D,3,),"")</f>
        <v>SAÚDE OCUPACIONAL</v>
      </c>
      <c r="D1479" s="4" t="str">
        <f>IFERROR(VLOOKUP(A1479,Colaboradores!A:D,4,),"")</f>
        <v>GERENTE DE SAÚDE OCUPACIONAL</v>
      </c>
      <c r="E1479" s="4" t="s">
        <v>25</v>
      </c>
      <c r="F1479" s="5" t="str">
        <f>IFERROR(VLOOKUP(E1479,Procedimentos!A:C,2,),"")</f>
        <v>GARANTIA DA QUALIDADE</v>
      </c>
      <c r="G1479" s="4" t="s">
        <v>22</v>
      </c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 spans="1:26" ht="14.25" customHeight="1">
      <c r="A1480" s="4">
        <v>7590</v>
      </c>
      <c r="B1480" s="4" t="str">
        <f>IFERROR(VLOOKUP(A1480,Colaboradores!A:D,2,),"")</f>
        <v>FABIOLA SOUSA MOURA BORGES</v>
      </c>
      <c r="C1480" s="4" t="str">
        <f>IFERROR(VLOOKUP(A1480,Colaboradores!A:D,3,),"")</f>
        <v>SAÚDE OCUPACIONAL</v>
      </c>
      <c r="D1480" s="4" t="str">
        <f>IFERROR(VLOOKUP(A1480,Colaboradores!A:D,4,),"")</f>
        <v>GERENTE DE SAÚDE OCUPACIONAL</v>
      </c>
      <c r="E1480" s="4" t="s">
        <v>68</v>
      </c>
      <c r="F1480" s="5" t="str">
        <f>IFERROR(VLOOKUP(E1480,Procedimentos!A:C,2,),"")</f>
        <v>GESTÃO INDICADORES</v>
      </c>
      <c r="G1480" s="4" t="s">
        <v>22</v>
      </c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 spans="1:26" ht="14.25" customHeight="1">
      <c r="A1481" s="4">
        <v>7590</v>
      </c>
      <c r="B1481" s="4" t="str">
        <f>IFERROR(VLOOKUP(A1481,Colaboradores!A:D,2,),"")</f>
        <v>FABIOLA SOUSA MOURA BORGES</v>
      </c>
      <c r="C1481" s="4" t="str">
        <f>IFERROR(VLOOKUP(A1481,Colaboradores!A:D,3,),"")</f>
        <v>SAÚDE OCUPACIONAL</v>
      </c>
      <c r="D1481" s="4" t="str">
        <f>IFERROR(VLOOKUP(A1481,Colaboradores!A:D,4,),"")</f>
        <v>GERENTE DE SAÚDE OCUPACIONAL</v>
      </c>
      <c r="E1481" s="4" t="s">
        <v>26</v>
      </c>
      <c r="F1481" s="5" t="str">
        <f>IFERROR(VLOOKUP(E1481,Procedimentos!A:C,2,),"")</f>
        <v>RESPONSABILIDADES E AUTORIDADES DO SGQ</v>
      </c>
      <c r="G1481" s="4" t="s">
        <v>22</v>
      </c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 spans="1:26" ht="14.25" customHeight="1">
      <c r="A1482" s="4">
        <v>7590</v>
      </c>
      <c r="B1482" s="4" t="str">
        <f>IFERROR(VLOOKUP(A1482,Colaboradores!A:D,2,),"")</f>
        <v>FABIOLA SOUSA MOURA BORGES</v>
      </c>
      <c r="C1482" s="4" t="str">
        <f>IFERROR(VLOOKUP(A1482,Colaboradores!A:D,3,),"")</f>
        <v>SAÚDE OCUPACIONAL</v>
      </c>
      <c r="D1482" s="4" t="str">
        <f>IFERROR(VLOOKUP(A1482,Colaboradores!A:D,4,),"")</f>
        <v>GERENTE DE SAÚDE OCUPACIONAL</v>
      </c>
      <c r="E1482" s="4" t="s">
        <v>69</v>
      </c>
      <c r="F1482" s="5" t="str">
        <f>IFERROR(VLOOKUP(E1482,Procedimentos!A:C,2,),"")</f>
        <v>PROCEDIMENTO GESTÃO DE MUDANÇA SGQ</v>
      </c>
      <c r="G1482" s="4" t="s">
        <v>22</v>
      </c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 spans="1:26" ht="14.25" customHeight="1">
      <c r="A1483" s="4">
        <v>7590</v>
      </c>
      <c r="B1483" s="4" t="str">
        <f>IFERROR(VLOOKUP(A1483,Colaboradores!A:D,2,),"")</f>
        <v>FABIOLA SOUSA MOURA BORGES</v>
      </c>
      <c r="C1483" s="4" t="str">
        <f>IFERROR(VLOOKUP(A1483,Colaboradores!A:D,3,),"")</f>
        <v>SAÚDE OCUPACIONAL</v>
      </c>
      <c r="D1483" s="4" t="str">
        <f>IFERROR(VLOOKUP(A1483,Colaboradores!A:D,4,),"")</f>
        <v>GERENTE DE SAÚDE OCUPACIONAL</v>
      </c>
      <c r="E1483" s="4" t="s">
        <v>64</v>
      </c>
      <c r="F1483" s="5" t="str">
        <f>IFERROR(VLOOKUP(E1483,Procedimentos!A:C,2,),"")</f>
        <v>AVALIAÇÃO DESEMPENHO</v>
      </c>
      <c r="G1483" s="4" t="s">
        <v>22</v>
      </c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 spans="1:26" ht="14.25" customHeight="1">
      <c r="A1484" s="4">
        <v>7590</v>
      </c>
      <c r="B1484" s="4" t="str">
        <f>IFERROR(VLOOKUP(A1484,Colaboradores!A:D,2,),"")</f>
        <v>FABIOLA SOUSA MOURA BORGES</v>
      </c>
      <c r="C1484" s="4" t="str">
        <f>IFERROR(VLOOKUP(A1484,Colaboradores!A:D,3,),"")</f>
        <v>SAÚDE OCUPACIONAL</v>
      </c>
      <c r="D1484" s="4" t="str">
        <f>IFERROR(VLOOKUP(A1484,Colaboradores!A:D,4,),"")</f>
        <v>GERENTE DE SAÚDE OCUPACIONAL</v>
      </c>
      <c r="E1484" s="4" t="s">
        <v>73</v>
      </c>
      <c r="F1484" s="5" t="str">
        <f>IFERROR(VLOOKUP(E1484,Procedimentos!A:C,2,),"")</f>
        <v>AQUISIÇÃO DE BENS E SERVIÇOS E AVALIAÇÃO PROVEDORES EXTERNOS</v>
      </c>
      <c r="G1484" s="4" t="s">
        <v>22</v>
      </c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 spans="1:26" ht="14.25" customHeight="1">
      <c r="A1485" s="4">
        <v>7590</v>
      </c>
      <c r="B1485" s="4" t="str">
        <f>IFERROR(VLOOKUP(A1485,Colaboradores!A:D,2,),"")</f>
        <v>FABIOLA SOUSA MOURA BORGES</v>
      </c>
      <c r="C1485" s="4" t="str">
        <f>IFERROR(VLOOKUP(A1485,Colaboradores!A:D,3,),"")</f>
        <v>SAÚDE OCUPACIONAL</v>
      </c>
      <c r="D1485" s="4" t="str">
        <f>IFERROR(VLOOKUP(A1485,Colaboradores!A:D,4,),"")</f>
        <v>GERENTE DE SAÚDE OCUPACIONAL</v>
      </c>
      <c r="E1485" s="4" t="s">
        <v>48</v>
      </c>
      <c r="F1485" s="5" t="str">
        <f>IFERROR(VLOOKUP(E1485,Procedimentos!A:C,2,),"")</f>
        <v>POLÍTICA MEIO AMBIENTE EMSERH</v>
      </c>
      <c r="G1485" s="4" t="s">
        <v>22</v>
      </c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 spans="1:26" ht="14.25" customHeight="1">
      <c r="A1486" s="4">
        <v>7590</v>
      </c>
      <c r="B1486" s="4" t="str">
        <f>IFERROR(VLOOKUP(A1486,Colaboradores!A:D,2,),"")</f>
        <v>FABIOLA SOUSA MOURA BORGES</v>
      </c>
      <c r="C1486" s="4" t="str">
        <f>IFERROR(VLOOKUP(A1486,Colaboradores!A:D,3,),"")</f>
        <v>SAÚDE OCUPACIONAL</v>
      </c>
      <c r="D1486" s="4" t="str">
        <f>IFERROR(VLOOKUP(A1486,Colaboradores!A:D,4,),"")</f>
        <v>GERENTE DE SAÚDE OCUPACIONAL</v>
      </c>
      <c r="E1486" s="4" t="s">
        <v>29</v>
      </c>
      <c r="F1486" s="5" t="str">
        <f>IFERROR(VLOOKUP(E1486,Procedimentos!A:C,2,),"")</f>
        <v>COLETA SELETIVA DESSMA</v>
      </c>
      <c r="G1486" s="4" t="s">
        <v>22</v>
      </c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 spans="1:26" ht="14.25" customHeight="1">
      <c r="A1487" s="4">
        <v>7590</v>
      </c>
      <c r="B1487" s="4" t="str">
        <f>IFERROR(VLOOKUP(A1487,Colaboradores!A:D,2,),"")</f>
        <v>FABIOLA SOUSA MOURA BORGES</v>
      </c>
      <c r="C1487" s="4" t="str">
        <f>IFERROR(VLOOKUP(A1487,Colaboradores!A:D,3,),"")</f>
        <v>SAÚDE OCUPACIONAL</v>
      </c>
      <c r="D1487" s="4" t="str">
        <f>IFERROR(VLOOKUP(A1487,Colaboradores!A:D,4,),"")</f>
        <v>GERENTE DE SAÚDE OCUPACIONAL</v>
      </c>
      <c r="E1487" s="4" t="s">
        <v>36</v>
      </c>
      <c r="F1487" s="5" t="str">
        <f>IFERROR(VLOOKUP(E1487,Procedimentos!A:C,2,),"")</f>
        <v>GESTÃO DE PRODUTOS QUÍMICOS</v>
      </c>
      <c r="G1487" s="4" t="s">
        <v>22</v>
      </c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 spans="1:26" ht="14.25" customHeight="1">
      <c r="A1488" s="4">
        <v>7590</v>
      </c>
      <c r="B1488" s="4" t="str">
        <f>IFERROR(VLOOKUP(A1488,Colaboradores!A:D,2,),"")</f>
        <v>FABIOLA SOUSA MOURA BORGES</v>
      </c>
      <c r="C1488" s="4" t="str">
        <f>IFERROR(VLOOKUP(A1488,Colaboradores!A:D,3,),"")</f>
        <v>SAÚDE OCUPACIONAL</v>
      </c>
      <c r="D1488" s="4" t="str">
        <f>IFERROR(VLOOKUP(A1488,Colaboradores!A:D,4,),"")</f>
        <v>GERENTE DE SAÚDE OCUPACIONAL</v>
      </c>
      <c r="E1488" s="4" t="s">
        <v>32</v>
      </c>
      <c r="F1488" s="5" t="str">
        <f>IFERROR(VLOOKUP(E1488,Procedimentos!A:C,2,),"")</f>
        <v>GESTÃO DE LEVANTAMENTO DE ASPECTOS E IMPACTOS AMBIENTAIS</v>
      </c>
      <c r="G1488" s="4" t="s">
        <v>22</v>
      </c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 spans="1:26" ht="14.25" customHeight="1">
      <c r="A1489" s="4">
        <v>7590</v>
      </c>
      <c r="B1489" s="4" t="str">
        <f>IFERROR(VLOOKUP(A1489,Colaboradores!A:D,2,),"")</f>
        <v>FABIOLA SOUSA MOURA BORGES</v>
      </c>
      <c r="C1489" s="4" t="str">
        <f>IFERROR(VLOOKUP(A1489,Colaboradores!A:D,3,),"")</f>
        <v>SAÚDE OCUPACIONAL</v>
      </c>
      <c r="D1489" s="4" t="str">
        <f>IFERROR(VLOOKUP(A1489,Colaboradores!A:D,4,),"")</f>
        <v>GERENTE DE SAÚDE OCUPACIONAL</v>
      </c>
      <c r="E1489" s="4" t="s">
        <v>31</v>
      </c>
      <c r="F1489" s="5" t="str">
        <f>IFERROR(VLOOKUP(E1489,Procedimentos!A:C,2,),"")</f>
        <v>GESTÃO DE COMUNICAÇÃO, CLASSIFICAÇÃO E INVESTIGAÇÃO DE OCORRÊNCIAS AMBIENTAIS</v>
      </c>
      <c r="G1489" s="4" t="s">
        <v>22</v>
      </c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 spans="1:26" ht="14.25" customHeight="1">
      <c r="A1490" s="4">
        <v>7590</v>
      </c>
      <c r="B1490" s="4" t="str">
        <f>IFERROR(VLOOKUP(A1490,Colaboradores!A:D,2,),"")</f>
        <v>FABIOLA SOUSA MOURA BORGES</v>
      </c>
      <c r="C1490" s="4" t="str">
        <f>IFERROR(VLOOKUP(A1490,Colaboradores!A:D,3,),"")</f>
        <v>SAÚDE OCUPACIONAL</v>
      </c>
      <c r="D1490" s="4" t="str">
        <f>IFERROR(VLOOKUP(A1490,Colaboradores!A:D,4,),"")</f>
        <v>GERENTE DE SAÚDE OCUPACIONAL</v>
      </c>
      <c r="E1490" s="4" t="s">
        <v>33</v>
      </c>
      <c r="F1490" s="5" t="str">
        <f>IFERROR(VLOOKUP(E1490,Procedimentos!A:C,2,),"")</f>
        <v>GESTÃO DE INSPEÇÕES AMBIENTAIS</v>
      </c>
      <c r="G1490" s="4" t="s">
        <v>22</v>
      </c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 spans="1:26" ht="14.25" customHeight="1">
      <c r="A1491" s="4">
        <v>7590</v>
      </c>
      <c r="B1491" s="4" t="str">
        <f>IFERROR(VLOOKUP(A1491,Colaboradores!A:D,2,),"")</f>
        <v>FABIOLA SOUSA MOURA BORGES</v>
      </c>
      <c r="C1491" s="4" t="str">
        <f>IFERROR(VLOOKUP(A1491,Colaboradores!A:D,3,),"")</f>
        <v>SAÚDE OCUPACIONAL</v>
      </c>
      <c r="D1491" s="4" t="str">
        <f>IFERROR(VLOOKUP(A1491,Colaboradores!A:D,4,),"")</f>
        <v>GERENTE DE SAÚDE OCUPACIONAL</v>
      </c>
      <c r="E1491" s="4" t="s">
        <v>49</v>
      </c>
      <c r="F1491" s="5" t="str">
        <f>IFERROR(VLOOKUP(E1491,Procedimentos!A:C,2,),"")</f>
        <v>DIRETRIZES PARA REALIZAÇÃO DE EXAMES OCUPACIONAIS</v>
      </c>
      <c r="G1491" s="4" t="s">
        <v>22</v>
      </c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 spans="1:26" ht="14.25" customHeight="1">
      <c r="A1492" s="4">
        <v>7590</v>
      </c>
      <c r="B1492" s="4" t="str">
        <f>IFERROR(VLOOKUP(A1492,Colaboradores!A:D,2,),"")</f>
        <v>FABIOLA SOUSA MOURA BORGES</v>
      </c>
      <c r="C1492" s="4" t="str">
        <f>IFERROR(VLOOKUP(A1492,Colaboradores!A:D,3,),"")</f>
        <v>SAÚDE OCUPACIONAL</v>
      </c>
      <c r="D1492" s="4" t="str">
        <f>IFERROR(VLOOKUP(A1492,Colaboradores!A:D,4,),"")</f>
        <v>GERENTE DE SAÚDE OCUPACIONAL</v>
      </c>
      <c r="E1492" s="4" t="s">
        <v>51</v>
      </c>
      <c r="F1492" s="5" t="str">
        <f>IFERROR(VLOOKUP(E1492,Procedimentos!A:C,2,),"")</f>
        <v>DIRETRIZES PARA ENTREGA DE ATESTADOS MÉDICOS E ODONTOLÓGICOS</v>
      </c>
      <c r="G1492" s="4" t="s">
        <v>22</v>
      </c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 spans="1:26" ht="14.25" customHeight="1">
      <c r="A1493" s="4">
        <v>7590</v>
      </c>
      <c r="B1493" s="4" t="str">
        <f>IFERROR(VLOOKUP(A1493,Colaboradores!A:D,2,),"")</f>
        <v>FABIOLA SOUSA MOURA BORGES</v>
      </c>
      <c r="C1493" s="4" t="str">
        <f>IFERROR(VLOOKUP(A1493,Colaboradores!A:D,3,),"")</f>
        <v>SAÚDE OCUPACIONAL</v>
      </c>
      <c r="D1493" s="4" t="str">
        <f>IFERROR(VLOOKUP(A1493,Colaboradores!A:D,4,),"")</f>
        <v>GERENTE DE SAÚDE OCUPACIONAL</v>
      </c>
      <c r="E1493" s="4" t="s">
        <v>52</v>
      </c>
      <c r="F1493" s="5" t="str">
        <f>IFERROR(VLOOKUP(E1493,Procedimentos!A:C,2,),"")</f>
        <v>DIRETRIZES E ACOMPANHAMENTO  DE ACIDENTE COM MATERIAL BIOLOGICO</v>
      </c>
      <c r="G1493" s="4" t="s">
        <v>22</v>
      </c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 spans="1:26" ht="14.25" customHeight="1">
      <c r="A1494" s="4">
        <v>7590</v>
      </c>
      <c r="B1494" s="4" t="str">
        <f>IFERROR(VLOOKUP(A1494,Colaboradores!A:D,2,),"")</f>
        <v>FABIOLA SOUSA MOURA BORGES</v>
      </c>
      <c r="C1494" s="4" t="str">
        <f>IFERROR(VLOOKUP(A1494,Colaboradores!A:D,3,),"")</f>
        <v>SAÚDE OCUPACIONAL</v>
      </c>
      <c r="D1494" s="4" t="str">
        <f>IFERROR(VLOOKUP(A1494,Colaboradores!A:D,4,),"")</f>
        <v>GERENTE DE SAÚDE OCUPACIONAL</v>
      </c>
      <c r="E1494" s="4" t="s">
        <v>53</v>
      </c>
      <c r="F1494" s="5" t="str">
        <f>IFERROR(VLOOKUP(E1494,Procedimentos!A:C,2,),"")</f>
        <v>DIRETRIZES PARA MONITORAMENTO DE GESTANTE</v>
      </c>
      <c r="G1494" s="4" t="s">
        <v>22</v>
      </c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 spans="1:26" ht="14.25" customHeight="1">
      <c r="A1495" s="4">
        <v>7590</v>
      </c>
      <c r="B1495" s="4" t="str">
        <f>IFERROR(VLOOKUP(A1495,Colaboradores!A:D,2,),"")</f>
        <v>FABIOLA SOUSA MOURA BORGES</v>
      </c>
      <c r="C1495" s="4" t="str">
        <f>IFERROR(VLOOKUP(A1495,Colaboradores!A:D,3,),"")</f>
        <v>SAÚDE OCUPACIONAL</v>
      </c>
      <c r="D1495" s="4" t="str">
        <f>IFERROR(VLOOKUP(A1495,Colaboradores!A:D,4,),"")</f>
        <v>GERENTE DE SAÚDE OCUPACIONAL</v>
      </c>
      <c r="E1495" s="4" t="s">
        <v>54</v>
      </c>
      <c r="F1495" s="5" t="str">
        <f>IFERROR(VLOOKUP(E1495,Procedimentos!A:C,2,),"")</f>
        <v>DIRETRIZES DE IMUNIZAÇÃO OCUPACIONAL</v>
      </c>
      <c r="G1495" s="4" t="s">
        <v>22</v>
      </c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 spans="1:26" ht="14.25" customHeight="1">
      <c r="A1496" s="4">
        <v>7590</v>
      </c>
      <c r="B1496" s="4" t="str">
        <f>IFERROR(VLOOKUP(A1496,Colaboradores!A:D,2,),"")</f>
        <v>FABIOLA SOUSA MOURA BORGES</v>
      </c>
      <c r="C1496" s="4" t="str">
        <f>IFERROR(VLOOKUP(A1496,Colaboradores!A:D,3,),"")</f>
        <v>SAÚDE OCUPACIONAL</v>
      </c>
      <c r="D1496" s="4" t="str">
        <f>IFERROR(VLOOKUP(A1496,Colaboradores!A:D,4,),"")</f>
        <v>GERENTE DE SAÚDE OCUPACIONAL</v>
      </c>
      <c r="E1496" s="4" t="s">
        <v>55</v>
      </c>
      <c r="F1496" s="5" t="str">
        <f>IFERROR(VLOOKUP(E1496,Procedimentos!A:C,2,),"")</f>
        <v>DIRETRIZES PARA ACOMPANHAMENTO DE AFASTADOS</v>
      </c>
      <c r="G1496" s="4" t="s">
        <v>22</v>
      </c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 spans="1:26" ht="14.25" customHeight="1">
      <c r="A1497" s="4">
        <v>7590</v>
      </c>
      <c r="B1497" s="4" t="str">
        <f>IFERROR(VLOOKUP(A1497,Colaboradores!A:D,2,),"")</f>
        <v>FABIOLA SOUSA MOURA BORGES</v>
      </c>
      <c r="C1497" s="4" t="str">
        <f>IFERROR(VLOOKUP(A1497,Colaboradores!A:D,3,),"")</f>
        <v>SAÚDE OCUPACIONAL</v>
      </c>
      <c r="D1497" s="4" t="str">
        <f>IFERROR(VLOOKUP(A1497,Colaboradores!A:D,4,),"")</f>
        <v>GERENTE DE SAÚDE OCUPACIONAL</v>
      </c>
      <c r="E1497" s="4" t="s">
        <v>80</v>
      </c>
      <c r="F1497" s="5" t="str">
        <f>IFERROR(VLOOKUP(E1497,Procedimentos!A:C,2,),"")</f>
        <v>ATENDIMENTO FISIOTERÁPICO NO ESPAÇO CUIDARH</v>
      </c>
      <c r="G1497" s="4" t="s">
        <v>28</v>
      </c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 spans="1:26" ht="14.25" customHeight="1">
      <c r="A1498" s="4">
        <v>7590</v>
      </c>
      <c r="B1498" s="4" t="str">
        <f>IFERROR(VLOOKUP(A1498,Colaboradores!A:D,2,),"")</f>
        <v>FABIOLA SOUSA MOURA BORGES</v>
      </c>
      <c r="C1498" s="4" t="str">
        <f>IFERROR(VLOOKUP(A1498,Colaboradores!A:D,3,),"")</f>
        <v>SAÚDE OCUPACIONAL</v>
      </c>
      <c r="D1498" s="4" t="str">
        <f>IFERROR(VLOOKUP(A1498,Colaboradores!A:D,4,),"")</f>
        <v>GERENTE DE SAÚDE OCUPACIONAL</v>
      </c>
      <c r="E1498" s="4" t="s">
        <v>81</v>
      </c>
      <c r="F1498" s="5" t="str">
        <f>IFERROR(VLOOKUP(E1498,Procedimentos!A:C,2,),"")</f>
        <v>ATENDIMENTO PSICOLÓGICO NO ESPAÇO CUIDARH</v>
      </c>
      <c r="G1498" s="4" t="s">
        <v>28</v>
      </c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 spans="1:26" ht="14.25" customHeight="1">
      <c r="A1499" s="4">
        <v>7590</v>
      </c>
      <c r="B1499" s="4" t="str">
        <f>IFERROR(VLOOKUP(A1499,Colaboradores!A:D,2,),"")</f>
        <v>FABIOLA SOUSA MOURA BORGES</v>
      </c>
      <c r="C1499" s="4" t="str">
        <f>IFERROR(VLOOKUP(A1499,Colaboradores!A:D,3,),"")</f>
        <v>SAÚDE OCUPACIONAL</v>
      </c>
      <c r="D1499" s="4" t="str">
        <f>IFERROR(VLOOKUP(A1499,Colaboradores!A:D,4,),"")</f>
        <v>GERENTE DE SAÚDE OCUPACIONAL</v>
      </c>
      <c r="E1499" s="4" t="s">
        <v>46</v>
      </c>
      <c r="F1499" s="5" t="str">
        <f>IFERROR(VLOOKUP(E1499,Procedimentos!A:C,2,),"")</f>
        <v>POLÍTICA DE SAÚDE E SEGURANÇA DO TRABALHO EMSERH</v>
      </c>
      <c r="G1499" s="4" t="s">
        <v>22</v>
      </c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 spans="1:26" ht="14.25" customHeight="1">
      <c r="A1500" s="4">
        <v>7590</v>
      </c>
      <c r="B1500" s="4" t="str">
        <f>IFERROR(VLOOKUP(A1500,Colaboradores!A:D,2,),"")</f>
        <v>FABIOLA SOUSA MOURA BORGES</v>
      </c>
      <c r="C1500" s="4" t="str">
        <f>IFERROR(VLOOKUP(A1500,Colaboradores!A:D,3,),"")</f>
        <v>SAÚDE OCUPACIONAL</v>
      </c>
      <c r="D1500" s="4" t="str">
        <f>IFERROR(VLOOKUP(A1500,Colaboradores!A:D,4,),"")</f>
        <v>GERENTE DE SAÚDE OCUPACIONAL</v>
      </c>
      <c r="E1500" s="4" t="s">
        <v>41</v>
      </c>
      <c r="F1500" s="5" t="str">
        <f>IFERROR(VLOOKUP(E1500,Procedimentos!A:C,2,),"")</f>
        <v>DIRETRIZES PARA COMUNICAÇÃO E INVESTIGAÇÃO DE ACIDENTES</v>
      </c>
      <c r="G1500" s="4" t="s">
        <v>22</v>
      </c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 spans="1:26" ht="14.25" customHeight="1">
      <c r="A1501" s="4">
        <v>7590</v>
      </c>
      <c r="B1501" s="4" t="str">
        <f>IFERROR(VLOOKUP(A1501,Colaboradores!A:D,2,),"")</f>
        <v>FABIOLA SOUSA MOURA BORGES</v>
      </c>
      <c r="C1501" s="4" t="str">
        <f>IFERROR(VLOOKUP(A1501,Colaboradores!A:D,3,),"")</f>
        <v>SAÚDE OCUPACIONAL</v>
      </c>
      <c r="D1501" s="4" t="str">
        <f>IFERROR(VLOOKUP(A1501,Colaboradores!A:D,4,),"")</f>
        <v>GERENTE DE SAÚDE OCUPACIONAL</v>
      </c>
      <c r="E1501" s="4" t="s">
        <v>43</v>
      </c>
      <c r="F1501" s="5" t="str">
        <f>IFERROR(VLOOKUP(E1501,Procedimentos!A:C,2,),"")</f>
        <v>DIÁLOGO DE SAÚDE E SEGURANÇA - DSS</v>
      </c>
      <c r="G1501" s="4" t="s">
        <v>22</v>
      </c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 spans="1:26" ht="14.25" customHeight="1">
      <c r="A1502" s="4">
        <v>7590</v>
      </c>
      <c r="B1502" s="4" t="str">
        <f>IFERROR(VLOOKUP(A1502,Colaboradores!A:D,2,),"")</f>
        <v>FABIOLA SOUSA MOURA BORGES</v>
      </c>
      <c r="C1502" s="4" t="str">
        <f>IFERROR(VLOOKUP(A1502,Colaboradores!A:D,3,),"")</f>
        <v>SAÚDE OCUPACIONAL</v>
      </c>
      <c r="D1502" s="4" t="str">
        <f>IFERROR(VLOOKUP(A1502,Colaboradores!A:D,4,),"")</f>
        <v>GERENTE DE SAÚDE OCUPACIONAL</v>
      </c>
      <c r="E1502" s="4" t="s">
        <v>44</v>
      </c>
      <c r="F1502" s="5" t="str">
        <f>IFERROR(VLOOKUP(E1502,Procedimentos!A:C,2,),"")</f>
        <v>DIRETRIZES PARA GESTÃO DE EQUIPAMENTOS DE PROTEÇÃO INDIVIDUAL - EPI'S</v>
      </c>
      <c r="G1502" s="4" t="s">
        <v>22</v>
      </c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 spans="1:26" ht="14.25" customHeight="1">
      <c r="A1503" s="4">
        <v>7590</v>
      </c>
      <c r="B1503" s="4" t="str">
        <f>IFERROR(VLOOKUP(A1503,Colaboradores!A:D,2,),"")</f>
        <v>FABIOLA SOUSA MOURA BORGES</v>
      </c>
      <c r="C1503" s="4" t="str">
        <f>IFERROR(VLOOKUP(A1503,Colaboradores!A:D,3,),"")</f>
        <v>SAÚDE OCUPACIONAL</v>
      </c>
      <c r="D1503" s="4" t="str">
        <f>IFERROR(VLOOKUP(A1503,Colaboradores!A:D,4,),"")</f>
        <v>GERENTE DE SAÚDE OCUPACIONAL</v>
      </c>
      <c r="E1503" s="4" t="s">
        <v>45</v>
      </c>
      <c r="F1503" s="5" t="str">
        <f>IFERROR(VLOOKUP(E1503,Procedimentos!A:C,2,),"")</f>
        <v>CONSTITUIÇÃO INTERNA DE PREVENÇÃO DE ACIDENTES E DE ASSÉDIOS - CIPA</v>
      </c>
      <c r="G1503" s="4" t="s">
        <v>22</v>
      </c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 spans="1:26" ht="14.25" customHeight="1">
      <c r="A1504" s="4">
        <v>1866</v>
      </c>
      <c r="B1504" s="4" t="str">
        <f>IFERROR(VLOOKUP(A1504,Colaboradores!A:D,2,),"")</f>
        <v>FLAVIA AROUCHE GAMA</v>
      </c>
      <c r="C1504" s="4" t="str">
        <f>IFERROR(VLOOKUP(A1504,Colaboradores!A:D,3,),"")</f>
        <v>SAÚDE OCUPACIONAL</v>
      </c>
      <c r="D1504" s="4" t="str">
        <f>IFERROR(VLOOKUP(A1504,Colaboradores!A:D,4,),"")</f>
        <v>MÉDICO DO TRABALHO</v>
      </c>
      <c r="E1504" s="4" t="s">
        <v>58</v>
      </c>
      <c r="F1504" s="5" t="str">
        <f>IFERROR(VLOOKUP(E1504,Procedimentos!A:C,2,),"")</f>
        <v>POLÍTICA DE QUALIDADE DA DIRETORIA</v>
      </c>
      <c r="G1504" s="4" t="s">
        <v>22</v>
      </c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 spans="1:26" ht="14.25" customHeight="1">
      <c r="A1505" s="4">
        <v>1866</v>
      </c>
      <c r="B1505" s="4" t="str">
        <f>IFERROR(VLOOKUP(A1505,Colaboradores!A:D,2,),"")</f>
        <v>FLAVIA AROUCHE GAMA</v>
      </c>
      <c r="C1505" s="4" t="str">
        <f>IFERROR(VLOOKUP(A1505,Colaboradores!A:D,3,),"")</f>
        <v>SAÚDE OCUPACIONAL</v>
      </c>
      <c r="D1505" s="4" t="str">
        <f>IFERROR(VLOOKUP(A1505,Colaboradores!A:D,4,),"")</f>
        <v>MÉDICO DO TRABALHO</v>
      </c>
      <c r="E1505" s="4" t="s">
        <v>19</v>
      </c>
      <c r="F1505" s="5" t="str">
        <f>IFERROR(VLOOKUP(E1505,Procedimentos!A:C,2,),"")</f>
        <v>DIRETRIZES PARA DOCUMENTOS NORMATIVOS</v>
      </c>
      <c r="G1505" s="4" t="s">
        <v>22</v>
      </c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 spans="1:26" ht="14.25" customHeight="1">
      <c r="A1506" s="4">
        <v>1866</v>
      </c>
      <c r="B1506" s="4" t="str">
        <f>IFERROR(VLOOKUP(A1506,Colaboradores!A:D,2,),"")</f>
        <v>FLAVIA AROUCHE GAMA</v>
      </c>
      <c r="C1506" s="4" t="str">
        <f>IFERROR(VLOOKUP(A1506,Colaboradores!A:D,3,),"")</f>
        <v>SAÚDE OCUPACIONAL</v>
      </c>
      <c r="D1506" s="4" t="str">
        <f>IFERROR(VLOOKUP(A1506,Colaboradores!A:D,4,),"")</f>
        <v>MÉDICO DO TRABALHO</v>
      </c>
      <c r="E1506" s="4" t="s">
        <v>48</v>
      </c>
      <c r="F1506" s="5" t="str">
        <f>IFERROR(VLOOKUP(E1506,Procedimentos!A:C,2,),"")</f>
        <v>POLÍTICA MEIO AMBIENTE EMSERH</v>
      </c>
      <c r="G1506" s="4" t="s">
        <v>22</v>
      </c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 spans="1:26" ht="14.25" customHeight="1">
      <c r="A1507" s="4">
        <v>1866</v>
      </c>
      <c r="B1507" s="4" t="str">
        <f>IFERROR(VLOOKUP(A1507,Colaboradores!A:D,2,),"")</f>
        <v>FLAVIA AROUCHE GAMA</v>
      </c>
      <c r="C1507" s="4" t="str">
        <f>IFERROR(VLOOKUP(A1507,Colaboradores!A:D,3,),"")</f>
        <v>SAÚDE OCUPACIONAL</v>
      </c>
      <c r="D1507" s="4" t="str">
        <f>IFERROR(VLOOKUP(A1507,Colaboradores!A:D,4,),"")</f>
        <v>MÉDICO DO TRABALHO</v>
      </c>
      <c r="E1507" s="4" t="s">
        <v>49</v>
      </c>
      <c r="F1507" s="5" t="str">
        <f>IFERROR(VLOOKUP(E1507,Procedimentos!A:C,2,),"")</f>
        <v>DIRETRIZES PARA REALIZAÇÃO DE EXAMES OCUPACIONAIS</v>
      </c>
      <c r="G1507" s="4" t="s">
        <v>22</v>
      </c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 spans="1:26" ht="14.25" customHeight="1">
      <c r="A1508" s="4">
        <v>1866</v>
      </c>
      <c r="B1508" s="4" t="str">
        <f>IFERROR(VLOOKUP(A1508,Colaboradores!A:D,2,),"")</f>
        <v>FLAVIA AROUCHE GAMA</v>
      </c>
      <c r="C1508" s="4" t="str">
        <f>IFERROR(VLOOKUP(A1508,Colaboradores!A:D,3,),"")</f>
        <v>SAÚDE OCUPACIONAL</v>
      </c>
      <c r="D1508" s="4" t="str">
        <f>IFERROR(VLOOKUP(A1508,Colaboradores!A:D,4,),"")</f>
        <v>MÉDICO DO TRABALHO</v>
      </c>
      <c r="E1508" s="4" t="s">
        <v>51</v>
      </c>
      <c r="F1508" s="5" t="str">
        <f>IFERROR(VLOOKUP(E1508,Procedimentos!A:C,2,),"")</f>
        <v>DIRETRIZES PARA ENTREGA DE ATESTADOS MÉDICOS E ODONTOLÓGICOS</v>
      </c>
      <c r="G1508" s="4" t="s">
        <v>22</v>
      </c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 spans="1:26" ht="14.25" customHeight="1">
      <c r="A1509" s="4">
        <v>1866</v>
      </c>
      <c r="B1509" s="4" t="str">
        <f>IFERROR(VLOOKUP(A1509,Colaboradores!A:D,2,),"")</f>
        <v>FLAVIA AROUCHE GAMA</v>
      </c>
      <c r="C1509" s="4" t="str">
        <f>IFERROR(VLOOKUP(A1509,Colaboradores!A:D,3,),"")</f>
        <v>SAÚDE OCUPACIONAL</v>
      </c>
      <c r="D1509" s="4" t="str">
        <f>IFERROR(VLOOKUP(A1509,Colaboradores!A:D,4,),"")</f>
        <v>MÉDICO DO TRABALHO</v>
      </c>
      <c r="E1509" s="4" t="s">
        <v>52</v>
      </c>
      <c r="F1509" s="5" t="str">
        <f>IFERROR(VLOOKUP(E1509,Procedimentos!A:C,2,),"")</f>
        <v>DIRETRIZES E ACOMPANHAMENTO  DE ACIDENTE COM MATERIAL BIOLOGICO</v>
      </c>
      <c r="G1509" s="4" t="s">
        <v>22</v>
      </c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 spans="1:26" ht="14.25" customHeight="1">
      <c r="A1510" s="4">
        <v>1866</v>
      </c>
      <c r="B1510" s="4" t="str">
        <f>IFERROR(VLOOKUP(A1510,Colaboradores!A:D,2,),"")</f>
        <v>FLAVIA AROUCHE GAMA</v>
      </c>
      <c r="C1510" s="4" t="str">
        <f>IFERROR(VLOOKUP(A1510,Colaboradores!A:D,3,),"")</f>
        <v>SAÚDE OCUPACIONAL</v>
      </c>
      <c r="D1510" s="4" t="str">
        <f>IFERROR(VLOOKUP(A1510,Colaboradores!A:D,4,),"")</f>
        <v>MÉDICO DO TRABALHO</v>
      </c>
      <c r="E1510" s="4" t="s">
        <v>53</v>
      </c>
      <c r="F1510" s="5" t="str">
        <f>IFERROR(VLOOKUP(E1510,Procedimentos!A:C,2,),"")</f>
        <v>DIRETRIZES PARA MONITORAMENTO DE GESTANTE</v>
      </c>
      <c r="G1510" s="4" t="s">
        <v>22</v>
      </c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 spans="1:26" ht="14.25" customHeight="1">
      <c r="A1511" s="4">
        <v>1866</v>
      </c>
      <c r="B1511" s="4" t="str">
        <f>IFERROR(VLOOKUP(A1511,Colaboradores!A:D,2,),"")</f>
        <v>FLAVIA AROUCHE GAMA</v>
      </c>
      <c r="C1511" s="4" t="str">
        <f>IFERROR(VLOOKUP(A1511,Colaboradores!A:D,3,),"")</f>
        <v>SAÚDE OCUPACIONAL</v>
      </c>
      <c r="D1511" s="4" t="str">
        <f>IFERROR(VLOOKUP(A1511,Colaboradores!A:D,4,),"")</f>
        <v>MÉDICO DO TRABALHO</v>
      </c>
      <c r="E1511" s="4" t="s">
        <v>54</v>
      </c>
      <c r="F1511" s="5" t="str">
        <f>IFERROR(VLOOKUP(E1511,Procedimentos!A:C,2,),"")</f>
        <v>DIRETRIZES DE IMUNIZAÇÃO OCUPACIONAL</v>
      </c>
      <c r="G1511" s="4" t="s">
        <v>22</v>
      </c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 spans="1:26" ht="14.25" customHeight="1">
      <c r="A1512" s="4">
        <v>1866</v>
      </c>
      <c r="B1512" s="4" t="str">
        <f>IFERROR(VLOOKUP(A1512,Colaboradores!A:D,2,),"")</f>
        <v>FLAVIA AROUCHE GAMA</v>
      </c>
      <c r="C1512" s="4" t="str">
        <f>IFERROR(VLOOKUP(A1512,Colaboradores!A:D,3,),"")</f>
        <v>SAÚDE OCUPACIONAL</v>
      </c>
      <c r="D1512" s="4" t="str">
        <f>IFERROR(VLOOKUP(A1512,Colaboradores!A:D,4,),"")</f>
        <v>MÉDICO DO TRABALHO</v>
      </c>
      <c r="E1512" s="4" t="s">
        <v>55</v>
      </c>
      <c r="F1512" s="5" t="str">
        <f>IFERROR(VLOOKUP(E1512,Procedimentos!A:C,2,),"")</f>
        <v>DIRETRIZES PARA ACOMPANHAMENTO DE AFASTADOS</v>
      </c>
      <c r="G1512" s="4" t="s">
        <v>22</v>
      </c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 spans="1:26" ht="14.25" customHeight="1">
      <c r="A1513" s="4">
        <v>1866</v>
      </c>
      <c r="B1513" s="4" t="str">
        <f>IFERROR(VLOOKUP(A1513,Colaboradores!A:D,2,),"")</f>
        <v>FLAVIA AROUCHE GAMA</v>
      </c>
      <c r="C1513" s="4" t="str">
        <f>IFERROR(VLOOKUP(A1513,Colaboradores!A:D,3,),"")</f>
        <v>SAÚDE OCUPACIONAL</v>
      </c>
      <c r="D1513" s="4" t="str">
        <f>IFERROR(VLOOKUP(A1513,Colaboradores!A:D,4,),"")</f>
        <v>MÉDICO DO TRABALHO</v>
      </c>
      <c r="E1513" s="4" t="s">
        <v>46</v>
      </c>
      <c r="F1513" s="5" t="str">
        <f>IFERROR(VLOOKUP(E1513,Procedimentos!A:C,2,),"")</f>
        <v>POLÍTICA DE SAÚDE E SEGURANÇA DO TRABALHO EMSERH</v>
      </c>
      <c r="G1513" s="4" t="s">
        <v>22</v>
      </c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 spans="1:26" ht="14.25" customHeight="1">
      <c r="A1514" s="4">
        <v>14508</v>
      </c>
      <c r="B1514" s="4" t="str">
        <f>IFERROR(VLOOKUP(A1514,Colaboradores!A:D,2,),"")</f>
        <v>FYAMA SANTOS SILVA</v>
      </c>
      <c r="C1514" s="4" t="str">
        <f>IFERROR(VLOOKUP(A1514,Colaboradores!A:D,3,),"")</f>
        <v>SAÚDE OCUPACIONAL</v>
      </c>
      <c r="D1514" s="4" t="str">
        <f>IFERROR(VLOOKUP(A1514,Colaboradores!A:D,4,),"")</f>
        <v>ASSISTENTE ADMINISTRATIVO</v>
      </c>
      <c r="E1514" s="4" t="s">
        <v>58</v>
      </c>
      <c r="F1514" s="5" t="str">
        <f>IFERROR(VLOOKUP(E1514,Procedimentos!A:C,2,),"")</f>
        <v>POLÍTICA DE QUALIDADE DA DIRETORIA</v>
      </c>
      <c r="G1514" s="4" t="s">
        <v>22</v>
      </c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 spans="1:26" ht="14.25" customHeight="1">
      <c r="A1515" s="4">
        <v>14508</v>
      </c>
      <c r="B1515" s="4" t="str">
        <f>IFERROR(VLOOKUP(A1515,Colaboradores!A:D,2,),"")</f>
        <v>FYAMA SANTOS SILVA</v>
      </c>
      <c r="C1515" s="4" t="str">
        <f>IFERROR(VLOOKUP(A1515,Colaboradores!A:D,3,),"")</f>
        <v>SAÚDE OCUPACIONAL</v>
      </c>
      <c r="D1515" s="4" t="str">
        <f>IFERROR(VLOOKUP(A1515,Colaboradores!A:D,4,),"")</f>
        <v>ASSISTENTE ADMINISTRATIVO</v>
      </c>
      <c r="E1515" s="4" t="s">
        <v>19</v>
      </c>
      <c r="F1515" s="5" t="str">
        <f>IFERROR(VLOOKUP(E1515,Procedimentos!A:C,2,),"")</f>
        <v>DIRETRIZES PARA DOCUMENTOS NORMATIVOS</v>
      </c>
      <c r="G1515" s="4" t="s">
        <v>22</v>
      </c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 spans="1:26" ht="14.25" customHeight="1">
      <c r="A1516" s="4">
        <v>14508</v>
      </c>
      <c r="B1516" s="4" t="str">
        <f>IFERROR(VLOOKUP(A1516,Colaboradores!A:D,2,),"")</f>
        <v>FYAMA SANTOS SILVA</v>
      </c>
      <c r="C1516" s="4" t="str">
        <f>IFERROR(VLOOKUP(A1516,Colaboradores!A:D,3,),"")</f>
        <v>SAÚDE OCUPACIONAL</v>
      </c>
      <c r="D1516" s="4" t="str">
        <f>IFERROR(VLOOKUP(A1516,Colaboradores!A:D,4,),"")</f>
        <v>ASSISTENTE ADMINISTRATIVO</v>
      </c>
      <c r="E1516" s="4" t="s">
        <v>24</v>
      </c>
      <c r="F1516" s="5" t="str">
        <f>IFERROR(VLOOKUP(E1516,Procedimentos!A:C,2,),"")</f>
        <v>DIRETRIZES  PARA PROGRAMA 5S</v>
      </c>
      <c r="G1516" s="4" t="s">
        <v>22</v>
      </c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 spans="1:26" ht="14.25" customHeight="1">
      <c r="A1517" s="4">
        <v>14508</v>
      </c>
      <c r="B1517" s="4" t="str">
        <f>IFERROR(VLOOKUP(A1517,Colaboradores!A:D,2,),"")</f>
        <v>FYAMA SANTOS SILVA</v>
      </c>
      <c r="C1517" s="4" t="str">
        <f>IFERROR(VLOOKUP(A1517,Colaboradores!A:D,3,),"")</f>
        <v>SAÚDE OCUPACIONAL</v>
      </c>
      <c r="D1517" s="4" t="str">
        <f>IFERROR(VLOOKUP(A1517,Colaboradores!A:D,4,),"")</f>
        <v>ASSISTENTE ADMINISTRATIVO</v>
      </c>
      <c r="E1517" s="4" t="s">
        <v>25</v>
      </c>
      <c r="F1517" s="5" t="str">
        <f>IFERROR(VLOOKUP(E1517,Procedimentos!A:C,2,),"")</f>
        <v>GARANTIA DA QUALIDADE</v>
      </c>
      <c r="G1517" s="4" t="s">
        <v>22</v>
      </c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 spans="1:26" ht="14.25" customHeight="1">
      <c r="A1518" s="4">
        <v>14508</v>
      </c>
      <c r="B1518" s="4" t="str">
        <f>IFERROR(VLOOKUP(A1518,Colaboradores!A:D,2,),"")</f>
        <v>FYAMA SANTOS SILVA</v>
      </c>
      <c r="C1518" s="4" t="str">
        <f>IFERROR(VLOOKUP(A1518,Colaboradores!A:D,3,),"")</f>
        <v>SAÚDE OCUPACIONAL</v>
      </c>
      <c r="D1518" s="4" t="str">
        <f>IFERROR(VLOOKUP(A1518,Colaboradores!A:D,4,),"")</f>
        <v>ASSISTENTE ADMINISTRATIVO</v>
      </c>
      <c r="E1518" s="4" t="s">
        <v>26</v>
      </c>
      <c r="F1518" s="5" t="str">
        <f>IFERROR(VLOOKUP(E1518,Procedimentos!A:C,2,),"")</f>
        <v>RESPONSABILIDADES E AUTORIDADES DO SGQ</v>
      </c>
      <c r="G1518" s="4" t="s">
        <v>22</v>
      </c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 spans="1:26" ht="14.25" customHeight="1">
      <c r="A1519" s="4">
        <v>14508</v>
      </c>
      <c r="B1519" s="4" t="str">
        <f>IFERROR(VLOOKUP(A1519,Colaboradores!A:D,2,),"")</f>
        <v>FYAMA SANTOS SILVA</v>
      </c>
      <c r="C1519" s="4" t="str">
        <f>IFERROR(VLOOKUP(A1519,Colaboradores!A:D,3,),"")</f>
        <v>SAÚDE OCUPACIONAL</v>
      </c>
      <c r="D1519" s="4" t="str">
        <f>IFERROR(VLOOKUP(A1519,Colaboradores!A:D,4,),"")</f>
        <v>ASSISTENTE ADMINISTRATIVO</v>
      </c>
      <c r="E1519" s="4" t="s">
        <v>73</v>
      </c>
      <c r="F1519" s="5" t="str">
        <f>IFERROR(VLOOKUP(E1519,Procedimentos!A:C,2,),"")</f>
        <v>AQUISIÇÃO DE BENS E SERVIÇOS E AVALIAÇÃO PROVEDORES EXTERNOS</v>
      </c>
      <c r="G1519" s="4" t="s">
        <v>22</v>
      </c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 spans="1:26" ht="14.25" customHeight="1">
      <c r="A1520" s="4">
        <v>14508</v>
      </c>
      <c r="B1520" s="4" t="str">
        <f>IFERROR(VLOOKUP(A1520,Colaboradores!A:D,2,),"")</f>
        <v>FYAMA SANTOS SILVA</v>
      </c>
      <c r="C1520" s="4" t="str">
        <f>IFERROR(VLOOKUP(A1520,Colaboradores!A:D,3,),"")</f>
        <v>SAÚDE OCUPACIONAL</v>
      </c>
      <c r="D1520" s="4" t="str">
        <f>IFERROR(VLOOKUP(A1520,Colaboradores!A:D,4,),"")</f>
        <v>ASSISTENTE ADMINISTRATIVO</v>
      </c>
      <c r="E1520" s="4" t="s">
        <v>48</v>
      </c>
      <c r="F1520" s="5" t="str">
        <f>IFERROR(VLOOKUP(E1520,Procedimentos!A:C,2,),"")</f>
        <v>POLÍTICA MEIO AMBIENTE EMSERH</v>
      </c>
      <c r="G1520" s="4" t="s">
        <v>22</v>
      </c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 spans="1:26" ht="14.25" customHeight="1">
      <c r="A1521" s="4">
        <v>14508</v>
      </c>
      <c r="B1521" s="4" t="str">
        <f>IFERROR(VLOOKUP(A1521,Colaboradores!A:D,2,),"")</f>
        <v>FYAMA SANTOS SILVA</v>
      </c>
      <c r="C1521" s="4" t="str">
        <f>IFERROR(VLOOKUP(A1521,Colaboradores!A:D,3,),"")</f>
        <v>SAÚDE OCUPACIONAL</v>
      </c>
      <c r="D1521" s="4" t="str">
        <f>IFERROR(VLOOKUP(A1521,Colaboradores!A:D,4,),"")</f>
        <v>ASSISTENTE ADMINISTRATIVO</v>
      </c>
      <c r="E1521" s="4" t="s">
        <v>29</v>
      </c>
      <c r="F1521" s="5" t="str">
        <f>IFERROR(VLOOKUP(E1521,Procedimentos!A:C,2,),"")</f>
        <v>COLETA SELETIVA DESSMA</v>
      </c>
      <c r="G1521" s="4" t="s">
        <v>22</v>
      </c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 spans="1:26" ht="14.25" customHeight="1">
      <c r="A1522" s="4">
        <v>14508</v>
      </c>
      <c r="B1522" s="4" t="str">
        <f>IFERROR(VLOOKUP(A1522,Colaboradores!A:D,2,),"")</f>
        <v>FYAMA SANTOS SILVA</v>
      </c>
      <c r="C1522" s="4" t="str">
        <f>IFERROR(VLOOKUP(A1522,Colaboradores!A:D,3,),"")</f>
        <v>SAÚDE OCUPACIONAL</v>
      </c>
      <c r="D1522" s="4" t="str">
        <f>IFERROR(VLOOKUP(A1522,Colaboradores!A:D,4,),"")</f>
        <v>ASSISTENTE ADMINISTRATIVO</v>
      </c>
      <c r="E1522" s="4" t="s">
        <v>36</v>
      </c>
      <c r="F1522" s="5" t="str">
        <f>IFERROR(VLOOKUP(E1522,Procedimentos!A:C,2,),"")</f>
        <v>GESTÃO DE PRODUTOS QUÍMICOS</v>
      </c>
      <c r="G1522" s="4" t="s">
        <v>22</v>
      </c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 spans="1:26" ht="14.25" customHeight="1">
      <c r="A1523" s="4">
        <v>14508</v>
      </c>
      <c r="B1523" s="4" t="str">
        <f>IFERROR(VLOOKUP(A1523,Colaboradores!A:D,2,),"")</f>
        <v>FYAMA SANTOS SILVA</v>
      </c>
      <c r="C1523" s="4" t="str">
        <f>IFERROR(VLOOKUP(A1523,Colaboradores!A:D,3,),"")</f>
        <v>SAÚDE OCUPACIONAL</v>
      </c>
      <c r="D1523" s="4" t="str">
        <f>IFERROR(VLOOKUP(A1523,Colaboradores!A:D,4,),"")</f>
        <v>ASSISTENTE ADMINISTRATIVO</v>
      </c>
      <c r="E1523" s="4" t="s">
        <v>32</v>
      </c>
      <c r="F1523" s="5" t="str">
        <f>IFERROR(VLOOKUP(E1523,Procedimentos!A:C,2,),"")</f>
        <v>GESTÃO DE LEVANTAMENTO DE ASPECTOS E IMPACTOS AMBIENTAIS</v>
      </c>
      <c r="G1523" s="4" t="s">
        <v>22</v>
      </c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 spans="1:26" ht="14.25" customHeight="1">
      <c r="A1524" s="4">
        <v>14508</v>
      </c>
      <c r="B1524" s="4" t="str">
        <f>IFERROR(VLOOKUP(A1524,Colaboradores!A:D,2,),"")</f>
        <v>FYAMA SANTOS SILVA</v>
      </c>
      <c r="C1524" s="4" t="str">
        <f>IFERROR(VLOOKUP(A1524,Colaboradores!A:D,3,),"")</f>
        <v>SAÚDE OCUPACIONAL</v>
      </c>
      <c r="D1524" s="4" t="str">
        <f>IFERROR(VLOOKUP(A1524,Colaboradores!A:D,4,),"")</f>
        <v>ASSISTENTE ADMINISTRATIVO</v>
      </c>
      <c r="E1524" s="4" t="s">
        <v>31</v>
      </c>
      <c r="F1524" s="5" t="str">
        <f>IFERROR(VLOOKUP(E1524,Procedimentos!A:C,2,),"")</f>
        <v>GESTÃO DE COMUNICAÇÃO, CLASSIFICAÇÃO E INVESTIGAÇÃO DE OCORRÊNCIAS AMBIENTAIS</v>
      </c>
      <c r="G1524" s="4" t="s">
        <v>22</v>
      </c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 spans="1:26" ht="14.25" customHeight="1">
      <c r="A1525" s="4">
        <v>14508</v>
      </c>
      <c r="B1525" s="4" t="str">
        <f>IFERROR(VLOOKUP(A1525,Colaboradores!A:D,2,),"")</f>
        <v>FYAMA SANTOS SILVA</v>
      </c>
      <c r="C1525" s="4" t="str">
        <f>IFERROR(VLOOKUP(A1525,Colaboradores!A:D,3,),"")</f>
        <v>SAÚDE OCUPACIONAL</v>
      </c>
      <c r="D1525" s="4" t="str">
        <f>IFERROR(VLOOKUP(A1525,Colaboradores!A:D,4,),"")</f>
        <v>ASSISTENTE ADMINISTRATIVO</v>
      </c>
      <c r="E1525" s="4" t="s">
        <v>33</v>
      </c>
      <c r="F1525" s="5" t="str">
        <f>IFERROR(VLOOKUP(E1525,Procedimentos!A:C,2,),"")</f>
        <v>GESTÃO DE INSPEÇÕES AMBIENTAIS</v>
      </c>
      <c r="G1525" s="4" t="s">
        <v>22</v>
      </c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 spans="1:26" ht="14.25" customHeight="1">
      <c r="A1526" s="4">
        <v>14508</v>
      </c>
      <c r="B1526" s="4" t="str">
        <f>IFERROR(VLOOKUP(A1526,Colaboradores!A:D,2,),"")</f>
        <v>FYAMA SANTOS SILVA</v>
      </c>
      <c r="C1526" s="4" t="str">
        <f>IFERROR(VLOOKUP(A1526,Colaboradores!A:D,3,),"")</f>
        <v>SAÚDE OCUPACIONAL</v>
      </c>
      <c r="D1526" s="4" t="str">
        <f>IFERROR(VLOOKUP(A1526,Colaboradores!A:D,4,),"")</f>
        <v>ASSISTENTE ADMINISTRATIVO</v>
      </c>
      <c r="E1526" s="4" t="s">
        <v>49</v>
      </c>
      <c r="F1526" s="5" t="str">
        <f>IFERROR(VLOOKUP(E1526,Procedimentos!A:C,2,),"")</f>
        <v>DIRETRIZES PARA REALIZAÇÃO DE EXAMES OCUPACIONAIS</v>
      </c>
      <c r="G1526" s="4" t="s">
        <v>22</v>
      </c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 spans="1:26" ht="14.25" customHeight="1">
      <c r="A1527" s="4">
        <v>14508</v>
      </c>
      <c r="B1527" s="4" t="str">
        <f>IFERROR(VLOOKUP(A1527,Colaboradores!A:D,2,),"")</f>
        <v>FYAMA SANTOS SILVA</v>
      </c>
      <c r="C1527" s="4" t="str">
        <f>IFERROR(VLOOKUP(A1527,Colaboradores!A:D,3,),"")</f>
        <v>SAÚDE OCUPACIONAL</v>
      </c>
      <c r="D1527" s="4" t="str">
        <f>IFERROR(VLOOKUP(A1527,Colaboradores!A:D,4,),"")</f>
        <v>ASSISTENTE ADMINISTRATIVO</v>
      </c>
      <c r="E1527" s="4" t="s">
        <v>51</v>
      </c>
      <c r="F1527" s="5" t="str">
        <f>IFERROR(VLOOKUP(E1527,Procedimentos!A:C,2,),"")</f>
        <v>DIRETRIZES PARA ENTREGA DE ATESTADOS MÉDICOS E ODONTOLÓGICOS</v>
      </c>
      <c r="G1527" s="4" t="s">
        <v>22</v>
      </c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 spans="1:26" ht="14.25" customHeight="1">
      <c r="A1528" s="4">
        <v>14508</v>
      </c>
      <c r="B1528" s="4" t="str">
        <f>IFERROR(VLOOKUP(A1528,Colaboradores!A:D,2,),"")</f>
        <v>FYAMA SANTOS SILVA</v>
      </c>
      <c r="C1528" s="4" t="str">
        <f>IFERROR(VLOOKUP(A1528,Colaboradores!A:D,3,),"")</f>
        <v>SAÚDE OCUPACIONAL</v>
      </c>
      <c r="D1528" s="4" t="str">
        <f>IFERROR(VLOOKUP(A1528,Colaboradores!A:D,4,),"")</f>
        <v>ASSISTENTE ADMINISTRATIVO</v>
      </c>
      <c r="E1528" s="4" t="s">
        <v>52</v>
      </c>
      <c r="F1528" s="5" t="str">
        <f>IFERROR(VLOOKUP(E1528,Procedimentos!A:C,2,),"")</f>
        <v>DIRETRIZES E ACOMPANHAMENTO  DE ACIDENTE COM MATERIAL BIOLOGICO</v>
      </c>
      <c r="G1528" s="4" t="s">
        <v>22</v>
      </c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 spans="1:26" ht="14.25" customHeight="1">
      <c r="A1529" s="4">
        <v>14508</v>
      </c>
      <c r="B1529" s="4" t="str">
        <f>IFERROR(VLOOKUP(A1529,Colaboradores!A:D,2,),"")</f>
        <v>FYAMA SANTOS SILVA</v>
      </c>
      <c r="C1529" s="4" t="str">
        <f>IFERROR(VLOOKUP(A1529,Colaboradores!A:D,3,),"")</f>
        <v>SAÚDE OCUPACIONAL</v>
      </c>
      <c r="D1529" s="4" t="str">
        <f>IFERROR(VLOOKUP(A1529,Colaboradores!A:D,4,),"")</f>
        <v>ASSISTENTE ADMINISTRATIVO</v>
      </c>
      <c r="E1529" s="4" t="s">
        <v>53</v>
      </c>
      <c r="F1529" s="5" t="str">
        <f>IFERROR(VLOOKUP(E1529,Procedimentos!A:C,2,),"")</f>
        <v>DIRETRIZES PARA MONITORAMENTO DE GESTANTE</v>
      </c>
      <c r="G1529" s="4" t="s">
        <v>22</v>
      </c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 spans="1:26" ht="14.25" customHeight="1">
      <c r="A1530" s="4">
        <v>14508</v>
      </c>
      <c r="B1530" s="4" t="str">
        <f>IFERROR(VLOOKUP(A1530,Colaboradores!A:D,2,),"")</f>
        <v>FYAMA SANTOS SILVA</v>
      </c>
      <c r="C1530" s="4" t="str">
        <f>IFERROR(VLOOKUP(A1530,Colaboradores!A:D,3,),"")</f>
        <v>SAÚDE OCUPACIONAL</v>
      </c>
      <c r="D1530" s="4" t="str">
        <f>IFERROR(VLOOKUP(A1530,Colaboradores!A:D,4,),"")</f>
        <v>ASSISTENTE ADMINISTRATIVO</v>
      </c>
      <c r="E1530" s="4" t="s">
        <v>54</v>
      </c>
      <c r="F1530" s="5" t="str">
        <f>IFERROR(VLOOKUP(E1530,Procedimentos!A:C,2,),"")</f>
        <v>DIRETRIZES DE IMUNIZAÇÃO OCUPACIONAL</v>
      </c>
      <c r="G1530" s="4" t="s">
        <v>22</v>
      </c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 spans="1:26" ht="14.25" customHeight="1">
      <c r="A1531" s="4">
        <v>14508</v>
      </c>
      <c r="B1531" s="4" t="str">
        <f>IFERROR(VLOOKUP(A1531,Colaboradores!A:D,2,),"")</f>
        <v>FYAMA SANTOS SILVA</v>
      </c>
      <c r="C1531" s="4" t="str">
        <f>IFERROR(VLOOKUP(A1531,Colaboradores!A:D,3,),"")</f>
        <v>SAÚDE OCUPACIONAL</v>
      </c>
      <c r="D1531" s="4" t="str">
        <f>IFERROR(VLOOKUP(A1531,Colaboradores!A:D,4,),"")</f>
        <v>ASSISTENTE ADMINISTRATIVO</v>
      </c>
      <c r="E1531" s="4" t="s">
        <v>55</v>
      </c>
      <c r="F1531" s="5" t="str">
        <f>IFERROR(VLOOKUP(E1531,Procedimentos!A:C,2,),"")</f>
        <v>DIRETRIZES PARA ACOMPANHAMENTO DE AFASTADOS</v>
      </c>
      <c r="G1531" s="4" t="s">
        <v>22</v>
      </c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 spans="1:26" ht="14.25" customHeight="1">
      <c r="A1532" s="4">
        <v>14508</v>
      </c>
      <c r="B1532" s="4" t="str">
        <f>IFERROR(VLOOKUP(A1532,Colaboradores!A:D,2,),"")</f>
        <v>FYAMA SANTOS SILVA</v>
      </c>
      <c r="C1532" s="4" t="str">
        <f>IFERROR(VLOOKUP(A1532,Colaboradores!A:D,3,),"")</f>
        <v>SAÚDE OCUPACIONAL</v>
      </c>
      <c r="D1532" s="4" t="str">
        <f>IFERROR(VLOOKUP(A1532,Colaboradores!A:D,4,),"")</f>
        <v>ASSISTENTE ADMINISTRATIVO</v>
      </c>
      <c r="E1532" s="4" t="s">
        <v>46</v>
      </c>
      <c r="F1532" s="5" t="str">
        <f>IFERROR(VLOOKUP(E1532,Procedimentos!A:C,2,),"")</f>
        <v>POLÍTICA DE SAÚDE E SEGURANÇA DO TRABALHO EMSERH</v>
      </c>
      <c r="G1532" s="4" t="s">
        <v>22</v>
      </c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 spans="1:26" ht="14.25" customHeight="1">
      <c r="A1533" s="4">
        <v>14508</v>
      </c>
      <c r="B1533" s="4" t="str">
        <f>IFERROR(VLOOKUP(A1533,Colaboradores!A:D,2,),"")</f>
        <v>FYAMA SANTOS SILVA</v>
      </c>
      <c r="C1533" s="4" t="str">
        <f>IFERROR(VLOOKUP(A1533,Colaboradores!A:D,3,),"")</f>
        <v>SAÚDE OCUPACIONAL</v>
      </c>
      <c r="D1533" s="4" t="str">
        <f>IFERROR(VLOOKUP(A1533,Colaboradores!A:D,4,),"")</f>
        <v>ASSISTENTE ADMINISTRATIVO</v>
      </c>
      <c r="E1533" s="4" t="s">
        <v>41</v>
      </c>
      <c r="F1533" s="5" t="str">
        <f>IFERROR(VLOOKUP(E1533,Procedimentos!A:C,2,),"")</f>
        <v>DIRETRIZES PARA COMUNICAÇÃO E INVESTIGAÇÃO DE ACIDENTES</v>
      </c>
      <c r="G1533" s="4" t="s">
        <v>22</v>
      </c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 spans="1:26" ht="14.25" customHeight="1">
      <c r="A1534" s="4">
        <v>14508</v>
      </c>
      <c r="B1534" s="4" t="str">
        <f>IFERROR(VLOOKUP(A1534,Colaboradores!A:D,2,),"")</f>
        <v>FYAMA SANTOS SILVA</v>
      </c>
      <c r="C1534" s="4" t="str">
        <f>IFERROR(VLOOKUP(A1534,Colaboradores!A:D,3,),"")</f>
        <v>SAÚDE OCUPACIONAL</v>
      </c>
      <c r="D1534" s="4" t="str">
        <f>IFERROR(VLOOKUP(A1534,Colaboradores!A:D,4,),"")</f>
        <v>ASSISTENTE ADMINISTRATIVO</v>
      </c>
      <c r="E1534" s="4" t="s">
        <v>43</v>
      </c>
      <c r="F1534" s="5" t="str">
        <f>IFERROR(VLOOKUP(E1534,Procedimentos!A:C,2,),"")</f>
        <v>DIÁLOGO DE SAÚDE E SEGURANÇA - DSS</v>
      </c>
      <c r="G1534" s="4" t="s">
        <v>22</v>
      </c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 spans="1:26" ht="14.25" customHeight="1">
      <c r="A1535" s="4">
        <v>14508</v>
      </c>
      <c r="B1535" s="4" t="str">
        <f>IFERROR(VLOOKUP(A1535,Colaboradores!A:D,2,),"")</f>
        <v>FYAMA SANTOS SILVA</v>
      </c>
      <c r="C1535" s="4" t="str">
        <f>IFERROR(VLOOKUP(A1535,Colaboradores!A:D,3,),"")</f>
        <v>SAÚDE OCUPACIONAL</v>
      </c>
      <c r="D1535" s="4" t="str">
        <f>IFERROR(VLOOKUP(A1535,Colaboradores!A:D,4,),"")</f>
        <v>ASSISTENTE ADMINISTRATIVO</v>
      </c>
      <c r="E1535" s="4" t="s">
        <v>44</v>
      </c>
      <c r="F1535" s="5" t="str">
        <f>IFERROR(VLOOKUP(E1535,Procedimentos!A:C,2,),"")</f>
        <v>DIRETRIZES PARA GESTÃO DE EQUIPAMENTOS DE PROTEÇÃO INDIVIDUAL - EPI'S</v>
      </c>
      <c r="G1535" s="4" t="s">
        <v>22</v>
      </c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 spans="1:26" ht="14.25" customHeight="1">
      <c r="A1536" s="4">
        <v>14508</v>
      </c>
      <c r="B1536" s="4" t="str">
        <f>IFERROR(VLOOKUP(A1536,Colaboradores!A:D,2,),"")</f>
        <v>FYAMA SANTOS SILVA</v>
      </c>
      <c r="C1536" s="4" t="str">
        <f>IFERROR(VLOOKUP(A1536,Colaboradores!A:D,3,),"")</f>
        <v>SAÚDE OCUPACIONAL</v>
      </c>
      <c r="D1536" s="4" t="str">
        <f>IFERROR(VLOOKUP(A1536,Colaboradores!A:D,4,),"")</f>
        <v>ASSISTENTE ADMINISTRATIVO</v>
      </c>
      <c r="E1536" s="4" t="s">
        <v>45</v>
      </c>
      <c r="F1536" s="5" t="str">
        <f>IFERROR(VLOOKUP(E1536,Procedimentos!A:C,2,),"")</f>
        <v>CONSTITUIÇÃO INTERNA DE PREVENÇÃO DE ACIDENTES E DE ASSÉDIOS - CIPA</v>
      </c>
      <c r="G1536" s="4" t="s">
        <v>22</v>
      </c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 spans="1:26" ht="14.25" customHeight="1">
      <c r="A1537" s="4">
        <v>14866</v>
      </c>
      <c r="B1537" s="4" t="str">
        <f>IFERROR(VLOOKUP(A1537,Colaboradores!A:D,2,),"")</f>
        <v>GERUSA LOURDES CHAVES ALVES DA SILVA</v>
      </c>
      <c r="C1537" s="4" t="str">
        <f>IFERROR(VLOOKUP(A1537,Colaboradores!A:D,3,),"")</f>
        <v>SAÚDE OCUPACIONAL</v>
      </c>
      <c r="D1537" s="4" t="str">
        <f>IFERROR(VLOOKUP(A1537,Colaboradores!A:D,4,),"")</f>
        <v>ASSESSOR CLINICO(A)</v>
      </c>
      <c r="E1537" s="4" t="s">
        <v>58</v>
      </c>
      <c r="F1537" s="5" t="str">
        <f>IFERROR(VLOOKUP(E1537,Procedimentos!A:C,2,),"")</f>
        <v>POLÍTICA DE QUALIDADE DA DIRETORIA</v>
      </c>
      <c r="G1537" s="4" t="s">
        <v>22</v>
      </c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 spans="1:26" ht="14.25" customHeight="1">
      <c r="A1538" s="4">
        <v>14866</v>
      </c>
      <c r="B1538" s="4" t="str">
        <f>IFERROR(VLOOKUP(A1538,Colaboradores!A:D,2,),"")</f>
        <v>GERUSA LOURDES CHAVES ALVES DA SILVA</v>
      </c>
      <c r="C1538" s="4" t="str">
        <f>IFERROR(VLOOKUP(A1538,Colaboradores!A:D,3,),"")</f>
        <v>SAÚDE OCUPACIONAL</v>
      </c>
      <c r="D1538" s="4" t="str">
        <f>IFERROR(VLOOKUP(A1538,Colaboradores!A:D,4,),"")</f>
        <v>ASSESSOR CLINICO(A)</v>
      </c>
      <c r="E1538" s="4" t="s">
        <v>19</v>
      </c>
      <c r="F1538" s="5" t="str">
        <f>IFERROR(VLOOKUP(E1538,Procedimentos!A:C,2,),"")</f>
        <v>DIRETRIZES PARA DOCUMENTOS NORMATIVOS</v>
      </c>
      <c r="G1538" s="4" t="s">
        <v>22</v>
      </c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 spans="1:26" ht="14.25" customHeight="1">
      <c r="A1539" s="4">
        <v>14866</v>
      </c>
      <c r="B1539" s="4" t="str">
        <f>IFERROR(VLOOKUP(A1539,Colaboradores!A:D,2,),"")</f>
        <v>GERUSA LOURDES CHAVES ALVES DA SILVA</v>
      </c>
      <c r="C1539" s="4" t="str">
        <f>IFERROR(VLOOKUP(A1539,Colaboradores!A:D,3,),"")</f>
        <v>SAÚDE OCUPACIONAL</v>
      </c>
      <c r="D1539" s="4" t="str">
        <f>IFERROR(VLOOKUP(A1539,Colaboradores!A:D,4,),"")</f>
        <v>ASSESSOR CLINICO(A)</v>
      </c>
      <c r="E1539" s="4" t="s">
        <v>48</v>
      </c>
      <c r="F1539" s="5" t="str">
        <f>IFERROR(VLOOKUP(E1539,Procedimentos!A:C,2,),"")</f>
        <v>POLÍTICA MEIO AMBIENTE EMSERH</v>
      </c>
      <c r="G1539" s="4" t="s">
        <v>22</v>
      </c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 spans="1:26" ht="14.25" customHeight="1">
      <c r="A1540" s="4">
        <v>14866</v>
      </c>
      <c r="B1540" s="4" t="str">
        <f>IFERROR(VLOOKUP(A1540,Colaboradores!A:D,2,),"")</f>
        <v>GERUSA LOURDES CHAVES ALVES DA SILVA</v>
      </c>
      <c r="C1540" s="4" t="str">
        <f>IFERROR(VLOOKUP(A1540,Colaboradores!A:D,3,),"")</f>
        <v>SAÚDE OCUPACIONAL</v>
      </c>
      <c r="D1540" s="4" t="str">
        <f>IFERROR(VLOOKUP(A1540,Colaboradores!A:D,4,),"")</f>
        <v>ASSESSOR CLINICO(A)</v>
      </c>
      <c r="E1540" s="4" t="s">
        <v>49</v>
      </c>
      <c r="F1540" s="5" t="str">
        <f>IFERROR(VLOOKUP(E1540,Procedimentos!A:C,2,),"")</f>
        <v>DIRETRIZES PARA REALIZAÇÃO DE EXAMES OCUPACIONAIS</v>
      </c>
      <c r="G1540" s="4" t="s">
        <v>22</v>
      </c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 spans="1:26" ht="14.25" customHeight="1">
      <c r="A1541" s="4">
        <v>14866</v>
      </c>
      <c r="B1541" s="4" t="str">
        <f>IFERROR(VLOOKUP(A1541,Colaboradores!A:D,2,),"")</f>
        <v>GERUSA LOURDES CHAVES ALVES DA SILVA</v>
      </c>
      <c r="C1541" s="4" t="str">
        <f>IFERROR(VLOOKUP(A1541,Colaboradores!A:D,3,),"")</f>
        <v>SAÚDE OCUPACIONAL</v>
      </c>
      <c r="D1541" s="4" t="str">
        <f>IFERROR(VLOOKUP(A1541,Colaboradores!A:D,4,),"")</f>
        <v>ASSESSOR CLINICO(A)</v>
      </c>
      <c r="E1541" s="4" t="s">
        <v>51</v>
      </c>
      <c r="F1541" s="5" t="str">
        <f>IFERROR(VLOOKUP(E1541,Procedimentos!A:C,2,),"")</f>
        <v>DIRETRIZES PARA ENTREGA DE ATESTADOS MÉDICOS E ODONTOLÓGICOS</v>
      </c>
      <c r="G1541" s="4" t="s">
        <v>22</v>
      </c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 spans="1:26" ht="14.25" customHeight="1">
      <c r="A1542" s="4">
        <v>14866</v>
      </c>
      <c r="B1542" s="4" t="str">
        <f>IFERROR(VLOOKUP(A1542,Colaboradores!A:D,2,),"")</f>
        <v>GERUSA LOURDES CHAVES ALVES DA SILVA</v>
      </c>
      <c r="C1542" s="4" t="str">
        <f>IFERROR(VLOOKUP(A1542,Colaboradores!A:D,3,),"")</f>
        <v>SAÚDE OCUPACIONAL</v>
      </c>
      <c r="D1542" s="4" t="str">
        <f>IFERROR(VLOOKUP(A1542,Colaboradores!A:D,4,),"")</f>
        <v>ASSESSOR CLINICO(A)</v>
      </c>
      <c r="E1542" s="4" t="s">
        <v>52</v>
      </c>
      <c r="F1542" s="5" t="str">
        <f>IFERROR(VLOOKUP(E1542,Procedimentos!A:C,2,),"")</f>
        <v>DIRETRIZES E ACOMPANHAMENTO  DE ACIDENTE COM MATERIAL BIOLOGICO</v>
      </c>
      <c r="G1542" s="4" t="s">
        <v>22</v>
      </c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 spans="1:26" ht="14.25" customHeight="1">
      <c r="A1543" s="4">
        <v>14866</v>
      </c>
      <c r="B1543" s="4" t="str">
        <f>IFERROR(VLOOKUP(A1543,Colaboradores!A:D,2,),"")</f>
        <v>GERUSA LOURDES CHAVES ALVES DA SILVA</v>
      </c>
      <c r="C1543" s="4" t="str">
        <f>IFERROR(VLOOKUP(A1543,Colaboradores!A:D,3,),"")</f>
        <v>SAÚDE OCUPACIONAL</v>
      </c>
      <c r="D1543" s="4" t="str">
        <f>IFERROR(VLOOKUP(A1543,Colaboradores!A:D,4,),"")</f>
        <v>ASSESSOR CLINICO(A)</v>
      </c>
      <c r="E1543" s="4" t="s">
        <v>53</v>
      </c>
      <c r="F1543" s="5" t="str">
        <f>IFERROR(VLOOKUP(E1543,Procedimentos!A:C,2,),"")</f>
        <v>DIRETRIZES PARA MONITORAMENTO DE GESTANTE</v>
      </c>
      <c r="G1543" s="4" t="s">
        <v>22</v>
      </c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 spans="1:26" ht="14.25" customHeight="1">
      <c r="A1544" s="4">
        <v>14866</v>
      </c>
      <c r="B1544" s="4" t="str">
        <f>IFERROR(VLOOKUP(A1544,Colaboradores!A:D,2,),"")</f>
        <v>GERUSA LOURDES CHAVES ALVES DA SILVA</v>
      </c>
      <c r="C1544" s="4" t="str">
        <f>IFERROR(VLOOKUP(A1544,Colaboradores!A:D,3,),"")</f>
        <v>SAÚDE OCUPACIONAL</v>
      </c>
      <c r="D1544" s="4" t="str">
        <f>IFERROR(VLOOKUP(A1544,Colaboradores!A:D,4,),"")</f>
        <v>ASSESSOR CLINICO(A)</v>
      </c>
      <c r="E1544" s="4" t="s">
        <v>54</v>
      </c>
      <c r="F1544" s="5" t="str">
        <f>IFERROR(VLOOKUP(E1544,Procedimentos!A:C,2,),"")</f>
        <v>DIRETRIZES DE IMUNIZAÇÃO OCUPACIONAL</v>
      </c>
      <c r="G1544" s="4" t="s">
        <v>22</v>
      </c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 spans="1:26" ht="14.25" customHeight="1">
      <c r="A1545" s="4">
        <v>14866</v>
      </c>
      <c r="B1545" s="4" t="str">
        <f>IFERROR(VLOOKUP(A1545,Colaboradores!A:D,2,),"")</f>
        <v>GERUSA LOURDES CHAVES ALVES DA SILVA</v>
      </c>
      <c r="C1545" s="4" t="str">
        <f>IFERROR(VLOOKUP(A1545,Colaboradores!A:D,3,),"")</f>
        <v>SAÚDE OCUPACIONAL</v>
      </c>
      <c r="D1545" s="4" t="str">
        <f>IFERROR(VLOOKUP(A1545,Colaboradores!A:D,4,),"")</f>
        <v>ASSESSOR CLINICO(A)</v>
      </c>
      <c r="E1545" s="4" t="s">
        <v>55</v>
      </c>
      <c r="F1545" s="5" t="str">
        <f>IFERROR(VLOOKUP(E1545,Procedimentos!A:C,2,),"")</f>
        <v>DIRETRIZES PARA ACOMPANHAMENTO DE AFASTADOS</v>
      </c>
      <c r="G1545" s="4" t="s">
        <v>22</v>
      </c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 spans="1:26" ht="14.25" customHeight="1">
      <c r="A1546" s="4">
        <v>14866</v>
      </c>
      <c r="B1546" s="4" t="str">
        <f>IFERROR(VLOOKUP(A1546,Colaboradores!A:D,2,),"")</f>
        <v>GERUSA LOURDES CHAVES ALVES DA SILVA</v>
      </c>
      <c r="C1546" s="4" t="str">
        <f>IFERROR(VLOOKUP(A1546,Colaboradores!A:D,3,),"")</f>
        <v>SAÚDE OCUPACIONAL</v>
      </c>
      <c r="D1546" s="4" t="str">
        <f>IFERROR(VLOOKUP(A1546,Colaboradores!A:D,4,),"")</f>
        <v>ASSESSOR CLINICO(A)</v>
      </c>
      <c r="E1546" s="4" t="s">
        <v>46</v>
      </c>
      <c r="F1546" s="5" t="str">
        <f>IFERROR(VLOOKUP(E1546,Procedimentos!A:C,2,),"")</f>
        <v>POLÍTICA DE SAÚDE E SEGURANÇA DO TRABALHO EMSERH</v>
      </c>
      <c r="G1546" s="4" t="s">
        <v>22</v>
      </c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 spans="1:26" ht="14.25" customHeight="1">
      <c r="A1547" s="4">
        <v>13778</v>
      </c>
      <c r="B1547" s="4" t="str">
        <f>IFERROR(VLOOKUP(A1547,Colaboradores!A:D,2,),"")</f>
        <v>LAIS FERREIRA CAMPOS MINEIRO</v>
      </c>
      <c r="C1547" s="4" t="str">
        <f>IFERROR(VLOOKUP(A1547,Colaboradores!A:D,3,),"")</f>
        <v>SAÚDE OCUPACIONAL</v>
      </c>
      <c r="D1547" s="4" t="str">
        <f>IFERROR(VLOOKUP(A1547,Colaboradores!A:D,4,),"")</f>
        <v>FISIOTERAPEUTA</v>
      </c>
      <c r="E1547" s="4" t="s">
        <v>58</v>
      </c>
      <c r="F1547" s="5" t="str">
        <f>IFERROR(VLOOKUP(E1547,Procedimentos!A:C,2,),"")</f>
        <v>POLÍTICA DE QUALIDADE DA DIRETORIA</v>
      </c>
      <c r="G1547" s="4" t="s">
        <v>22</v>
      </c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 spans="1:26" ht="14.25" customHeight="1">
      <c r="A1548" s="4">
        <v>13778</v>
      </c>
      <c r="B1548" s="4" t="str">
        <f>IFERROR(VLOOKUP(A1548,Colaboradores!A:D,2,),"")</f>
        <v>LAIS FERREIRA CAMPOS MINEIRO</v>
      </c>
      <c r="C1548" s="4" t="str">
        <f>IFERROR(VLOOKUP(A1548,Colaboradores!A:D,3,),"")</f>
        <v>SAÚDE OCUPACIONAL</v>
      </c>
      <c r="D1548" s="4" t="str">
        <f>IFERROR(VLOOKUP(A1548,Colaboradores!A:D,4,),"")</f>
        <v>FISIOTERAPEUTA</v>
      </c>
      <c r="E1548" s="4" t="s">
        <v>19</v>
      </c>
      <c r="F1548" s="5" t="str">
        <f>IFERROR(VLOOKUP(E1548,Procedimentos!A:C,2,),"")</f>
        <v>DIRETRIZES PARA DOCUMENTOS NORMATIVOS</v>
      </c>
      <c r="G1548" s="4" t="s">
        <v>22</v>
      </c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 spans="1:26" ht="14.25" customHeight="1">
      <c r="A1549" s="4">
        <v>13778</v>
      </c>
      <c r="B1549" s="4" t="str">
        <f>IFERROR(VLOOKUP(A1549,Colaboradores!A:D,2,),"")</f>
        <v>LAIS FERREIRA CAMPOS MINEIRO</v>
      </c>
      <c r="C1549" s="4" t="str">
        <f>IFERROR(VLOOKUP(A1549,Colaboradores!A:D,3,),"")</f>
        <v>SAÚDE OCUPACIONAL</v>
      </c>
      <c r="D1549" s="4" t="str">
        <f>IFERROR(VLOOKUP(A1549,Colaboradores!A:D,4,),"")</f>
        <v>FISIOTERAPEUTA</v>
      </c>
      <c r="E1549" s="4" t="s">
        <v>24</v>
      </c>
      <c r="F1549" s="5" t="str">
        <f>IFERROR(VLOOKUP(E1549,Procedimentos!A:C,2,),"")</f>
        <v>DIRETRIZES  PARA PROGRAMA 5S</v>
      </c>
      <c r="G1549" s="4" t="s">
        <v>22</v>
      </c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 spans="1:26" ht="14.25" customHeight="1">
      <c r="A1550" s="4">
        <v>13778</v>
      </c>
      <c r="B1550" s="4" t="str">
        <f>IFERROR(VLOOKUP(A1550,Colaboradores!A:D,2,),"")</f>
        <v>LAIS FERREIRA CAMPOS MINEIRO</v>
      </c>
      <c r="C1550" s="4" t="str">
        <f>IFERROR(VLOOKUP(A1550,Colaboradores!A:D,3,),"")</f>
        <v>SAÚDE OCUPACIONAL</v>
      </c>
      <c r="D1550" s="4" t="str">
        <f>IFERROR(VLOOKUP(A1550,Colaboradores!A:D,4,),"")</f>
        <v>FISIOTERAPEUTA</v>
      </c>
      <c r="E1550" s="4" t="s">
        <v>25</v>
      </c>
      <c r="F1550" s="5" t="str">
        <f>IFERROR(VLOOKUP(E1550,Procedimentos!A:C,2,),"")</f>
        <v>GARANTIA DA QUALIDADE</v>
      </c>
      <c r="G1550" s="4" t="s">
        <v>22</v>
      </c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 spans="1:26" ht="14.25" customHeight="1">
      <c r="A1551" s="4">
        <v>13778</v>
      </c>
      <c r="B1551" s="4" t="str">
        <f>IFERROR(VLOOKUP(A1551,Colaboradores!A:D,2,),"")</f>
        <v>LAIS FERREIRA CAMPOS MINEIRO</v>
      </c>
      <c r="C1551" s="4" t="str">
        <f>IFERROR(VLOOKUP(A1551,Colaboradores!A:D,3,),"")</f>
        <v>SAÚDE OCUPACIONAL</v>
      </c>
      <c r="D1551" s="4" t="str">
        <f>IFERROR(VLOOKUP(A1551,Colaboradores!A:D,4,),"")</f>
        <v>FISIOTERAPEUTA</v>
      </c>
      <c r="E1551" s="4" t="s">
        <v>26</v>
      </c>
      <c r="F1551" s="5" t="str">
        <f>IFERROR(VLOOKUP(E1551,Procedimentos!A:C,2,),"")</f>
        <v>RESPONSABILIDADES E AUTORIDADES DO SGQ</v>
      </c>
      <c r="G1551" s="4" t="s">
        <v>22</v>
      </c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 spans="1:26" ht="14.25" customHeight="1">
      <c r="A1552" s="4">
        <v>13778</v>
      </c>
      <c r="B1552" s="4" t="str">
        <f>IFERROR(VLOOKUP(A1552,Colaboradores!A:D,2,),"")</f>
        <v>LAIS FERREIRA CAMPOS MINEIRO</v>
      </c>
      <c r="C1552" s="4" t="str">
        <f>IFERROR(VLOOKUP(A1552,Colaboradores!A:D,3,),"")</f>
        <v>SAÚDE OCUPACIONAL</v>
      </c>
      <c r="D1552" s="4" t="str">
        <f>IFERROR(VLOOKUP(A1552,Colaboradores!A:D,4,),"")</f>
        <v>FISIOTERAPEUTA</v>
      </c>
      <c r="E1552" s="4" t="s">
        <v>73</v>
      </c>
      <c r="F1552" s="5" t="str">
        <f>IFERROR(VLOOKUP(E1552,Procedimentos!A:C,2,),"")</f>
        <v>AQUISIÇÃO DE BENS E SERVIÇOS E AVALIAÇÃO PROVEDORES EXTERNOS</v>
      </c>
      <c r="G1552" s="4" t="s">
        <v>22</v>
      </c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 spans="1:26" ht="14.25" customHeight="1">
      <c r="A1553" s="4">
        <v>13778</v>
      </c>
      <c r="B1553" s="4" t="str">
        <f>IFERROR(VLOOKUP(A1553,Colaboradores!A:D,2,),"")</f>
        <v>LAIS FERREIRA CAMPOS MINEIRO</v>
      </c>
      <c r="C1553" s="4" t="str">
        <f>IFERROR(VLOOKUP(A1553,Colaboradores!A:D,3,),"")</f>
        <v>SAÚDE OCUPACIONAL</v>
      </c>
      <c r="D1553" s="4" t="str">
        <f>IFERROR(VLOOKUP(A1553,Colaboradores!A:D,4,),"")</f>
        <v>FISIOTERAPEUTA</v>
      </c>
      <c r="E1553" s="4" t="s">
        <v>48</v>
      </c>
      <c r="F1553" s="5" t="str">
        <f>IFERROR(VLOOKUP(E1553,Procedimentos!A:C,2,),"")</f>
        <v>POLÍTICA MEIO AMBIENTE EMSERH</v>
      </c>
      <c r="G1553" s="4" t="s">
        <v>22</v>
      </c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 spans="1:26" ht="14.25" customHeight="1">
      <c r="A1554" s="4">
        <v>13778</v>
      </c>
      <c r="B1554" s="4" t="str">
        <f>IFERROR(VLOOKUP(A1554,Colaboradores!A:D,2,),"")</f>
        <v>LAIS FERREIRA CAMPOS MINEIRO</v>
      </c>
      <c r="C1554" s="4" t="str">
        <f>IFERROR(VLOOKUP(A1554,Colaboradores!A:D,3,),"")</f>
        <v>SAÚDE OCUPACIONAL</v>
      </c>
      <c r="D1554" s="4" t="str">
        <f>IFERROR(VLOOKUP(A1554,Colaboradores!A:D,4,),"")</f>
        <v>FISIOTERAPEUTA</v>
      </c>
      <c r="E1554" s="4" t="s">
        <v>29</v>
      </c>
      <c r="F1554" s="5" t="str">
        <f>IFERROR(VLOOKUP(E1554,Procedimentos!A:C,2,),"")</f>
        <v>COLETA SELETIVA DESSMA</v>
      </c>
      <c r="G1554" s="4" t="s">
        <v>22</v>
      </c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 spans="1:26" ht="14.25" customHeight="1">
      <c r="A1555" s="4">
        <v>13778</v>
      </c>
      <c r="B1555" s="4" t="str">
        <f>IFERROR(VLOOKUP(A1555,Colaboradores!A:D,2,),"")</f>
        <v>LAIS FERREIRA CAMPOS MINEIRO</v>
      </c>
      <c r="C1555" s="4" t="str">
        <f>IFERROR(VLOOKUP(A1555,Colaboradores!A:D,3,),"")</f>
        <v>SAÚDE OCUPACIONAL</v>
      </c>
      <c r="D1555" s="4" t="str">
        <f>IFERROR(VLOOKUP(A1555,Colaboradores!A:D,4,),"")</f>
        <v>FISIOTERAPEUTA</v>
      </c>
      <c r="E1555" s="4" t="s">
        <v>36</v>
      </c>
      <c r="F1555" s="5" t="str">
        <f>IFERROR(VLOOKUP(E1555,Procedimentos!A:C,2,),"")</f>
        <v>GESTÃO DE PRODUTOS QUÍMICOS</v>
      </c>
      <c r="G1555" s="4" t="s">
        <v>22</v>
      </c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 spans="1:26" ht="14.25" customHeight="1">
      <c r="A1556" s="4">
        <v>13778</v>
      </c>
      <c r="B1556" s="4" t="str">
        <f>IFERROR(VLOOKUP(A1556,Colaboradores!A:D,2,),"")</f>
        <v>LAIS FERREIRA CAMPOS MINEIRO</v>
      </c>
      <c r="C1556" s="4" t="str">
        <f>IFERROR(VLOOKUP(A1556,Colaboradores!A:D,3,),"")</f>
        <v>SAÚDE OCUPACIONAL</v>
      </c>
      <c r="D1556" s="4" t="str">
        <f>IFERROR(VLOOKUP(A1556,Colaboradores!A:D,4,),"")</f>
        <v>FISIOTERAPEUTA</v>
      </c>
      <c r="E1556" s="4" t="s">
        <v>32</v>
      </c>
      <c r="F1556" s="5" t="str">
        <f>IFERROR(VLOOKUP(E1556,Procedimentos!A:C,2,),"")</f>
        <v>GESTÃO DE LEVANTAMENTO DE ASPECTOS E IMPACTOS AMBIENTAIS</v>
      </c>
      <c r="G1556" s="4" t="s">
        <v>22</v>
      </c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 spans="1:26" ht="14.25" customHeight="1">
      <c r="A1557" s="4">
        <v>13778</v>
      </c>
      <c r="B1557" s="4" t="str">
        <f>IFERROR(VLOOKUP(A1557,Colaboradores!A:D,2,),"")</f>
        <v>LAIS FERREIRA CAMPOS MINEIRO</v>
      </c>
      <c r="C1557" s="4" t="str">
        <f>IFERROR(VLOOKUP(A1557,Colaboradores!A:D,3,),"")</f>
        <v>SAÚDE OCUPACIONAL</v>
      </c>
      <c r="D1557" s="4" t="str">
        <f>IFERROR(VLOOKUP(A1557,Colaboradores!A:D,4,),"")</f>
        <v>FISIOTERAPEUTA</v>
      </c>
      <c r="E1557" s="4" t="s">
        <v>31</v>
      </c>
      <c r="F1557" s="5" t="str">
        <f>IFERROR(VLOOKUP(E1557,Procedimentos!A:C,2,),"")</f>
        <v>GESTÃO DE COMUNICAÇÃO, CLASSIFICAÇÃO E INVESTIGAÇÃO DE OCORRÊNCIAS AMBIENTAIS</v>
      </c>
      <c r="G1557" s="4" t="s">
        <v>22</v>
      </c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 spans="1:26" ht="14.25" customHeight="1">
      <c r="A1558" s="4">
        <v>13778</v>
      </c>
      <c r="B1558" s="4" t="str">
        <f>IFERROR(VLOOKUP(A1558,Colaboradores!A:D,2,),"")</f>
        <v>LAIS FERREIRA CAMPOS MINEIRO</v>
      </c>
      <c r="C1558" s="4" t="str">
        <f>IFERROR(VLOOKUP(A1558,Colaboradores!A:D,3,),"")</f>
        <v>SAÚDE OCUPACIONAL</v>
      </c>
      <c r="D1558" s="4" t="str">
        <f>IFERROR(VLOOKUP(A1558,Colaboradores!A:D,4,),"")</f>
        <v>FISIOTERAPEUTA</v>
      </c>
      <c r="E1558" s="4" t="s">
        <v>33</v>
      </c>
      <c r="F1558" s="5" t="str">
        <f>IFERROR(VLOOKUP(E1558,Procedimentos!A:C,2,),"")</f>
        <v>GESTÃO DE INSPEÇÕES AMBIENTAIS</v>
      </c>
      <c r="G1558" s="4" t="s">
        <v>22</v>
      </c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 spans="1:26" ht="14.25" customHeight="1">
      <c r="A1559" s="4">
        <v>13778</v>
      </c>
      <c r="B1559" s="4" t="str">
        <f>IFERROR(VLOOKUP(A1559,Colaboradores!A:D,2,),"")</f>
        <v>LAIS FERREIRA CAMPOS MINEIRO</v>
      </c>
      <c r="C1559" s="4" t="str">
        <f>IFERROR(VLOOKUP(A1559,Colaboradores!A:D,3,),"")</f>
        <v>SAÚDE OCUPACIONAL</v>
      </c>
      <c r="D1559" s="4" t="str">
        <f>IFERROR(VLOOKUP(A1559,Colaboradores!A:D,4,),"")</f>
        <v>FISIOTERAPEUTA</v>
      </c>
      <c r="E1559" s="4" t="s">
        <v>49</v>
      </c>
      <c r="F1559" s="5" t="str">
        <f>IFERROR(VLOOKUP(E1559,Procedimentos!A:C,2,),"")</f>
        <v>DIRETRIZES PARA REALIZAÇÃO DE EXAMES OCUPACIONAIS</v>
      </c>
      <c r="G1559" s="4" t="s">
        <v>22</v>
      </c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 spans="1:26" ht="14.25" customHeight="1">
      <c r="A1560" s="4">
        <v>13778</v>
      </c>
      <c r="B1560" s="4" t="str">
        <f>IFERROR(VLOOKUP(A1560,Colaboradores!A:D,2,),"")</f>
        <v>LAIS FERREIRA CAMPOS MINEIRO</v>
      </c>
      <c r="C1560" s="4" t="str">
        <f>IFERROR(VLOOKUP(A1560,Colaboradores!A:D,3,),"")</f>
        <v>SAÚDE OCUPACIONAL</v>
      </c>
      <c r="D1560" s="4" t="str">
        <f>IFERROR(VLOOKUP(A1560,Colaboradores!A:D,4,),"")</f>
        <v>FISIOTERAPEUTA</v>
      </c>
      <c r="E1560" s="4" t="s">
        <v>51</v>
      </c>
      <c r="F1560" s="5" t="str">
        <f>IFERROR(VLOOKUP(E1560,Procedimentos!A:C,2,),"")</f>
        <v>DIRETRIZES PARA ENTREGA DE ATESTADOS MÉDICOS E ODONTOLÓGICOS</v>
      </c>
      <c r="G1560" s="4" t="s">
        <v>22</v>
      </c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 spans="1:26" ht="14.25" customHeight="1">
      <c r="A1561" s="4">
        <v>13778</v>
      </c>
      <c r="B1561" s="4" t="str">
        <f>IFERROR(VLOOKUP(A1561,Colaboradores!A:D,2,),"")</f>
        <v>LAIS FERREIRA CAMPOS MINEIRO</v>
      </c>
      <c r="C1561" s="4" t="str">
        <f>IFERROR(VLOOKUP(A1561,Colaboradores!A:D,3,),"")</f>
        <v>SAÚDE OCUPACIONAL</v>
      </c>
      <c r="D1561" s="4" t="str">
        <f>IFERROR(VLOOKUP(A1561,Colaboradores!A:D,4,),"")</f>
        <v>FISIOTERAPEUTA</v>
      </c>
      <c r="E1561" s="4" t="s">
        <v>52</v>
      </c>
      <c r="F1561" s="5" t="str">
        <f>IFERROR(VLOOKUP(E1561,Procedimentos!A:C,2,),"")</f>
        <v>DIRETRIZES E ACOMPANHAMENTO  DE ACIDENTE COM MATERIAL BIOLOGICO</v>
      </c>
      <c r="G1561" s="4" t="s">
        <v>22</v>
      </c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 spans="1:26" ht="14.25" customHeight="1">
      <c r="A1562" s="4">
        <v>13778</v>
      </c>
      <c r="B1562" s="4" t="str">
        <f>IFERROR(VLOOKUP(A1562,Colaboradores!A:D,2,),"")</f>
        <v>LAIS FERREIRA CAMPOS MINEIRO</v>
      </c>
      <c r="C1562" s="4" t="str">
        <f>IFERROR(VLOOKUP(A1562,Colaboradores!A:D,3,),"")</f>
        <v>SAÚDE OCUPACIONAL</v>
      </c>
      <c r="D1562" s="4" t="str">
        <f>IFERROR(VLOOKUP(A1562,Colaboradores!A:D,4,),"")</f>
        <v>FISIOTERAPEUTA</v>
      </c>
      <c r="E1562" s="4" t="s">
        <v>53</v>
      </c>
      <c r="F1562" s="5" t="str">
        <f>IFERROR(VLOOKUP(E1562,Procedimentos!A:C,2,),"")</f>
        <v>DIRETRIZES PARA MONITORAMENTO DE GESTANTE</v>
      </c>
      <c r="G1562" s="4" t="s">
        <v>22</v>
      </c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 spans="1:26" ht="14.25" customHeight="1">
      <c r="A1563" s="4">
        <v>13778</v>
      </c>
      <c r="B1563" s="4" t="str">
        <f>IFERROR(VLOOKUP(A1563,Colaboradores!A:D,2,),"")</f>
        <v>LAIS FERREIRA CAMPOS MINEIRO</v>
      </c>
      <c r="C1563" s="4" t="str">
        <f>IFERROR(VLOOKUP(A1563,Colaboradores!A:D,3,),"")</f>
        <v>SAÚDE OCUPACIONAL</v>
      </c>
      <c r="D1563" s="4" t="str">
        <f>IFERROR(VLOOKUP(A1563,Colaboradores!A:D,4,),"")</f>
        <v>FISIOTERAPEUTA</v>
      </c>
      <c r="E1563" s="4" t="s">
        <v>54</v>
      </c>
      <c r="F1563" s="5" t="str">
        <f>IFERROR(VLOOKUP(E1563,Procedimentos!A:C,2,),"")</f>
        <v>DIRETRIZES DE IMUNIZAÇÃO OCUPACIONAL</v>
      </c>
      <c r="G1563" s="4" t="s">
        <v>22</v>
      </c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 spans="1:26" ht="14.25" customHeight="1">
      <c r="A1564" s="4">
        <v>13778</v>
      </c>
      <c r="B1564" s="4" t="str">
        <f>IFERROR(VLOOKUP(A1564,Colaboradores!A:D,2,),"")</f>
        <v>LAIS FERREIRA CAMPOS MINEIRO</v>
      </c>
      <c r="C1564" s="4" t="str">
        <f>IFERROR(VLOOKUP(A1564,Colaboradores!A:D,3,),"")</f>
        <v>SAÚDE OCUPACIONAL</v>
      </c>
      <c r="D1564" s="4" t="str">
        <f>IFERROR(VLOOKUP(A1564,Colaboradores!A:D,4,),"")</f>
        <v>FISIOTERAPEUTA</v>
      </c>
      <c r="E1564" s="4" t="s">
        <v>55</v>
      </c>
      <c r="F1564" s="5" t="str">
        <f>IFERROR(VLOOKUP(E1564,Procedimentos!A:C,2,),"")</f>
        <v>DIRETRIZES PARA ACOMPANHAMENTO DE AFASTADOS</v>
      </c>
      <c r="G1564" s="4" t="s">
        <v>22</v>
      </c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 spans="1:26" ht="14.25" customHeight="1">
      <c r="A1565" s="4">
        <v>13778</v>
      </c>
      <c r="B1565" s="4" t="str">
        <f>IFERROR(VLOOKUP(A1565,Colaboradores!A:D,2,),"")</f>
        <v>LAIS FERREIRA CAMPOS MINEIRO</v>
      </c>
      <c r="C1565" s="4" t="str">
        <f>IFERROR(VLOOKUP(A1565,Colaboradores!A:D,3,),"")</f>
        <v>SAÚDE OCUPACIONAL</v>
      </c>
      <c r="D1565" s="4" t="str">
        <f>IFERROR(VLOOKUP(A1565,Colaboradores!A:D,4,),"")</f>
        <v>FISIOTERAPEUTA</v>
      </c>
      <c r="E1565" s="4" t="s">
        <v>80</v>
      </c>
      <c r="F1565" s="5" t="str">
        <f>IFERROR(VLOOKUP(E1565,Procedimentos!A:C,2,),"")</f>
        <v>ATENDIMENTO FISIOTERÁPICO NO ESPAÇO CUIDARH</v>
      </c>
      <c r="G1565" s="4" t="s">
        <v>22</v>
      </c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 spans="1:26" ht="14.25" customHeight="1">
      <c r="A1566" s="4">
        <v>13778</v>
      </c>
      <c r="B1566" s="4" t="str">
        <f>IFERROR(VLOOKUP(A1566,Colaboradores!A:D,2,),"")</f>
        <v>LAIS FERREIRA CAMPOS MINEIRO</v>
      </c>
      <c r="C1566" s="4" t="str">
        <f>IFERROR(VLOOKUP(A1566,Colaboradores!A:D,3,),"")</f>
        <v>SAÚDE OCUPACIONAL</v>
      </c>
      <c r="D1566" s="4" t="str">
        <f>IFERROR(VLOOKUP(A1566,Colaboradores!A:D,4,),"")</f>
        <v>FISIOTERAPEUTA</v>
      </c>
      <c r="E1566" s="4" t="s">
        <v>46</v>
      </c>
      <c r="F1566" s="5" t="str">
        <f>IFERROR(VLOOKUP(E1566,Procedimentos!A:C,2,),"")</f>
        <v>POLÍTICA DE SAÚDE E SEGURANÇA DO TRABALHO EMSERH</v>
      </c>
      <c r="G1566" s="4" t="s">
        <v>22</v>
      </c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 spans="1:26" ht="14.25" customHeight="1">
      <c r="A1567" s="4">
        <v>13778</v>
      </c>
      <c r="B1567" s="4" t="str">
        <f>IFERROR(VLOOKUP(A1567,Colaboradores!A:D,2,),"")</f>
        <v>LAIS FERREIRA CAMPOS MINEIRO</v>
      </c>
      <c r="C1567" s="4" t="str">
        <f>IFERROR(VLOOKUP(A1567,Colaboradores!A:D,3,),"")</f>
        <v>SAÚDE OCUPACIONAL</v>
      </c>
      <c r="D1567" s="4" t="str">
        <f>IFERROR(VLOOKUP(A1567,Colaboradores!A:D,4,),"")</f>
        <v>FISIOTERAPEUTA</v>
      </c>
      <c r="E1567" s="4" t="s">
        <v>41</v>
      </c>
      <c r="F1567" s="5" t="str">
        <f>IFERROR(VLOOKUP(E1567,Procedimentos!A:C,2,),"")</f>
        <v>DIRETRIZES PARA COMUNICAÇÃO E INVESTIGAÇÃO DE ACIDENTES</v>
      </c>
      <c r="G1567" s="4" t="s">
        <v>22</v>
      </c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 spans="1:26" ht="14.25" customHeight="1">
      <c r="A1568" s="4">
        <v>13778</v>
      </c>
      <c r="B1568" s="4" t="str">
        <f>IFERROR(VLOOKUP(A1568,Colaboradores!A:D,2,),"")</f>
        <v>LAIS FERREIRA CAMPOS MINEIRO</v>
      </c>
      <c r="C1568" s="4" t="str">
        <f>IFERROR(VLOOKUP(A1568,Colaboradores!A:D,3,),"")</f>
        <v>SAÚDE OCUPACIONAL</v>
      </c>
      <c r="D1568" s="4" t="str">
        <f>IFERROR(VLOOKUP(A1568,Colaboradores!A:D,4,),"")</f>
        <v>FISIOTERAPEUTA</v>
      </c>
      <c r="E1568" s="4" t="s">
        <v>43</v>
      </c>
      <c r="F1568" s="5" t="str">
        <f>IFERROR(VLOOKUP(E1568,Procedimentos!A:C,2,),"")</f>
        <v>DIÁLOGO DE SAÚDE E SEGURANÇA - DSS</v>
      </c>
      <c r="G1568" s="4" t="s">
        <v>22</v>
      </c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 spans="1:26" ht="14.25" customHeight="1">
      <c r="A1569" s="4">
        <v>13778</v>
      </c>
      <c r="B1569" s="4" t="str">
        <f>IFERROR(VLOOKUP(A1569,Colaboradores!A:D,2,),"")</f>
        <v>LAIS FERREIRA CAMPOS MINEIRO</v>
      </c>
      <c r="C1569" s="4" t="str">
        <f>IFERROR(VLOOKUP(A1569,Colaboradores!A:D,3,),"")</f>
        <v>SAÚDE OCUPACIONAL</v>
      </c>
      <c r="D1569" s="4" t="str">
        <f>IFERROR(VLOOKUP(A1569,Colaboradores!A:D,4,),"")</f>
        <v>FISIOTERAPEUTA</v>
      </c>
      <c r="E1569" s="4" t="s">
        <v>44</v>
      </c>
      <c r="F1569" s="5" t="str">
        <f>IFERROR(VLOOKUP(E1569,Procedimentos!A:C,2,),"")</f>
        <v>DIRETRIZES PARA GESTÃO DE EQUIPAMENTOS DE PROTEÇÃO INDIVIDUAL - EPI'S</v>
      </c>
      <c r="G1569" s="4" t="s">
        <v>22</v>
      </c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 spans="1:26" ht="14.25" customHeight="1">
      <c r="A1570" s="4">
        <v>13778</v>
      </c>
      <c r="B1570" s="4" t="str">
        <f>IFERROR(VLOOKUP(A1570,Colaboradores!A:D,2,),"")</f>
        <v>LAIS FERREIRA CAMPOS MINEIRO</v>
      </c>
      <c r="C1570" s="4" t="str">
        <f>IFERROR(VLOOKUP(A1570,Colaboradores!A:D,3,),"")</f>
        <v>SAÚDE OCUPACIONAL</v>
      </c>
      <c r="D1570" s="4" t="str">
        <f>IFERROR(VLOOKUP(A1570,Colaboradores!A:D,4,),"")</f>
        <v>FISIOTERAPEUTA</v>
      </c>
      <c r="E1570" s="4" t="s">
        <v>45</v>
      </c>
      <c r="F1570" s="5" t="str">
        <f>IFERROR(VLOOKUP(E1570,Procedimentos!A:C,2,),"")</f>
        <v>CONSTITUIÇÃO INTERNA DE PREVENÇÃO DE ACIDENTES E DE ASSÉDIOS - CIPA</v>
      </c>
      <c r="G1570" s="4" t="s">
        <v>22</v>
      </c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 spans="1:26" ht="14.25" customHeight="1">
      <c r="A1571" s="4">
        <v>7147</v>
      </c>
      <c r="B1571" s="4" t="str">
        <f>IFERROR(VLOOKUP(A1571,Colaboradores!A:D,2,),"")</f>
        <v>MAIARA MONTEIRO MARQUES CASTELO BRANCO</v>
      </c>
      <c r="C1571" s="4" t="str">
        <f>IFERROR(VLOOKUP(A1571,Colaboradores!A:D,3,),"")</f>
        <v>SAÚDE OCUPACIONAL</v>
      </c>
      <c r="D1571" s="4" t="str">
        <f>IFERROR(VLOOKUP(A1571,Colaboradores!A:D,4,),"")</f>
        <v>PSICÓLOGA</v>
      </c>
      <c r="E1571" s="4" t="s">
        <v>58</v>
      </c>
      <c r="F1571" s="5" t="str">
        <f>IFERROR(VLOOKUP(E1571,Procedimentos!A:C,2,),"")</f>
        <v>POLÍTICA DE QUALIDADE DA DIRETORIA</v>
      </c>
      <c r="G1571" s="4" t="s">
        <v>22</v>
      </c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 spans="1:26" ht="14.25" customHeight="1">
      <c r="A1572" s="4">
        <v>7147</v>
      </c>
      <c r="B1572" s="4" t="str">
        <f>IFERROR(VLOOKUP(A1572,Colaboradores!A:D,2,),"")</f>
        <v>MAIARA MONTEIRO MARQUES CASTELO BRANCO</v>
      </c>
      <c r="C1572" s="4" t="str">
        <f>IFERROR(VLOOKUP(A1572,Colaboradores!A:D,3,),"")</f>
        <v>SAÚDE OCUPACIONAL</v>
      </c>
      <c r="D1572" s="4" t="str">
        <f>IFERROR(VLOOKUP(A1572,Colaboradores!A:D,4,),"")</f>
        <v>PSICÓLOGA</v>
      </c>
      <c r="E1572" s="4" t="s">
        <v>19</v>
      </c>
      <c r="F1572" s="5" t="str">
        <f>IFERROR(VLOOKUP(E1572,Procedimentos!A:C,2,),"")</f>
        <v>DIRETRIZES PARA DOCUMENTOS NORMATIVOS</v>
      </c>
      <c r="G1572" s="4" t="s">
        <v>22</v>
      </c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 spans="1:26" ht="14.25" customHeight="1">
      <c r="A1573" s="4">
        <v>7147</v>
      </c>
      <c r="B1573" s="4" t="str">
        <f>IFERROR(VLOOKUP(A1573,Colaboradores!A:D,2,),"")</f>
        <v>MAIARA MONTEIRO MARQUES CASTELO BRANCO</v>
      </c>
      <c r="C1573" s="4" t="str">
        <f>IFERROR(VLOOKUP(A1573,Colaboradores!A:D,3,),"")</f>
        <v>SAÚDE OCUPACIONAL</v>
      </c>
      <c r="D1573" s="4" t="str">
        <f>IFERROR(VLOOKUP(A1573,Colaboradores!A:D,4,),"")</f>
        <v>PSICÓLOGA</v>
      </c>
      <c r="E1573" s="4" t="s">
        <v>24</v>
      </c>
      <c r="F1573" s="5" t="str">
        <f>IFERROR(VLOOKUP(E1573,Procedimentos!A:C,2,),"")</f>
        <v>DIRETRIZES  PARA PROGRAMA 5S</v>
      </c>
      <c r="G1573" s="4" t="s">
        <v>22</v>
      </c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 spans="1:26" ht="14.25" customHeight="1">
      <c r="A1574" s="4">
        <v>7147</v>
      </c>
      <c r="B1574" s="4" t="str">
        <f>IFERROR(VLOOKUP(A1574,Colaboradores!A:D,2,),"")</f>
        <v>MAIARA MONTEIRO MARQUES CASTELO BRANCO</v>
      </c>
      <c r="C1574" s="4" t="str">
        <f>IFERROR(VLOOKUP(A1574,Colaboradores!A:D,3,),"")</f>
        <v>SAÚDE OCUPACIONAL</v>
      </c>
      <c r="D1574" s="4" t="str">
        <f>IFERROR(VLOOKUP(A1574,Colaboradores!A:D,4,),"")</f>
        <v>PSICÓLOGA</v>
      </c>
      <c r="E1574" s="4" t="s">
        <v>25</v>
      </c>
      <c r="F1574" s="5" t="str">
        <f>IFERROR(VLOOKUP(E1574,Procedimentos!A:C,2,),"")</f>
        <v>GARANTIA DA QUALIDADE</v>
      </c>
      <c r="G1574" s="4" t="s">
        <v>22</v>
      </c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 spans="1:26" ht="14.25" customHeight="1">
      <c r="A1575" s="4">
        <v>7147</v>
      </c>
      <c r="B1575" s="4" t="str">
        <f>IFERROR(VLOOKUP(A1575,Colaboradores!A:D,2,),"")</f>
        <v>MAIARA MONTEIRO MARQUES CASTELO BRANCO</v>
      </c>
      <c r="C1575" s="4" t="str">
        <f>IFERROR(VLOOKUP(A1575,Colaboradores!A:D,3,),"")</f>
        <v>SAÚDE OCUPACIONAL</v>
      </c>
      <c r="D1575" s="4" t="str">
        <f>IFERROR(VLOOKUP(A1575,Colaboradores!A:D,4,),"")</f>
        <v>PSICÓLOGA</v>
      </c>
      <c r="E1575" s="4" t="s">
        <v>26</v>
      </c>
      <c r="F1575" s="5" t="str">
        <f>IFERROR(VLOOKUP(E1575,Procedimentos!A:C,2,),"")</f>
        <v>RESPONSABILIDADES E AUTORIDADES DO SGQ</v>
      </c>
      <c r="G1575" s="4" t="s">
        <v>22</v>
      </c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 spans="1:26" ht="14.25" customHeight="1">
      <c r="A1576" s="4">
        <v>7147</v>
      </c>
      <c r="B1576" s="4" t="str">
        <f>IFERROR(VLOOKUP(A1576,Colaboradores!A:D,2,),"")</f>
        <v>MAIARA MONTEIRO MARQUES CASTELO BRANCO</v>
      </c>
      <c r="C1576" s="4" t="str">
        <f>IFERROR(VLOOKUP(A1576,Colaboradores!A:D,3,),"")</f>
        <v>SAÚDE OCUPACIONAL</v>
      </c>
      <c r="D1576" s="4" t="str">
        <f>IFERROR(VLOOKUP(A1576,Colaboradores!A:D,4,),"")</f>
        <v>PSICÓLOGA</v>
      </c>
      <c r="E1576" s="4" t="s">
        <v>48</v>
      </c>
      <c r="F1576" s="5" t="str">
        <f>IFERROR(VLOOKUP(E1576,Procedimentos!A:C,2,),"")</f>
        <v>POLÍTICA MEIO AMBIENTE EMSERH</v>
      </c>
      <c r="G1576" s="4" t="s">
        <v>22</v>
      </c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 spans="1:26" ht="14.25" customHeight="1">
      <c r="A1577" s="4">
        <v>7147</v>
      </c>
      <c r="B1577" s="4" t="str">
        <f>IFERROR(VLOOKUP(A1577,Colaboradores!A:D,2,),"")</f>
        <v>MAIARA MONTEIRO MARQUES CASTELO BRANCO</v>
      </c>
      <c r="C1577" s="4" t="str">
        <f>IFERROR(VLOOKUP(A1577,Colaboradores!A:D,3,),"")</f>
        <v>SAÚDE OCUPACIONAL</v>
      </c>
      <c r="D1577" s="4" t="str">
        <f>IFERROR(VLOOKUP(A1577,Colaboradores!A:D,4,),"")</f>
        <v>PSICÓLOGA</v>
      </c>
      <c r="E1577" s="4" t="s">
        <v>29</v>
      </c>
      <c r="F1577" s="5" t="str">
        <f>IFERROR(VLOOKUP(E1577,Procedimentos!A:C,2,),"")</f>
        <v>COLETA SELETIVA DESSMA</v>
      </c>
      <c r="G1577" s="4" t="s">
        <v>22</v>
      </c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 spans="1:26" ht="14.25" customHeight="1">
      <c r="A1578" s="4">
        <v>7147</v>
      </c>
      <c r="B1578" s="4" t="str">
        <f>IFERROR(VLOOKUP(A1578,Colaboradores!A:D,2,),"")</f>
        <v>MAIARA MONTEIRO MARQUES CASTELO BRANCO</v>
      </c>
      <c r="C1578" s="4" t="str">
        <f>IFERROR(VLOOKUP(A1578,Colaboradores!A:D,3,),"")</f>
        <v>SAÚDE OCUPACIONAL</v>
      </c>
      <c r="D1578" s="4" t="str">
        <f>IFERROR(VLOOKUP(A1578,Colaboradores!A:D,4,),"")</f>
        <v>PSICÓLOGA</v>
      </c>
      <c r="E1578" s="4" t="s">
        <v>32</v>
      </c>
      <c r="F1578" s="5" t="str">
        <f>IFERROR(VLOOKUP(E1578,Procedimentos!A:C,2,),"")</f>
        <v>GESTÃO DE LEVANTAMENTO DE ASPECTOS E IMPACTOS AMBIENTAIS</v>
      </c>
      <c r="G1578" s="4" t="s">
        <v>22</v>
      </c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 spans="1:26" ht="14.25" customHeight="1">
      <c r="A1579" s="4">
        <v>7147</v>
      </c>
      <c r="B1579" s="4" t="str">
        <f>IFERROR(VLOOKUP(A1579,Colaboradores!A:D,2,),"")</f>
        <v>MAIARA MONTEIRO MARQUES CASTELO BRANCO</v>
      </c>
      <c r="C1579" s="4" t="str">
        <f>IFERROR(VLOOKUP(A1579,Colaboradores!A:D,3,),"")</f>
        <v>SAÚDE OCUPACIONAL</v>
      </c>
      <c r="D1579" s="4" t="str">
        <f>IFERROR(VLOOKUP(A1579,Colaboradores!A:D,4,),"")</f>
        <v>PSICÓLOGA</v>
      </c>
      <c r="E1579" s="4" t="s">
        <v>31</v>
      </c>
      <c r="F1579" s="5" t="str">
        <f>IFERROR(VLOOKUP(E1579,Procedimentos!A:C,2,),"")</f>
        <v>GESTÃO DE COMUNICAÇÃO, CLASSIFICAÇÃO E INVESTIGAÇÃO DE OCORRÊNCIAS AMBIENTAIS</v>
      </c>
      <c r="G1579" s="4" t="s">
        <v>22</v>
      </c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 spans="1:26" ht="14.25" customHeight="1">
      <c r="A1580" s="4">
        <v>7147</v>
      </c>
      <c r="B1580" s="4" t="str">
        <f>IFERROR(VLOOKUP(A1580,Colaboradores!A:D,2,),"")</f>
        <v>MAIARA MONTEIRO MARQUES CASTELO BRANCO</v>
      </c>
      <c r="C1580" s="4" t="str">
        <f>IFERROR(VLOOKUP(A1580,Colaboradores!A:D,3,),"")</f>
        <v>SAÚDE OCUPACIONAL</v>
      </c>
      <c r="D1580" s="4" t="str">
        <f>IFERROR(VLOOKUP(A1580,Colaboradores!A:D,4,),"")</f>
        <v>PSICÓLOGA</v>
      </c>
      <c r="E1580" s="4" t="s">
        <v>33</v>
      </c>
      <c r="F1580" s="5" t="str">
        <f>IFERROR(VLOOKUP(E1580,Procedimentos!A:C,2,),"")</f>
        <v>GESTÃO DE INSPEÇÕES AMBIENTAIS</v>
      </c>
      <c r="G1580" s="4" t="s">
        <v>22</v>
      </c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 spans="1:26" ht="14.25" customHeight="1">
      <c r="A1581" s="4">
        <v>7147</v>
      </c>
      <c r="B1581" s="4" t="str">
        <f>IFERROR(VLOOKUP(A1581,Colaboradores!A:D,2,),"")</f>
        <v>MAIARA MONTEIRO MARQUES CASTELO BRANCO</v>
      </c>
      <c r="C1581" s="4" t="str">
        <f>IFERROR(VLOOKUP(A1581,Colaboradores!A:D,3,),"")</f>
        <v>SAÚDE OCUPACIONAL</v>
      </c>
      <c r="D1581" s="4" t="str">
        <f>IFERROR(VLOOKUP(A1581,Colaboradores!A:D,4,),"")</f>
        <v>PSICÓLOGA</v>
      </c>
      <c r="E1581" s="4" t="s">
        <v>49</v>
      </c>
      <c r="F1581" s="5" t="str">
        <f>IFERROR(VLOOKUP(E1581,Procedimentos!A:C,2,),"")</f>
        <v>DIRETRIZES PARA REALIZAÇÃO DE EXAMES OCUPACIONAIS</v>
      </c>
      <c r="G1581" s="4" t="s">
        <v>22</v>
      </c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 spans="1:26" ht="14.25" customHeight="1">
      <c r="A1582" s="4">
        <v>7147</v>
      </c>
      <c r="B1582" s="4" t="str">
        <f>IFERROR(VLOOKUP(A1582,Colaboradores!A:D,2,),"")</f>
        <v>MAIARA MONTEIRO MARQUES CASTELO BRANCO</v>
      </c>
      <c r="C1582" s="4" t="str">
        <f>IFERROR(VLOOKUP(A1582,Colaboradores!A:D,3,),"")</f>
        <v>SAÚDE OCUPACIONAL</v>
      </c>
      <c r="D1582" s="4" t="str">
        <f>IFERROR(VLOOKUP(A1582,Colaboradores!A:D,4,),"")</f>
        <v>PSICÓLOGA</v>
      </c>
      <c r="E1582" s="4" t="s">
        <v>51</v>
      </c>
      <c r="F1582" s="5" t="str">
        <f>IFERROR(VLOOKUP(E1582,Procedimentos!A:C,2,),"")</f>
        <v>DIRETRIZES PARA ENTREGA DE ATESTADOS MÉDICOS E ODONTOLÓGICOS</v>
      </c>
      <c r="G1582" s="4" t="s">
        <v>22</v>
      </c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 spans="1:26" ht="14.25" customHeight="1">
      <c r="A1583" s="4">
        <v>7147</v>
      </c>
      <c r="B1583" s="4" t="str">
        <f>IFERROR(VLOOKUP(A1583,Colaboradores!A:D,2,),"")</f>
        <v>MAIARA MONTEIRO MARQUES CASTELO BRANCO</v>
      </c>
      <c r="C1583" s="4" t="str">
        <f>IFERROR(VLOOKUP(A1583,Colaboradores!A:D,3,),"")</f>
        <v>SAÚDE OCUPACIONAL</v>
      </c>
      <c r="D1583" s="4" t="str">
        <f>IFERROR(VLOOKUP(A1583,Colaboradores!A:D,4,),"")</f>
        <v>PSICÓLOGA</v>
      </c>
      <c r="E1583" s="4" t="s">
        <v>52</v>
      </c>
      <c r="F1583" s="5" t="str">
        <f>IFERROR(VLOOKUP(E1583,Procedimentos!A:C,2,),"")</f>
        <v>DIRETRIZES E ACOMPANHAMENTO  DE ACIDENTE COM MATERIAL BIOLOGICO</v>
      </c>
      <c r="G1583" s="4" t="s">
        <v>22</v>
      </c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 spans="1:26" ht="14.25" customHeight="1">
      <c r="A1584" s="4">
        <v>7147</v>
      </c>
      <c r="B1584" s="4" t="str">
        <f>IFERROR(VLOOKUP(A1584,Colaboradores!A:D,2,),"")</f>
        <v>MAIARA MONTEIRO MARQUES CASTELO BRANCO</v>
      </c>
      <c r="C1584" s="4" t="str">
        <f>IFERROR(VLOOKUP(A1584,Colaboradores!A:D,3,),"")</f>
        <v>SAÚDE OCUPACIONAL</v>
      </c>
      <c r="D1584" s="4" t="str">
        <f>IFERROR(VLOOKUP(A1584,Colaboradores!A:D,4,),"")</f>
        <v>PSICÓLOGA</v>
      </c>
      <c r="E1584" s="4" t="s">
        <v>53</v>
      </c>
      <c r="F1584" s="5" t="str">
        <f>IFERROR(VLOOKUP(E1584,Procedimentos!A:C,2,),"")</f>
        <v>DIRETRIZES PARA MONITORAMENTO DE GESTANTE</v>
      </c>
      <c r="G1584" s="4" t="s">
        <v>22</v>
      </c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 spans="1:26" ht="14.25" customHeight="1">
      <c r="A1585" s="4">
        <v>7147</v>
      </c>
      <c r="B1585" s="4" t="str">
        <f>IFERROR(VLOOKUP(A1585,Colaboradores!A:D,2,),"")</f>
        <v>MAIARA MONTEIRO MARQUES CASTELO BRANCO</v>
      </c>
      <c r="C1585" s="4" t="str">
        <f>IFERROR(VLOOKUP(A1585,Colaboradores!A:D,3,),"")</f>
        <v>SAÚDE OCUPACIONAL</v>
      </c>
      <c r="D1585" s="4" t="str">
        <f>IFERROR(VLOOKUP(A1585,Colaboradores!A:D,4,),"")</f>
        <v>PSICÓLOGA</v>
      </c>
      <c r="E1585" s="4" t="s">
        <v>54</v>
      </c>
      <c r="F1585" s="5" t="str">
        <f>IFERROR(VLOOKUP(E1585,Procedimentos!A:C,2,),"")</f>
        <v>DIRETRIZES DE IMUNIZAÇÃO OCUPACIONAL</v>
      </c>
      <c r="G1585" s="4" t="s">
        <v>22</v>
      </c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 spans="1:26" ht="14.25" customHeight="1">
      <c r="A1586" s="4">
        <v>7147</v>
      </c>
      <c r="B1586" s="4" t="str">
        <f>IFERROR(VLOOKUP(A1586,Colaboradores!A:D,2,),"")</f>
        <v>MAIARA MONTEIRO MARQUES CASTELO BRANCO</v>
      </c>
      <c r="C1586" s="4" t="str">
        <f>IFERROR(VLOOKUP(A1586,Colaboradores!A:D,3,),"")</f>
        <v>SAÚDE OCUPACIONAL</v>
      </c>
      <c r="D1586" s="4" t="str">
        <f>IFERROR(VLOOKUP(A1586,Colaboradores!A:D,4,),"")</f>
        <v>PSICÓLOGA</v>
      </c>
      <c r="E1586" s="4" t="s">
        <v>55</v>
      </c>
      <c r="F1586" s="5" t="str">
        <f>IFERROR(VLOOKUP(E1586,Procedimentos!A:C,2,),"")</f>
        <v>DIRETRIZES PARA ACOMPANHAMENTO DE AFASTADOS</v>
      </c>
      <c r="G1586" s="4" t="s">
        <v>22</v>
      </c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 spans="1:26" ht="14.25" customHeight="1">
      <c r="A1587" s="4">
        <v>7147</v>
      </c>
      <c r="B1587" s="4" t="str">
        <f>IFERROR(VLOOKUP(A1587,Colaboradores!A:D,2,),"")</f>
        <v>MAIARA MONTEIRO MARQUES CASTELO BRANCO</v>
      </c>
      <c r="C1587" s="4" t="str">
        <f>IFERROR(VLOOKUP(A1587,Colaboradores!A:D,3,),"")</f>
        <v>SAÚDE OCUPACIONAL</v>
      </c>
      <c r="D1587" s="4" t="str">
        <f>IFERROR(VLOOKUP(A1587,Colaboradores!A:D,4,),"")</f>
        <v>PSICÓLOGA</v>
      </c>
      <c r="E1587" s="4" t="s">
        <v>81</v>
      </c>
      <c r="F1587" s="5" t="str">
        <f>IFERROR(VLOOKUP(E1587,Procedimentos!A:C,2,),"")</f>
        <v>ATENDIMENTO PSICOLÓGICO NO ESPAÇO CUIDARH</v>
      </c>
      <c r="G1587" s="4" t="s">
        <v>22</v>
      </c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 spans="1:26" ht="14.25" customHeight="1">
      <c r="A1588" s="4">
        <v>7147</v>
      </c>
      <c r="B1588" s="4" t="str">
        <f>IFERROR(VLOOKUP(A1588,Colaboradores!A:D,2,),"")</f>
        <v>MAIARA MONTEIRO MARQUES CASTELO BRANCO</v>
      </c>
      <c r="C1588" s="4" t="str">
        <f>IFERROR(VLOOKUP(A1588,Colaboradores!A:D,3,),"")</f>
        <v>SAÚDE OCUPACIONAL</v>
      </c>
      <c r="D1588" s="4" t="str">
        <f>IFERROR(VLOOKUP(A1588,Colaboradores!A:D,4,),"")</f>
        <v>PSICÓLOGA</v>
      </c>
      <c r="E1588" s="4" t="s">
        <v>46</v>
      </c>
      <c r="F1588" s="5" t="str">
        <f>IFERROR(VLOOKUP(E1588,Procedimentos!A:C,2,),"")</f>
        <v>POLÍTICA DE SAÚDE E SEGURANÇA DO TRABALHO EMSERH</v>
      </c>
      <c r="G1588" s="4" t="s">
        <v>22</v>
      </c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 spans="1:26" ht="14.25" customHeight="1">
      <c r="A1589" s="4">
        <v>7147</v>
      </c>
      <c r="B1589" s="4" t="str">
        <f>IFERROR(VLOOKUP(A1589,Colaboradores!A:D,2,),"")</f>
        <v>MAIARA MONTEIRO MARQUES CASTELO BRANCO</v>
      </c>
      <c r="C1589" s="4" t="str">
        <f>IFERROR(VLOOKUP(A1589,Colaboradores!A:D,3,),"")</f>
        <v>SAÚDE OCUPACIONAL</v>
      </c>
      <c r="D1589" s="4" t="str">
        <f>IFERROR(VLOOKUP(A1589,Colaboradores!A:D,4,),"")</f>
        <v>PSICÓLOGA</v>
      </c>
      <c r="E1589" s="4" t="s">
        <v>41</v>
      </c>
      <c r="F1589" s="5" t="str">
        <f>IFERROR(VLOOKUP(E1589,Procedimentos!A:C,2,),"")</f>
        <v>DIRETRIZES PARA COMUNICAÇÃO E INVESTIGAÇÃO DE ACIDENTES</v>
      </c>
      <c r="G1589" s="4" t="s">
        <v>22</v>
      </c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 spans="1:26" ht="14.25" customHeight="1">
      <c r="A1590" s="4">
        <v>7147</v>
      </c>
      <c r="B1590" s="4" t="str">
        <f>IFERROR(VLOOKUP(A1590,Colaboradores!A:D,2,),"")</f>
        <v>MAIARA MONTEIRO MARQUES CASTELO BRANCO</v>
      </c>
      <c r="C1590" s="4" t="str">
        <f>IFERROR(VLOOKUP(A1590,Colaboradores!A:D,3,),"")</f>
        <v>SAÚDE OCUPACIONAL</v>
      </c>
      <c r="D1590" s="4" t="str">
        <f>IFERROR(VLOOKUP(A1590,Colaboradores!A:D,4,),"")</f>
        <v>PSICÓLOGA</v>
      </c>
      <c r="E1590" s="4" t="s">
        <v>43</v>
      </c>
      <c r="F1590" s="5" t="str">
        <f>IFERROR(VLOOKUP(E1590,Procedimentos!A:C,2,),"")</f>
        <v>DIÁLOGO DE SAÚDE E SEGURANÇA - DSS</v>
      </c>
      <c r="G1590" s="4" t="s">
        <v>22</v>
      </c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 spans="1:26" ht="14.25" customHeight="1">
      <c r="A1591" s="4">
        <v>7147</v>
      </c>
      <c r="B1591" s="4" t="str">
        <f>IFERROR(VLOOKUP(A1591,Colaboradores!A:D,2,),"")</f>
        <v>MAIARA MONTEIRO MARQUES CASTELO BRANCO</v>
      </c>
      <c r="C1591" s="4" t="str">
        <f>IFERROR(VLOOKUP(A1591,Colaboradores!A:D,3,),"")</f>
        <v>SAÚDE OCUPACIONAL</v>
      </c>
      <c r="D1591" s="4" t="str">
        <f>IFERROR(VLOOKUP(A1591,Colaboradores!A:D,4,),"")</f>
        <v>PSICÓLOGA</v>
      </c>
      <c r="E1591" s="4" t="s">
        <v>44</v>
      </c>
      <c r="F1591" s="5" t="str">
        <f>IFERROR(VLOOKUP(E1591,Procedimentos!A:C,2,),"")</f>
        <v>DIRETRIZES PARA GESTÃO DE EQUIPAMENTOS DE PROTEÇÃO INDIVIDUAL - EPI'S</v>
      </c>
      <c r="G1591" s="4" t="s">
        <v>22</v>
      </c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 spans="1:26" ht="14.25" customHeight="1">
      <c r="A1592" s="4">
        <v>7147</v>
      </c>
      <c r="B1592" s="4" t="str">
        <f>IFERROR(VLOOKUP(A1592,Colaboradores!A:D,2,),"")</f>
        <v>MAIARA MONTEIRO MARQUES CASTELO BRANCO</v>
      </c>
      <c r="C1592" s="4" t="str">
        <f>IFERROR(VLOOKUP(A1592,Colaboradores!A:D,3,),"")</f>
        <v>SAÚDE OCUPACIONAL</v>
      </c>
      <c r="D1592" s="4" t="str">
        <f>IFERROR(VLOOKUP(A1592,Colaboradores!A:D,4,),"")</f>
        <v>PSICÓLOGA</v>
      </c>
      <c r="E1592" s="4" t="s">
        <v>45</v>
      </c>
      <c r="F1592" s="5" t="str">
        <f>IFERROR(VLOOKUP(E1592,Procedimentos!A:C,2,),"")</f>
        <v>CONSTITUIÇÃO INTERNA DE PREVENÇÃO DE ACIDENTES E DE ASSÉDIOS - CIPA</v>
      </c>
      <c r="G1592" s="4" t="s">
        <v>22</v>
      </c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 spans="1:26" ht="14.25" customHeight="1">
      <c r="A1593" s="4">
        <v>7601</v>
      </c>
      <c r="B1593" s="4" t="str">
        <f>IFERROR(VLOOKUP(A1593,Colaboradores!A:D,2,),"")</f>
        <v>RAYANE BEZERRA DE JESUS</v>
      </c>
      <c r="C1593" s="4" t="str">
        <f>IFERROR(VLOOKUP(A1593,Colaboradores!A:D,3,),"")</f>
        <v>SAÚDE OCUPACIONAL</v>
      </c>
      <c r="D1593" s="4" t="str">
        <f>IFERROR(VLOOKUP(A1593,Colaboradores!A:D,4,),"")</f>
        <v>TÉCNICO DE ENFERMAGEM DO TRABALHO</v>
      </c>
      <c r="E1593" s="4" t="s">
        <v>58</v>
      </c>
      <c r="F1593" s="5" t="str">
        <f>IFERROR(VLOOKUP(E1593,Procedimentos!A:C,2,),"")</f>
        <v>POLÍTICA DE QUALIDADE DA DIRETORIA</v>
      </c>
      <c r="G1593" s="4" t="s">
        <v>22</v>
      </c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 spans="1:26" ht="14.25" customHeight="1">
      <c r="A1594" s="4">
        <v>7601</v>
      </c>
      <c r="B1594" s="4" t="str">
        <f>IFERROR(VLOOKUP(A1594,Colaboradores!A:D,2,),"")</f>
        <v>RAYANE BEZERRA DE JESUS</v>
      </c>
      <c r="C1594" s="4" t="str">
        <f>IFERROR(VLOOKUP(A1594,Colaboradores!A:D,3,),"")</f>
        <v>SAÚDE OCUPACIONAL</v>
      </c>
      <c r="D1594" s="4" t="str">
        <f>IFERROR(VLOOKUP(A1594,Colaboradores!A:D,4,),"")</f>
        <v>TÉCNICO DE ENFERMAGEM DO TRABALHO</v>
      </c>
      <c r="E1594" s="4" t="s">
        <v>19</v>
      </c>
      <c r="F1594" s="5" t="str">
        <f>IFERROR(VLOOKUP(E1594,Procedimentos!A:C,2,),"")</f>
        <v>DIRETRIZES PARA DOCUMENTOS NORMATIVOS</v>
      </c>
      <c r="G1594" s="4" t="s">
        <v>22</v>
      </c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 spans="1:26" ht="14.25" customHeight="1">
      <c r="A1595" s="4">
        <v>7601</v>
      </c>
      <c r="B1595" s="4" t="str">
        <f>IFERROR(VLOOKUP(A1595,Colaboradores!A:D,2,),"")</f>
        <v>RAYANE BEZERRA DE JESUS</v>
      </c>
      <c r="C1595" s="4" t="str">
        <f>IFERROR(VLOOKUP(A1595,Colaboradores!A:D,3,),"")</f>
        <v>SAÚDE OCUPACIONAL</v>
      </c>
      <c r="D1595" s="4" t="str">
        <f>IFERROR(VLOOKUP(A1595,Colaboradores!A:D,4,),"")</f>
        <v>TÉCNICO DE ENFERMAGEM DO TRABALHO</v>
      </c>
      <c r="E1595" s="4" t="s">
        <v>24</v>
      </c>
      <c r="F1595" s="5" t="str">
        <f>IFERROR(VLOOKUP(E1595,Procedimentos!A:C,2,),"")</f>
        <v>DIRETRIZES  PARA PROGRAMA 5S</v>
      </c>
      <c r="G1595" s="4" t="s">
        <v>22</v>
      </c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 spans="1:26" ht="14.25" customHeight="1">
      <c r="A1596" s="4">
        <v>7601</v>
      </c>
      <c r="B1596" s="4" t="str">
        <f>IFERROR(VLOOKUP(A1596,Colaboradores!A:D,2,),"")</f>
        <v>RAYANE BEZERRA DE JESUS</v>
      </c>
      <c r="C1596" s="4" t="str">
        <f>IFERROR(VLOOKUP(A1596,Colaboradores!A:D,3,),"")</f>
        <v>SAÚDE OCUPACIONAL</v>
      </c>
      <c r="D1596" s="4" t="str">
        <f>IFERROR(VLOOKUP(A1596,Colaboradores!A:D,4,),"")</f>
        <v>TÉCNICO DE ENFERMAGEM DO TRABALHO</v>
      </c>
      <c r="E1596" s="4" t="s">
        <v>25</v>
      </c>
      <c r="F1596" s="5" t="str">
        <f>IFERROR(VLOOKUP(E1596,Procedimentos!A:C,2,),"")</f>
        <v>GARANTIA DA QUALIDADE</v>
      </c>
      <c r="G1596" s="4" t="s">
        <v>22</v>
      </c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 spans="1:26" ht="14.25" customHeight="1">
      <c r="A1597" s="4">
        <v>7601</v>
      </c>
      <c r="B1597" s="4" t="str">
        <f>IFERROR(VLOOKUP(A1597,Colaboradores!A:D,2,),"")</f>
        <v>RAYANE BEZERRA DE JESUS</v>
      </c>
      <c r="C1597" s="4" t="str">
        <f>IFERROR(VLOOKUP(A1597,Colaboradores!A:D,3,),"")</f>
        <v>SAÚDE OCUPACIONAL</v>
      </c>
      <c r="D1597" s="4" t="str">
        <f>IFERROR(VLOOKUP(A1597,Colaboradores!A:D,4,),"")</f>
        <v>TÉCNICO DE ENFERMAGEM DO TRABALHO</v>
      </c>
      <c r="E1597" s="4" t="s">
        <v>26</v>
      </c>
      <c r="F1597" s="5" t="str">
        <f>IFERROR(VLOOKUP(E1597,Procedimentos!A:C,2,),"")</f>
        <v>RESPONSABILIDADES E AUTORIDADES DO SGQ</v>
      </c>
      <c r="G1597" s="4" t="s">
        <v>22</v>
      </c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 spans="1:26" ht="14.25" customHeight="1">
      <c r="A1598" s="4">
        <v>7601</v>
      </c>
      <c r="B1598" s="4" t="str">
        <f>IFERROR(VLOOKUP(A1598,Colaboradores!A:D,2,),"")</f>
        <v>RAYANE BEZERRA DE JESUS</v>
      </c>
      <c r="C1598" s="4" t="str">
        <f>IFERROR(VLOOKUP(A1598,Colaboradores!A:D,3,),"")</f>
        <v>SAÚDE OCUPACIONAL</v>
      </c>
      <c r="D1598" s="4" t="str">
        <f>IFERROR(VLOOKUP(A1598,Colaboradores!A:D,4,),"")</f>
        <v>TÉCNICO DE ENFERMAGEM DO TRABALHO</v>
      </c>
      <c r="E1598" s="4" t="s">
        <v>73</v>
      </c>
      <c r="F1598" s="5" t="str">
        <f>IFERROR(VLOOKUP(E1598,Procedimentos!A:C,2,),"")</f>
        <v>AQUISIÇÃO DE BENS E SERVIÇOS E AVALIAÇÃO PROVEDORES EXTERNOS</v>
      </c>
      <c r="G1598" s="4" t="s">
        <v>22</v>
      </c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 spans="1:26" ht="14.25" customHeight="1">
      <c r="A1599" s="4">
        <v>7601</v>
      </c>
      <c r="B1599" s="4" t="str">
        <f>IFERROR(VLOOKUP(A1599,Colaboradores!A:D,2,),"")</f>
        <v>RAYANE BEZERRA DE JESUS</v>
      </c>
      <c r="C1599" s="4" t="str">
        <f>IFERROR(VLOOKUP(A1599,Colaboradores!A:D,3,),"")</f>
        <v>SAÚDE OCUPACIONAL</v>
      </c>
      <c r="D1599" s="4" t="str">
        <f>IFERROR(VLOOKUP(A1599,Colaboradores!A:D,4,),"")</f>
        <v>TÉCNICO DE ENFERMAGEM DO TRABALHO</v>
      </c>
      <c r="E1599" s="4" t="s">
        <v>48</v>
      </c>
      <c r="F1599" s="5" t="str">
        <f>IFERROR(VLOOKUP(E1599,Procedimentos!A:C,2,),"")</f>
        <v>POLÍTICA MEIO AMBIENTE EMSERH</v>
      </c>
      <c r="G1599" s="4" t="s">
        <v>22</v>
      </c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 spans="1:26" ht="14.25" customHeight="1">
      <c r="A1600" s="4">
        <v>7601</v>
      </c>
      <c r="B1600" s="4" t="str">
        <f>IFERROR(VLOOKUP(A1600,Colaboradores!A:D,2,),"")</f>
        <v>RAYANE BEZERRA DE JESUS</v>
      </c>
      <c r="C1600" s="4" t="str">
        <f>IFERROR(VLOOKUP(A1600,Colaboradores!A:D,3,),"")</f>
        <v>SAÚDE OCUPACIONAL</v>
      </c>
      <c r="D1600" s="4" t="str">
        <f>IFERROR(VLOOKUP(A1600,Colaboradores!A:D,4,),"")</f>
        <v>TÉCNICO DE ENFERMAGEM DO TRABALHO</v>
      </c>
      <c r="E1600" s="4" t="s">
        <v>29</v>
      </c>
      <c r="F1600" s="5" t="str">
        <f>IFERROR(VLOOKUP(E1600,Procedimentos!A:C,2,),"")</f>
        <v>COLETA SELETIVA DESSMA</v>
      </c>
      <c r="G1600" s="4" t="s">
        <v>22</v>
      </c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 spans="1:26" ht="14.25" customHeight="1">
      <c r="A1601" s="4">
        <v>7601</v>
      </c>
      <c r="B1601" s="4" t="str">
        <f>IFERROR(VLOOKUP(A1601,Colaboradores!A:D,2,),"")</f>
        <v>RAYANE BEZERRA DE JESUS</v>
      </c>
      <c r="C1601" s="4" t="str">
        <f>IFERROR(VLOOKUP(A1601,Colaboradores!A:D,3,),"")</f>
        <v>SAÚDE OCUPACIONAL</v>
      </c>
      <c r="D1601" s="4" t="str">
        <f>IFERROR(VLOOKUP(A1601,Colaboradores!A:D,4,),"")</f>
        <v>TÉCNICO DE ENFERMAGEM DO TRABALHO</v>
      </c>
      <c r="E1601" s="4" t="s">
        <v>36</v>
      </c>
      <c r="F1601" s="5" t="str">
        <f>IFERROR(VLOOKUP(E1601,Procedimentos!A:C,2,),"")</f>
        <v>GESTÃO DE PRODUTOS QUÍMICOS</v>
      </c>
      <c r="G1601" s="4" t="s">
        <v>22</v>
      </c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 spans="1:26" ht="14.25" customHeight="1">
      <c r="A1602" s="4">
        <v>7601</v>
      </c>
      <c r="B1602" s="4" t="str">
        <f>IFERROR(VLOOKUP(A1602,Colaboradores!A:D,2,),"")</f>
        <v>RAYANE BEZERRA DE JESUS</v>
      </c>
      <c r="C1602" s="4" t="str">
        <f>IFERROR(VLOOKUP(A1602,Colaboradores!A:D,3,),"")</f>
        <v>SAÚDE OCUPACIONAL</v>
      </c>
      <c r="D1602" s="4" t="str">
        <f>IFERROR(VLOOKUP(A1602,Colaboradores!A:D,4,),"")</f>
        <v>TÉCNICO DE ENFERMAGEM DO TRABALHO</v>
      </c>
      <c r="E1602" s="4" t="s">
        <v>32</v>
      </c>
      <c r="F1602" s="5" t="str">
        <f>IFERROR(VLOOKUP(E1602,Procedimentos!A:C,2,),"")</f>
        <v>GESTÃO DE LEVANTAMENTO DE ASPECTOS E IMPACTOS AMBIENTAIS</v>
      </c>
      <c r="G1602" s="4" t="s">
        <v>22</v>
      </c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 spans="1:26" ht="14.25" customHeight="1">
      <c r="A1603" s="4">
        <v>7601</v>
      </c>
      <c r="B1603" s="4" t="str">
        <f>IFERROR(VLOOKUP(A1603,Colaboradores!A:D,2,),"")</f>
        <v>RAYANE BEZERRA DE JESUS</v>
      </c>
      <c r="C1603" s="4" t="str">
        <f>IFERROR(VLOOKUP(A1603,Colaboradores!A:D,3,),"")</f>
        <v>SAÚDE OCUPACIONAL</v>
      </c>
      <c r="D1603" s="4" t="str">
        <f>IFERROR(VLOOKUP(A1603,Colaboradores!A:D,4,),"")</f>
        <v>TÉCNICO DE ENFERMAGEM DO TRABALHO</v>
      </c>
      <c r="E1603" s="4" t="s">
        <v>31</v>
      </c>
      <c r="F1603" s="5" t="str">
        <f>IFERROR(VLOOKUP(E1603,Procedimentos!A:C,2,),"")</f>
        <v>GESTÃO DE COMUNICAÇÃO, CLASSIFICAÇÃO E INVESTIGAÇÃO DE OCORRÊNCIAS AMBIENTAIS</v>
      </c>
      <c r="G1603" s="4" t="s">
        <v>22</v>
      </c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 spans="1:26" ht="14.25" customHeight="1">
      <c r="A1604" s="4">
        <v>7601</v>
      </c>
      <c r="B1604" s="4" t="str">
        <f>IFERROR(VLOOKUP(A1604,Colaboradores!A:D,2,),"")</f>
        <v>RAYANE BEZERRA DE JESUS</v>
      </c>
      <c r="C1604" s="4" t="str">
        <f>IFERROR(VLOOKUP(A1604,Colaboradores!A:D,3,),"")</f>
        <v>SAÚDE OCUPACIONAL</v>
      </c>
      <c r="D1604" s="4" t="str">
        <f>IFERROR(VLOOKUP(A1604,Colaboradores!A:D,4,),"")</f>
        <v>TÉCNICO DE ENFERMAGEM DO TRABALHO</v>
      </c>
      <c r="E1604" s="4" t="s">
        <v>33</v>
      </c>
      <c r="F1604" s="5" t="str">
        <f>IFERROR(VLOOKUP(E1604,Procedimentos!A:C,2,),"")</f>
        <v>GESTÃO DE INSPEÇÕES AMBIENTAIS</v>
      </c>
      <c r="G1604" s="4" t="s">
        <v>22</v>
      </c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 spans="1:26" ht="14.25" customHeight="1">
      <c r="A1605" s="4">
        <v>7601</v>
      </c>
      <c r="B1605" s="4" t="str">
        <f>IFERROR(VLOOKUP(A1605,Colaboradores!A:D,2,),"")</f>
        <v>RAYANE BEZERRA DE JESUS</v>
      </c>
      <c r="C1605" s="4" t="str">
        <f>IFERROR(VLOOKUP(A1605,Colaboradores!A:D,3,),"")</f>
        <v>SAÚDE OCUPACIONAL</v>
      </c>
      <c r="D1605" s="4" t="str">
        <f>IFERROR(VLOOKUP(A1605,Colaboradores!A:D,4,),"")</f>
        <v>TÉCNICO DE ENFERMAGEM DO TRABALHO</v>
      </c>
      <c r="E1605" s="4" t="s">
        <v>49</v>
      </c>
      <c r="F1605" s="5" t="str">
        <f>IFERROR(VLOOKUP(E1605,Procedimentos!A:C,2,),"")</f>
        <v>DIRETRIZES PARA REALIZAÇÃO DE EXAMES OCUPACIONAIS</v>
      </c>
      <c r="G1605" s="4" t="s">
        <v>22</v>
      </c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 spans="1:26" ht="14.25" customHeight="1">
      <c r="A1606" s="4">
        <v>7601</v>
      </c>
      <c r="B1606" s="4" t="str">
        <f>IFERROR(VLOOKUP(A1606,Colaboradores!A:D,2,),"")</f>
        <v>RAYANE BEZERRA DE JESUS</v>
      </c>
      <c r="C1606" s="4" t="str">
        <f>IFERROR(VLOOKUP(A1606,Colaboradores!A:D,3,),"")</f>
        <v>SAÚDE OCUPACIONAL</v>
      </c>
      <c r="D1606" s="4" t="str">
        <f>IFERROR(VLOOKUP(A1606,Colaboradores!A:D,4,),"")</f>
        <v>TÉCNICO DE ENFERMAGEM DO TRABALHO</v>
      </c>
      <c r="E1606" s="4" t="s">
        <v>51</v>
      </c>
      <c r="F1606" s="5" t="str">
        <f>IFERROR(VLOOKUP(E1606,Procedimentos!A:C,2,),"")</f>
        <v>DIRETRIZES PARA ENTREGA DE ATESTADOS MÉDICOS E ODONTOLÓGICOS</v>
      </c>
      <c r="G1606" s="4" t="s">
        <v>22</v>
      </c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 spans="1:26" ht="14.25" customHeight="1">
      <c r="A1607" s="4">
        <v>7601</v>
      </c>
      <c r="B1607" s="4" t="str">
        <f>IFERROR(VLOOKUP(A1607,Colaboradores!A:D,2,),"")</f>
        <v>RAYANE BEZERRA DE JESUS</v>
      </c>
      <c r="C1607" s="4" t="str">
        <f>IFERROR(VLOOKUP(A1607,Colaboradores!A:D,3,),"")</f>
        <v>SAÚDE OCUPACIONAL</v>
      </c>
      <c r="D1607" s="4" t="str">
        <f>IFERROR(VLOOKUP(A1607,Colaboradores!A:D,4,),"")</f>
        <v>TÉCNICO DE ENFERMAGEM DO TRABALHO</v>
      </c>
      <c r="E1607" s="4" t="s">
        <v>52</v>
      </c>
      <c r="F1607" s="5" t="str">
        <f>IFERROR(VLOOKUP(E1607,Procedimentos!A:C,2,),"")</f>
        <v>DIRETRIZES E ACOMPANHAMENTO  DE ACIDENTE COM MATERIAL BIOLOGICO</v>
      </c>
      <c r="G1607" s="4" t="s">
        <v>22</v>
      </c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 spans="1:26" ht="14.25" customHeight="1">
      <c r="A1608" s="4">
        <v>7601</v>
      </c>
      <c r="B1608" s="4" t="str">
        <f>IFERROR(VLOOKUP(A1608,Colaboradores!A:D,2,),"")</f>
        <v>RAYANE BEZERRA DE JESUS</v>
      </c>
      <c r="C1608" s="4" t="str">
        <f>IFERROR(VLOOKUP(A1608,Colaboradores!A:D,3,),"")</f>
        <v>SAÚDE OCUPACIONAL</v>
      </c>
      <c r="D1608" s="4" t="str">
        <f>IFERROR(VLOOKUP(A1608,Colaboradores!A:D,4,),"")</f>
        <v>TÉCNICO DE ENFERMAGEM DO TRABALHO</v>
      </c>
      <c r="E1608" s="4" t="s">
        <v>53</v>
      </c>
      <c r="F1608" s="5" t="str">
        <f>IFERROR(VLOOKUP(E1608,Procedimentos!A:C,2,),"")</f>
        <v>DIRETRIZES PARA MONITORAMENTO DE GESTANTE</v>
      </c>
      <c r="G1608" s="4" t="s">
        <v>22</v>
      </c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 spans="1:26" ht="14.25" customHeight="1">
      <c r="A1609" s="4">
        <v>7601</v>
      </c>
      <c r="B1609" s="4" t="str">
        <f>IFERROR(VLOOKUP(A1609,Colaboradores!A:D,2,),"")</f>
        <v>RAYANE BEZERRA DE JESUS</v>
      </c>
      <c r="C1609" s="4" t="str">
        <f>IFERROR(VLOOKUP(A1609,Colaboradores!A:D,3,),"")</f>
        <v>SAÚDE OCUPACIONAL</v>
      </c>
      <c r="D1609" s="4" t="str">
        <f>IFERROR(VLOOKUP(A1609,Colaboradores!A:D,4,),"")</f>
        <v>TÉCNICO DE ENFERMAGEM DO TRABALHO</v>
      </c>
      <c r="E1609" s="4" t="s">
        <v>54</v>
      </c>
      <c r="F1609" s="5" t="str">
        <f>IFERROR(VLOOKUP(E1609,Procedimentos!A:C,2,),"")</f>
        <v>DIRETRIZES DE IMUNIZAÇÃO OCUPACIONAL</v>
      </c>
      <c r="G1609" s="4" t="s">
        <v>22</v>
      </c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 spans="1:26" ht="14.25" customHeight="1">
      <c r="A1610" s="4">
        <v>7601</v>
      </c>
      <c r="B1610" s="4" t="str">
        <f>IFERROR(VLOOKUP(A1610,Colaboradores!A:D,2,),"")</f>
        <v>RAYANE BEZERRA DE JESUS</v>
      </c>
      <c r="C1610" s="4" t="str">
        <f>IFERROR(VLOOKUP(A1610,Colaboradores!A:D,3,),"")</f>
        <v>SAÚDE OCUPACIONAL</v>
      </c>
      <c r="D1610" s="4" t="str">
        <f>IFERROR(VLOOKUP(A1610,Colaboradores!A:D,4,),"")</f>
        <v>TÉCNICO DE ENFERMAGEM DO TRABALHO</v>
      </c>
      <c r="E1610" s="4" t="s">
        <v>55</v>
      </c>
      <c r="F1610" s="5" t="str">
        <f>IFERROR(VLOOKUP(E1610,Procedimentos!A:C,2,),"")</f>
        <v>DIRETRIZES PARA ACOMPANHAMENTO DE AFASTADOS</v>
      </c>
      <c r="G1610" s="4" t="s">
        <v>22</v>
      </c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 spans="1:26" ht="14.25" customHeight="1">
      <c r="A1611" s="4">
        <v>7601</v>
      </c>
      <c r="B1611" s="4" t="str">
        <f>IFERROR(VLOOKUP(A1611,Colaboradores!A:D,2,),"")</f>
        <v>RAYANE BEZERRA DE JESUS</v>
      </c>
      <c r="C1611" s="4" t="str">
        <f>IFERROR(VLOOKUP(A1611,Colaboradores!A:D,3,),"")</f>
        <v>SAÚDE OCUPACIONAL</v>
      </c>
      <c r="D1611" s="4" t="str">
        <f>IFERROR(VLOOKUP(A1611,Colaboradores!A:D,4,),"")</f>
        <v>TÉCNICO DE ENFERMAGEM DO TRABALHO</v>
      </c>
      <c r="E1611" s="4" t="s">
        <v>80</v>
      </c>
      <c r="F1611" s="5" t="str">
        <f>IFERROR(VLOOKUP(E1611,Procedimentos!A:C,2,),"")</f>
        <v>ATENDIMENTO FISIOTERÁPICO NO ESPAÇO CUIDARH</v>
      </c>
      <c r="G1611" s="4" t="s">
        <v>28</v>
      </c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 spans="1:26" ht="14.25" customHeight="1">
      <c r="A1612" s="4">
        <v>7601</v>
      </c>
      <c r="B1612" s="4" t="str">
        <f>IFERROR(VLOOKUP(A1612,Colaboradores!A:D,2,),"")</f>
        <v>RAYANE BEZERRA DE JESUS</v>
      </c>
      <c r="C1612" s="4" t="str">
        <f>IFERROR(VLOOKUP(A1612,Colaboradores!A:D,3,),"")</f>
        <v>SAÚDE OCUPACIONAL</v>
      </c>
      <c r="D1612" s="4" t="str">
        <f>IFERROR(VLOOKUP(A1612,Colaboradores!A:D,4,),"")</f>
        <v>TÉCNICO DE ENFERMAGEM DO TRABALHO</v>
      </c>
      <c r="E1612" s="4" t="s">
        <v>81</v>
      </c>
      <c r="F1612" s="5" t="str">
        <f>IFERROR(VLOOKUP(E1612,Procedimentos!A:C,2,),"")</f>
        <v>ATENDIMENTO PSICOLÓGICO NO ESPAÇO CUIDARH</v>
      </c>
      <c r="G1612" s="4" t="s">
        <v>28</v>
      </c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 spans="1:26" ht="14.25" customHeight="1">
      <c r="A1613" s="4">
        <v>7601</v>
      </c>
      <c r="B1613" s="4" t="str">
        <f>IFERROR(VLOOKUP(A1613,Colaboradores!A:D,2,),"")</f>
        <v>RAYANE BEZERRA DE JESUS</v>
      </c>
      <c r="C1613" s="4" t="str">
        <f>IFERROR(VLOOKUP(A1613,Colaboradores!A:D,3,),"")</f>
        <v>SAÚDE OCUPACIONAL</v>
      </c>
      <c r="D1613" s="4" t="str">
        <f>IFERROR(VLOOKUP(A1613,Colaboradores!A:D,4,),"")</f>
        <v>TÉCNICO DE ENFERMAGEM DO TRABALHO</v>
      </c>
      <c r="E1613" s="4" t="s">
        <v>46</v>
      </c>
      <c r="F1613" s="5" t="str">
        <f>IFERROR(VLOOKUP(E1613,Procedimentos!A:C,2,),"")</f>
        <v>POLÍTICA DE SAÚDE E SEGURANÇA DO TRABALHO EMSERH</v>
      </c>
      <c r="G1613" s="4" t="s">
        <v>22</v>
      </c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 spans="1:26" ht="14.25" customHeight="1">
      <c r="A1614" s="4">
        <v>7601</v>
      </c>
      <c r="B1614" s="4" t="str">
        <f>IFERROR(VLOOKUP(A1614,Colaboradores!A:D,2,),"")</f>
        <v>RAYANE BEZERRA DE JESUS</v>
      </c>
      <c r="C1614" s="4" t="str">
        <f>IFERROR(VLOOKUP(A1614,Colaboradores!A:D,3,),"")</f>
        <v>SAÚDE OCUPACIONAL</v>
      </c>
      <c r="D1614" s="4" t="str">
        <f>IFERROR(VLOOKUP(A1614,Colaboradores!A:D,4,),"")</f>
        <v>TÉCNICO DE ENFERMAGEM DO TRABALHO</v>
      </c>
      <c r="E1614" s="4" t="s">
        <v>41</v>
      </c>
      <c r="F1614" s="5" t="str">
        <f>IFERROR(VLOOKUP(E1614,Procedimentos!A:C,2,),"")</f>
        <v>DIRETRIZES PARA COMUNICAÇÃO E INVESTIGAÇÃO DE ACIDENTES</v>
      </c>
      <c r="G1614" s="4" t="s">
        <v>22</v>
      </c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 spans="1:26" ht="14.25" customHeight="1">
      <c r="A1615" s="4">
        <v>7601</v>
      </c>
      <c r="B1615" s="4" t="str">
        <f>IFERROR(VLOOKUP(A1615,Colaboradores!A:D,2,),"")</f>
        <v>RAYANE BEZERRA DE JESUS</v>
      </c>
      <c r="C1615" s="4" t="str">
        <f>IFERROR(VLOOKUP(A1615,Colaboradores!A:D,3,),"")</f>
        <v>SAÚDE OCUPACIONAL</v>
      </c>
      <c r="D1615" s="4" t="str">
        <f>IFERROR(VLOOKUP(A1615,Colaboradores!A:D,4,),"")</f>
        <v>TÉCNICO DE ENFERMAGEM DO TRABALHO</v>
      </c>
      <c r="E1615" s="4" t="s">
        <v>43</v>
      </c>
      <c r="F1615" s="5" t="str">
        <f>IFERROR(VLOOKUP(E1615,Procedimentos!A:C,2,),"")</f>
        <v>DIÁLOGO DE SAÚDE E SEGURANÇA - DSS</v>
      </c>
      <c r="G1615" s="4" t="s">
        <v>22</v>
      </c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 spans="1:26" ht="14.25" customHeight="1">
      <c r="A1616" s="4">
        <v>7601</v>
      </c>
      <c r="B1616" s="4" t="str">
        <f>IFERROR(VLOOKUP(A1616,Colaboradores!A:D,2,),"")</f>
        <v>RAYANE BEZERRA DE JESUS</v>
      </c>
      <c r="C1616" s="4" t="str">
        <f>IFERROR(VLOOKUP(A1616,Colaboradores!A:D,3,),"")</f>
        <v>SAÚDE OCUPACIONAL</v>
      </c>
      <c r="D1616" s="4" t="str">
        <f>IFERROR(VLOOKUP(A1616,Colaboradores!A:D,4,),"")</f>
        <v>TÉCNICO DE ENFERMAGEM DO TRABALHO</v>
      </c>
      <c r="E1616" s="4" t="s">
        <v>44</v>
      </c>
      <c r="F1616" s="5" t="str">
        <f>IFERROR(VLOOKUP(E1616,Procedimentos!A:C,2,),"")</f>
        <v>DIRETRIZES PARA GESTÃO DE EQUIPAMENTOS DE PROTEÇÃO INDIVIDUAL - EPI'S</v>
      </c>
      <c r="G1616" s="4" t="s">
        <v>22</v>
      </c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 spans="1:26" ht="14.25" customHeight="1">
      <c r="A1617" s="4">
        <v>7601</v>
      </c>
      <c r="B1617" s="4" t="str">
        <f>IFERROR(VLOOKUP(A1617,Colaboradores!A:D,2,),"")</f>
        <v>RAYANE BEZERRA DE JESUS</v>
      </c>
      <c r="C1617" s="4" t="str">
        <f>IFERROR(VLOOKUP(A1617,Colaboradores!A:D,3,),"")</f>
        <v>SAÚDE OCUPACIONAL</v>
      </c>
      <c r="D1617" s="4" t="str">
        <f>IFERROR(VLOOKUP(A1617,Colaboradores!A:D,4,),"")</f>
        <v>TÉCNICO DE ENFERMAGEM DO TRABALHO</v>
      </c>
      <c r="E1617" s="4" t="s">
        <v>45</v>
      </c>
      <c r="F1617" s="5" t="str">
        <f>IFERROR(VLOOKUP(E1617,Procedimentos!A:C,2,),"")</f>
        <v>CONSTITUIÇÃO INTERNA DE PREVENÇÃO DE ACIDENTES E DE ASSÉDIOS - CIPA</v>
      </c>
      <c r="G1617" s="4" t="s">
        <v>22</v>
      </c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 spans="1:26" ht="14.25" customHeight="1">
      <c r="A1618" s="4">
        <v>14499</v>
      </c>
      <c r="B1618" s="4" t="str">
        <f>IFERROR(VLOOKUP(A1618,Colaboradores!A:D,2,),"")</f>
        <v>SAMIRIS COSTA DA SILVA</v>
      </c>
      <c r="C1618" s="4" t="str">
        <f>IFERROR(VLOOKUP(A1618,Colaboradores!A:D,3,),"")</f>
        <v>SAÚDE OCUPACIONAL</v>
      </c>
      <c r="D1618" s="4" t="str">
        <f>IFERROR(VLOOKUP(A1618,Colaboradores!A:D,4,),"")</f>
        <v>PSICÓLOGA</v>
      </c>
      <c r="E1618" s="4" t="s">
        <v>58</v>
      </c>
      <c r="F1618" s="5" t="str">
        <f>IFERROR(VLOOKUP(E1618,Procedimentos!A:C,2,),"")</f>
        <v>POLÍTICA DE QUALIDADE DA DIRETORIA</v>
      </c>
      <c r="G1618" s="4" t="s">
        <v>22</v>
      </c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 spans="1:26" ht="14.25" customHeight="1">
      <c r="A1619" s="4">
        <v>14499</v>
      </c>
      <c r="B1619" s="4" t="str">
        <f>IFERROR(VLOOKUP(A1619,Colaboradores!A:D,2,),"")</f>
        <v>SAMIRIS COSTA DA SILVA</v>
      </c>
      <c r="C1619" s="4" t="str">
        <f>IFERROR(VLOOKUP(A1619,Colaboradores!A:D,3,),"")</f>
        <v>SAÚDE OCUPACIONAL</v>
      </c>
      <c r="D1619" s="4" t="str">
        <f>IFERROR(VLOOKUP(A1619,Colaboradores!A:D,4,),"")</f>
        <v>PSICÓLOGA</v>
      </c>
      <c r="E1619" s="4" t="s">
        <v>19</v>
      </c>
      <c r="F1619" s="5" t="str">
        <f>IFERROR(VLOOKUP(E1619,Procedimentos!A:C,2,),"")</f>
        <v>DIRETRIZES PARA DOCUMENTOS NORMATIVOS</v>
      </c>
      <c r="G1619" s="4" t="s">
        <v>22</v>
      </c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 spans="1:26" ht="14.25" customHeight="1">
      <c r="A1620" s="4">
        <v>14499</v>
      </c>
      <c r="B1620" s="4" t="str">
        <f>IFERROR(VLOOKUP(A1620,Colaboradores!A:D,2,),"")</f>
        <v>SAMIRIS COSTA DA SILVA</v>
      </c>
      <c r="C1620" s="4" t="str">
        <f>IFERROR(VLOOKUP(A1620,Colaboradores!A:D,3,),"")</f>
        <v>SAÚDE OCUPACIONAL</v>
      </c>
      <c r="D1620" s="4" t="str">
        <f>IFERROR(VLOOKUP(A1620,Colaboradores!A:D,4,),"")</f>
        <v>PSICÓLOGA</v>
      </c>
      <c r="E1620" s="4" t="s">
        <v>24</v>
      </c>
      <c r="F1620" s="5" t="str">
        <f>IFERROR(VLOOKUP(E1620,Procedimentos!A:C,2,),"")</f>
        <v>DIRETRIZES  PARA PROGRAMA 5S</v>
      </c>
      <c r="G1620" s="4" t="s">
        <v>22</v>
      </c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 spans="1:26" ht="14.25" customHeight="1">
      <c r="A1621" s="4">
        <v>14499</v>
      </c>
      <c r="B1621" s="4" t="str">
        <f>IFERROR(VLOOKUP(A1621,Colaboradores!A:D,2,),"")</f>
        <v>SAMIRIS COSTA DA SILVA</v>
      </c>
      <c r="C1621" s="4" t="str">
        <f>IFERROR(VLOOKUP(A1621,Colaboradores!A:D,3,),"")</f>
        <v>SAÚDE OCUPACIONAL</v>
      </c>
      <c r="D1621" s="4" t="str">
        <f>IFERROR(VLOOKUP(A1621,Colaboradores!A:D,4,),"")</f>
        <v>PSICÓLOGA</v>
      </c>
      <c r="E1621" s="4" t="s">
        <v>25</v>
      </c>
      <c r="F1621" s="5" t="str">
        <f>IFERROR(VLOOKUP(E1621,Procedimentos!A:C,2,),"")</f>
        <v>GARANTIA DA QUALIDADE</v>
      </c>
      <c r="G1621" s="4" t="s">
        <v>22</v>
      </c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 spans="1:26" ht="14.25" customHeight="1">
      <c r="A1622" s="4">
        <v>14499</v>
      </c>
      <c r="B1622" s="4" t="str">
        <f>IFERROR(VLOOKUP(A1622,Colaboradores!A:D,2,),"")</f>
        <v>SAMIRIS COSTA DA SILVA</v>
      </c>
      <c r="C1622" s="4" t="str">
        <f>IFERROR(VLOOKUP(A1622,Colaboradores!A:D,3,),"")</f>
        <v>SAÚDE OCUPACIONAL</v>
      </c>
      <c r="D1622" s="4" t="str">
        <f>IFERROR(VLOOKUP(A1622,Colaboradores!A:D,4,),"")</f>
        <v>PSICÓLOGA</v>
      </c>
      <c r="E1622" s="4" t="s">
        <v>26</v>
      </c>
      <c r="F1622" s="5" t="str">
        <f>IFERROR(VLOOKUP(E1622,Procedimentos!A:C,2,),"")</f>
        <v>RESPONSABILIDADES E AUTORIDADES DO SGQ</v>
      </c>
      <c r="G1622" s="4" t="s">
        <v>22</v>
      </c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 spans="1:26" ht="14.25" customHeight="1">
      <c r="A1623" s="4">
        <v>14499</v>
      </c>
      <c r="B1623" s="4" t="str">
        <f>IFERROR(VLOOKUP(A1623,Colaboradores!A:D,2,),"")</f>
        <v>SAMIRIS COSTA DA SILVA</v>
      </c>
      <c r="C1623" s="4" t="str">
        <f>IFERROR(VLOOKUP(A1623,Colaboradores!A:D,3,),"")</f>
        <v>SAÚDE OCUPACIONAL</v>
      </c>
      <c r="D1623" s="4" t="str">
        <f>IFERROR(VLOOKUP(A1623,Colaboradores!A:D,4,),"")</f>
        <v>PSICÓLOGA</v>
      </c>
      <c r="E1623" s="4" t="s">
        <v>48</v>
      </c>
      <c r="F1623" s="5" t="str">
        <f>IFERROR(VLOOKUP(E1623,Procedimentos!A:C,2,),"")</f>
        <v>POLÍTICA MEIO AMBIENTE EMSERH</v>
      </c>
      <c r="G1623" s="4" t="s">
        <v>22</v>
      </c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 spans="1:26" ht="14.25" customHeight="1">
      <c r="A1624" s="4">
        <v>14499</v>
      </c>
      <c r="B1624" s="4" t="str">
        <f>IFERROR(VLOOKUP(A1624,Colaboradores!A:D,2,),"")</f>
        <v>SAMIRIS COSTA DA SILVA</v>
      </c>
      <c r="C1624" s="4" t="str">
        <f>IFERROR(VLOOKUP(A1624,Colaboradores!A:D,3,),"")</f>
        <v>SAÚDE OCUPACIONAL</v>
      </c>
      <c r="D1624" s="4" t="str">
        <f>IFERROR(VLOOKUP(A1624,Colaboradores!A:D,4,),"")</f>
        <v>PSICÓLOGA</v>
      </c>
      <c r="E1624" s="4" t="s">
        <v>29</v>
      </c>
      <c r="F1624" s="5" t="str">
        <f>IFERROR(VLOOKUP(E1624,Procedimentos!A:C,2,),"")</f>
        <v>COLETA SELETIVA DESSMA</v>
      </c>
      <c r="G1624" s="4" t="s">
        <v>22</v>
      </c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 spans="1:26" ht="14.25" customHeight="1">
      <c r="A1625" s="4">
        <v>14499</v>
      </c>
      <c r="B1625" s="4" t="str">
        <f>IFERROR(VLOOKUP(A1625,Colaboradores!A:D,2,),"")</f>
        <v>SAMIRIS COSTA DA SILVA</v>
      </c>
      <c r="C1625" s="4" t="str">
        <f>IFERROR(VLOOKUP(A1625,Colaboradores!A:D,3,),"")</f>
        <v>SAÚDE OCUPACIONAL</v>
      </c>
      <c r="D1625" s="4" t="str">
        <f>IFERROR(VLOOKUP(A1625,Colaboradores!A:D,4,),"")</f>
        <v>PSICÓLOGA</v>
      </c>
      <c r="E1625" s="4" t="s">
        <v>32</v>
      </c>
      <c r="F1625" s="5" t="str">
        <f>IFERROR(VLOOKUP(E1625,Procedimentos!A:C,2,),"")</f>
        <v>GESTÃO DE LEVANTAMENTO DE ASPECTOS E IMPACTOS AMBIENTAIS</v>
      </c>
      <c r="G1625" s="4" t="s">
        <v>22</v>
      </c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 spans="1:26" ht="14.25" customHeight="1">
      <c r="A1626" s="4">
        <v>14499</v>
      </c>
      <c r="B1626" s="4" t="str">
        <f>IFERROR(VLOOKUP(A1626,Colaboradores!A:D,2,),"")</f>
        <v>SAMIRIS COSTA DA SILVA</v>
      </c>
      <c r="C1626" s="4" t="str">
        <f>IFERROR(VLOOKUP(A1626,Colaboradores!A:D,3,),"")</f>
        <v>SAÚDE OCUPACIONAL</v>
      </c>
      <c r="D1626" s="4" t="str">
        <f>IFERROR(VLOOKUP(A1626,Colaboradores!A:D,4,),"")</f>
        <v>PSICÓLOGA</v>
      </c>
      <c r="E1626" s="4" t="s">
        <v>31</v>
      </c>
      <c r="F1626" s="5" t="str">
        <f>IFERROR(VLOOKUP(E1626,Procedimentos!A:C,2,),"")</f>
        <v>GESTÃO DE COMUNICAÇÃO, CLASSIFICAÇÃO E INVESTIGAÇÃO DE OCORRÊNCIAS AMBIENTAIS</v>
      </c>
      <c r="G1626" s="4" t="s">
        <v>22</v>
      </c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 spans="1:26" ht="14.25" customHeight="1">
      <c r="A1627" s="4">
        <v>14499</v>
      </c>
      <c r="B1627" s="4" t="str">
        <f>IFERROR(VLOOKUP(A1627,Colaboradores!A:D,2,),"")</f>
        <v>SAMIRIS COSTA DA SILVA</v>
      </c>
      <c r="C1627" s="4" t="str">
        <f>IFERROR(VLOOKUP(A1627,Colaboradores!A:D,3,),"")</f>
        <v>SAÚDE OCUPACIONAL</v>
      </c>
      <c r="D1627" s="4" t="str">
        <f>IFERROR(VLOOKUP(A1627,Colaboradores!A:D,4,),"")</f>
        <v>PSICÓLOGA</v>
      </c>
      <c r="E1627" s="4" t="s">
        <v>33</v>
      </c>
      <c r="F1627" s="5" t="str">
        <f>IFERROR(VLOOKUP(E1627,Procedimentos!A:C,2,),"")</f>
        <v>GESTÃO DE INSPEÇÕES AMBIENTAIS</v>
      </c>
      <c r="G1627" s="4" t="s">
        <v>22</v>
      </c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 spans="1:26" ht="14.25" customHeight="1">
      <c r="A1628" s="4">
        <v>14499</v>
      </c>
      <c r="B1628" s="4" t="str">
        <f>IFERROR(VLOOKUP(A1628,Colaboradores!A:D,2,),"")</f>
        <v>SAMIRIS COSTA DA SILVA</v>
      </c>
      <c r="C1628" s="4" t="str">
        <f>IFERROR(VLOOKUP(A1628,Colaboradores!A:D,3,),"")</f>
        <v>SAÚDE OCUPACIONAL</v>
      </c>
      <c r="D1628" s="4" t="str">
        <f>IFERROR(VLOOKUP(A1628,Colaboradores!A:D,4,),"")</f>
        <v>PSICÓLOGA</v>
      </c>
      <c r="E1628" s="4" t="s">
        <v>49</v>
      </c>
      <c r="F1628" s="5" t="str">
        <f>IFERROR(VLOOKUP(E1628,Procedimentos!A:C,2,),"")</f>
        <v>DIRETRIZES PARA REALIZAÇÃO DE EXAMES OCUPACIONAIS</v>
      </c>
      <c r="G1628" s="4" t="s">
        <v>22</v>
      </c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 spans="1:26" ht="14.25" customHeight="1">
      <c r="A1629" s="4">
        <v>14499</v>
      </c>
      <c r="B1629" s="4" t="str">
        <f>IFERROR(VLOOKUP(A1629,Colaboradores!A:D,2,),"")</f>
        <v>SAMIRIS COSTA DA SILVA</v>
      </c>
      <c r="C1629" s="4" t="str">
        <f>IFERROR(VLOOKUP(A1629,Colaboradores!A:D,3,),"")</f>
        <v>SAÚDE OCUPACIONAL</v>
      </c>
      <c r="D1629" s="4" t="str">
        <f>IFERROR(VLOOKUP(A1629,Colaboradores!A:D,4,),"")</f>
        <v>PSICÓLOGA</v>
      </c>
      <c r="E1629" s="4" t="s">
        <v>51</v>
      </c>
      <c r="F1629" s="5" t="str">
        <f>IFERROR(VLOOKUP(E1629,Procedimentos!A:C,2,),"")</f>
        <v>DIRETRIZES PARA ENTREGA DE ATESTADOS MÉDICOS E ODONTOLÓGICOS</v>
      </c>
      <c r="G1629" s="4" t="s">
        <v>22</v>
      </c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 spans="1:26" ht="14.25" customHeight="1">
      <c r="A1630" s="4">
        <v>14499</v>
      </c>
      <c r="B1630" s="4" t="str">
        <f>IFERROR(VLOOKUP(A1630,Colaboradores!A:D,2,),"")</f>
        <v>SAMIRIS COSTA DA SILVA</v>
      </c>
      <c r="C1630" s="4" t="str">
        <f>IFERROR(VLOOKUP(A1630,Colaboradores!A:D,3,),"")</f>
        <v>SAÚDE OCUPACIONAL</v>
      </c>
      <c r="D1630" s="4" t="str">
        <f>IFERROR(VLOOKUP(A1630,Colaboradores!A:D,4,),"")</f>
        <v>PSICÓLOGA</v>
      </c>
      <c r="E1630" s="4" t="s">
        <v>52</v>
      </c>
      <c r="F1630" s="5" t="str">
        <f>IFERROR(VLOOKUP(E1630,Procedimentos!A:C,2,),"")</f>
        <v>DIRETRIZES E ACOMPANHAMENTO  DE ACIDENTE COM MATERIAL BIOLOGICO</v>
      </c>
      <c r="G1630" s="4" t="s">
        <v>22</v>
      </c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 spans="1:26" ht="14.25" customHeight="1">
      <c r="A1631" s="4">
        <v>14499</v>
      </c>
      <c r="B1631" s="4" t="str">
        <f>IFERROR(VLOOKUP(A1631,Colaboradores!A:D,2,),"")</f>
        <v>SAMIRIS COSTA DA SILVA</v>
      </c>
      <c r="C1631" s="4" t="str">
        <f>IFERROR(VLOOKUP(A1631,Colaboradores!A:D,3,),"")</f>
        <v>SAÚDE OCUPACIONAL</v>
      </c>
      <c r="D1631" s="4" t="str">
        <f>IFERROR(VLOOKUP(A1631,Colaboradores!A:D,4,),"")</f>
        <v>PSICÓLOGA</v>
      </c>
      <c r="E1631" s="4" t="s">
        <v>53</v>
      </c>
      <c r="F1631" s="5" t="str">
        <f>IFERROR(VLOOKUP(E1631,Procedimentos!A:C,2,),"")</f>
        <v>DIRETRIZES PARA MONITORAMENTO DE GESTANTE</v>
      </c>
      <c r="G1631" s="4" t="s">
        <v>22</v>
      </c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 spans="1:26" ht="14.25" customHeight="1">
      <c r="A1632" s="4">
        <v>14499</v>
      </c>
      <c r="B1632" s="4" t="str">
        <f>IFERROR(VLOOKUP(A1632,Colaboradores!A:D,2,),"")</f>
        <v>SAMIRIS COSTA DA SILVA</v>
      </c>
      <c r="C1632" s="4" t="str">
        <f>IFERROR(VLOOKUP(A1632,Colaboradores!A:D,3,),"")</f>
        <v>SAÚDE OCUPACIONAL</v>
      </c>
      <c r="D1632" s="4" t="str">
        <f>IFERROR(VLOOKUP(A1632,Colaboradores!A:D,4,),"")</f>
        <v>PSICÓLOGA</v>
      </c>
      <c r="E1632" s="4" t="s">
        <v>54</v>
      </c>
      <c r="F1632" s="5" t="str">
        <f>IFERROR(VLOOKUP(E1632,Procedimentos!A:C,2,),"")</f>
        <v>DIRETRIZES DE IMUNIZAÇÃO OCUPACIONAL</v>
      </c>
      <c r="G1632" s="4" t="s">
        <v>22</v>
      </c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 spans="1:26" ht="14.25" customHeight="1">
      <c r="A1633" s="4">
        <v>14499</v>
      </c>
      <c r="B1633" s="4" t="str">
        <f>IFERROR(VLOOKUP(A1633,Colaboradores!A:D,2,),"")</f>
        <v>SAMIRIS COSTA DA SILVA</v>
      </c>
      <c r="C1633" s="4" t="str">
        <f>IFERROR(VLOOKUP(A1633,Colaboradores!A:D,3,),"")</f>
        <v>SAÚDE OCUPACIONAL</v>
      </c>
      <c r="D1633" s="4" t="str">
        <f>IFERROR(VLOOKUP(A1633,Colaboradores!A:D,4,),"")</f>
        <v>PSICÓLOGA</v>
      </c>
      <c r="E1633" s="4" t="s">
        <v>55</v>
      </c>
      <c r="F1633" s="5" t="str">
        <f>IFERROR(VLOOKUP(E1633,Procedimentos!A:C,2,),"")</f>
        <v>DIRETRIZES PARA ACOMPANHAMENTO DE AFASTADOS</v>
      </c>
      <c r="G1633" s="4" t="s">
        <v>22</v>
      </c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 spans="1:26" ht="14.25" customHeight="1">
      <c r="A1634" s="4">
        <v>14499</v>
      </c>
      <c r="B1634" s="4" t="str">
        <f>IFERROR(VLOOKUP(A1634,Colaboradores!A:D,2,),"")</f>
        <v>SAMIRIS COSTA DA SILVA</v>
      </c>
      <c r="C1634" s="4" t="str">
        <f>IFERROR(VLOOKUP(A1634,Colaboradores!A:D,3,),"")</f>
        <v>SAÚDE OCUPACIONAL</v>
      </c>
      <c r="D1634" s="4" t="str">
        <f>IFERROR(VLOOKUP(A1634,Colaboradores!A:D,4,),"")</f>
        <v>PSICÓLOGA</v>
      </c>
      <c r="E1634" s="4" t="s">
        <v>81</v>
      </c>
      <c r="F1634" s="5" t="str">
        <f>IFERROR(VLOOKUP(E1634,Procedimentos!A:C,2,),"")</f>
        <v>ATENDIMENTO PSICOLÓGICO NO ESPAÇO CUIDARH</v>
      </c>
      <c r="G1634" s="4" t="s">
        <v>22</v>
      </c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 spans="1:26" ht="14.25" customHeight="1">
      <c r="A1635" s="4">
        <v>14499</v>
      </c>
      <c r="B1635" s="4" t="str">
        <f>IFERROR(VLOOKUP(A1635,Colaboradores!A:D,2,),"")</f>
        <v>SAMIRIS COSTA DA SILVA</v>
      </c>
      <c r="C1635" s="4" t="str">
        <f>IFERROR(VLOOKUP(A1635,Colaboradores!A:D,3,),"")</f>
        <v>SAÚDE OCUPACIONAL</v>
      </c>
      <c r="D1635" s="4" t="str">
        <f>IFERROR(VLOOKUP(A1635,Colaboradores!A:D,4,),"")</f>
        <v>PSICÓLOGA</v>
      </c>
      <c r="E1635" s="4" t="s">
        <v>46</v>
      </c>
      <c r="F1635" s="5" t="str">
        <f>IFERROR(VLOOKUP(E1635,Procedimentos!A:C,2,),"")</f>
        <v>POLÍTICA DE SAÚDE E SEGURANÇA DO TRABALHO EMSERH</v>
      </c>
      <c r="G1635" s="4" t="s">
        <v>22</v>
      </c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 spans="1:26" ht="14.25" customHeight="1">
      <c r="A1636" s="4">
        <v>14499</v>
      </c>
      <c r="B1636" s="4" t="str">
        <f>IFERROR(VLOOKUP(A1636,Colaboradores!A:D,2,),"")</f>
        <v>SAMIRIS COSTA DA SILVA</v>
      </c>
      <c r="C1636" s="4" t="str">
        <f>IFERROR(VLOOKUP(A1636,Colaboradores!A:D,3,),"")</f>
        <v>SAÚDE OCUPACIONAL</v>
      </c>
      <c r="D1636" s="4" t="str">
        <f>IFERROR(VLOOKUP(A1636,Colaboradores!A:D,4,),"")</f>
        <v>PSICÓLOGA</v>
      </c>
      <c r="E1636" s="4" t="s">
        <v>41</v>
      </c>
      <c r="F1636" s="5" t="str">
        <f>IFERROR(VLOOKUP(E1636,Procedimentos!A:C,2,),"")</f>
        <v>DIRETRIZES PARA COMUNICAÇÃO E INVESTIGAÇÃO DE ACIDENTES</v>
      </c>
      <c r="G1636" s="4" t="s">
        <v>22</v>
      </c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 spans="1:26" ht="14.25" customHeight="1">
      <c r="A1637" s="4">
        <v>14499</v>
      </c>
      <c r="B1637" s="4" t="str">
        <f>IFERROR(VLOOKUP(A1637,Colaboradores!A:D,2,),"")</f>
        <v>SAMIRIS COSTA DA SILVA</v>
      </c>
      <c r="C1637" s="4" t="str">
        <f>IFERROR(VLOOKUP(A1637,Colaboradores!A:D,3,),"")</f>
        <v>SAÚDE OCUPACIONAL</v>
      </c>
      <c r="D1637" s="4" t="str">
        <f>IFERROR(VLOOKUP(A1637,Colaboradores!A:D,4,),"")</f>
        <v>PSICÓLOGA</v>
      </c>
      <c r="E1637" s="4" t="s">
        <v>43</v>
      </c>
      <c r="F1637" s="5" t="str">
        <f>IFERROR(VLOOKUP(E1637,Procedimentos!A:C,2,),"")</f>
        <v>DIÁLOGO DE SAÚDE E SEGURANÇA - DSS</v>
      </c>
      <c r="G1637" s="4" t="s">
        <v>22</v>
      </c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 spans="1:26" ht="14.25" customHeight="1">
      <c r="A1638" s="4">
        <v>14499</v>
      </c>
      <c r="B1638" s="4" t="str">
        <f>IFERROR(VLOOKUP(A1638,Colaboradores!A:D,2,),"")</f>
        <v>SAMIRIS COSTA DA SILVA</v>
      </c>
      <c r="C1638" s="4" t="str">
        <f>IFERROR(VLOOKUP(A1638,Colaboradores!A:D,3,),"")</f>
        <v>SAÚDE OCUPACIONAL</v>
      </c>
      <c r="D1638" s="4" t="str">
        <f>IFERROR(VLOOKUP(A1638,Colaboradores!A:D,4,),"")</f>
        <v>PSICÓLOGA</v>
      </c>
      <c r="E1638" s="4" t="s">
        <v>44</v>
      </c>
      <c r="F1638" s="5" t="str">
        <f>IFERROR(VLOOKUP(E1638,Procedimentos!A:C,2,),"")</f>
        <v>DIRETRIZES PARA GESTÃO DE EQUIPAMENTOS DE PROTEÇÃO INDIVIDUAL - EPI'S</v>
      </c>
      <c r="G1638" s="4" t="s">
        <v>22</v>
      </c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 spans="1:26" ht="14.25" customHeight="1">
      <c r="A1639" s="4">
        <v>14499</v>
      </c>
      <c r="B1639" s="4" t="str">
        <f>IFERROR(VLOOKUP(A1639,Colaboradores!A:D,2,),"")</f>
        <v>SAMIRIS COSTA DA SILVA</v>
      </c>
      <c r="C1639" s="4" t="str">
        <f>IFERROR(VLOOKUP(A1639,Colaboradores!A:D,3,),"")</f>
        <v>SAÚDE OCUPACIONAL</v>
      </c>
      <c r="D1639" s="4" t="str">
        <f>IFERROR(VLOOKUP(A1639,Colaboradores!A:D,4,),"")</f>
        <v>PSICÓLOGA</v>
      </c>
      <c r="E1639" s="4" t="s">
        <v>45</v>
      </c>
      <c r="F1639" s="5" t="str">
        <f>IFERROR(VLOOKUP(E1639,Procedimentos!A:C,2,),"")</f>
        <v>CONSTITUIÇÃO INTERNA DE PREVENÇÃO DE ACIDENTES E DE ASSÉDIOS - CIPA</v>
      </c>
      <c r="G1639" s="4" t="s">
        <v>22</v>
      </c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 spans="1:26" ht="14.25" customHeight="1">
      <c r="A1640" s="4">
        <v>14083</v>
      </c>
      <c r="B1640" s="4" t="str">
        <f>IFERROR(VLOOKUP(A1640,Colaboradores!A:D,2,),"")</f>
        <v>TAHYNAN FREITAS SILVA COSTA</v>
      </c>
      <c r="C1640" s="4" t="str">
        <f>IFERROR(VLOOKUP(A1640,Colaboradores!A:D,3,),"")</f>
        <v>SAÚDE OCUPACIONAL</v>
      </c>
      <c r="D1640" s="4" t="str">
        <f>IFERROR(VLOOKUP(A1640,Colaboradores!A:D,4,),"")</f>
        <v>TÉCNICO DE ENFERMAGEM DO TRABALHO</v>
      </c>
      <c r="E1640" s="4" t="s">
        <v>58</v>
      </c>
      <c r="F1640" s="5" t="str">
        <f>IFERROR(VLOOKUP(E1640,Procedimentos!A:C,2,),"")</f>
        <v>POLÍTICA DE QUALIDADE DA DIRETORIA</v>
      </c>
      <c r="G1640" s="4" t="s">
        <v>22</v>
      </c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 spans="1:26" ht="14.25" customHeight="1">
      <c r="A1641" s="4">
        <v>14083</v>
      </c>
      <c r="B1641" s="4" t="str">
        <f>IFERROR(VLOOKUP(A1641,Colaboradores!A:D,2,),"")</f>
        <v>TAHYNAN FREITAS SILVA COSTA</v>
      </c>
      <c r="C1641" s="4" t="str">
        <f>IFERROR(VLOOKUP(A1641,Colaboradores!A:D,3,),"")</f>
        <v>SAÚDE OCUPACIONAL</v>
      </c>
      <c r="D1641" s="4" t="str">
        <f>IFERROR(VLOOKUP(A1641,Colaboradores!A:D,4,),"")</f>
        <v>TÉCNICO DE ENFERMAGEM DO TRABALHO</v>
      </c>
      <c r="E1641" s="4" t="s">
        <v>19</v>
      </c>
      <c r="F1641" s="5" t="str">
        <f>IFERROR(VLOOKUP(E1641,Procedimentos!A:C,2,),"")</f>
        <v>DIRETRIZES PARA DOCUMENTOS NORMATIVOS</v>
      </c>
      <c r="G1641" s="4" t="s">
        <v>22</v>
      </c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 spans="1:26" ht="14.25" customHeight="1">
      <c r="A1642" s="4">
        <v>14083</v>
      </c>
      <c r="B1642" s="4" t="str">
        <f>IFERROR(VLOOKUP(A1642,Colaboradores!A:D,2,),"")</f>
        <v>TAHYNAN FREITAS SILVA COSTA</v>
      </c>
      <c r="C1642" s="4" t="str">
        <f>IFERROR(VLOOKUP(A1642,Colaboradores!A:D,3,),"")</f>
        <v>SAÚDE OCUPACIONAL</v>
      </c>
      <c r="D1642" s="4" t="str">
        <f>IFERROR(VLOOKUP(A1642,Colaboradores!A:D,4,),"")</f>
        <v>TÉCNICO DE ENFERMAGEM DO TRABALHO</v>
      </c>
      <c r="E1642" s="4" t="s">
        <v>24</v>
      </c>
      <c r="F1642" s="5" t="str">
        <f>IFERROR(VLOOKUP(E1642,Procedimentos!A:C,2,),"")</f>
        <v>DIRETRIZES  PARA PROGRAMA 5S</v>
      </c>
      <c r="G1642" s="4" t="s">
        <v>22</v>
      </c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 spans="1:26" ht="14.25" customHeight="1">
      <c r="A1643" s="4">
        <v>14083</v>
      </c>
      <c r="B1643" s="4" t="str">
        <f>IFERROR(VLOOKUP(A1643,Colaboradores!A:D,2,),"")</f>
        <v>TAHYNAN FREITAS SILVA COSTA</v>
      </c>
      <c r="C1643" s="4" t="str">
        <f>IFERROR(VLOOKUP(A1643,Colaboradores!A:D,3,),"")</f>
        <v>SAÚDE OCUPACIONAL</v>
      </c>
      <c r="D1643" s="4" t="str">
        <f>IFERROR(VLOOKUP(A1643,Colaboradores!A:D,4,),"")</f>
        <v>TÉCNICO DE ENFERMAGEM DO TRABALHO</v>
      </c>
      <c r="E1643" s="4" t="s">
        <v>25</v>
      </c>
      <c r="F1643" s="5" t="str">
        <f>IFERROR(VLOOKUP(E1643,Procedimentos!A:C,2,),"")</f>
        <v>GARANTIA DA QUALIDADE</v>
      </c>
      <c r="G1643" s="4" t="s">
        <v>22</v>
      </c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 spans="1:26" ht="14.25" customHeight="1">
      <c r="A1644" s="4">
        <v>14083</v>
      </c>
      <c r="B1644" s="4" t="str">
        <f>IFERROR(VLOOKUP(A1644,Colaboradores!A:D,2,),"")</f>
        <v>TAHYNAN FREITAS SILVA COSTA</v>
      </c>
      <c r="C1644" s="4" t="str">
        <f>IFERROR(VLOOKUP(A1644,Colaboradores!A:D,3,),"")</f>
        <v>SAÚDE OCUPACIONAL</v>
      </c>
      <c r="D1644" s="4" t="str">
        <f>IFERROR(VLOOKUP(A1644,Colaboradores!A:D,4,),"")</f>
        <v>TÉCNICO DE ENFERMAGEM DO TRABALHO</v>
      </c>
      <c r="E1644" s="4" t="s">
        <v>26</v>
      </c>
      <c r="F1644" s="5" t="str">
        <f>IFERROR(VLOOKUP(E1644,Procedimentos!A:C,2,),"")</f>
        <v>RESPONSABILIDADES E AUTORIDADES DO SGQ</v>
      </c>
      <c r="G1644" s="4" t="s">
        <v>22</v>
      </c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 spans="1:26" ht="14.25" customHeight="1">
      <c r="A1645" s="4">
        <v>14083</v>
      </c>
      <c r="B1645" s="4" t="str">
        <f>IFERROR(VLOOKUP(A1645,Colaboradores!A:D,2,),"")</f>
        <v>TAHYNAN FREITAS SILVA COSTA</v>
      </c>
      <c r="C1645" s="4" t="str">
        <f>IFERROR(VLOOKUP(A1645,Colaboradores!A:D,3,),"")</f>
        <v>SAÚDE OCUPACIONAL</v>
      </c>
      <c r="D1645" s="4" t="str">
        <f>IFERROR(VLOOKUP(A1645,Colaboradores!A:D,4,),"")</f>
        <v>TÉCNICO DE ENFERMAGEM DO TRABALHO</v>
      </c>
      <c r="E1645" s="4" t="s">
        <v>73</v>
      </c>
      <c r="F1645" s="5" t="str">
        <f>IFERROR(VLOOKUP(E1645,Procedimentos!A:C,2,),"")</f>
        <v>AQUISIÇÃO DE BENS E SERVIÇOS E AVALIAÇÃO PROVEDORES EXTERNOS</v>
      </c>
      <c r="G1645" s="4" t="s">
        <v>22</v>
      </c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 spans="1:26" ht="14.25" customHeight="1">
      <c r="A1646" s="4">
        <v>14083</v>
      </c>
      <c r="B1646" s="4" t="str">
        <f>IFERROR(VLOOKUP(A1646,Colaboradores!A:D,2,),"")</f>
        <v>TAHYNAN FREITAS SILVA COSTA</v>
      </c>
      <c r="C1646" s="4" t="str">
        <f>IFERROR(VLOOKUP(A1646,Colaboradores!A:D,3,),"")</f>
        <v>SAÚDE OCUPACIONAL</v>
      </c>
      <c r="D1646" s="4" t="str">
        <f>IFERROR(VLOOKUP(A1646,Colaboradores!A:D,4,),"")</f>
        <v>TÉCNICO DE ENFERMAGEM DO TRABALHO</v>
      </c>
      <c r="E1646" s="4" t="s">
        <v>48</v>
      </c>
      <c r="F1646" s="5" t="str">
        <f>IFERROR(VLOOKUP(E1646,Procedimentos!A:C,2,),"")</f>
        <v>POLÍTICA MEIO AMBIENTE EMSERH</v>
      </c>
      <c r="G1646" s="4" t="s">
        <v>22</v>
      </c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 spans="1:26" ht="14.25" customHeight="1">
      <c r="A1647" s="4">
        <v>14083</v>
      </c>
      <c r="B1647" s="4" t="str">
        <f>IFERROR(VLOOKUP(A1647,Colaboradores!A:D,2,),"")</f>
        <v>TAHYNAN FREITAS SILVA COSTA</v>
      </c>
      <c r="C1647" s="4" t="str">
        <f>IFERROR(VLOOKUP(A1647,Colaboradores!A:D,3,),"")</f>
        <v>SAÚDE OCUPACIONAL</v>
      </c>
      <c r="D1647" s="4" t="str">
        <f>IFERROR(VLOOKUP(A1647,Colaboradores!A:D,4,),"")</f>
        <v>TÉCNICO DE ENFERMAGEM DO TRABALHO</v>
      </c>
      <c r="E1647" s="4" t="s">
        <v>29</v>
      </c>
      <c r="F1647" s="5" t="str">
        <f>IFERROR(VLOOKUP(E1647,Procedimentos!A:C,2,),"")</f>
        <v>COLETA SELETIVA DESSMA</v>
      </c>
      <c r="G1647" s="4" t="s">
        <v>22</v>
      </c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 spans="1:26" ht="14.25" customHeight="1">
      <c r="A1648" s="4">
        <v>14083</v>
      </c>
      <c r="B1648" s="4" t="str">
        <f>IFERROR(VLOOKUP(A1648,Colaboradores!A:D,2,),"")</f>
        <v>TAHYNAN FREITAS SILVA COSTA</v>
      </c>
      <c r="C1648" s="4" t="str">
        <f>IFERROR(VLOOKUP(A1648,Colaboradores!A:D,3,),"")</f>
        <v>SAÚDE OCUPACIONAL</v>
      </c>
      <c r="D1648" s="4" t="str">
        <f>IFERROR(VLOOKUP(A1648,Colaboradores!A:D,4,),"")</f>
        <v>TÉCNICO DE ENFERMAGEM DO TRABALHO</v>
      </c>
      <c r="E1648" s="4" t="s">
        <v>36</v>
      </c>
      <c r="F1648" s="5" t="str">
        <f>IFERROR(VLOOKUP(E1648,Procedimentos!A:C,2,),"")</f>
        <v>GESTÃO DE PRODUTOS QUÍMICOS</v>
      </c>
      <c r="G1648" s="4" t="s">
        <v>22</v>
      </c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 spans="1:26" ht="14.25" customHeight="1">
      <c r="A1649" s="4">
        <v>14083</v>
      </c>
      <c r="B1649" s="4" t="str">
        <f>IFERROR(VLOOKUP(A1649,Colaboradores!A:D,2,),"")</f>
        <v>TAHYNAN FREITAS SILVA COSTA</v>
      </c>
      <c r="C1649" s="4" t="str">
        <f>IFERROR(VLOOKUP(A1649,Colaboradores!A:D,3,),"")</f>
        <v>SAÚDE OCUPACIONAL</v>
      </c>
      <c r="D1649" s="4" t="str">
        <f>IFERROR(VLOOKUP(A1649,Colaboradores!A:D,4,),"")</f>
        <v>TÉCNICO DE ENFERMAGEM DO TRABALHO</v>
      </c>
      <c r="E1649" s="4" t="s">
        <v>32</v>
      </c>
      <c r="F1649" s="5" t="str">
        <f>IFERROR(VLOOKUP(E1649,Procedimentos!A:C,2,),"")</f>
        <v>GESTÃO DE LEVANTAMENTO DE ASPECTOS E IMPACTOS AMBIENTAIS</v>
      </c>
      <c r="G1649" s="4" t="s">
        <v>22</v>
      </c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 spans="1:26" ht="14.25" customHeight="1">
      <c r="A1650" s="4">
        <v>14083</v>
      </c>
      <c r="B1650" s="4" t="str">
        <f>IFERROR(VLOOKUP(A1650,Colaboradores!A:D,2,),"")</f>
        <v>TAHYNAN FREITAS SILVA COSTA</v>
      </c>
      <c r="C1650" s="4" t="str">
        <f>IFERROR(VLOOKUP(A1650,Colaboradores!A:D,3,),"")</f>
        <v>SAÚDE OCUPACIONAL</v>
      </c>
      <c r="D1650" s="4" t="str">
        <f>IFERROR(VLOOKUP(A1650,Colaboradores!A:D,4,),"")</f>
        <v>TÉCNICO DE ENFERMAGEM DO TRABALHO</v>
      </c>
      <c r="E1650" s="4" t="s">
        <v>31</v>
      </c>
      <c r="F1650" s="5" t="str">
        <f>IFERROR(VLOOKUP(E1650,Procedimentos!A:C,2,),"")</f>
        <v>GESTÃO DE COMUNICAÇÃO, CLASSIFICAÇÃO E INVESTIGAÇÃO DE OCORRÊNCIAS AMBIENTAIS</v>
      </c>
      <c r="G1650" s="4" t="s">
        <v>22</v>
      </c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 spans="1:26" ht="14.25" customHeight="1">
      <c r="A1651" s="4">
        <v>14083</v>
      </c>
      <c r="B1651" s="4" t="str">
        <f>IFERROR(VLOOKUP(A1651,Colaboradores!A:D,2,),"")</f>
        <v>TAHYNAN FREITAS SILVA COSTA</v>
      </c>
      <c r="C1651" s="4" t="str">
        <f>IFERROR(VLOOKUP(A1651,Colaboradores!A:D,3,),"")</f>
        <v>SAÚDE OCUPACIONAL</v>
      </c>
      <c r="D1651" s="4" t="str">
        <f>IFERROR(VLOOKUP(A1651,Colaboradores!A:D,4,),"")</f>
        <v>TÉCNICO DE ENFERMAGEM DO TRABALHO</v>
      </c>
      <c r="E1651" s="4" t="s">
        <v>33</v>
      </c>
      <c r="F1651" s="5" t="str">
        <f>IFERROR(VLOOKUP(E1651,Procedimentos!A:C,2,),"")</f>
        <v>GESTÃO DE INSPEÇÕES AMBIENTAIS</v>
      </c>
      <c r="G1651" s="4" t="s">
        <v>22</v>
      </c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 spans="1:26" ht="14.25" customHeight="1">
      <c r="A1652" s="4">
        <v>14083</v>
      </c>
      <c r="B1652" s="4" t="str">
        <f>IFERROR(VLOOKUP(A1652,Colaboradores!A:D,2,),"")</f>
        <v>TAHYNAN FREITAS SILVA COSTA</v>
      </c>
      <c r="C1652" s="4" t="str">
        <f>IFERROR(VLOOKUP(A1652,Colaboradores!A:D,3,),"")</f>
        <v>SAÚDE OCUPACIONAL</v>
      </c>
      <c r="D1652" s="4" t="str">
        <f>IFERROR(VLOOKUP(A1652,Colaboradores!A:D,4,),"")</f>
        <v>TÉCNICO DE ENFERMAGEM DO TRABALHO</v>
      </c>
      <c r="E1652" s="4" t="s">
        <v>49</v>
      </c>
      <c r="F1652" s="5" t="str">
        <f>IFERROR(VLOOKUP(E1652,Procedimentos!A:C,2,),"")</f>
        <v>DIRETRIZES PARA REALIZAÇÃO DE EXAMES OCUPACIONAIS</v>
      </c>
      <c r="G1652" s="4" t="s">
        <v>22</v>
      </c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 spans="1:26" ht="14.25" customHeight="1">
      <c r="A1653" s="4">
        <v>14083</v>
      </c>
      <c r="B1653" s="4" t="str">
        <f>IFERROR(VLOOKUP(A1653,Colaboradores!A:D,2,),"")</f>
        <v>TAHYNAN FREITAS SILVA COSTA</v>
      </c>
      <c r="C1653" s="4" t="str">
        <f>IFERROR(VLOOKUP(A1653,Colaboradores!A:D,3,),"")</f>
        <v>SAÚDE OCUPACIONAL</v>
      </c>
      <c r="D1653" s="4" t="str">
        <f>IFERROR(VLOOKUP(A1653,Colaboradores!A:D,4,),"")</f>
        <v>TÉCNICO DE ENFERMAGEM DO TRABALHO</v>
      </c>
      <c r="E1653" s="4" t="s">
        <v>51</v>
      </c>
      <c r="F1653" s="5" t="str">
        <f>IFERROR(VLOOKUP(E1653,Procedimentos!A:C,2,),"")</f>
        <v>DIRETRIZES PARA ENTREGA DE ATESTADOS MÉDICOS E ODONTOLÓGICOS</v>
      </c>
      <c r="G1653" s="4" t="s">
        <v>22</v>
      </c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 spans="1:26" ht="14.25" customHeight="1">
      <c r="A1654" s="4">
        <v>14083</v>
      </c>
      <c r="B1654" s="4" t="str">
        <f>IFERROR(VLOOKUP(A1654,Colaboradores!A:D,2,),"")</f>
        <v>TAHYNAN FREITAS SILVA COSTA</v>
      </c>
      <c r="C1654" s="4" t="str">
        <f>IFERROR(VLOOKUP(A1654,Colaboradores!A:D,3,),"")</f>
        <v>SAÚDE OCUPACIONAL</v>
      </c>
      <c r="D1654" s="4" t="str">
        <f>IFERROR(VLOOKUP(A1654,Colaboradores!A:D,4,),"")</f>
        <v>TÉCNICO DE ENFERMAGEM DO TRABALHO</v>
      </c>
      <c r="E1654" s="4" t="s">
        <v>52</v>
      </c>
      <c r="F1654" s="5" t="str">
        <f>IFERROR(VLOOKUP(E1654,Procedimentos!A:C,2,),"")</f>
        <v>DIRETRIZES E ACOMPANHAMENTO  DE ACIDENTE COM MATERIAL BIOLOGICO</v>
      </c>
      <c r="G1654" s="4" t="s">
        <v>22</v>
      </c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 spans="1:26" ht="14.25" customHeight="1">
      <c r="A1655" s="4">
        <v>14083</v>
      </c>
      <c r="B1655" s="4" t="str">
        <f>IFERROR(VLOOKUP(A1655,Colaboradores!A:D,2,),"")</f>
        <v>TAHYNAN FREITAS SILVA COSTA</v>
      </c>
      <c r="C1655" s="4" t="str">
        <f>IFERROR(VLOOKUP(A1655,Colaboradores!A:D,3,),"")</f>
        <v>SAÚDE OCUPACIONAL</v>
      </c>
      <c r="D1655" s="4" t="str">
        <f>IFERROR(VLOOKUP(A1655,Colaboradores!A:D,4,),"")</f>
        <v>TÉCNICO DE ENFERMAGEM DO TRABALHO</v>
      </c>
      <c r="E1655" s="4" t="s">
        <v>53</v>
      </c>
      <c r="F1655" s="5" t="str">
        <f>IFERROR(VLOOKUP(E1655,Procedimentos!A:C,2,),"")</f>
        <v>DIRETRIZES PARA MONITORAMENTO DE GESTANTE</v>
      </c>
      <c r="G1655" s="4" t="s">
        <v>22</v>
      </c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 spans="1:26" ht="14.25" customHeight="1">
      <c r="A1656" s="4">
        <v>14083</v>
      </c>
      <c r="B1656" s="4" t="str">
        <f>IFERROR(VLOOKUP(A1656,Colaboradores!A:D,2,),"")</f>
        <v>TAHYNAN FREITAS SILVA COSTA</v>
      </c>
      <c r="C1656" s="4" t="str">
        <f>IFERROR(VLOOKUP(A1656,Colaboradores!A:D,3,),"")</f>
        <v>SAÚDE OCUPACIONAL</v>
      </c>
      <c r="D1656" s="4" t="str">
        <f>IFERROR(VLOOKUP(A1656,Colaboradores!A:D,4,),"")</f>
        <v>TÉCNICO DE ENFERMAGEM DO TRABALHO</v>
      </c>
      <c r="E1656" s="4" t="s">
        <v>54</v>
      </c>
      <c r="F1656" s="5" t="str">
        <f>IFERROR(VLOOKUP(E1656,Procedimentos!A:C,2,),"")</f>
        <v>DIRETRIZES DE IMUNIZAÇÃO OCUPACIONAL</v>
      </c>
      <c r="G1656" s="4" t="s">
        <v>22</v>
      </c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 spans="1:26" ht="14.25" customHeight="1">
      <c r="A1657" s="4">
        <v>14083</v>
      </c>
      <c r="B1657" s="4" t="str">
        <f>IFERROR(VLOOKUP(A1657,Colaboradores!A:D,2,),"")</f>
        <v>TAHYNAN FREITAS SILVA COSTA</v>
      </c>
      <c r="C1657" s="4" t="str">
        <f>IFERROR(VLOOKUP(A1657,Colaboradores!A:D,3,),"")</f>
        <v>SAÚDE OCUPACIONAL</v>
      </c>
      <c r="D1657" s="4" t="str">
        <f>IFERROR(VLOOKUP(A1657,Colaboradores!A:D,4,),"")</f>
        <v>TÉCNICO DE ENFERMAGEM DO TRABALHO</v>
      </c>
      <c r="E1657" s="4" t="s">
        <v>55</v>
      </c>
      <c r="F1657" s="5" t="str">
        <f>IFERROR(VLOOKUP(E1657,Procedimentos!A:C,2,),"")</f>
        <v>DIRETRIZES PARA ACOMPANHAMENTO DE AFASTADOS</v>
      </c>
      <c r="G1657" s="4" t="s">
        <v>22</v>
      </c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 spans="1:26" ht="14.25" customHeight="1">
      <c r="A1658" s="4">
        <v>14083</v>
      </c>
      <c r="B1658" s="4" t="str">
        <f>IFERROR(VLOOKUP(A1658,Colaboradores!A:D,2,),"")</f>
        <v>TAHYNAN FREITAS SILVA COSTA</v>
      </c>
      <c r="C1658" s="4" t="str">
        <f>IFERROR(VLOOKUP(A1658,Colaboradores!A:D,3,),"")</f>
        <v>SAÚDE OCUPACIONAL</v>
      </c>
      <c r="D1658" s="4" t="str">
        <f>IFERROR(VLOOKUP(A1658,Colaboradores!A:D,4,),"")</f>
        <v>TÉCNICO DE ENFERMAGEM DO TRABALHO</v>
      </c>
      <c r="E1658" s="4" t="s">
        <v>46</v>
      </c>
      <c r="F1658" s="5" t="str">
        <f>IFERROR(VLOOKUP(E1658,Procedimentos!A:C,2,),"")</f>
        <v>POLÍTICA DE SAÚDE E SEGURANÇA DO TRABALHO EMSERH</v>
      </c>
      <c r="G1658" s="4" t="s">
        <v>22</v>
      </c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 spans="1:26" ht="14.25" customHeight="1">
      <c r="A1659" s="4">
        <v>14083</v>
      </c>
      <c r="B1659" s="4" t="str">
        <f>IFERROR(VLOOKUP(A1659,Colaboradores!A:D,2,),"")</f>
        <v>TAHYNAN FREITAS SILVA COSTA</v>
      </c>
      <c r="C1659" s="4" t="str">
        <f>IFERROR(VLOOKUP(A1659,Colaboradores!A:D,3,),"")</f>
        <v>SAÚDE OCUPACIONAL</v>
      </c>
      <c r="D1659" s="4" t="str">
        <f>IFERROR(VLOOKUP(A1659,Colaboradores!A:D,4,),"")</f>
        <v>TÉCNICO DE ENFERMAGEM DO TRABALHO</v>
      </c>
      <c r="E1659" s="4" t="s">
        <v>41</v>
      </c>
      <c r="F1659" s="5" t="str">
        <f>IFERROR(VLOOKUP(E1659,Procedimentos!A:C,2,),"")</f>
        <v>DIRETRIZES PARA COMUNICAÇÃO E INVESTIGAÇÃO DE ACIDENTES</v>
      </c>
      <c r="G1659" s="4" t="s">
        <v>22</v>
      </c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 spans="1:26" ht="14.25" customHeight="1">
      <c r="A1660" s="4">
        <v>14083</v>
      </c>
      <c r="B1660" s="4" t="str">
        <f>IFERROR(VLOOKUP(A1660,Colaboradores!A:D,2,),"")</f>
        <v>TAHYNAN FREITAS SILVA COSTA</v>
      </c>
      <c r="C1660" s="4" t="str">
        <f>IFERROR(VLOOKUP(A1660,Colaboradores!A:D,3,),"")</f>
        <v>SAÚDE OCUPACIONAL</v>
      </c>
      <c r="D1660" s="4" t="str">
        <f>IFERROR(VLOOKUP(A1660,Colaboradores!A:D,4,),"")</f>
        <v>TÉCNICO DE ENFERMAGEM DO TRABALHO</v>
      </c>
      <c r="E1660" s="4" t="s">
        <v>43</v>
      </c>
      <c r="F1660" s="5" t="str">
        <f>IFERROR(VLOOKUP(E1660,Procedimentos!A:C,2,),"")</f>
        <v>DIÁLOGO DE SAÚDE E SEGURANÇA - DSS</v>
      </c>
      <c r="G1660" s="4" t="s">
        <v>22</v>
      </c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 spans="1:26" ht="14.25" customHeight="1">
      <c r="A1661" s="4">
        <v>14083</v>
      </c>
      <c r="B1661" s="4" t="str">
        <f>IFERROR(VLOOKUP(A1661,Colaboradores!A:D,2,),"")</f>
        <v>TAHYNAN FREITAS SILVA COSTA</v>
      </c>
      <c r="C1661" s="4" t="str">
        <f>IFERROR(VLOOKUP(A1661,Colaboradores!A:D,3,),"")</f>
        <v>SAÚDE OCUPACIONAL</v>
      </c>
      <c r="D1661" s="4" t="str">
        <f>IFERROR(VLOOKUP(A1661,Colaboradores!A:D,4,),"")</f>
        <v>TÉCNICO DE ENFERMAGEM DO TRABALHO</v>
      </c>
      <c r="E1661" s="4" t="s">
        <v>44</v>
      </c>
      <c r="F1661" s="5" t="str">
        <f>IFERROR(VLOOKUP(E1661,Procedimentos!A:C,2,),"")</f>
        <v>DIRETRIZES PARA GESTÃO DE EQUIPAMENTOS DE PROTEÇÃO INDIVIDUAL - EPI'S</v>
      </c>
      <c r="G1661" s="4" t="s">
        <v>22</v>
      </c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 spans="1:26" ht="14.25" customHeight="1">
      <c r="A1662" s="4">
        <v>14083</v>
      </c>
      <c r="B1662" s="4" t="str">
        <f>IFERROR(VLOOKUP(A1662,Colaboradores!A:D,2,),"")</f>
        <v>TAHYNAN FREITAS SILVA COSTA</v>
      </c>
      <c r="C1662" s="4" t="str">
        <f>IFERROR(VLOOKUP(A1662,Colaboradores!A:D,3,),"")</f>
        <v>SAÚDE OCUPACIONAL</v>
      </c>
      <c r="D1662" s="4" t="str">
        <f>IFERROR(VLOOKUP(A1662,Colaboradores!A:D,4,),"")</f>
        <v>TÉCNICO DE ENFERMAGEM DO TRABALHO</v>
      </c>
      <c r="E1662" s="4" t="s">
        <v>45</v>
      </c>
      <c r="F1662" s="5" t="str">
        <f>IFERROR(VLOOKUP(E1662,Procedimentos!A:C,2,),"")</f>
        <v>CONSTITUIÇÃO INTERNA DE PREVENÇÃO DE ACIDENTES E DE ASSÉDIOS - CIPA</v>
      </c>
      <c r="G1662" s="4" t="s">
        <v>22</v>
      </c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 spans="1:26" ht="14.25" customHeight="1">
      <c r="A1663" s="4">
        <v>14873</v>
      </c>
      <c r="B1663" s="4" t="str">
        <f>IFERROR(VLOOKUP(A1663,Colaboradores!A:D,2,),"")</f>
        <v/>
      </c>
      <c r="C1663" s="4" t="str">
        <f>IFERROR(VLOOKUP(A1663,Colaboradores!A:D,3,),"")</f>
        <v/>
      </c>
      <c r="D1663" s="4" t="str">
        <f>IFERROR(VLOOKUP(A1663,Colaboradores!A:D,4,),"")</f>
        <v/>
      </c>
      <c r="E1663" s="4" t="s">
        <v>58</v>
      </c>
      <c r="F1663" s="5" t="str">
        <f>IFERROR(VLOOKUP(E1663,Procedimentos!A:C,2,),"")</f>
        <v>POLÍTICA DE QUALIDADE DA DIRETORIA</v>
      </c>
      <c r="G1663" s="4" t="s">
        <v>22</v>
      </c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 spans="1:26" ht="14.25" customHeight="1">
      <c r="A1664" s="4">
        <v>14873</v>
      </c>
      <c r="B1664" s="4" t="str">
        <f>IFERROR(VLOOKUP(A1664,Colaboradores!A:D,2,),"")</f>
        <v/>
      </c>
      <c r="C1664" s="4" t="str">
        <f>IFERROR(VLOOKUP(A1664,Colaboradores!A:D,3,),"")</f>
        <v/>
      </c>
      <c r="D1664" s="4" t="str">
        <f>IFERROR(VLOOKUP(A1664,Colaboradores!A:D,4,),"")</f>
        <v/>
      </c>
      <c r="E1664" s="4" t="s">
        <v>19</v>
      </c>
      <c r="F1664" s="5" t="str">
        <f>IFERROR(VLOOKUP(E1664,Procedimentos!A:C,2,),"")</f>
        <v>DIRETRIZES PARA DOCUMENTOS NORMATIVOS</v>
      </c>
      <c r="G1664" s="4" t="s">
        <v>22</v>
      </c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 spans="1:26" ht="14.25" customHeight="1">
      <c r="A1665" s="4">
        <v>14873</v>
      </c>
      <c r="B1665" s="4" t="str">
        <f>IFERROR(VLOOKUP(A1665,Colaboradores!A:D,2,),"")</f>
        <v/>
      </c>
      <c r="C1665" s="4" t="str">
        <f>IFERROR(VLOOKUP(A1665,Colaboradores!A:D,3,),"")</f>
        <v/>
      </c>
      <c r="D1665" s="4" t="str">
        <f>IFERROR(VLOOKUP(A1665,Colaboradores!A:D,4,),"")</f>
        <v/>
      </c>
      <c r="E1665" s="4" t="s">
        <v>24</v>
      </c>
      <c r="F1665" s="5" t="str">
        <f>IFERROR(VLOOKUP(E1665,Procedimentos!A:C,2,),"")</f>
        <v>DIRETRIZES  PARA PROGRAMA 5S</v>
      </c>
      <c r="G1665" s="4" t="s">
        <v>22</v>
      </c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 spans="1:26" ht="14.25" customHeight="1">
      <c r="A1666" s="4">
        <v>14873</v>
      </c>
      <c r="B1666" s="4" t="str">
        <f>IFERROR(VLOOKUP(A1666,Colaboradores!A:D,2,),"")</f>
        <v/>
      </c>
      <c r="C1666" s="4" t="str">
        <f>IFERROR(VLOOKUP(A1666,Colaboradores!A:D,3,),"")</f>
        <v/>
      </c>
      <c r="D1666" s="4" t="str">
        <f>IFERROR(VLOOKUP(A1666,Colaboradores!A:D,4,),"")</f>
        <v/>
      </c>
      <c r="E1666" s="4" t="s">
        <v>25</v>
      </c>
      <c r="F1666" s="5" t="str">
        <f>IFERROR(VLOOKUP(E1666,Procedimentos!A:C,2,),"")</f>
        <v>GARANTIA DA QUALIDADE</v>
      </c>
      <c r="G1666" s="4" t="s">
        <v>22</v>
      </c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 spans="1:26" ht="14.25" customHeight="1">
      <c r="A1667" s="4">
        <v>14873</v>
      </c>
      <c r="B1667" s="4" t="str">
        <f>IFERROR(VLOOKUP(A1667,Colaboradores!A:D,2,),"")</f>
        <v/>
      </c>
      <c r="C1667" s="4" t="str">
        <f>IFERROR(VLOOKUP(A1667,Colaboradores!A:D,3,),"")</f>
        <v/>
      </c>
      <c r="D1667" s="4" t="str">
        <f>IFERROR(VLOOKUP(A1667,Colaboradores!A:D,4,),"")</f>
        <v/>
      </c>
      <c r="E1667" s="4" t="s">
        <v>26</v>
      </c>
      <c r="F1667" s="5" t="str">
        <f>IFERROR(VLOOKUP(E1667,Procedimentos!A:C,2,),"")</f>
        <v>RESPONSABILIDADES E AUTORIDADES DO SGQ</v>
      </c>
      <c r="G1667" s="4" t="s">
        <v>22</v>
      </c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 spans="1:26" ht="14.25" customHeight="1">
      <c r="A1668" s="4">
        <v>14873</v>
      </c>
      <c r="B1668" s="4" t="str">
        <f>IFERROR(VLOOKUP(A1668,Colaboradores!A:D,2,),"")</f>
        <v/>
      </c>
      <c r="C1668" s="4" t="str">
        <f>IFERROR(VLOOKUP(A1668,Colaboradores!A:D,3,),"")</f>
        <v/>
      </c>
      <c r="D1668" s="4" t="str">
        <f>IFERROR(VLOOKUP(A1668,Colaboradores!A:D,4,),"")</f>
        <v/>
      </c>
      <c r="E1668" s="4" t="s">
        <v>73</v>
      </c>
      <c r="F1668" s="5" t="str">
        <f>IFERROR(VLOOKUP(E1668,Procedimentos!A:C,2,),"")</f>
        <v>AQUISIÇÃO DE BENS E SERVIÇOS E AVALIAÇÃO PROVEDORES EXTERNOS</v>
      </c>
      <c r="G1668" s="4" t="s">
        <v>22</v>
      </c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 spans="1:26" ht="14.25" customHeight="1">
      <c r="A1669" s="4">
        <v>14873</v>
      </c>
      <c r="B1669" s="4" t="str">
        <f>IFERROR(VLOOKUP(A1669,Colaboradores!A:D,2,),"")</f>
        <v/>
      </c>
      <c r="C1669" s="4" t="str">
        <f>IFERROR(VLOOKUP(A1669,Colaboradores!A:D,3,),"")</f>
        <v/>
      </c>
      <c r="D1669" s="4" t="str">
        <f>IFERROR(VLOOKUP(A1669,Colaboradores!A:D,4,),"")</f>
        <v/>
      </c>
      <c r="E1669" s="4" t="s">
        <v>48</v>
      </c>
      <c r="F1669" s="5" t="str">
        <f>IFERROR(VLOOKUP(E1669,Procedimentos!A:C,2,),"")</f>
        <v>POLÍTICA MEIO AMBIENTE EMSERH</v>
      </c>
      <c r="G1669" s="4" t="s">
        <v>22</v>
      </c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 spans="1:26" ht="14.25" customHeight="1">
      <c r="A1670" s="4">
        <v>14873</v>
      </c>
      <c r="B1670" s="4" t="str">
        <f>IFERROR(VLOOKUP(A1670,Colaboradores!A:D,2,),"")</f>
        <v/>
      </c>
      <c r="C1670" s="4" t="str">
        <f>IFERROR(VLOOKUP(A1670,Colaboradores!A:D,3,),"")</f>
        <v/>
      </c>
      <c r="D1670" s="4" t="str">
        <f>IFERROR(VLOOKUP(A1670,Colaboradores!A:D,4,),"")</f>
        <v/>
      </c>
      <c r="E1670" s="4" t="s">
        <v>29</v>
      </c>
      <c r="F1670" s="5" t="str">
        <f>IFERROR(VLOOKUP(E1670,Procedimentos!A:C,2,),"")</f>
        <v>COLETA SELETIVA DESSMA</v>
      </c>
      <c r="G1670" s="4" t="s">
        <v>22</v>
      </c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 spans="1:26" ht="14.25" customHeight="1">
      <c r="A1671" s="4">
        <v>14873</v>
      </c>
      <c r="B1671" s="4" t="str">
        <f>IFERROR(VLOOKUP(A1671,Colaboradores!A:D,2,),"")</f>
        <v/>
      </c>
      <c r="C1671" s="4" t="str">
        <f>IFERROR(VLOOKUP(A1671,Colaboradores!A:D,3,),"")</f>
        <v/>
      </c>
      <c r="D1671" s="4" t="str">
        <f>IFERROR(VLOOKUP(A1671,Colaboradores!A:D,4,),"")</f>
        <v/>
      </c>
      <c r="E1671" s="4" t="s">
        <v>36</v>
      </c>
      <c r="F1671" s="5" t="str">
        <f>IFERROR(VLOOKUP(E1671,Procedimentos!A:C,2,),"")</f>
        <v>GESTÃO DE PRODUTOS QUÍMICOS</v>
      </c>
      <c r="G1671" s="4" t="s">
        <v>22</v>
      </c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 spans="1:26" ht="14.25" customHeight="1">
      <c r="A1672" s="4">
        <v>14873</v>
      </c>
      <c r="B1672" s="4" t="str">
        <f>IFERROR(VLOOKUP(A1672,Colaboradores!A:D,2,),"")</f>
        <v/>
      </c>
      <c r="C1672" s="4" t="str">
        <f>IFERROR(VLOOKUP(A1672,Colaboradores!A:D,3,),"")</f>
        <v/>
      </c>
      <c r="D1672" s="4" t="str">
        <f>IFERROR(VLOOKUP(A1672,Colaboradores!A:D,4,),"")</f>
        <v/>
      </c>
      <c r="E1672" s="4" t="s">
        <v>32</v>
      </c>
      <c r="F1672" s="5" t="str">
        <f>IFERROR(VLOOKUP(E1672,Procedimentos!A:C,2,),"")</f>
        <v>GESTÃO DE LEVANTAMENTO DE ASPECTOS E IMPACTOS AMBIENTAIS</v>
      </c>
      <c r="G1672" s="4" t="s">
        <v>22</v>
      </c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 spans="1:26" ht="14.25" customHeight="1">
      <c r="A1673" s="4">
        <v>14873</v>
      </c>
      <c r="B1673" s="4" t="str">
        <f>IFERROR(VLOOKUP(A1673,Colaboradores!A:D,2,),"")</f>
        <v/>
      </c>
      <c r="C1673" s="4" t="str">
        <f>IFERROR(VLOOKUP(A1673,Colaboradores!A:D,3,),"")</f>
        <v/>
      </c>
      <c r="D1673" s="4" t="str">
        <f>IFERROR(VLOOKUP(A1673,Colaboradores!A:D,4,),"")</f>
        <v/>
      </c>
      <c r="E1673" s="4" t="s">
        <v>31</v>
      </c>
      <c r="F1673" s="5" t="str">
        <f>IFERROR(VLOOKUP(E1673,Procedimentos!A:C,2,),"")</f>
        <v>GESTÃO DE COMUNICAÇÃO, CLASSIFICAÇÃO E INVESTIGAÇÃO DE OCORRÊNCIAS AMBIENTAIS</v>
      </c>
      <c r="G1673" s="4" t="s">
        <v>22</v>
      </c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 spans="1:26" ht="14.25" customHeight="1">
      <c r="A1674" s="4">
        <v>14873</v>
      </c>
      <c r="B1674" s="4" t="str">
        <f>IFERROR(VLOOKUP(A1674,Colaboradores!A:D,2,),"")</f>
        <v/>
      </c>
      <c r="C1674" s="4" t="str">
        <f>IFERROR(VLOOKUP(A1674,Colaboradores!A:D,3,),"")</f>
        <v/>
      </c>
      <c r="D1674" s="4" t="str">
        <f>IFERROR(VLOOKUP(A1674,Colaboradores!A:D,4,),"")</f>
        <v/>
      </c>
      <c r="E1674" s="4" t="s">
        <v>33</v>
      </c>
      <c r="F1674" s="5" t="str">
        <f>IFERROR(VLOOKUP(E1674,Procedimentos!A:C,2,),"")</f>
        <v>GESTÃO DE INSPEÇÕES AMBIENTAIS</v>
      </c>
      <c r="G1674" s="4" t="s">
        <v>22</v>
      </c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 spans="1:26" ht="14.25" customHeight="1">
      <c r="A1675" s="4">
        <v>14873</v>
      </c>
      <c r="B1675" s="4" t="str">
        <f>IFERROR(VLOOKUP(A1675,Colaboradores!A:D,2,),"")</f>
        <v/>
      </c>
      <c r="C1675" s="4" t="str">
        <f>IFERROR(VLOOKUP(A1675,Colaboradores!A:D,3,),"")</f>
        <v/>
      </c>
      <c r="D1675" s="4" t="str">
        <f>IFERROR(VLOOKUP(A1675,Colaboradores!A:D,4,),"")</f>
        <v/>
      </c>
      <c r="E1675" s="4" t="s">
        <v>49</v>
      </c>
      <c r="F1675" s="5" t="str">
        <f>IFERROR(VLOOKUP(E1675,Procedimentos!A:C,2,),"")</f>
        <v>DIRETRIZES PARA REALIZAÇÃO DE EXAMES OCUPACIONAIS</v>
      </c>
      <c r="G1675" s="4" t="s">
        <v>22</v>
      </c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 spans="1:26" ht="14.25" customHeight="1">
      <c r="A1676" s="4">
        <v>14873</v>
      </c>
      <c r="B1676" s="4" t="str">
        <f>IFERROR(VLOOKUP(A1676,Colaboradores!A:D,2,),"")</f>
        <v/>
      </c>
      <c r="C1676" s="4" t="str">
        <f>IFERROR(VLOOKUP(A1676,Colaboradores!A:D,3,),"")</f>
        <v/>
      </c>
      <c r="D1676" s="4" t="str">
        <f>IFERROR(VLOOKUP(A1676,Colaboradores!A:D,4,),"")</f>
        <v/>
      </c>
      <c r="E1676" s="4" t="s">
        <v>51</v>
      </c>
      <c r="F1676" s="5" t="str">
        <f>IFERROR(VLOOKUP(E1676,Procedimentos!A:C,2,),"")</f>
        <v>DIRETRIZES PARA ENTREGA DE ATESTADOS MÉDICOS E ODONTOLÓGICOS</v>
      </c>
      <c r="G1676" s="4" t="s">
        <v>22</v>
      </c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 spans="1:26" ht="14.25" customHeight="1">
      <c r="A1677" s="4">
        <v>14873</v>
      </c>
      <c r="B1677" s="4" t="str">
        <f>IFERROR(VLOOKUP(A1677,Colaboradores!A:D,2,),"")</f>
        <v/>
      </c>
      <c r="C1677" s="4" t="str">
        <f>IFERROR(VLOOKUP(A1677,Colaboradores!A:D,3,),"")</f>
        <v/>
      </c>
      <c r="D1677" s="4" t="str">
        <f>IFERROR(VLOOKUP(A1677,Colaboradores!A:D,4,),"")</f>
        <v/>
      </c>
      <c r="E1677" s="4" t="s">
        <v>52</v>
      </c>
      <c r="F1677" s="5" t="str">
        <f>IFERROR(VLOOKUP(E1677,Procedimentos!A:C,2,),"")</f>
        <v>DIRETRIZES E ACOMPANHAMENTO  DE ACIDENTE COM MATERIAL BIOLOGICO</v>
      </c>
      <c r="G1677" s="4" t="s">
        <v>22</v>
      </c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 spans="1:26" ht="14.25" customHeight="1">
      <c r="A1678" s="4">
        <v>14873</v>
      </c>
      <c r="B1678" s="4" t="str">
        <f>IFERROR(VLOOKUP(A1678,Colaboradores!A:D,2,),"")</f>
        <v/>
      </c>
      <c r="C1678" s="4" t="str">
        <f>IFERROR(VLOOKUP(A1678,Colaboradores!A:D,3,),"")</f>
        <v/>
      </c>
      <c r="D1678" s="4" t="str">
        <f>IFERROR(VLOOKUP(A1678,Colaboradores!A:D,4,),"")</f>
        <v/>
      </c>
      <c r="E1678" s="4" t="s">
        <v>53</v>
      </c>
      <c r="F1678" s="5" t="str">
        <f>IFERROR(VLOOKUP(E1678,Procedimentos!A:C,2,),"")</f>
        <v>DIRETRIZES PARA MONITORAMENTO DE GESTANTE</v>
      </c>
      <c r="G1678" s="4" t="s">
        <v>22</v>
      </c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 spans="1:26" ht="14.25" customHeight="1">
      <c r="A1679" s="4">
        <v>14873</v>
      </c>
      <c r="B1679" s="4" t="str">
        <f>IFERROR(VLOOKUP(A1679,Colaboradores!A:D,2,),"")</f>
        <v/>
      </c>
      <c r="C1679" s="4" t="str">
        <f>IFERROR(VLOOKUP(A1679,Colaboradores!A:D,3,),"")</f>
        <v/>
      </c>
      <c r="D1679" s="4" t="str">
        <f>IFERROR(VLOOKUP(A1679,Colaboradores!A:D,4,),"")</f>
        <v/>
      </c>
      <c r="E1679" s="4" t="s">
        <v>54</v>
      </c>
      <c r="F1679" s="5" t="str">
        <f>IFERROR(VLOOKUP(E1679,Procedimentos!A:C,2,),"")</f>
        <v>DIRETRIZES DE IMUNIZAÇÃO OCUPACIONAL</v>
      </c>
      <c r="G1679" s="4" t="s">
        <v>22</v>
      </c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 spans="1:26" ht="14.25" customHeight="1">
      <c r="A1680" s="4">
        <v>14873</v>
      </c>
      <c r="B1680" s="4" t="str">
        <f>IFERROR(VLOOKUP(A1680,Colaboradores!A:D,2,),"")</f>
        <v/>
      </c>
      <c r="C1680" s="4" t="str">
        <f>IFERROR(VLOOKUP(A1680,Colaboradores!A:D,3,),"")</f>
        <v/>
      </c>
      <c r="D1680" s="4" t="str">
        <f>IFERROR(VLOOKUP(A1680,Colaboradores!A:D,4,),"")</f>
        <v/>
      </c>
      <c r="E1680" s="4" t="s">
        <v>55</v>
      </c>
      <c r="F1680" s="5" t="str">
        <f>IFERROR(VLOOKUP(E1680,Procedimentos!A:C,2,),"")</f>
        <v>DIRETRIZES PARA ACOMPANHAMENTO DE AFASTADOS</v>
      </c>
      <c r="G1680" s="4" t="s">
        <v>22</v>
      </c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 spans="1:26" ht="14.25" customHeight="1">
      <c r="A1681" s="4">
        <v>14873</v>
      </c>
      <c r="B1681" s="4" t="str">
        <f>IFERROR(VLOOKUP(A1681,Colaboradores!A:D,2,),"")</f>
        <v/>
      </c>
      <c r="C1681" s="4" t="str">
        <f>IFERROR(VLOOKUP(A1681,Colaboradores!A:D,3,),"")</f>
        <v/>
      </c>
      <c r="D1681" s="4" t="str">
        <f>IFERROR(VLOOKUP(A1681,Colaboradores!A:D,4,),"")</f>
        <v/>
      </c>
      <c r="E1681" s="4" t="s">
        <v>46</v>
      </c>
      <c r="F1681" s="5" t="str">
        <f>IFERROR(VLOOKUP(E1681,Procedimentos!A:C,2,),"")</f>
        <v>POLÍTICA DE SAÚDE E SEGURANÇA DO TRABALHO EMSERH</v>
      </c>
      <c r="G1681" s="4" t="s">
        <v>22</v>
      </c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 spans="1:26" ht="14.25" customHeight="1">
      <c r="A1682" s="4">
        <v>14873</v>
      </c>
      <c r="B1682" s="4" t="str">
        <f>IFERROR(VLOOKUP(A1682,Colaboradores!A:D,2,),"")</f>
        <v/>
      </c>
      <c r="C1682" s="4" t="str">
        <f>IFERROR(VLOOKUP(A1682,Colaboradores!A:D,3,),"")</f>
        <v/>
      </c>
      <c r="D1682" s="4" t="str">
        <f>IFERROR(VLOOKUP(A1682,Colaboradores!A:D,4,),"")</f>
        <v/>
      </c>
      <c r="E1682" s="4" t="s">
        <v>41</v>
      </c>
      <c r="F1682" s="5" t="str">
        <f>IFERROR(VLOOKUP(E1682,Procedimentos!A:C,2,),"")</f>
        <v>DIRETRIZES PARA COMUNICAÇÃO E INVESTIGAÇÃO DE ACIDENTES</v>
      </c>
      <c r="G1682" s="4" t="s">
        <v>22</v>
      </c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 spans="1:26" ht="14.25" customHeight="1">
      <c r="A1683" s="4">
        <v>14873</v>
      </c>
      <c r="B1683" s="4" t="str">
        <f>IFERROR(VLOOKUP(A1683,Colaboradores!A:D,2,),"")</f>
        <v/>
      </c>
      <c r="C1683" s="4" t="str">
        <f>IFERROR(VLOOKUP(A1683,Colaboradores!A:D,3,),"")</f>
        <v/>
      </c>
      <c r="D1683" s="4" t="str">
        <f>IFERROR(VLOOKUP(A1683,Colaboradores!A:D,4,),"")</f>
        <v/>
      </c>
      <c r="E1683" s="4" t="s">
        <v>43</v>
      </c>
      <c r="F1683" s="5" t="str">
        <f>IFERROR(VLOOKUP(E1683,Procedimentos!A:C,2,),"")</f>
        <v>DIÁLOGO DE SAÚDE E SEGURANÇA - DSS</v>
      </c>
      <c r="G1683" s="4" t="s">
        <v>22</v>
      </c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 spans="1:26" ht="14.25" customHeight="1">
      <c r="A1684" s="4">
        <v>14873</v>
      </c>
      <c r="B1684" s="4" t="str">
        <f>IFERROR(VLOOKUP(A1684,Colaboradores!A:D,2,),"")</f>
        <v/>
      </c>
      <c r="C1684" s="4" t="str">
        <f>IFERROR(VLOOKUP(A1684,Colaboradores!A:D,3,),"")</f>
        <v/>
      </c>
      <c r="D1684" s="4" t="str">
        <f>IFERROR(VLOOKUP(A1684,Colaboradores!A:D,4,),"")</f>
        <v/>
      </c>
      <c r="E1684" s="4" t="s">
        <v>44</v>
      </c>
      <c r="F1684" s="5" t="str">
        <f>IFERROR(VLOOKUP(E1684,Procedimentos!A:C,2,),"")</f>
        <v>DIRETRIZES PARA GESTÃO DE EQUIPAMENTOS DE PROTEÇÃO INDIVIDUAL - EPI'S</v>
      </c>
      <c r="G1684" s="4" t="s">
        <v>22</v>
      </c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 spans="1:26" ht="14.25" customHeight="1">
      <c r="A1685" s="4">
        <v>14873</v>
      </c>
      <c r="B1685" s="4" t="str">
        <f>IFERROR(VLOOKUP(A1685,Colaboradores!A:D,2,),"")</f>
        <v/>
      </c>
      <c r="C1685" s="4" t="str">
        <f>IFERROR(VLOOKUP(A1685,Colaboradores!A:D,3,),"")</f>
        <v/>
      </c>
      <c r="D1685" s="4" t="str">
        <f>IFERROR(VLOOKUP(A1685,Colaboradores!A:D,4,),"")</f>
        <v/>
      </c>
      <c r="E1685" s="4" t="s">
        <v>45</v>
      </c>
      <c r="F1685" s="5" t="str">
        <f>IFERROR(VLOOKUP(E1685,Procedimentos!A:C,2,),"")</f>
        <v>CONSTITUIÇÃO INTERNA DE PREVENÇÃO DE ACIDENTES E DE ASSÉDIOS - CIPA</v>
      </c>
      <c r="G1685" s="4" t="s">
        <v>22</v>
      </c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 spans="1:26" ht="14.25" customHeight="1">
      <c r="A1686" s="4">
        <v>13584</v>
      </c>
      <c r="B1686" s="4" t="str">
        <f>IFERROR(VLOOKUP(A1686,Colaboradores!A:D,2,),"")</f>
        <v>ALANA RODRIGUES FERREIRA</v>
      </c>
      <c r="C1686" s="4" t="str">
        <f>IFERROR(VLOOKUP(A1686,Colaboradores!A:D,3,),"")</f>
        <v>REGIONAL LESTE</v>
      </c>
      <c r="D1686" s="4" t="str">
        <f>IFERROR(VLOOKUP(A1686,Colaboradores!A:D,4,),"")</f>
        <v>COORDENADOR DE SSMA</v>
      </c>
      <c r="E1686" s="4" t="s">
        <v>90</v>
      </c>
      <c r="F1686" s="5" t="str">
        <f>IFERROR(VLOOKUP(E1686,Procedimentos!A:C,2,),"")</f>
        <v>PROCEDIMENTO DE ATENDIMENTO DA NUTRIÇÃO</v>
      </c>
      <c r="G1686" s="4" t="s">
        <v>28</v>
      </c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 spans="1:26" ht="14.25" customHeight="1">
      <c r="A1687" s="4">
        <v>13584</v>
      </c>
      <c r="B1687" s="4" t="str">
        <f>IFERROR(VLOOKUP(A1687,Colaboradores!A:D,2,),"")</f>
        <v>ALANA RODRIGUES FERREIRA</v>
      </c>
      <c r="C1687" s="4" t="str">
        <f>IFERROR(VLOOKUP(A1687,Colaboradores!A:D,3,),"")</f>
        <v>REGIONAL LESTE</v>
      </c>
      <c r="D1687" s="4" t="str">
        <f>IFERROR(VLOOKUP(A1687,Colaboradores!A:D,4,),"")</f>
        <v>COORDENADOR DE SSMA</v>
      </c>
      <c r="E1687" s="4" t="s">
        <v>91</v>
      </c>
      <c r="F1687" s="5" t="str">
        <f>IFERROR(VLOOKUP(E1687,Procedimentos!A:C,2,),"")</f>
        <v>PROCEDIMENTO PARA ATENDIMENTO SOCIAL</v>
      </c>
      <c r="G1687" s="4" t="s">
        <v>28</v>
      </c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 spans="1:26" ht="14.25" customHeight="1">
      <c r="A1688" s="4">
        <v>13584</v>
      </c>
      <c r="B1688" s="4" t="str">
        <f>IFERROR(VLOOKUP(A1688,Colaboradores!A:D,2,),"")</f>
        <v>ALANA RODRIGUES FERREIRA</v>
      </c>
      <c r="C1688" s="4" t="str">
        <f>IFERROR(VLOOKUP(A1688,Colaboradores!A:D,3,),"")</f>
        <v>REGIONAL LESTE</v>
      </c>
      <c r="D1688" s="4" t="str">
        <f>IFERROR(VLOOKUP(A1688,Colaboradores!A:D,4,),"")</f>
        <v>COORDENADOR DE SSMA</v>
      </c>
      <c r="E1688" s="4" t="s">
        <v>92</v>
      </c>
      <c r="F1688" s="5" t="str">
        <f>IFERROR(VLOOKUP(E1688,Procedimentos!A:C,2,),"")</f>
        <v>PROCEDIMENTO PARA GESTÃO DE PRONTUÁRIO</v>
      </c>
      <c r="G1688" s="4" t="s">
        <v>28</v>
      </c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 spans="1:26" ht="14.25" customHeight="1">
      <c r="A1689" s="4">
        <v>13584</v>
      </c>
      <c r="B1689" s="4" t="str">
        <f>IFERROR(VLOOKUP(A1689,Colaboradores!A:D,2,),"")</f>
        <v>ALANA RODRIGUES FERREIRA</v>
      </c>
      <c r="C1689" s="4" t="str">
        <f>IFERROR(VLOOKUP(A1689,Colaboradores!A:D,3,),"")</f>
        <v>REGIONAL LESTE</v>
      </c>
      <c r="D1689" s="4" t="str">
        <f>IFERROR(VLOOKUP(A1689,Colaboradores!A:D,4,),"")</f>
        <v>COORDENADOR DE SSMA</v>
      </c>
      <c r="E1689" s="4" t="s">
        <v>334</v>
      </c>
      <c r="F1689" s="5" t="str">
        <f>IFERROR(VLOOKUP(E1689,Procedimentos!A:C,2,),"")</f>
        <v/>
      </c>
      <c r="G1689" s="4" t="s">
        <v>28</v>
      </c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 spans="1:26" ht="14.25" customHeight="1">
      <c r="A1690" s="4">
        <v>12330</v>
      </c>
      <c r="B1690" s="4" t="str">
        <f>IFERROR(VLOOKUP(A1690,Colaboradores!A:D,2,),"")</f>
        <v>BIANCA GUEDES SILVA ALMEIDA</v>
      </c>
      <c r="C1690" s="4" t="str">
        <f>IFERROR(VLOOKUP(A1690,Colaboradores!A:D,3,),"")</f>
        <v>SAÚDE OCUPACIONAL</v>
      </c>
      <c r="D1690" s="4" t="str">
        <f>IFERROR(VLOOKUP(A1690,Colaboradores!A:D,4,),"")</f>
        <v>NUTRICIONISTA</v>
      </c>
      <c r="E1690" s="4" t="s">
        <v>90</v>
      </c>
      <c r="F1690" s="5" t="str">
        <f>IFERROR(VLOOKUP(E1690,Procedimentos!A:C,2,),"")</f>
        <v>PROCEDIMENTO DE ATENDIMENTO DA NUTRIÇÃO</v>
      </c>
      <c r="G1690" s="4" t="s">
        <v>22</v>
      </c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 spans="1:26" ht="14.25" customHeight="1">
      <c r="A1691" s="4">
        <v>12330</v>
      </c>
      <c r="B1691" s="4" t="str">
        <f>IFERROR(VLOOKUP(A1691,Colaboradores!A:D,2,),"")</f>
        <v>BIANCA GUEDES SILVA ALMEIDA</v>
      </c>
      <c r="C1691" s="4" t="str">
        <f>IFERROR(VLOOKUP(A1691,Colaboradores!A:D,3,),"")</f>
        <v>SAÚDE OCUPACIONAL</v>
      </c>
      <c r="D1691" s="4" t="str">
        <f>IFERROR(VLOOKUP(A1691,Colaboradores!A:D,4,),"")</f>
        <v>NUTRICIONISTA</v>
      </c>
      <c r="E1691" s="4" t="s">
        <v>91</v>
      </c>
      <c r="F1691" s="5" t="str">
        <f>IFERROR(VLOOKUP(E1691,Procedimentos!A:C,2,),"")</f>
        <v>PROCEDIMENTO PARA ATENDIMENTO SOCIAL</v>
      </c>
      <c r="G1691" s="4" t="s">
        <v>22</v>
      </c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 spans="1:26" ht="14.25" customHeight="1">
      <c r="A1692" s="4">
        <v>12330</v>
      </c>
      <c r="B1692" s="4" t="str">
        <f>IFERROR(VLOOKUP(A1692,Colaboradores!A:D,2,),"")</f>
        <v>BIANCA GUEDES SILVA ALMEIDA</v>
      </c>
      <c r="C1692" s="4" t="str">
        <f>IFERROR(VLOOKUP(A1692,Colaboradores!A:D,3,),"")</f>
        <v>SAÚDE OCUPACIONAL</v>
      </c>
      <c r="D1692" s="4" t="str">
        <f>IFERROR(VLOOKUP(A1692,Colaboradores!A:D,4,),"")</f>
        <v>NUTRICIONISTA</v>
      </c>
      <c r="E1692" s="4" t="s">
        <v>92</v>
      </c>
      <c r="F1692" s="5" t="str">
        <f>IFERROR(VLOOKUP(E1692,Procedimentos!A:C,2,),"")</f>
        <v>PROCEDIMENTO PARA GESTÃO DE PRONTUÁRIO</v>
      </c>
      <c r="G1692" s="4" t="s">
        <v>22</v>
      </c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 spans="1:26" ht="14.25" customHeight="1">
      <c r="A1693" s="4">
        <v>12330</v>
      </c>
      <c r="B1693" s="4" t="str">
        <f>IFERROR(VLOOKUP(A1693,Colaboradores!A:D,2,),"")</f>
        <v>BIANCA GUEDES SILVA ALMEIDA</v>
      </c>
      <c r="C1693" s="4" t="str">
        <f>IFERROR(VLOOKUP(A1693,Colaboradores!A:D,3,),"")</f>
        <v>SAÚDE OCUPACIONAL</v>
      </c>
      <c r="D1693" s="4" t="str">
        <f>IFERROR(VLOOKUP(A1693,Colaboradores!A:D,4,),"")</f>
        <v>NUTRICIONISTA</v>
      </c>
      <c r="E1693" s="4" t="s">
        <v>334</v>
      </c>
      <c r="F1693" s="5" t="str">
        <f>IFERROR(VLOOKUP(E1693,Procedimentos!A:C,2,),"")</f>
        <v/>
      </c>
      <c r="G1693" s="4" t="s">
        <v>22</v>
      </c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 spans="1:26" ht="14.25" customHeight="1">
      <c r="A1694" s="4">
        <v>12330</v>
      </c>
      <c r="B1694" s="4" t="str">
        <f>IFERROR(VLOOKUP(A1694,Colaboradores!A:D,2,),"")</f>
        <v>BIANCA GUEDES SILVA ALMEIDA</v>
      </c>
      <c r="C1694" s="4" t="str">
        <f>IFERROR(VLOOKUP(A1694,Colaboradores!A:D,3,),"")</f>
        <v>SAÚDE OCUPACIONAL</v>
      </c>
      <c r="D1694" s="4" t="str">
        <f>IFERROR(VLOOKUP(A1694,Colaboradores!A:D,4,),"")</f>
        <v>NUTRICIONISTA</v>
      </c>
      <c r="E1694" s="4" t="s">
        <v>93</v>
      </c>
      <c r="F1694" s="5" t="str">
        <f>IFERROR(VLOOKUP(E1694,Procedimentos!A:C,2,),"")</f>
        <v>ATENDIMENTO PSICOLÓGICO EM FOLLOW UP NO ESPAÇO CUIDAR</v>
      </c>
      <c r="G1694" s="4" t="s">
        <v>22</v>
      </c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 spans="1:26" ht="14.25" customHeight="1">
      <c r="A1695" s="4">
        <v>3109</v>
      </c>
      <c r="B1695" s="4" t="str">
        <f>IFERROR(VLOOKUP(A1695,Colaboradores!A:D,2,),"")</f>
        <v>BRUNO ARRUDA DE AMORIM OLIVEIRA</v>
      </c>
      <c r="C1695" s="4" t="str">
        <f>IFERROR(VLOOKUP(A1695,Colaboradores!A:D,3,),"")</f>
        <v>SAÚDE OCUPACIONAL</v>
      </c>
      <c r="D1695" s="4" t="str">
        <f>IFERROR(VLOOKUP(A1695,Colaboradores!A:D,4,),"")</f>
        <v>MÉDICO DO TRABALHO</v>
      </c>
      <c r="E1695" s="4" t="s">
        <v>92</v>
      </c>
      <c r="F1695" s="5" t="str">
        <f>IFERROR(VLOOKUP(E1695,Procedimentos!A:C,2,),"")</f>
        <v>PROCEDIMENTO PARA GESTÃO DE PRONTUÁRIO</v>
      </c>
      <c r="G1695" s="4" t="s">
        <v>22</v>
      </c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 spans="1:26" ht="14.25" customHeight="1">
      <c r="A1696" s="4">
        <v>3109</v>
      </c>
      <c r="B1696" s="4" t="str">
        <f>IFERROR(VLOOKUP(A1696,Colaboradores!A:D,2,),"")</f>
        <v>BRUNO ARRUDA DE AMORIM OLIVEIRA</v>
      </c>
      <c r="C1696" s="4" t="str">
        <f>IFERROR(VLOOKUP(A1696,Colaboradores!A:D,3,),"")</f>
        <v>SAÚDE OCUPACIONAL</v>
      </c>
      <c r="D1696" s="4" t="str">
        <f>IFERROR(VLOOKUP(A1696,Colaboradores!A:D,4,),"")</f>
        <v>MÉDICO DO TRABALHO</v>
      </c>
      <c r="E1696" s="4" t="s">
        <v>334</v>
      </c>
      <c r="F1696" s="5" t="str">
        <f>IFERROR(VLOOKUP(E1696,Procedimentos!A:C,2,),"")</f>
        <v/>
      </c>
      <c r="G1696" s="4" t="s">
        <v>22</v>
      </c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 spans="1:26" ht="14.25" customHeight="1">
      <c r="A1697" s="4">
        <v>13794</v>
      </c>
      <c r="B1697" s="4" t="str">
        <f>IFERROR(VLOOKUP(A1697,Colaboradores!A:D,2,),"")</f>
        <v>ERMANDO VIEIRA DE MOURA NETO</v>
      </c>
      <c r="C1697" s="4" t="str">
        <f>IFERROR(VLOOKUP(A1697,Colaboradores!A:D,3,),"")</f>
        <v>REGIONAL LESTE</v>
      </c>
      <c r="D1697" s="4" t="str">
        <f>IFERROR(VLOOKUP(A1697,Colaboradores!A:D,4,),"")</f>
        <v>MÉDICO DO TRABALHO</v>
      </c>
      <c r="E1697" s="4" t="s">
        <v>92</v>
      </c>
      <c r="F1697" s="5" t="str">
        <f>IFERROR(VLOOKUP(E1697,Procedimentos!A:C,2,),"")</f>
        <v>PROCEDIMENTO PARA GESTÃO DE PRONTUÁRIO</v>
      </c>
      <c r="G1697" s="4" t="s">
        <v>28</v>
      </c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 spans="1:26" ht="14.25" customHeight="1">
      <c r="A1698" s="4">
        <v>13794</v>
      </c>
      <c r="B1698" s="4" t="str">
        <f>IFERROR(VLOOKUP(A1698,Colaboradores!A:D,2,),"")</f>
        <v>ERMANDO VIEIRA DE MOURA NETO</v>
      </c>
      <c r="C1698" s="4" t="str">
        <f>IFERROR(VLOOKUP(A1698,Colaboradores!A:D,3,),"")</f>
        <v>REGIONAL LESTE</v>
      </c>
      <c r="D1698" s="4" t="str">
        <f>IFERROR(VLOOKUP(A1698,Colaboradores!A:D,4,),"")</f>
        <v>MÉDICO DO TRABALHO</v>
      </c>
      <c r="E1698" s="4" t="s">
        <v>334</v>
      </c>
      <c r="F1698" s="5" t="str">
        <f>IFERROR(VLOOKUP(E1698,Procedimentos!A:C,2,),"")</f>
        <v/>
      </c>
      <c r="G1698" s="4" t="s">
        <v>28</v>
      </c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 spans="1:26" ht="14.25" customHeight="1">
      <c r="A1699" s="4">
        <v>13964</v>
      </c>
      <c r="B1699" s="4" t="str">
        <f>IFERROR(VLOOKUP(A1699,Colaboradores!A:D,2,),"")</f>
        <v>ESTER MOREIRA AMBROSIO DE CARVALHO</v>
      </c>
      <c r="C1699" s="4" t="str">
        <f>IFERROR(VLOOKUP(A1699,Colaboradores!A:D,3,),"")</f>
        <v>REGIONAL SUL</v>
      </c>
      <c r="D1699" s="4" t="str">
        <f>IFERROR(VLOOKUP(A1699,Colaboradores!A:D,4,),"")</f>
        <v>ENFERMEIRO DO TRABALHO</v>
      </c>
      <c r="E1699" s="4" t="s">
        <v>90</v>
      </c>
      <c r="F1699" s="5" t="str">
        <f>IFERROR(VLOOKUP(E1699,Procedimentos!A:C,2,),"")</f>
        <v>PROCEDIMENTO DE ATENDIMENTO DA NUTRIÇÃO</v>
      </c>
      <c r="G1699" s="4" t="s">
        <v>28</v>
      </c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 spans="1:26" ht="14.25" customHeight="1">
      <c r="A1700" s="4">
        <v>13964</v>
      </c>
      <c r="B1700" s="4" t="str">
        <f>IFERROR(VLOOKUP(A1700,Colaboradores!A:D,2,),"")</f>
        <v>ESTER MOREIRA AMBROSIO DE CARVALHO</v>
      </c>
      <c r="C1700" s="4" t="str">
        <f>IFERROR(VLOOKUP(A1700,Colaboradores!A:D,3,),"")</f>
        <v>REGIONAL SUL</v>
      </c>
      <c r="D1700" s="4" t="str">
        <f>IFERROR(VLOOKUP(A1700,Colaboradores!A:D,4,),"")</f>
        <v>ENFERMEIRO DO TRABALHO</v>
      </c>
      <c r="E1700" s="4" t="s">
        <v>91</v>
      </c>
      <c r="F1700" s="5" t="str">
        <f>IFERROR(VLOOKUP(E1700,Procedimentos!A:C,2,),"")</f>
        <v>PROCEDIMENTO PARA ATENDIMENTO SOCIAL</v>
      </c>
      <c r="G1700" s="4" t="s">
        <v>28</v>
      </c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 spans="1:26" ht="14.25" customHeight="1">
      <c r="A1701" s="4">
        <v>13964</v>
      </c>
      <c r="B1701" s="4" t="str">
        <f>IFERROR(VLOOKUP(A1701,Colaboradores!A:D,2,),"")</f>
        <v>ESTER MOREIRA AMBROSIO DE CARVALHO</v>
      </c>
      <c r="C1701" s="4" t="str">
        <f>IFERROR(VLOOKUP(A1701,Colaboradores!A:D,3,),"")</f>
        <v>REGIONAL SUL</v>
      </c>
      <c r="D1701" s="4" t="str">
        <f>IFERROR(VLOOKUP(A1701,Colaboradores!A:D,4,),"")</f>
        <v>ENFERMEIRO DO TRABALHO</v>
      </c>
      <c r="E1701" s="4" t="s">
        <v>92</v>
      </c>
      <c r="F1701" s="5" t="str">
        <f>IFERROR(VLOOKUP(E1701,Procedimentos!A:C,2,),"")</f>
        <v>PROCEDIMENTO PARA GESTÃO DE PRONTUÁRIO</v>
      </c>
      <c r="G1701" s="4" t="s">
        <v>28</v>
      </c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 spans="1:26" ht="14.25" customHeight="1">
      <c r="A1702" s="4">
        <v>13964</v>
      </c>
      <c r="B1702" s="4" t="str">
        <f>IFERROR(VLOOKUP(A1702,Colaboradores!A:D,2,),"")</f>
        <v>ESTER MOREIRA AMBROSIO DE CARVALHO</v>
      </c>
      <c r="C1702" s="4" t="str">
        <f>IFERROR(VLOOKUP(A1702,Colaboradores!A:D,3,),"")</f>
        <v>REGIONAL SUL</v>
      </c>
      <c r="D1702" s="4" t="str">
        <f>IFERROR(VLOOKUP(A1702,Colaboradores!A:D,4,),"")</f>
        <v>ENFERMEIRO DO TRABALHO</v>
      </c>
      <c r="E1702" s="4" t="s">
        <v>334</v>
      </c>
      <c r="F1702" s="5" t="str">
        <f>IFERROR(VLOOKUP(E1702,Procedimentos!A:C,2,),"")</f>
        <v/>
      </c>
      <c r="G1702" s="4" t="s">
        <v>28</v>
      </c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 spans="1:26" ht="14.25" customHeight="1">
      <c r="A1703" s="4">
        <v>13964</v>
      </c>
      <c r="B1703" s="4" t="str">
        <f>IFERROR(VLOOKUP(A1703,Colaboradores!A:D,2,),"")</f>
        <v>ESTER MOREIRA AMBROSIO DE CARVALHO</v>
      </c>
      <c r="C1703" s="4" t="str">
        <f>IFERROR(VLOOKUP(A1703,Colaboradores!A:D,3,),"")</f>
        <v>REGIONAL SUL</v>
      </c>
      <c r="D1703" s="4" t="str">
        <f>IFERROR(VLOOKUP(A1703,Colaboradores!A:D,4,),"")</f>
        <v>ENFERMEIRO DO TRABALHO</v>
      </c>
      <c r="E1703" s="4" t="s">
        <v>335</v>
      </c>
      <c r="F1703" s="5" t="str">
        <f>IFERROR(VLOOKUP(E1703,Procedimentos!A:C,2,),"")</f>
        <v/>
      </c>
      <c r="G1703" s="4" t="s">
        <v>28</v>
      </c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 spans="1:26" ht="14.25" customHeight="1">
      <c r="A1704" s="4">
        <v>7590</v>
      </c>
      <c r="B1704" s="4" t="str">
        <f>IFERROR(VLOOKUP(A1704,Colaboradores!A:D,2,),"")</f>
        <v>FABIOLA SOUSA MOURA BORGES</v>
      </c>
      <c r="C1704" s="4" t="str">
        <f>IFERROR(VLOOKUP(A1704,Colaboradores!A:D,3,),"")</f>
        <v>SAÚDE OCUPACIONAL</v>
      </c>
      <c r="D1704" s="4" t="str">
        <f>IFERROR(VLOOKUP(A1704,Colaboradores!A:D,4,),"")</f>
        <v>GERENTE DE SAÚDE OCUPACIONAL</v>
      </c>
      <c r="E1704" s="4" t="s">
        <v>90</v>
      </c>
      <c r="F1704" s="5" t="str">
        <f>IFERROR(VLOOKUP(E1704,Procedimentos!A:C,2,),"")</f>
        <v>PROCEDIMENTO DE ATENDIMENTO DA NUTRIÇÃO</v>
      </c>
      <c r="G1704" s="4" t="s">
        <v>22</v>
      </c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 spans="1:26" ht="14.25" customHeight="1">
      <c r="A1705" s="4">
        <v>7590</v>
      </c>
      <c r="B1705" s="4" t="str">
        <f>IFERROR(VLOOKUP(A1705,Colaboradores!A:D,2,),"")</f>
        <v>FABIOLA SOUSA MOURA BORGES</v>
      </c>
      <c r="C1705" s="4" t="str">
        <f>IFERROR(VLOOKUP(A1705,Colaboradores!A:D,3,),"")</f>
        <v>SAÚDE OCUPACIONAL</v>
      </c>
      <c r="D1705" s="4" t="str">
        <f>IFERROR(VLOOKUP(A1705,Colaboradores!A:D,4,),"")</f>
        <v>GERENTE DE SAÚDE OCUPACIONAL</v>
      </c>
      <c r="E1705" s="4" t="s">
        <v>91</v>
      </c>
      <c r="F1705" s="5" t="str">
        <f>IFERROR(VLOOKUP(E1705,Procedimentos!A:C,2,),"")</f>
        <v>PROCEDIMENTO PARA ATENDIMENTO SOCIAL</v>
      </c>
      <c r="G1705" s="4" t="s">
        <v>22</v>
      </c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 spans="1:26" ht="14.25" customHeight="1">
      <c r="A1706" s="4">
        <v>7590</v>
      </c>
      <c r="B1706" s="4" t="str">
        <f>IFERROR(VLOOKUP(A1706,Colaboradores!A:D,2,),"")</f>
        <v>FABIOLA SOUSA MOURA BORGES</v>
      </c>
      <c r="C1706" s="4" t="str">
        <f>IFERROR(VLOOKUP(A1706,Colaboradores!A:D,3,),"")</f>
        <v>SAÚDE OCUPACIONAL</v>
      </c>
      <c r="D1706" s="4" t="str">
        <f>IFERROR(VLOOKUP(A1706,Colaboradores!A:D,4,),"")</f>
        <v>GERENTE DE SAÚDE OCUPACIONAL</v>
      </c>
      <c r="E1706" s="4" t="s">
        <v>92</v>
      </c>
      <c r="F1706" s="5" t="str">
        <f>IFERROR(VLOOKUP(E1706,Procedimentos!A:C,2,),"")</f>
        <v>PROCEDIMENTO PARA GESTÃO DE PRONTUÁRIO</v>
      </c>
      <c r="G1706" s="4" t="s">
        <v>22</v>
      </c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 spans="1:26" ht="14.25" customHeight="1">
      <c r="A1707" s="4">
        <v>7590</v>
      </c>
      <c r="B1707" s="4" t="str">
        <f>IFERROR(VLOOKUP(A1707,Colaboradores!A:D,2,),"")</f>
        <v>FABIOLA SOUSA MOURA BORGES</v>
      </c>
      <c r="C1707" s="4" t="str">
        <f>IFERROR(VLOOKUP(A1707,Colaboradores!A:D,3,),"")</f>
        <v>SAÚDE OCUPACIONAL</v>
      </c>
      <c r="D1707" s="4" t="str">
        <f>IFERROR(VLOOKUP(A1707,Colaboradores!A:D,4,),"")</f>
        <v>GERENTE DE SAÚDE OCUPACIONAL</v>
      </c>
      <c r="E1707" s="4" t="s">
        <v>334</v>
      </c>
      <c r="F1707" s="5" t="str">
        <f>IFERROR(VLOOKUP(E1707,Procedimentos!A:C,2,),"")</f>
        <v/>
      </c>
      <c r="G1707" s="4" t="s">
        <v>22</v>
      </c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 spans="1:26" ht="14.25" customHeight="1">
      <c r="A1708" s="4">
        <v>7590</v>
      </c>
      <c r="B1708" s="4" t="str">
        <f>IFERROR(VLOOKUP(A1708,Colaboradores!A:D,2,),"")</f>
        <v>FABIOLA SOUSA MOURA BORGES</v>
      </c>
      <c r="C1708" s="4" t="str">
        <f>IFERROR(VLOOKUP(A1708,Colaboradores!A:D,3,),"")</f>
        <v>SAÚDE OCUPACIONAL</v>
      </c>
      <c r="D1708" s="4" t="str">
        <f>IFERROR(VLOOKUP(A1708,Colaboradores!A:D,4,),"")</f>
        <v>GERENTE DE SAÚDE OCUPACIONAL</v>
      </c>
      <c r="E1708" s="4" t="s">
        <v>335</v>
      </c>
      <c r="F1708" s="5" t="str">
        <f>IFERROR(VLOOKUP(E1708,Procedimentos!A:C,2,),"")</f>
        <v/>
      </c>
      <c r="G1708" s="4" t="s">
        <v>22</v>
      </c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 spans="1:26" ht="14.25" customHeight="1">
      <c r="A1709" s="4">
        <v>7590</v>
      </c>
      <c r="B1709" s="4" t="str">
        <f>IFERROR(VLOOKUP(A1709,Colaboradores!A:D,2,),"")</f>
        <v>FABIOLA SOUSA MOURA BORGES</v>
      </c>
      <c r="C1709" s="4" t="str">
        <f>IFERROR(VLOOKUP(A1709,Colaboradores!A:D,3,),"")</f>
        <v>SAÚDE OCUPACIONAL</v>
      </c>
      <c r="D1709" s="4" t="str">
        <f>IFERROR(VLOOKUP(A1709,Colaboradores!A:D,4,),"")</f>
        <v>GERENTE DE SAÚDE OCUPACIONAL</v>
      </c>
      <c r="E1709" s="4" t="s">
        <v>93</v>
      </c>
      <c r="F1709" s="5" t="str">
        <f>IFERROR(VLOOKUP(E1709,Procedimentos!A:C,2,),"")</f>
        <v>ATENDIMENTO PSICOLÓGICO EM FOLLOW UP NO ESPAÇO CUIDAR</v>
      </c>
      <c r="G1709" s="4" t="s">
        <v>22</v>
      </c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 spans="1:26" ht="14.25" customHeight="1">
      <c r="A1710" s="4">
        <v>1866</v>
      </c>
      <c r="B1710" s="4" t="str">
        <f>IFERROR(VLOOKUP(A1710,Colaboradores!A:D,2,),"")</f>
        <v>FLAVIA AROUCHE GAMA</v>
      </c>
      <c r="C1710" s="4" t="str">
        <f>IFERROR(VLOOKUP(A1710,Colaboradores!A:D,3,),"")</f>
        <v>SAÚDE OCUPACIONAL</v>
      </c>
      <c r="D1710" s="4" t="str">
        <f>IFERROR(VLOOKUP(A1710,Colaboradores!A:D,4,),"")</f>
        <v>MÉDICO DO TRABALHO</v>
      </c>
      <c r="E1710" s="4" t="s">
        <v>92</v>
      </c>
      <c r="F1710" s="5" t="str">
        <f>IFERROR(VLOOKUP(E1710,Procedimentos!A:C,2,),"")</f>
        <v>PROCEDIMENTO PARA GESTÃO DE PRONTUÁRIO</v>
      </c>
      <c r="G1710" s="4" t="s">
        <v>22</v>
      </c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 spans="1:26" ht="14.25" customHeight="1">
      <c r="A1711" s="4">
        <v>1866</v>
      </c>
      <c r="B1711" s="4" t="str">
        <f>IFERROR(VLOOKUP(A1711,Colaboradores!A:D,2,),"")</f>
        <v>FLAVIA AROUCHE GAMA</v>
      </c>
      <c r="C1711" s="4" t="str">
        <f>IFERROR(VLOOKUP(A1711,Colaboradores!A:D,3,),"")</f>
        <v>SAÚDE OCUPACIONAL</v>
      </c>
      <c r="D1711" s="4" t="str">
        <f>IFERROR(VLOOKUP(A1711,Colaboradores!A:D,4,),"")</f>
        <v>MÉDICO DO TRABALHO</v>
      </c>
      <c r="E1711" s="4" t="s">
        <v>334</v>
      </c>
      <c r="F1711" s="5" t="str">
        <f>IFERROR(VLOOKUP(E1711,Procedimentos!A:C,2,),"")</f>
        <v/>
      </c>
      <c r="G1711" s="4" t="s">
        <v>22</v>
      </c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 spans="1:26" ht="14.25" customHeight="1">
      <c r="A1712" s="4">
        <v>14508</v>
      </c>
      <c r="B1712" s="4" t="str">
        <f>IFERROR(VLOOKUP(A1712,Colaboradores!A:D,2,),"")</f>
        <v>FYAMA SANTOS SILVA</v>
      </c>
      <c r="C1712" s="4" t="str">
        <f>IFERROR(VLOOKUP(A1712,Colaboradores!A:D,3,),"")</f>
        <v>SAÚDE OCUPACIONAL</v>
      </c>
      <c r="D1712" s="4" t="str">
        <f>IFERROR(VLOOKUP(A1712,Colaboradores!A:D,4,),"")</f>
        <v>ASSISTENTE ADMINISTRATIVO</v>
      </c>
      <c r="E1712" s="4" t="s">
        <v>90</v>
      </c>
      <c r="F1712" s="5" t="str">
        <f>IFERROR(VLOOKUP(E1712,Procedimentos!A:C,2,),"")</f>
        <v>PROCEDIMENTO DE ATENDIMENTO DA NUTRIÇÃO</v>
      </c>
      <c r="G1712" s="4" t="s">
        <v>22</v>
      </c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 spans="1:26" ht="14.25" customHeight="1">
      <c r="A1713" s="4">
        <v>14508</v>
      </c>
      <c r="B1713" s="4" t="str">
        <f>IFERROR(VLOOKUP(A1713,Colaboradores!A:D,2,),"")</f>
        <v>FYAMA SANTOS SILVA</v>
      </c>
      <c r="C1713" s="4" t="str">
        <f>IFERROR(VLOOKUP(A1713,Colaboradores!A:D,3,),"")</f>
        <v>SAÚDE OCUPACIONAL</v>
      </c>
      <c r="D1713" s="4" t="str">
        <f>IFERROR(VLOOKUP(A1713,Colaboradores!A:D,4,),"")</f>
        <v>ASSISTENTE ADMINISTRATIVO</v>
      </c>
      <c r="E1713" s="4" t="s">
        <v>91</v>
      </c>
      <c r="F1713" s="5" t="str">
        <f>IFERROR(VLOOKUP(E1713,Procedimentos!A:C,2,),"")</f>
        <v>PROCEDIMENTO PARA ATENDIMENTO SOCIAL</v>
      </c>
      <c r="G1713" s="4" t="s">
        <v>22</v>
      </c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 spans="1:26" ht="14.25" customHeight="1">
      <c r="A1714" s="4">
        <v>14508</v>
      </c>
      <c r="B1714" s="4" t="str">
        <f>IFERROR(VLOOKUP(A1714,Colaboradores!A:D,2,),"")</f>
        <v>FYAMA SANTOS SILVA</v>
      </c>
      <c r="C1714" s="4" t="str">
        <f>IFERROR(VLOOKUP(A1714,Colaboradores!A:D,3,),"")</f>
        <v>SAÚDE OCUPACIONAL</v>
      </c>
      <c r="D1714" s="4" t="str">
        <f>IFERROR(VLOOKUP(A1714,Colaboradores!A:D,4,),"")</f>
        <v>ASSISTENTE ADMINISTRATIVO</v>
      </c>
      <c r="E1714" s="4" t="s">
        <v>92</v>
      </c>
      <c r="F1714" s="5" t="str">
        <f>IFERROR(VLOOKUP(E1714,Procedimentos!A:C,2,),"")</f>
        <v>PROCEDIMENTO PARA GESTÃO DE PRONTUÁRIO</v>
      </c>
      <c r="G1714" s="4" t="s">
        <v>22</v>
      </c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 spans="1:26" ht="14.25" customHeight="1">
      <c r="A1715" s="4">
        <v>14508</v>
      </c>
      <c r="B1715" s="4" t="str">
        <f>IFERROR(VLOOKUP(A1715,Colaboradores!A:D,2,),"")</f>
        <v>FYAMA SANTOS SILVA</v>
      </c>
      <c r="C1715" s="4" t="str">
        <f>IFERROR(VLOOKUP(A1715,Colaboradores!A:D,3,),"")</f>
        <v>SAÚDE OCUPACIONAL</v>
      </c>
      <c r="D1715" s="4" t="str">
        <f>IFERROR(VLOOKUP(A1715,Colaboradores!A:D,4,),"")</f>
        <v>ASSISTENTE ADMINISTRATIVO</v>
      </c>
      <c r="E1715" s="4" t="s">
        <v>334</v>
      </c>
      <c r="F1715" s="5" t="str">
        <f>IFERROR(VLOOKUP(E1715,Procedimentos!A:C,2,),"")</f>
        <v/>
      </c>
      <c r="G1715" s="4" t="s">
        <v>22</v>
      </c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 spans="1:26" ht="14.25" customHeight="1">
      <c r="A1716" s="4">
        <v>14508</v>
      </c>
      <c r="B1716" s="4" t="str">
        <f>IFERROR(VLOOKUP(A1716,Colaboradores!A:D,2,),"")</f>
        <v>FYAMA SANTOS SILVA</v>
      </c>
      <c r="C1716" s="4" t="str">
        <f>IFERROR(VLOOKUP(A1716,Colaboradores!A:D,3,),"")</f>
        <v>SAÚDE OCUPACIONAL</v>
      </c>
      <c r="D1716" s="4" t="str">
        <f>IFERROR(VLOOKUP(A1716,Colaboradores!A:D,4,),"")</f>
        <v>ASSISTENTE ADMINISTRATIVO</v>
      </c>
      <c r="E1716" s="4" t="s">
        <v>335</v>
      </c>
      <c r="F1716" s="5" t="str">
        <f>IFERROR(VLOOKUP(E1716,Procedimentos!A:C,2,),"")</f>
        <v/>
      </c>
      <c r="G1716" s="4" t="s">
        <v>22</v>
      </c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 spans="1:26" ht="14.25" customHeight="1">
      <c r="A1717" s="4">
        <v>14508</v>
      </c>
      <c r="B1717" s="4" t="str">
        <f>IFERROR(VLOOKUP(A1717,Colaboradores!A:D,2,),"")</f>
        <v>FYAMA SANTOS SILVA</v>
      </c>
      <c r="C1717" s="4" t="str">
        <f>IFERROR(VLOOKUP(A1717,Colaboradores!A:D,3,),"")</f>
        <v>SAÚDE OCUPACIONAL</v>
      </c>
      <c r="D1717" s="4" t="str">
        <f>IFERROR(VLOOKUP(A1717,Colaboradores!A:D,4,),"")</f>
        <v>ASSISTENTE ADMINISTRATIVO</v>
      </c>
      <c r="E1717" s="4" t="s">
        <v>93</v>
      </c>
      <c r="F1717" s="5" t="str">
        <f>IFERROR(VLOOKUP(E1717,Procedimentos!A:C,2,),"")</f>
        <v>ATENDIMENTO PSICOLÓGICO EM FOLLOW UP NO ESPAÇO CUIDAR</v>
      </c>
      <c r="G1717" s="4" t="s">
        <v>22</v>
      </c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 spans="1:26" ht="14.25" customHeight="1">
      <c r="A1718" s="4">
        <v>14866</v>
      </c>
      <c r="B1718" s="4" t="str">
        <f>IFERROR(VLOOKUP(A1718,Colaboradores!A:D,2,),"")</f>
        <v>GERUSA LOURDES CHAVES ALVES DA SILVA</v>
      </c>
      <c r="C1718" s="4" t="str">
        <f>IFERROR(VLOOKUP(A1718,Colaboradores!A:D,3,),"")</f>
        <v>SAÚDE OCUPACIONAL</v>
      </c>
      <c r="D1718" s="4" t="str">
        <f>IFERROR(VLOOKUP(A1718,Colaboradores!A:D,4,),"")</f>
        <v>ASSESSOR CLINICO(A)</v>
      </c>
      <c r="E1718" s="4" t="s">
        <v>92</v>
      </c>
      <c r="F1718" s="5" t="str">
        <f>IFERROR(VLOOKUP(E1718,Procedimentos!A:C,2,),"")</f>
        <v>PROCEDIMENTO PARA GESTÃO DE PRONTUÁRIO</v>
      </c>
      <c r="G1718" s="4" t="s">
        <v>22</v>
      </c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 spans="1:26" ht="14.25" customHeight="1">
      <c r="A1719" s="4">
        <v>14866</v>
      </c>
      <c r="B1719" s="4" t="str">
        <f>IFERROR(VLOOKUP(A1719,Colaboradores!A:D,2,),"")</f>
        <v>GERUSA LOURDES CHAVES ALVES DA SILVA</v>
      </c>
      <c r="C1719" s="4" t="str">
        <f>IFERROR(VLOOKUP(A1719,Colaboradores!A:D,3,),"")</f>
        <v>SAÚDE OCUPACIONAL</v>
      </c>
      <c r="D1719" s="4" t="str">
        <f>IFERROR(VLOOKUP(A1719,Colaboradores!A:D,4,),"")</f>
        <v>ASSESSOR CLINICO(A)</v>
      </c>
      <c r="E1719" s="4" t="s">
        <v>334</v>
      </c>
      <c r="F1719" s="5" t="str">
        <f>IFERROR(VLOOKUP(E1719,Procedimentos!A:C,2,),"")</f>
        <v/>
      </c>
      <c r="G1719" s="4" t="s">
        <v>22</v>
      </c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 spans="1:26" ht="14.25" customHeight="1">
      <c r="A1720" s="4">
        <v>14356</v>
      </c>
      <c r="B1720" s="4" t="str">
        <f>IFERROR(VLOOKUP(A1720,Colaboradores!A:D,2,),"")</f>
        <v>JACILENE BELO LIMA</v>
      </c>
      <c r="C1720" s="4" t="str">
        <f>IFERROR(VLOOKUP(A1720,Colaboradores!A:D,3,),"")</f>
        <v>REGIONAL LESTE</v>
      </c>
      <c r="D1720" s="4" t="str">
        <f>IFERROR(VLOOKUP(A1720,Colaboradores!A:D,4,),"")</f>
        <v>ASSISTENTE ADMINISTRATIVO</v>
      </c>
      <c r="E1720" s="4" t="s">
        <v>90</v>
      </c>
      <c r="F1720" s="5" t="str">
        <f>IFERROR(VLOOKUP(E1720,Procedimentos!A:C,2,),"")</f>
        <v>PROCEDIMENTO DE ATENDIMENTO DA NUTRIÇÃO</v>
      </c>
      <c r="G1720" s="4" t="s">
        <v>28</v>
      </c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 spans="1:26" ht="14.25" customHeight="1">
      <c r="A1721" s="4">
        <v>14356</v>
      </c>
      <c r="B1721" s="4" t="str">
        <f>IFERROR(VLOOKUP(A1721,Colaboradores!A:D,2,),"")</f>
        <v>JACILENE BELO LIMA</v>
      </c>
      <c r="C1721" s="4" t="str">
        <f>IFERROR(VLOOKUP(A1721,Colaboradores!A:D,3,),"")</f>
        <v>REGIONAL LESTE</v>
      </c>
      <c r="D1721" s="4" t="str">
        <f>IFERROR(VLOOKUP(A1721,Colaboradores!A:D,4,),"")</f>
        <v>ASSISTENTE ADMINISTRATIVO</v>
      </c>
      <c r="E1721" s="4" t="s">
        <v>91</v>
      </c>
      <c r="F1721" s="5" t="str">
        <f>IFERROR(VLOOKUP(E1721,Procedimentos!A:C,2,),"")</f>
        <v>PROCEDIMENTO PARA ATENDIMENTO SOCIAL</v>
      </c>
      <c r="G1721" s="4" t="s">
        <v>28</v>
      </c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 spans="1:26" ht="14.25" customHeight="1">
      <c r="A1722" s="4">
        <v>14356</v>
      </c>
      <c r="B1722" s="4" t="str">
        <f>IFERROR(VLOOKUP(A1722,Colaboradores!A:D,2,),"")</f>
        <v>JACILENE BELO LIMA</v>
      </c>
      <c r="C1722" s="4" t="str">
        <f>IFERROR(VLOOKUP(A1722,Colaboradores!A:D,3,),"")</f>
        <v>REGIONAL LESTE</v>
      </c>
      <c r="D1722" s="4" t="str">
        <f>IFERROR(VLOOKUP(A1722,Colaboradores!A:D,4,),"")</f>
        <v>ASSISTENTE ADMINISTRATIVO</v>
      </c>
      <c r="E1722" s="4" t="s">
        <v>92</v>
      </c>
      <c r="F1722" s="5" t="str">
        <f>IFERROR(VLOOKUP(E1722,Procedimentos!A:C,2,),"")</f>
        <v>PROCEDIMENTO PARA GESTÃO DE PRONTUÁRIO</v>
      </c>
      <c r="G1722" s="4" t="s">
        <v>28</v>
      </c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 spans="1:26" ht="14.25" customHeight="1">
      <c r="A1723" s="4">
        <v>14356</v>
      </c>
      <c r="B1723" s="4" t="str">
        <f>IFERROR(VLOOKUP(A1723,Colaboradores!A:D,2,),"")</f>
        <v>JACILENE BELO LIMA</v>
      </c>
      <c r="C1723" s="4" t="str">
        <f>IFERROR(VLOOKUP(A1723,Colaboradores!A:D,3,),"")</f>
        <v>REGIONAL LESTE</v>
      </c>
      <c r="D1723" s="4" t="str">
        <f>IFERROR(VLOOKUP(A1723,Colaboradores!A:D,4,),"")</f>
        <v>ASSISTENTE ADMINISTRATIVO</v>
      </c>
      <c r="E1723" s="4" t="s">
        <v>334</v>
      </c>
      <c r="F1723" s="5" t="str">
        <f>IFERROR(VLOOKUP(E1723,Procedimentos!A:C,2,),"")</f>
        <v/>
      </c>
      <c r="G1723" s="4" t="s">
        <v>28</v>
      </c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 spans="1:26" ht="14.25" customHeight="1">
      <c r="A1724" s="4">
        <v>13822</v>
      </c>
      <c r="B1724" s="4" t="str">
        <f>IFERROR(VLOOKUP(A1724,Colaboradores!A:D,2,),"")</f>
        <v>JULIANA DE CASTRO ALMEIDA</v>
      </c>
      <c r="C1724" s="4" t="str">
        <f>IFERROR(VLOOKUP(A1724,Colaboradores!A:D,3,),"")</f>
        <v>REGIONAL CENTRAL</v>
      </c>
      <c r="D1724" s="4" t="str">
        <f>IFERROR(VLOOKUP(A1724,Colaboradores!A:D,4,),"")</f>
        <v>COORDENADOR DE SSMA</v>
      </c>
      <c r="E1724" s="4" t="s">
        <v>90</v>
      </c>
      <c r="F1724" s="5" t="str">
        <f>IFERROR(VLOOKUP(E1724,Procedimentos!A:C,2,),"")</f>
        <v>PROCEDIMENTO DE ATENDIMENTO DA NUTRIÇÃO</v>
      </c>
      <c r="G1724" s="4" t="s">
        <v>28</v>
      </c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 spans="1:26" ht="14.25" customHeight="1">
      <c r="A1725" s="4">
        <v>13822</v>
      </c>
      <c r="B1725" s="4" t="str">
        <f>IFERROR(VLOOKUP(A1725,Colaboradores!A:D,2,),"")</f>
        <v>JULIANA DE CASTRO ALMEIDA</v>
      </c>
      <c r="C1725" s="4" t="str">
        <f>IFERROR(VLOOKUP(A1725,Colaboradores!A:D,3,),"")</f>
        <v>REGIONAL CENTRAL</v>
      </c>
      <c r="D1725" s="4" t="str">
        <f>IFERROR(VLOOKUP(A1725,Colaboradores!A:D,4,),"")</f>
        <v>COORDENADOR DE SSMA</v>
      </c>
      <c r="E1725" s="4" t="s">
        <v>91</v>
      </c>
      <c r="F1725" s="5" t="str">
        <f>IFERROR(VLOOKUP(E1725,Procedimentos!A:C,2,),"")</f>
        <v>PROCEDIMENTO PARA ATENDIMENTO SOCIAL</v>
      </c>
      <c r="G1725" s="4" t="s">
        <v>28</v>
      </c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 spans="1:26" ht="14.25" customHeight="1">
      <c r="A1726" s="4">
        <v>13822</v>
      </c>
      <c r="B1726" s="4" t="str">
        <f>IFERROR(VLOOKUP(A1726,Colaboradores!A:D,2,),"")</f>
        <v>JULIANA DE CASTRO ALMEIDA</v>
      </c>
      <c r="C1726" s="4" t="str">
        <f>IFERROR(VLOOKUP(A1726,Colaboradores!A:D,3,),"")</f>
        <v>REGIONAL CENTRAL</v>
      </c>
      <c r="D1726" s="4" t="str">
        <f>IFERROR(VLOOKUP(A1726,Colaboradores!A:D,4,),"")</f>
        <v>COORDENADOR DE SSMA</v>
      </c>
      <c r="E1726" s="4" t="s">
        <v>92</v>
      </c>
      <c r="F1726" s="5" t="str">
        <f>IFERROR(VLOOKUP(E1726,Procedimentos!A:C,2,),"")</f>
        <v>PROCEDIMENTO PARA GESTÃO DE PRONTUÁRIO</v>
      </c>
      <c r="G1726" s="4" t="s">
        <v>28</v>
      </c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 spans="1:26" ht="14.25" customHeight="1">
      <c r="A1727" s="4">
        <v>13822</v>
      </c>
      <c r="B1727" s="4" t="str">
        <f>IFERROR(VLOOKUP(A1727,Colaboradores!A:D,2,),"")</f>
        <v>JULIANA DE CASTRO ALMEIDA</v>
      </c>
      <c r="C1727" s="4" t="str">
        <f>IFERROR(VLOOKUP(A1727,Colaboradores!A:D,3,),"")</f>
        <v>REGIONAL CENTRAL</v>
      </c>
      <c r="D1727" s="4" t="str">
        <f>IFERROR(VLOOKUP(A1727,Colaboradores!A:D,4,),"")</f>
        <v>COORDENADOR DE SSMA</v>
      </c>
      <c r="E1727" s="4" t="s">
        <v>334</v>
      </c>
      <c r="F1727" s="5" t="str">
        <f>IFERROR(VLOOKUP(E1727,Procedimentos!A:C,2,),"")</f>
        <v/>
      </c>
      <c r="G1727" s="4" t="s">
        <v>28</v>
      </c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 spans="1:26" ht="14.25" customHeight="1">
      <c r="A1728" s="4">
        <v>13822</v>
      </c>
      <c r="B1728" s="4" t="str">
        <f>IFERROR(VLOOKUP(A1728,Colaboradores!A:D,2,),"")</f>
        <v>JULIANA DE CASTRO ALMEIDA</v>
      </c>
      <c r="C1728" s="4" t="str">
        <f>IFERROR(VLOOKUP(A1728,Colaboradores!A:D,3,),"")</f>
        <v>REGIONAL CENTRAL</v>
      </c>
      <c r="D1728" s="4" t="str">
        <f>IFERROR(VLOOKUP(A1728,Colaboradores!A:D,4,),"")</f>
        <v>COORDENADOR DE SSMA</v>
      </c>
      <c r="E1728" s="4" t="s">
        <v>335</v>
      </c>
      <c r="F1728" s="5" t="str">
        <f>IFERROR(VLOOKUP(E1728,Procedimentos!A:C,2,),"")</f>
        <v/>
      </c>
      <c r="G1728" s="4" t="s">
        <v>28</v>
      </c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 spans="1:26" ht="14.25" customHeight="1">
      <c r="A1729" s="4">
        <v>14321</v>
      </c>
      <c r="B1729" s="4" t="str">
        <f>IFERROR(VLOOKUP(A1729,Colaboradores!A:D,2,),"")</f>
        <v>LAYANA KARINE SILVA BARBOSA</v>
      </c>
      <c r="C1729" s="4" t="str">
        <f>IFERROR(VLOOKUP(A1729,Colaboradores!A:D,3,),"")</f>
        <v>REGIONAL SUL</v>
      </c>
      <c r="D1729" s="4" t="str">
        <f>IFERROR(VLOOKUP(A1729,Colaboradores!A:D,4,),"")</f>
        <v>ASSISTENTE ADMINISTRATIVO</v>
      </c>
      <c r="E1729" s="4" t="s">
        <v>90</v>
      </c>
      <c r="F1729" s="5" t="str">
        <f>IFERROR(VLOOKUP(E1729,Procedimentos!A:C,2,),"")</f>
        <v>PROCEDIMENTO DE ATENDIMENTO DA NUTRIÇÃO</v>
      </c>
      <c r="G1729" s="4" t="s">
        <v>28</v>
      </c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 spans="1:26" ht="14.25" customHeight="1">
      <c r="A1730" s="4">
        <v>14321</v>
      </c>
      <c r="B1730" s="4" t="str">
        <f>IFERROR(VLOOKUP(A1730,Colaboradores!A:D,2,),"")</f>
        <v>LAYANA KARINE SILVA BARBOSA</v>
      </c>
      <c r="C1730" s="4" t="str">
        <f>IFERROR(VLOOKUP(A1730,Colaboradores!A:D,3,),"")</f>
        <v>REGIONAL SUL</v>
      </c>
      <c r="D1730" s="4" t="str">
        <f>IFERROR(VLOOKUP(A1730,Colaboradores!A:D,4,),"")</f>
        <v>ASSISTENTE ADMINISTRATIVO</v>
      </c>
      <c r="E1730" s="4" t="s">
        <v>91</v>
      </c>
      <c r="F1730" s="5" t="str">
        <f>IFERROR(VLOOKUP(E1730,Procedimentos!A:C,2,),"")</f>
        <v>PROCEDIMENTO PARA ATENDIMENTO SOCIAL</v>
      </c>
      <c r="G1730" s="4" t="s">
        <v>28</v>
      </c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 spans="1:26" ht="14.25" customHeight="1">
      <c r="A1731" s="4">
        <v>14321</v>
      </c>
      <c r="B1731" s="4" t="str">
        <f>IFERROR(VLOOKUP(A1731,Colaboradores!A:D,2,),"")</f>
        <v>LAYANA KARINE SILVA BARBOSA</v>
      </c>
      <c r="C1731" s="4" t="str">
        <f>IFERROR(VLOOKUP(A1731,Colaboradores!A:D,3,),"")</f>
        <v>REGIONAL SUL</v>
      </c>
      <c r="D1731" s="4" t="str">
        <f>IFERROR(VLOOKUP(A1731,Colaboradores!A:D,4,),"")</f>
        <v>ASSISTENTE ADMINISTRATIVO</v>
      </c>
      <c r="E1731" s="4" t="s">
        <v>92</v>
      </c>
      <c r="F1731" s="5" t="str">
        <f>IFERROR(VLOOKUP(E1731,Procedimentos!A:C,2,),"")</f>
        <v>PROCEDIMENTO PARA GESTÃO DE PRONTUÁRIO</v>
      </c>
      <c r="G1731" s="4" t="s">
        <v>28</v>
      </c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 spans="1:26" ht="14.25" customHeight="1">
      <c r="A1732" s="4">
        <v>14321</v>
      </c>
      <c r="B1732" s="4" t="str">
        <f>IFERROR(VLOOKUP(A1732,Colaboradores!A:D,2,),"")</f>
        <v>LAYANA KARINE SILVA BARBOSA</v>
      </c>
      <c r="C1732" s="4" t="str">
        <f>IFERROR(VLOOKUP(A1732,Colaboradores!A:D,3,),"")</f>
        <v>REGIONAL SUL</v>
      </c>
      <c r="D1732" s="4" t="str">
        <f>IFERROR(VLOOKUP(A1732,Colaboradores!A:D,4,),"")</f>
        <v>ASSISTENTE ADMINISTRATIVO</v>
      </c>
      <c r="E1732" s="4" t="s">
        <v>334</v>
      </c>
      <c r="F1732" s="5" t="str">
        <f>IFERROR(VLOOKUP(E1732,Procedimentos!A:C,2,),"")</f>
        <v/>
      </c>
      <c r="G1732" s="4" t="s">
        <v>28</v>
      </c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 spans="1:26" ht="14.25" customHeight="1">
      <c r="A1733" s="4">
        <v>14321</v>
      </c>
      <c r="B1733" s="4" t="str">
        <f>IFERROR(VLOOKUP(A1733,Colaboradores!A:D,2,),"")</f>
        <v>LAYANA KARINE SILVA BARBOSA</v>
      </c>
      <c r="C1733" s="4" t="str">
        <f>IFERROR(VLOOKUP(A1733,Colaboradores!A:D,3,),"")</f>
        <v>REGIONAL SUL</v>
      </c>
      <c r="D1733" s="4" t="str">
        <f>IFERROR(VLOOKUP(A1733,Colaboradores!A:D,4,),"")</f>
        <v>ASSISTENTE ADMINISTRATIVO</v>
      </c>
      <c r="E1733" s="4" t="s">
        <v>335</v>
      </c>
      <c r="F1733" s="5" t="str">
        <f>IFERROR(VLOOKUP(E1733,Procedimentos!A:C,2,),"")</f>
        <v/>
      </c>
      <c r="G1733" s="4" t="s">
        <v>28</v>
      </c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 spans="1:26" ht="14.25" customHeight="1">
      <c r="A1734" s="4">
        <v>14420</v>
      </c>
      <c r="B1734" s="4" t="str">
        <f>IFERROR(VLOOKUP(A1734,Colaboradores!A:D,2,),"")</f>
        <v>LAYLLA EMANUELLY DA SILVA ARAUJO</v>
      </c>
      <c r="C1734" s="4" t="str">
        <f>IFERROR(VLOOKUP(A1734,Colaboradores!A:D,3,),"")</f>
        <v>REGIONAL LESTE</v>
      </c>
      <c r="D1734" s="4" t="str">
        <f>IFERROR(VLOOKUP(A1734,Colaboradores!A:D,4,),"")</f>
        <v>ASSISTENTE ADMINISTRATIVO</v>
      </c>
      <c r="E1734" s="4" t="s">
        <v>90</v>
      </c>
      <c r="F1734" s="5" t="str">
        <f>IFERROR(VLOOKUP(E1734,Procedimentos!A:C,2,),"")</f>
        <v>PROCEDIMENTO DE ATENDIMENTO DA NUTRIÇÃO</v>
      </c>
      <c r="G1734" s="4" t="s">
        <v>28</v>
      </c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 spans="1:26" ht="14.25" customHeight="1">
      <c r="A1735" s="4">
        <v>14420</v>
      </c>
      <c r="B1735" s="4" t="str">
        <f>IFERROR(VLOOKUP(A1735,Colaboradores!A:D,2,),"")</f>
        <v>LAYLLA EMANUELLY DA SILVA ARAUJO</v>
      </c>
      <c r="C1735" s="4" t="str">
        <f>IFERROR(VLOOKUP(A1735,Colaboradores!A:D,3,),"")</f>
        <v>REGIONAL LESTE</v>
      </c>
      <c r="D1735" s="4" t="str">
        <f>IFERROR(VLOOKUP(A1735,Colaboradores!A:D,4,),"")</f>
        <v>ASSISTENTE ADMINISTRATIVO</v>
      </c>
      <c r="E1735" s="4" t="s">
        <v>91</v>
      </c>
      <c r="F1735" s="5" t="str">
        <f>IFERROR(VLOOKUP(E1735,Procedimentos!A:C,2,),"")</f>
        <v>PROCEDIMENTO PARA ATENDIMENTO SOCIAL</v>
      </c>
      <c r="G1735" s="4" t="s">
        <v>28</v>
      </c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 spans="1:26" ht="14.25" customHeight="1">
      <c r="A1736" s="4">
        <v>14420</v>
      </c>
      <c r="B1736" s="4" t="str">
        <f>IFERROR(VLOOKUP(A1736,Colaboradores!A:D,2,),"")</f>
        <v>LAYLLA EMANUELLY DA SILVA ARAUJO</v>
      </c>
      <c r="C1736" s="4" t="str">
        <f>IFERROR(VLOOKUP(A1736,Colaboradores!A:D,3,),"")</f>
        <v>REGIONAL LESTE</v>
      </c>
      <c r="D1736" s="4" t="str">
        <f>IFERROR(VLOOKUP(A1736,Colaboradores!A:D,4,),"")</f>
        <v>ASSISTENTE ADMINISTRATIVO</v>
      </c>
      <c r="E1736" s="4" t="s">
        <v>92</v>
      </c>
      <c r="F1736" s="5" t="str">
        <f>IFERROR(VLOOKUP(E1736,Procedimentos!A:C,2,),"")</f>
        <v>PROCEDIMENTO PARA GESTÃO DE PRONTUÁRIO</v>
      </c>
      <c r="G1736" s="4" t="s">
        <v>28</v>
      </c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 spans="1:26" ht="14.25" customHeight="1">
      <c r="A1737" s="4">
        <v>14420</v>
      </c>
      <c r="B1737" s="4" t="str">
        <f>IFERROR(VLOOKUP(A1737,Colaboradores!A:D,2,),"")</f>
        <v>LAYLLA EMANUELLY DA SILVA ARAUJO</v>
      </c>
      <c r="C1737" s="4" t="str">
        <f>IFERROR(VLOOKUP(A1737,Colaboradores!A:D,3,),"")</f>
        <v>REGIONAL LESTE</v>
      </c>
      <c r="D1737" s="4" t="str">
        <f>IFERROR(VLOOKUP(A1737,Colaboradores!A:D,4,),"")</f>
        <v>ASSISTENTE ADMINISTRATIVO</v>
      </c>
      <c r="E1737" s="4" t="s">
        <v>334</v>
      </c>
      <c r="F1737" s="5" t="str">
        <f>IFERROR(VLOOKUP(E1737,Procedimentos!A:C,2,),"")</f>
        <v/>
      </c>
      <c r="G1737" s="4" t="s">
        <v>28</v>
      </c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 spans="1:26" ht="14.25" customHeight="1">
      <c r="A1738" s="4">
        <v>14420</v>
      </c>
      <c r="B1738" s="4" t="str">
        <f>IFERROR(VLOOKUP(A1738,Colaboradores!A:D,2,),"")</f>
        <v>LAYLLA EMANUELLY DA SILVA ARAUJO</v>
      </c>
      <c r="C1738" s="4" t="str">
        <f>IFERROR(VLOOKUP(A1738,Colaboradores!A:D,3,),"")</f>
        <v>REGIONAL LESTE</v>
      </c>
      <c r="D1738" s="4" t="str">
        <f>IFERROR(VLOOKUP(A1738,Colaboradores!A:D,4,),"")</f>
        <v>ASSISTENTE ADMINISTRATIVO</v>
      </c>
      <c r="E1738" s="4" t="s">
        <v>335</v>
      </c>
      <c r="F1738" s="5" t="str">
        <f>IFERROR(VLOOKUP(E1738,Procedimentos!A:C,2,),"")</f>
        <v/>
      </c>
      <c r="G1738" s="4" t="s">
        <v>28</v>
      </c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 spans="1:26" ht="14.25" customHeight="1">
      <c r="A1739" s="4">
        <v>14700</v>
      </c>
      <c r="B1739" s="4" t="str">
        <f>IFERROR(VLOOKUP(A1739,Colaboradores!A:D,2,),"")</f>
        <v>LEANNDRO JOSE SOUSA DA SILVA</v>
      </c>
      <c r="C1739" s="4" t="str">
        <f>IFERROR(VLOOKUP(A1739,Colaboradores!A:D,3,),"")</f>
        <v>REGIONAL CENTRAL</v>
      </c>
      <c r="D1739" s="4" t="str">
        <f>IFERROR(VLOOKUP(A1739,Colaboradores!A:D,4,),"")</f>
        <v>MÉDICO DO TRABALHO</v>
      </c>
      <c r="E1739" s="4" t="s">
        <v>92</v>
      </c>
      <c r="F1739" s="5" t="str">
        <f>IFERROR(VLOOKUP(E1739,Procedimentos!A:C,2,),"")</f>
        <v>PROCEDIMENTO PARA GESTÃO DE PRONTUÁRIO</v>
      </c>
      <c r="G1739" s="4" t="s">
        <v>28</v>
      </c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 spans="1:26" ht="14.25" customHeight="1">
      <c r="A1740" s="4">
        <v>14700</v>
      </c>
      <c r="B1740" s="4" t="str">
        <f>IFERROR(VLOOKUP(A1740,Colaboradores!A:D,2,),"")</f>
        <v>LEANNDRO JOSE SOUSA DA SILVA</v>
      </c>
      <c r="C1740" s="4" t="str">
        <f>IFERROR(VLOOKUP(A1740,Colaboradores!A:D,3,),"")</f>
        <v>REGIONAL CENTRAL</v>
      </c>
      <c r="D1740" s="4" t="str">
        <f>IFERROR(VLOOKUP(A1740,Colaboradores!A:D,4,),"")</f>
        <v>MÉDICO DO TRABALHO</v>
      </c>
      <c r="E1740" s="4" t="s">
        <v>334</v>
      </c>
      <c r="F1740" s="5" t="str">
        <f>IFERROR(VLOOKUP(E1740,Procedimentos!A:C,2,),"")</f>
        <v/>
      </c>
      <c r="G1740" s="4" t="s">
        <v>28</v>
      </c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 spans="1:26" ht="14.25" customHeight="1">
      <c r="A1741" s="4">
        <v>7147</v>
      </c>
      <c r="B1741" s="4" t="str">
        <f>IFERROR(VLOOKUP(A1741,Colaboradores!A:D,2,),"")</f>
        <v>MAIARA MONTEIRO MARQUES CASTELO BRANCO</v>
      </c>
      <c r="C1741" s="4" t="str">
        <f>IFERROR(VLOOKUP(A1741,Colaboradores!A:D,3,),"")</f>
        <v>SAÚDE OCUPACIONAL</v>
      </c>
      <c r="D1741" s="4" t="str">
        <f>IFERROR(VLOOKUP(A1741,Colaboradores!A:D,4,),"")</f>
        <v>PSICÓLOGA</v>
      </c>
      <c r="E1741" s="4" t="s">
        <v>90</v>
      </c>
      <c r="F1741" s="5" t="str">
        <f>IFERROR(VLOOKUP(E1741,Procedimentos!A:C,2,),"")</f>
        <v>PROCEDIMENTO DE ATENDIMENTO DA NUTRIÇÃO</v>
      </c>
      <c r="G1741" s="4" t="s">
        <v>22</v>
      </c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 spans="1:26" ht="14.25" customHeight="1">
      <c r="A1742" s="4">
        <v>7147</v>
      </c>
      <c r="B1742" s="4" t="str">
        <f>IFERROR(VLOOKUP(A1742,Colaboradores!A:D,2,),"")</f>
        <v>MAIARA MONTEIRO MARQUES CASTELO BRANCO</v>
      </c>
      <c r="C1742" s="4" t="str">
        <f>IFERROR(VLOOKUP(A1742,Colaboradores!A:D,3,),"")</f>
        <v>SAÚDE OCUPACIONAL</v>
      </c>
      <c r="D1742" s="4" t="str">
        <f>IFERROR(VLOOKUP(A1742,Colaboradores!A:D,4,),"")</f>
        <v>PSICÓLOGA</v>
      </c>
      <c r="E1742" s="4" t="s">
        <v>91</v>
      </c>
      <c r="F1742" s="5" t="str">
        <f>IFERROR(VLOOKUP(E1742,Procedimentos!A:C,2,),"")</f>
        <v>PROCEDIMENTO PARA ATENDIMENTO SOCIAL</v>
      </c>
      <c r="G1742" s="4" t="s">
        <v>22</v>
      </c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 spans="1:26" ht="14.25" customHeight="1">
      <c r="A1743" s="4">
        <v>7147</v>
      </c>
      <c r="B1743" s="4" t="str">
        <f>IFERROR(VLOOKUP(A1743,Colaboradores!A:D,2,),"")</f>
        <v>MAIARA MONTEIRO MARQUES CASTELO BRANCO</v>
      </c>
      <c r="C1743" s="4" t="str">
        <f>IFERROR(VLOOKUP(A1743,Colaboradores!A:D,3,),"")</f>
        <v>SAÚDE OCUPACIONAL</v>
      </c>
      <c r="D1743" s="4" t="str">
        <f>IFERROR(VLOOKUP(A1743,Colaboradores!A:D,4,),"")</f>
        <v>PSICÓLOGA</v>
      </c>
      <c r="E1743" s="4" t="s">
        <v>92</v>
      </c>
      <c r="F1743" s="5" t="str">
        <f>IFERROR(VLOOKUP(E1743,Procedimentos!A:C,2,),"")</f>
        <v>PROCEDIMENTO PARA GESTÃO DE PRONTUÁRIO</v>
      </c>
      <c r="G1743" s="4" t="s">
        <v>22</v>
      </c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 spans="1:26" ht="14.25" customHeight="1">
      <c r="A1744" s="4">
        <v>7147</v>
      </c>
      <c r="B1744" s="4" t="str">
        <f>IFERROR(VLOOKUP(A1744,Colaboradores!A:D,2,),"")</f>
        <v>MAIARA MONTEIRO MARQUES CASTELO BRANCO</v>
      </c>
      <c r="C1744" s="4" t="str">
        <f>IFERROR(VLOOKUP(A1744,Colaboradores!A:D,3,),"")</f>
        <v>SAÚDE OCUPACIONAL</v>
      </c>
      <c r="D1744" s="4" t="str">
        <f>IFERROR(VLOOKUP(A1744,Colaboradores!A:D,4,),"")</f>
        <v>PSICÓLOGA</v>
      </c>
      <c r="E1744" s="4" t="s">
        <v>334</v>
      </c>
      <c r="F1744" s="5" t="str">
        <f>IFERROR(VLOOKUP(E1744,Procedimentos!A:C,2,),"")</f>
        <v/>
      </c>
      <c r="G1744" s="4" t="s">
        <v>22</v>
      </c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 spans="1:26" ht="14.25" customHeight="1">
      <c r="A1745" s="4">
        <v>7147</v>
      </c>
      <c r="B1745" s="4" t="str">
        <f>IFERROR(VLOOKUP(A1745,Colaboradores!A:D,2,),"")</f>
        <v>MAIARA MONTEIRO MARQUES CASTELO BRANCO</v>
      </c>
      <c r="C1745" s="4" t="str">
        <f>IFERROR(VLOOKUP(A1745,Colaboradores!A:D,3,),"")</f>
        <v>SAÚDE OCUPACIONAL</v>
      </c>
      <c r="D1745" s="4" t="str">
        <f>IFERROR(VLOOKUP(A1745,Colaboradores!A:D,4,),"")</f>
        <v>PSICÓLOGA</v>
      </c>
      <c r="E1745" s="4" t="s">
        <v>93</v>
      </c>
      <c r="F1745" s="5" t="str">
        <f>IFERROR(VLOOKUP(E1745,Procedimentos!A:C,2,),"")</f>
        <v>ATENDIMENTO PSICOLÓGICO EM FOLLOW UP NO ESPAÇO CUIDAR</v>
      </c>
      <c r="G1745" s="4" t="s">
        <v>22</v>
      </c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 spans="1:26" ht="14.25" customHeight="1">
      <c r="A1746" s="4">
        <v>14057</v>
      </c>
      <c r="B1746" s="4" t="str">
        <f>IFERROR(VLOOKUP(A1746,Colaboradores!A:D,2,),"")</f>
        <v/>
      </c>
      <c r="C1746" s="4" t="str">
        <f>IFERROR(VLOOKUP(A1746,Colaboradores!A:D,3,),"")</f>
        <v/>
      </c>
      <c r="D1746" s="4" t="str">
        <f>IFERROR(VLOOKUP(A1746,Colaboradores!A:D,4,),"")</f>
        <v/>
      </c>
      <c r="E1746" s="4" t="s">
        <v>90</v>
      </c>
      <c r="F1746" s="5" t="str">
        <f>IFERROR(VLOOKUP(E1746,Procedimentos!A:C,2,),"")</f>
        <v>PROCEDIMENTO DE ATENDIMENTO DA NUTRIÇÃO</v>
      </c>
      <c r="G1746" s="4" t="s">
        <v>28</v>
      </c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 spans="1:26" ht="14.25" customHeight="1">
      <c r="A1747" s="4">
        <v>14057</v>
      </c>
      <c r="B1747" s="4" t="str">
        <f>IFERROR(VLOOKUP(A1747,Colaboradores!A:D,2,),"")</f>
        <v/>
      </c>
      <c r="C1747" s="4" t="str">
        <f>IFERROR(VLOOKUP(A1747,Colaboradores!A:D,3,),"")</f>
        <v/>
      </c>
      <c r="D1747" s="4" t="str">
        <f>IFERROR(VLOOKUP(A1747,Colaboradores!A:D,4,),"")</f>
        <v/>
      </c>
      <c r="E1747" s="4" t="s">
        <v>91</v>
      </c>
      <c r="F1747" s="5" t="str">
        <f>IFERROR(VLOOKUP(E1747,Procedimentos!A:C,2,),"")</f>
        <v>PROCEDIMENTO PARA ATENDIMENTO SOCIAL</v>
      </c>
      <c r="G1747" s="4" t="s">
        <v>28</v>
      </c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 spans="1:26" ht="14.25" customHeight="1">
      <c r="A1748" s="4">
        <v>14057</v>
      </c>
      <c r="B1748" s="4" t="str">
        <f>IFERROR(VLOOKUP(A1748,Colaboradores!A:D,2,),"")</f>
        <v/>
      </c>
      <c r="C1748" s="4" t="str">
        <f>IFERROR(VLOOKUP(A1748,Colaboradores!A:D,3,),"")</f>
        <v/>
      </c>
      <c r="D1748" s="4" t="str">
        <f>IFERROR(VLOOKUP(A1748,Colaboradores!A:D,4,),"")</f>
        <v/>
      </c>
      <c r="E1748" s="4" t="s">
        <v>92</v>
      </c>
      <c r="F1748" s="5" t="str">
        <f>IFERROR(VLOOKUP(E1748,Procedimentos!A:C,2,),"")</f>
        <v>PROCEDIMENTO PARA GESTÃO DE PRONTUÁRIO</v>
      </c>
      <c r="G1748" s="4" t="s">
        <v>28</v>
      </c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 spans="1:26" ht="14.25" customHeight="1">
      <c r="A1749" s="4">
        <v>14057</v>
      </c>
      <c r="B1749" s="4" t="str">
        <f>IFERROR(VLOOKUP(A1749,Colaboradores!A:D,2,),"")</f>
        <v/>
      </c>
      <c r="C1749" s="4" t="str">
        <f>IFERROR(VLOOKUP(A1749,Colaboradores!A:D,3,),"")</f>
        <v/>
      </c>
      <c r="D1749" s="4" t="str">
        <f>IFERROR(VLOOKUP(A1749,Colaboradores!A:D,4,),"")</f>
        <v/>
      </c>
      <c r="E1749" s="4" t="s">
        <v>334</v>
      </c>
      <c r="F1749" s="5" t="str">
        <f>IFERROR(VLOOKUP(E1749,Procedimentos!A:C,2,),"")</f>
        <v/>
      </c>
      <c r="G1749" s="4" t="s">
        <v>28</v>
      </c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 spans="1:26" ht="14.25" customHeight="1">
      <c r="A1750" s="4">
        <v>14057</v>
      </c>
      <c r="B1750" s="4" t="str">
        <f>IFERROR(VLOOKUP(A1750,Colaboradores!A:D,2,),"")</f>
        <v/>
      </c>
      <c r="C1750" s="4" t="str">
        <f>IFERROR(VLOOKUP(A1750,Colaboradores!A:D,3,),"")</f>
        <v/>
      </c>
      <c r="D1750" s="4" t="str">
        <f>IFERROR(VLOOKUP(A1750,Colaboradores!A:D,4,),"")</f>
        <v/>
      </c>
      <c r="E1750" s="4" t="s">
        <v>93</v>
      </c>
      <c r="F1750" s="5" t="str">
        <f>IFERROR(VLOOKUP(E1750,Procedimentos!A:C,2,),"")</f>
        <v>ATENDIMENTO PSICOLÓGICO EM FOLLOW UP NO ESPAÇO CUIDAR</v>
      </c>
      <c r="G1750" s="4" t="s">
        <v>28</v>
      </c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 spans="1:26" ht="14.25" customHeight="1">
      <c r="A1751" s="4">
        <v>7601</v>
      </c>
      <c r="B1751" s="4" t="str">
        <f>IFERROR(VLOOKUP(A1751,Colaboradores!A:D,2,),"")</f>
        <v>RAYANE BEZERRA DE JESUS</v>
      </c>
      <c r="C1751" s="4" t="str">
        <f>IFERROR(VLOOKUP(A1751,Colaboradores!A:D,3,),"")</f>
        <v>SAÚDE OCUPACIONAL</v>
      </c>
      <c r="D1751" s="4" t="str">
        <f>IFERROR(VLOOKUP(A1751,Colaboradores!A:D,4,),"")</f>
        <v>TÉCNICO DE ENFERMAGEM DO TRABALHO</v>
      </c>
      <c r="E1751" s="4" t="s">
        <v>90</v>
      </c>
      <c r="F1751" s="5" t="str">
        <f>IFERROR(VLOOKUP(E1751,Procedimentos!A:C,2,),"")</f>
        <v>PROCEDIMENTO DE ATENDIMENTO DA NUTRIÇÃO</v>
      </c>
      <c r="G1751" s="4" t="s">
        <v>22</v>
      </c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 spans="1:26" ht="14.25" customHeight="1">
      <c r="A1752" s="4">
        <v>7601</v>
      </c>
      <c r="B1752" s="4" t="str">
        <f>IFERROR(VLOOKUP(A1752,Colaboradores!A:D,2,),"")</f>
        <v>RAYANE BEZERRA DE JESUS</v>
      </c>
      <c r="C1752" s="4" t="str">
        <f>IFERROR(VLOOKUP(A1752,Colaboradores!A:D,3,),"")</f>
        <v>SAÚDE OCUPACIONAL</v>
      </c>
      <c r="D1752" s="4" t="str">
        <f>IFERROR(VLOOKUP(A1752,Colaboradores!A:D,4,),"")</f>
        <v>TÉCNICO DE ENFERMAGEM DO TRABALHO</v>
      </c>
      <c r="E1752" s="4" t="s">
        <v>91</v>
      </c>
      <c r="F1752" s="5" t="str">
        <f>IFERROR(VLOOKUP(E1752,Procedimentos!A:C,2,),"")</f>
        <v>PROCEDIMENTO PARA ATENDIMENTO SOCIAL</v>
      </c>
      <c r="G1752" s="4" t="s">
        <v>22</v>
      </c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 spans="1:26" ht="14.25" customHeight="1">
      <c r="A1753" s="4">
        <v>7601</v>
      </c>
      <c r="B1753" s="4" t="str">
        <f>IFERROR(VLOOKUP(A1753,Colaboradores!A:D,2,),"")</f>
        <v>RAYANE BEZERRA DE JESUS</v>
      </c>
      <c r="C1753" s="4" t="str">
        <f>IFERROR(VLOOKUP(A1753,Colaboradores!A:D,3,),"")</f>
        <v>SAÚDE OCUPACIONAL</v>
      </c>
      <c r="D1753" s="4" t="str">
        <f>IFERROR(VLOOKUP(A1753,Colaboradores!A:D,4,),"")</f>
        <v>TÉCNICO DE ENFERMAGEM DO TRABALHO</v>
      </c>
      <c r="E1753" s="4" t="s">
        <v>92</v>
      </c>
      <c r="F1753" s="5" t="str">
        <f>IFERROR(VLOOKUP(E1753,Procedimentos!A:C,2,),"")</f>
        <v>PROCEDIMENTO PARA GESTÃO DE PRONTUÁRIO</v>
      </c>
      <c r="G1753" s="4" t="s">
        <v>22</v>
      </c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 spans="1:26" ht="14.25" customHeight="1">
      <c r="A1754" s="4">
        <v>7601</v>
      </c>
      <c r="B1754" s="4" t="str">
        <f>IFERROR(VLOOKUP(A1754,Colaboradores!A:D,2,),"")</f>
        <v>RAYANE BEZERRA DE JESUS</v>
      </c>
      <c r="C1754" s="4" t="str">
        <f>IFERROR(VLOOKUP(A1754,Colaboradores!A:D,3,),"")</f>
        <v>SAÚDE OCUPACIONAL</v>
      </c>
      <c r="D1754" s="4" t="str">
        <f>IFERROR(VLOOKUP(A1754,Colaboradores!A:D,4,),"")</f>
        <v>TÉCNICO DE ENFERMAGEM DO TRABALHO</v>
      </c>
      <c r="E1754" s="4" t="s">
        <v>334</v>
      </c>
      <c r="F1754" s="5" t="str">
        <f>IFERROR(VLOOKUP(E1754,Procedimentos!A:C,2,),"")</f>
        <v/>
      </c>
      <c r="G1754" s="4" t="s">
        <v>22</v>
      </c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 spans="1:26" ht="14.25" customHeight="1">
      <c r="A1755" s="4">
        <v>7601</v>
      </c>
      <c r="B1755" s="4" t="str">
        <f>IFERROR(VLOOKUP(A1755,Colaboradores!A:D,2,),"")</f>
        <v>RAYANE BEZERRA DE JESUS</v>
      </c>
      <c r="C1755" s="4" t="str">
        <f>IFERROR(VLOOKUP(A1755,Colaboradores!A:D,3,),"")</f>
        <v>SAÚDE OCUPACIONAL</v>
      </c>
      <c r="D1755" s="4" t="str">
        <f>IFERROR(VLOOKUP(A1755,Colaboradores!A:D,4,),"")</f>
        <v>TÉCNICO DE ENFERMAGEM DO TRABALHO</v>
      </c>
      <c r="E1755" s="4" t="s">
        <v>335</v>
      </c>
      <c r="F1755" s="5" t="str">
        <f>IFERROR(VLOOKUP(E1755,Procedimentos!A:C,2,),"")</f>
        <v/>
      </c>
      <c r="G1755" s="4" t="s">
        <v>22</v>
      </c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 spans="1:26" ht="14.25" customHeight="1">
      <c r="A1756" s="4">
        <v>7601</v>
      </c>
      <c r="B1756" s="4" t="str">
        <f>IFERROR(VLOOKUP(A1756,Colaboradores!A:D,2,),"")</f>
        <v>RAYANE BEZERRA DE JESUS</v>
      </c>
      <c r="C1756" s="4" t="str">
        <f>IFERROR(VLOOKUP(A1756,Colaboradores!A:D,3,),"")</f>
        <v>SAÚDE OCUPACIONAL</v>
      </c>
      <c r="D1756" s="4" t="str">
        <f>IFERROR(VLOOKUP(A1756,Colaboradores!A:D,4,),"")</f>
        <v>TÉCNICO DE ENFERMAGEM DO TRABALHO</v>
      </c>
      <c r="E1756" s="4" t="s">
        <v>93</v>
      </c>
      <c r="F1756" s="5" t="str">
        <f>IFERROR(VLOOKUP(E1756,Procedimentos!A:C,2,),"")</f>
        <v>ATENDIMENTO PSICOLÓGICO EM FOLLOW UP NO ESPAÇO CUIDAR</v>
      </c>
      <c r="G1756" s="4" t="s">
        <v>22</v>
      </c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 spans="1:26" ht="14.25" customHeight="1">
      <c r="A1757" s="4">
        <v>14499</v>
      </c>
      <c r="B1757" s="4" t="str">
        <f>IFERROR(VLOOKUP(A1757,Colaboradores!A:D,2,),"")</f>
        <v>SAMIRIS COSTA DA SILVA</v>
      </c>
      <c r="C1757" s="4" t="str">
        <f>IFERROR(VLOOKUP(A1757,Colaboradores!A:D,3,),"")</f>
        <v>SAÚDE OCUPACIONAL</v>
      </c>
      <c r="D1757" s="4" t="str">
        <f>IFERROR(VLOOKUP(A1757,Colaboradores!A:D,4,),"")</f>
        <v>PSICÓLOGA</v>
      </c>
      <c r="E1757" s="4" t="s">
        <v>90</v>
      </c>
      <c r="F1757" s="5" t="str">
        <f>IFERROR(VLOOKUP(E1757,Procedimentos!A:C,2,),"")</f>
        <v>PROCEDIMENTO DE ATENDIMENTO DA NUTRIÇÃO</v>
      </c>
      <c r="G1757" s="4" t="s">
        <v>22</v>
      </c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 spans="1:26" ht="14.25" customHeight="1">
      <c r="A1758" s="4">
        <v>14499</v>
      </c>
      <c r="B1758" s="4" t="str">
        <f>IFERROR(VLOOKUP(A1758,Colaboradores!A:D,2,),"")</f>
        <v>SAMIRIS COSTA DA SILVA</v>
      </c>
      <c r="C1758" s="4" t="str">
        <f>IFERROR(VLOOKUP(A1758,Colaboradores!A:D,3,),"")</f>
        <v>SAÚDE OCUPACIONAL</v>
      </c>
      <c r="D1758" s="4" t="str">
        <f>IFERROR(VLOOKUP(A1758,Colaboradores!A:D,4,),"")</f>
        <v>PSICÓLOGA</v>
      </c>
      <c r="E1758" s="4" t="s">
        <v>91</v>
      </c>
      <c r="F1758" s="5" t="str">
        <f>IFERROR(VLOOKUP(E1758,Procedimentos!A:C,2,),"")</f>
        <v>PROCEDIMENTO PARA ATENDIMENTO SOCIAL</v>
      </c>
      <c r="G1758" s="4" t="s">
        <v>22</v>
      </c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 spans="1:26" ht="14.25" customHeight="1">
      <c r="A1759" s="4">
        <v>14499</v>
      </c>
      <c r="B1759" s="4" t="str">
        <f>IFERROR(VLOOKUP(A1759,Colaboradores!A:D,2,),"")</f>
        <v>SAMIRIS COSTA DA SILVA</v>
      </c>
      <c r="C1759" s="4" t="str">
        <f>IFERROR(VLOOKUP(A1759,Colaboradores!A:D,3,),"")</f>
        <v>SAÚDE OCUPACIONAL</v>
      </c>
      <c r="D1759" s="4" t="str">
        <f>IFERROR(VLOOKUP(A1759,Colaboradores!A:D,4,),"")</f>
        <v>PSICÓLOGA</v>
      </c>
      <c r="E1759" s="4" t="s">
        <v>92</v>
      </c>
      <c r="F1759" s="5" t="str">
        <f>IFERROR(VLOOKUP(E1759,Procedimentos!A:C,2,),"")</f>
        <v>PROCEDIMENTO PARA GESTÃO DE PRONTUÁRIO</v>
      </c>
      <c r="G1759" s="4" t="s">
        <v>22</v>
      </c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 spans="1:26" ht="14.25" customHeight="1">
      <c r="A1760" s="4">
        <v>14499</v>
      </c>
      <c r="B1760" s="4" t="str">
        <f>IFERROR(VLOOKUP(A1760,Colaboradores!A:D,2,),"")</f>
        <v>SAMIRIS COSTA DA SILVA</v>
      </c>
      <c r="C1760" s="4" t="str">
        <f>IFERROR(VLOOKUP(A1760,Colaboradores!A:D,3,),"")</f>
        <v>SAÚDE OCUPACIONAL</v>
      </c>
      <c r="D1760" s="4" t="str">
        <f>IFERROR(VLOOKUP(A1760,Colaboradores!A:D,4,),"")</f>
        <v>PSICÓLOGA</v>
      </c>
      <c r="E1760" s="4" t="s">
        <v>334</v>
      </c>
      <c r="F1760" s="5" t="str">
        <f>IFERROR(VLOOKUP(E1760,Procedimentos!A:C,2,),"")</f>
        <v/>
      </c>
      <c r="G1760" s="4" t="s">
        <v>22</v>
      </c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 spans="1:26" ht="14.25" customHeight="1">
      <c r="A1761" s="4">
        <v>14499</v>
      </c>
      <c r="B1761" s="4" t="str">
        <f>IFERROR(VLOOKUP(A1761,Colaboradores!A:D,2,),"")</f>
        <v>SAMIRIS COSTA DA SILVA</v>
      </c>
      <c r="C1761" s="4" t="str">
        <f>IFERROR(VLOOKUP(A1761,Colaboradores!A:D,3,),"")</f>
        <v>SAÚDE OCUPACIONAL</v>
      </c>
      <c r="D1761" s="4" t="str">
        <f>IFERROR(VLOOKUP(A1761,Colaboradores!A:D,4,),"")</f>
        <v>PSICÓLOGA</v>
      </c>
      <c r="E1761" s="4" t="s">
        <v>93</v>
      </c>
      <c r="F1761" s="5" t="str">
        <f>IFERROR(VLOOKUP(E1761,Procedimentos!A:C,2,),"")</f>
        <v>ATENDIMENTO PSICOLÓGICO EM FOLLOW UP NO ESPAÇO CUIDAR</v>
      </c>
      <c r="G1761" s="4" t="s">
        <v>22</v>
      </c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 spans="1:26" ht="14.25" customHeight="1">
      <c r="A1762" s="4">
        <v>14083</v>
      </c>
      <c r="B1762" s="4" t="str">
        <f>IFERROR(VLOOKUP(A1762,Colaboradores!A:D,2,),"")</f>
        <v>TAHYNAN FREITAS SILVA COSTA</v>
      </c>
      <c r="C1762" s="4" t="str">
        <f>IFERROR(VLOOKUP(A1762,Colaboradores!A:D,3,),"")</f>
        <v>SAÚDE OCUPACIONAL</v>
      </c>
      <c r="D1762" s="4" t="str">
        <f>IFERROR(VLOOKUP(A1762,Colaboradores!A:D,4,),"")</f>
        <v>TÉCNICO DE ENFERMAGEM DO TRABALHO</v>
      </c>
      <c r="E1762" s="4" t="s">
        <v>90</v>
      </c>
      <c r="F1762" s="5" t="str">
        <f>IFERROR(VLOOKUP(E1762,Procedimentos!A:C,2,),"")</f>
        <v>PROCEDIMENTO DE ATENDIMENTO DA NUTRIÇÃO</v>
      </c>
      <c r="G1762" s="4" t="s">
        <v>22</v>
      </c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 spans="1:26" ht="14.25" customHeight="1">
      <c r="A1763" s="4">
        <v>14083</v>
      </c>
      <c r="B1763" s="4" t="str">
        <f>IFERROR(VLOOKUP(A1763,Colaboradores!A:D,2,),"")</f>
        <v>TAHYNAN FREITAS SILVA COSTA</v>
      </c>
      <c r="C1763" s="4" t="str">
        <f>IFERROR(VLOOKUP(A1763,Colaboradores!A:D,3,),"")</f>
        <v>SAÚDE OCUPACIONAL</v>
      </c>
      <c r="D1763" s="4" t="str">
        <f>IFERROR(VLOOKUP(A1763,Colaboradores!A:D,4,),"")</f>
        <v>TÉCNICO DE ENFERMAGEM DO TRABALHO</v>
      </c>
      <c r="E1763" s="4" t="s">
        <v>91</v>
      </c>
      <c r="F1763" s="5" t="str">
        <f>IFERROR(VLOOKUP(E1763,Procedimentos!A:C,2,),"")</f>
        <v>PROCEDIMENTO PARA ATENDIMENTO SOCIAL</v>
      </c>
      <c r="G1763" s="4" t="s">
        <v>22</v>
      </c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 spans="1:26" ht="14.25" customHeight="1">
      <c r="A1764" s="4">
        <v>14083</v>
      </c>
      <c r="B1764" s="4" t="str">
        <f>IFERROR(VLOOKUP(A1764,Colaboradores!A:D,2,),"")</f>
        <v>TAHYNAN FREITAS SILVA COSTA</v>
      </c>
      <c r="C1764" s="4" t="str">
        <f>IFERROR(VLOOKUP(A1764,Colaboradores!A:D,3,),"")</f>
        <v>SAÚDE OCUPACIONAL</v>
      </c>
      <c r="D1764" s="4" t="str">
        <f>IFERROR(VLOOKUP(A1764,Colaboradores!A:D,4,),"")</f>
        <v>TÉCNICO DE ENFERMAGEM DO TRABALHO</v>
      </c>
      <c r="E1764" s="4" t="s">
        <v>92</v>
      </c>
      <c r="F1764" s="5" t="str">
        <f>IFERROR(VLOOKUP(E1764,Procedimentos!A:C,2,),"")</f>
        <v>PROCEDIMENTO PARA GESTÃO DE PRONTUÁRIO</v>
      </c>
      <c r="G1764" s="4" t="s">
        <v>22</v>
      </c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 spans="1:26" ht="14.25" customHeight="1">
      <c r="A1765" s="4">
        <v>14083</v>
      </c>
      <c r="B1765" s="4" t="str">
        <f>IFERROR(VLOOKUP(A1765,Colaboradores!A:D,2,),"")</f>
        <v>TAHYNAN FREITAS SILVA COSTA</v>
      </c>
      <c r="C1765" s="4" t="str">
        <f>IFERROR(VLOOKUP(A1765,Colaboradores!A:D,3,),"")</f>
        <v>SAÚDE OCUPACIONAL</v>
      </c>
      <c r="D1765" s="4" t="str">
        <f>IFERROR(VLOOKUP(A1765,Colaboradores!A:D,4,),"")</f>
        <v>TÉCNICO DE ENFERMAGEM DO TRABALHO</v>
      </c>
      <c r="E1765" s="4" t="s">
        <v>334</v>
      </c>
      <c r="F1765" s="5" t="str">
        <f>IFERROR(VLOOKUP(E1765,Procedimentos!A:C,2,),"")</f>
        <v/>
      </c>
      <c r="G1765" s="4" t="s">
        <v>22</v>
      </c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 spans="1:26" ht="14.25" customHeight="1">
      <c r="A1766" s="4">
        <v>14083</v>
      </c>
      <c r="B1766" s="4" t="str">
        <f>IFERROR(VLOOKUP(A1766,Colaboradores!A:D,2,),"")</f>
        <v>TAHYNAN FREITAS SILVA COSTA</v>
      </c>
      <c r="C1766" s="4" t="str">
        <f>IFERROR(VLOOKUP(A1766,Colaboradores!A:D,3,),"")</f>
        <v>SAÚDE OCUPACIONAL</v>
      </c>
      <c r="D1766" s="4" t="str">
        <f>IFERROR(VLOOKUP(A1766,Colaboradores!A:D,4,),"")</f>
        <v>TÉCNICO DE ENFERMAGEM DO TRABALHO</v>
      </c>
      <c r="E1766" s="4" t="s">
        <v>335</v>
      </c>
      <c r="F1766" s="5" t="str">
        <f>IFERROR(VLOOKUP(E1766,Procedimentos!A:C,2,),"")</f>
        <v/>
      </c>
      <c r="G1766" s="4" t="s">
        <v>22</v>
      </c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 spans="1:26" ht="14.25" customHeight="1">
      <c r="A1767" s="4">
        <v>14083</v>
      </c>
      <c r="B1767" s="4" t="str">
        <f>IFERROR(VLOOKUP(A1767,Colaboradores!A:D,2,),"")</f>
        <v>TAHYNAN FREITAS SILVA COSTA</v>
      </c>
      <c r="C1767" s="4" t="str">
        <f>IFERROR(VLOOKUP(A1767,Colaboradores!A:D,3,),"")</f>
        <v>SAÚDE OCUPACIONAL</v>
      </c>
      <c r="D1767" s="4" t="str">
        <f>IFERROR(VLOOKUP(A1767,Colaboradores!A:D,4,),"")</f>
        <v>TÉCNICO DE ENFERMAGEM DO TRABALHO</v>
      </c>
      <c r="E1767" s="4" t="s">
        <v>93</v>
      </c>
      <c r="F1767" s="5" t="str">
        <f>IFERROR(VLOOKUP(E1767,Procedimentos!A:C,2,),"")</f>
        <v>ATENDIMENTO PSICOLÓGICO EM FOLLOW UP NO ESPAÇO CUIDAR</v>
      </c>
      <c r="G1767" s="4" t="s">
        <v>22</v>
      </c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 spans="1:26" ht="14.25" customHeight="1">
      <c r="A1768" s="4">
        <v>14873</v>
      </c>
      <c r="B1768" s="4" t="str">
        <f>IFERROR(VLOOKUP(A1768,Colaboradores!A:D,2,),"")</f>
        <v/>
      </c>
      <c r="C1768" s="4" t="str">
        <f>IFERROR(VLOOKUP(A1768,Colaboradores!A:D,3,),"")</f>
        <v/>
      </c>
      <c r="D1768" s="4" t="str">
        <f>IFERROR(VLOOKUP(A1768,Colaboradores!A:D,4,),"")</f>
        <v/>
      </c>
      <c r="E1768" s="4" t="s">
        <v>90</v>
      </c>
      <c r="F1768" s="5" t="str">
        <f>IFERROR(VLOOKUP(E1768,Procedimentos!A:C,2,),"")</f>
        <v>PROCEDIMENTO DE ATENDIMENTO DA NUTRIÇÃO</v>
      </c>
      <c r="G1768" s="4" t="s">
        <v>22</v>
      </c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 spans="1:26" ht="14.25" customHeight="1">
      <c r="A1769" s="4">
        <v>14873</v>
      </c>
      <c r="B1769" s="4" t="str">
        <f>IFERROR(VLOOKUP(A1769,Colaboradores!A:D,2,),"")</f>
        <v/>
      </c>
      <c r="C1769" s="4" t="str">
        <f>IFERROR(VLOOKUP(A1769,Colaboradores!A:D,3,),"")</f>
        <v/>
      </c>
      <c r="D1769" s="4" t="str">
        <f>IFERROR(VLOOKUP(A1769,Colaboradores!A:D,4,),"")</f>
        <v/>
      </c>
      <c r="E1769" s="4" t="s">
        <v>91</v>
      </c>
      <c r="F1769" s="5" t="str">
        <f>IFERROR(VLOOKUP(E1769,Procedimentos!A:C,2,),"")</f>
        <v>PROCEDIMENTO PARA ATENDIMENTO SOCIAL</v>
      </c>
      <c r="G1769" s="4" t="s">
        <v>22</v>
      </c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 spans="1:26" ht="14.25" customHeight="1">
      <c r="A1770" s="4">
        <v>14873</v>
      </c>
      <c r="B1770" s="4" t="str">
        <f>IFERROR(VLOOKUP(A1770,Colaboradores!A:D,2,),"")</f>
        <v/>
      </c>
      <c r="C1770" s="4" t="str">
        <f>IFERROR(VLOOKUP(A1770,Colaboradores!A:D,3,),"")</f>
        <v/>
      </c>
      <c r="D1770" s="4" t="str">
        <f>IFERROR(VLOOKUP(A1770,Colaboradores!A:D,4,),"")</f>
        <v/>
      </c>
      <c r="E1770" s="4" t="s">
        <v>92</v>
      </c>
      <c r="F1770" s="5" t="str">
        <f>IFERROR(VLOOKUP(E1770,Procedimentos!A:C,2,),"")</f>
        <v>PROCEDIMENTO PARA GESTÃO DE PRONTUÁRIO</v>
      </c>
      <c r="G1770" s="4" t="s">
        <v>22</v>
      </c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 spans="1:26" ht="14.25" customHeight="1">
      <c r="A1771" s="4">
        <v>14873</v>
      </c>
      <c r="B1771" s="4" t="str">
        <f>IFERROR(VLOOKUP(A1771,Colaboradores!A:D,2,),"")</f>
        <v/>
      </c>
      <c r="C1771" s="4" t="str">
        <f>IFERROR(VLOOKUP(A1771,Colaboradores!A:D,3,),"")</f>
        <v/>
      </c>
      <c r="D1771" s="4" t="str">
        <f>IFERROR(VLOOKUP(A1771,Colaboradores!A:D,4,),"")</f>
        <v/>
      </c>
      <c r="E1771" s="4" t="s">
        <v>334</v>
      </c>
      <c r="F1771" s="5" t="str">
        <f>IFERROR(VLOOKUP(E1771,Procedimentos!A:C,2,),"")</f>
        <v/>
      </c>
      <c r="G1771" s="4" t="s">
        <v>22</v>
      </c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 spans="1:26" ht="14.25" customHeight="1">
      <c r="A1772" s="4">
        <v>14873</v>
      </c>
      <c r="B1772" s="4" t="str">
        <f>IFERROR(VLOOKUP(A1772,Colaboradores!A:D,2,),"")</f>
        <v/>
      </c>
      <c r="C1772" s="4" t="str">
        <f>IFERROR(VLOOKUP(A1772,Colaboradores!A:D,3,),"")</f>
        <v/>
      </c>
      <c r="D1772" s="4" t="str">
        <f>IFERROR(VLOOKUP(A1772,Colaboradores!A:D,4,),"")</f>
        <v/>
      </c>
      <c r="E1772" s="4" t="s">
        <v>335</v>
      </c>
      <c r="F1772" s="5" t="str">
        <f>IFERROR(VLOOKUP(E1772,Procedimentos!A:C,2,),"")</f>
        <v/>
      </c>
      <c r="G1772" s="4" t="s">
        <v>22</v>
      </c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 spans="1:26" ht="14.25" customHeight="1">
      <c r="A1773" s="4">
        <v>14873</v>
      </c>
      <c r="B1773" s="4" t="str">
        <f>IFERROR(VLOOKUP(A1773,Colaboradores!A:D,2,),"")</f>
        <v/>
      </c>
      <c r="C1773" s="4" t="str">
        <f>IFERROR(VLOOKUP(A1773,Colaboradores!A:D,3,),"")</f>
        <v/>
      </c>
      <c r="D1773" s="4" t="str">
        <f>IFERROR(VLOOKUP(A1773,Colaboradores!A:D,4,),"")</f>
        <v/>
      </c>
      <c r="E1773" s="4" t="s">
        <v>93</v>
      </c>
      <c r="F1773" s="5" t="str">
        <f>IFERROR(VLOOKUP(E1773,Procedimentos!A:C,2,),"")</f>
        <v>ATENDIMENTO PSICOLÓGICO EM FOLLOW UP NO ESPAÇO CUIDAR</v>
      </c>
      <c r="G1773" s="4" t="s">
        <v>22</v>
      </c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</sheetData>
  <autoFilter ref="A1:Z1773" xr:uid="{00000000-0009-0000-0000-000003000000}"/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D1000"/>
  <sheetViews>
    <sheetView showGridLines="0" workbookViewId="0"/>
  </sheetViews>
  <sheetFormatPr defaultColWidth="14.44140625" defaultRowHeight="15" customHeight="1"/>
  <cols>
    <col min="1" max="1" width="19.33203125" customWidth="1"/>
    <col min="2" max="2" width="20.33203125" customWidth="1"/>
    <col min="3" max="3" width="18" customWidth="1"/>
    <col min="4" max="26" width="8.6640625" customWidth="1"/>
  </cols>
  <sheetData>
    <row r="1" spans="1:4" ht="14.25" customHeight="1">
      <c r="A1" t="s">
        <v>14</v>
      </c>
      <c r="B1" t="s">
        <v>336</v>
      </c>
      <c r="C1" t="s">
        <v>337</v>
      </c>
      <c r="D1" t="s">
        <v>338</v>
      </c>
    </row>
    <row r="2" spans="1:4" ht="14.25" customHeight="1">
      <c r="A2" t="s">
        <v>339</v>
      </c>
      <c r="B2" t="s">
        <v>340</v>
      </c>
      <c r="C2" t="s">
        <v>341</v>
      </c>
      <c r="D2" t="s">
        <v>27</v>
      </c>
    </row>
    <row r="3" spans="1:4" ht="14.25" customHeight="1">
      <c r="A3" t="s">
        <v>342</v>
      </c>
      <c r="B3" t="s">
        <v>343</v>
      </c>
      <c r="C3" t="s">
        <v>21</v>
      </c>
      <c r="D3" t="s">
        <v>23</v>
      </c>
    </row>
    <row r="4" spans="1:4" ht="14.25" customHeight="1">
      <c r="A4" t="s">
        <v>344</v>
      </c>
      <c r="B4" t="s">
        <v>345</v>
      </c>
      <c r="C4" t="s">
        <v>346</v>
      </c>
      <c r="D4" t="s">
        <v>347</v>
      </c>
    </row>
    <row r="5" spans="1:4" ht="14.25" customHeight="1">
      <c r="B5" t="s">
        <v>348</v>
      </c>
      <c r="D5" t="s">
        <v>349</v>
      </c>
    </row>
    <row r="6" spans="1:4" ht="14.25" customHeight="1"/>
    <row r="7" spans="1:4" ht="14.25" customHeight="1"/>
    <row r="8" spans="1:4" ht="14.25" customHeight="1"/>
    <row r="9" spans="1:4" ht="14.25" customHeight="1"/>
    <row r="10" spans="1:4" ht="14.25" customHeight="1"/>
    <row r="11" spans="1:4" ht="14.25" customHeight="1"/>
    <row r="12" spans="1:4" ht="14.25" customHeight="1"/>
    <row r="13" spans="1:4" ht="14.25" customHeight="1"/>
    <row r="14" spans="1:4" ht="14.25" customHeight="1"/>
    <row r="15" spans="1:4" ht="14.25" customHeight="1"/>
    <row r="16" spans="1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4.44140625" defaultRowHeight="15" customHeight="1"/>
  <cols>
    <col min="1" max="1" width="35.88671875" customWidth="1"/>
    <col min="2" max="2" width="74.5546875" customWidth="1"/>
    <col min="3" max="3" width="32.88671875" customWidth="1"/>
    <col min="4" max="26" width="8.6640625" customWidth="1"/>
  </cols>
  <sheetData>
    <row r="1" spans="1:3" ht="14.25" customHeight="1">
      <c r="A1" s="1" t="s">
        <v>350</v>
      </c>
      <c r="B1" s="1" t="s">
        <v>351</v>
      </c>
      <c r="C1" s="1" t="s">
        <v>352</v>
      </c>
    </row>
    <row r="2" spans="1:3" ht="14.25" customHeight="1">
      <c r="A2" s="1" t="s">
        <v>141</v>
      </c>
      <c r="B2" s="1"/>
      <c r="C2" s="1"/>
    </row>
    <row r="3" spans="1:3" ht="14.25" customHeight="1">
      <c r="A3" s="1" t="s">
        <v>149</v>
      </c>
      <c r="B3" s="1"/>
      <c r="C3" s="1"/>
    </row>
    <row r="4" spans="1:3" ht="14.25" customHeight="1">
      <c r="A4" s="1" t="s">
        <v>159</v>
      </c>
      <c r="B4" s="1"/>
      <c r="C4" s="1"/>
    </row>
    <row r="5" spans="1:3" ht="14.25" customHeight="1">
      <c r="A5" s="1" t="s">
        <v>183</v>
      </c>
      <c r="B5" s="1"/>
      <c r="C5" s="1"/>
    </row>
    <row r="6" spans="1:3" ht="14.25" customHeight="1">
      <c r="A6" s="1" t="s">
        <v>166</v>
      </c>
      <c r="B6" s="1"/>
      <c r="C6" s="1"/>
    </row>
    <row r="7" spans="1:3" ht="14.25" customHeight="1">
      <c r="A7" s="1" t="s">
        <v>204</v>
      </c>
      <c r="B7" s="1"/>
      <c r="C7" s="1"/>
    </row>
    <row r="8" spans="1:3" ht="14.25" customHeight="1">
      <c r="A8" s="1"/>
      <c r="B8" s="1"/>
      <c r="C8" s="1"/>
    </row>
    <row r="9" spans="1:3" ht="14.25" customHeight="1">
      <c r="A9" s="1"/>
      <c r="B9" s="1"/>
      <c r="C9" s="1"/>
    </row>
    <row r="10" spans="1:3" ht="14.25" customHeight="1">
      <c r="A10" s="1"/>
      <c r="B10" s="1"/>
      <c r="C10" s="1"/>
    </row>
    <row r="11" spans="1:3" ht="14.25" customHeight="1">
      <c r="A11" s="1"/>
      <c r="B11" s="1"/>
      <c r="C11" s="1"/>
    </row>
    <row r="12" spans="1:3" ht="14.25" customHeight="1">
      <c r="A12" s="1"/>
      <c r="B12" s="1"/>
      <c r="C12" s="1"/>
    </row>
    <row r="13" spans="1:3" ht="14.25" customHeight="1">
      <c r="A13" s="1"/>
      <c r="B13" s="1"/>
      <c r="C13" s="1"/>
    </row>
    <row r="14" spans="1:3" ht="14.25" customHeight="1">
      <c r="A14" s="1"/>
      <c r="B14" s="1"/>
      <c r="C14" s="1"/>
    </row>
    <row r="15" spans="1:3" ht="14.25" customHeight="1">
      <c r="A15" s="1"/>
      <c r="B15" s="1"/>
      <c r="C15" s="1"/>
    </row>
    <row r="16" spans="1:3" ht="14.25" customHeight="1">
      <c r="A16" s="1"/>
      <c r="B16" s="1"/>
      <c r="C16" s="1"/>
    </row>
    <row r="17" spans="1:3" ht="14.25" customHeight="1">
      <c r="A17" s="1"/>
      <c r="B17" s="1"/>
      <c r="C17" s="1"/>
    </row>
    <row r="18" spans="1:3" ht="14.25" customHeight="1">
      <c r="A18" s="1"/>
      <c r="B18" s="1"/>
      <c r="C18" s="1"/>
    </row>
    <row r="19" spans="1:3" ht="14.25" customHeight="1">
      <c r="A19" s="1"/>
      <c r="B19" s="1"/>
      <c r="C19" s="1"/>
    </row>
    <row r="20" spans="1:3" ht="14.25" customHeight="1">
      <c r="A20" s="1"/>
      <c r="B20" s="1"/>
      <c r="C20" s="1"/>
    </row>
    <row r="21" spans="1:3" ht="14.25" customHeight="1">
      <c r="A21" s="1"/>
      <c r="B21" s="1"/>
      <c r="C21" s="1"/>
    </row>
    <row r="22" spans="1:3" ht="14.25" customHeight="1">
      <c r="A22" s="1"/>
      <c r="B22" s="1"/>
      <c r="C22" s="1"/>
    </row>
    <row r="23" spans="1:3" ht="14.25" customHeight="1">
      <c r="A23" s="1"/>
      <c r="B23" s="1"/>
      <c r="C23" s="1"/>
    </row>
    <row r="24" spans="1:3" ht="14.25" customHeight="1">
      <c r="A24" s="1"/>
      <c r="B24" s="1"/>
      <c r="C24" s="1"/>
    </row>
    <row r="25" spans="1:3" ht="14.25" customHeight="1">
      <c r="A25" s="1"/>
      <c r="B25" s="1"/>
      <c r="C25" s="1"/>
    </row>
    <row r="26" spans="1:3" ht="14.25" customHeight="1">
      <c r="A26" s="1"/>
      <c r="B26" s="1"/>
      <c r="C26" s="1"/>
    </row>
    <row r="27" spans="1:3" ht="14.25" customHeight="1">
      <c r="A27" s="1"/>
      <c r="B27" s="1"/>
      <c r="C27" s="1"/>
    </row>
    <row r="28" spans="1:3" ht="14.25" customHeight="1">
      <c r="A28" s="1"/>
      <c r="B28" s="1"/>
      <c r="C28" s="1"/>
    </row>
    <row r="29" spans="1:3" ht="14.25" customHeight="1">
      <c r="A29" s="1"/>
      <c r="B29" s="1"/>
      <c r="C29" s="1"/>
    </row>
    <row r="30" spans="1:3" ht="14.25" customHeight="1">
      <c r="A30" s="1"/>
      <c r="B30" s="1"/>
      <c r="C30" s="1"/>
    </row>
    <row r="31" spans="1:3" ht="14.25" customHeight="1">
      <c r="A31" s="1"/>
      <c r="B31" s="1"/>
      <c r="C31" s="1"/>
    </row>
    <row r="32" spans="1:3" ht="14.25" customHeight="1">
      <c r="A32" s="1"/>
      <c r="B32" s="1"/>
      <c r="C32" s="1"/>
    </row>
    <row r="33" spans="1:3" ht="14.25" customHeight="1">
      <c r="A33" s="1"/>
      <c r="B33" s="1"/>
      <c r="C33" s="1"/>
    </row>
    <row r="34" spans="1:3" ht="14.25" customHeight="1">
      <c r="A34" s="1"/>
      <c r="B34" s="1"/>
      <c r="C34" s="1"/>
    </row>
    <row r="35" spans="1:3" ht="14.25" customHeight="1">
      <c r="A35" s="1"/>
      <c r="B35" s="1"/>
      <c r="C35" s="1"/>
    </row>
    <row r="36" spans="1:3" ht="14.25" customHeight="1">
      <c r="A36" s="1"/>
      <c r="B36" s="1"/>
      <c r="C36" s="1"/>
    </row>
    <row r="37" spans="1:3" ht="14.25" customHeight="1">
      <c r="A37" s="1"/>
      <c r="B37" s="1"/>
      <c r="C37" s="1"/>
    </row>
    <row r="38" spans="1:3" ht="14.25" customHeight="1">
      <c r="A38" s="1"/>
      <c r="B38" s="1"/>
      <c r="C38" s="1"/>
    </row>
    <row r="39" spans="1:3" ht="14.25" customHeight="1">
      <c r="A39" s="1"/>
      <c r="B39" s="1"/>
      <c r="C39" s="1"/>
    </row>
    <row r="40" spans="1:3" ht="14.25" customHeight="1">
      <c r="A40" s="1"/>
      <c r="B40" s="1"/>
      <c r="C40" s="1"/>
    </row>
    <row r="41" spans="1:3" ht="14.25" customHeight="1">
      <c r="A41" s="1"/>
      <c r="B41" s="1"/>
      <c r="C41" s="1"/>
    </row>
    <row r="42" spans="1:3" ht="14.25" customHeight="1">
      <c r="A42" s="1"/>
      <c r="B42" s="1"/>
      <c r="C42" s="1"/>
    </row>
    <row r="43" spans="1:3" ht="14.25" customHeight="1">
      <c r="A43" s="1"/>
      <c r="B43" s="1"/>
      <c r="C43" s="1"/>
    </row>
    <row r="44" spans="1:3" ht="14.25" customHeight="1">
      <c r="A44" s="1"/>
      <c r="B44" s="1"/>
      <c r="C44" s="1"/>
    </row>
    <row r="45" spans="1:3" ht="14.25" customHeight="1">
      <c r="A45" s="1"/>
      <c r="B45" s="1"/>
      <c r="C45" s="1"/>
    </row>
    <row r="46" spans="1:3" ht="14.25" customHeight="1">
      <c r="A46" s="1"/>
      <c r="B46" s="1"/>
      <c r="C46" s="1"/>
    </row>
    <row r="47" spans="1:3" ht="14.25" customHeight="1">
      <c r="A47" s="1"/>
      <c r="B47" s="1"/>
      <c r="C47" s="1"/>
    </row>
    <row r="48" spans="1:3" ht="14.25" customHeight="1">
      <c r="A48" s="1"/>
      <c r="B48" s="1"/>
      <c r="C48" s="1"/>
    </row>
    <row r="49" spans="1:3" ht="14.25" customHeight="1">
      <c r="A49" s="1"/>
      <c r="B49" s="1"/>
      <c r="C49" s="1"/>
    </row>
    <row r="50" spans="1:3" ht="14.25" customHeight="1">
      <c r="A50" s="1"/>
      <c r="B50" s="1"/>
      <c r="C50" s="1"/>
    </row>
    <row r="51" spans="1:3" ht="14.25" customHeight="1">
      <c r="A51" s="1"/>
      <c r="B51" s="1"/>
      <c r="C51" s="1"/>
    </row>
    <row r="52" spans="1:3" ht="14.25" customHeight="1">
      <c r="A52" s="1"/>
      <c r="B52" s="1"/>
      <c r="C52" s="1"/>
    </row>
    <row r="53" spans="1:3" ht="14.25" customHeight="1">
      <c r="A53" s="1"/>
      <c r="B53" s="1"/>
      <c r="C53" s="1"/>
    </row>
    <row r="54" spans="1:3" ht="14.25" customHeight="1">
      <c r="A54" s="1"/>
      <c r="B54" s="1"/>
      <c r="C54" s="1"/>
    </row>
    <row r="55" spans="1:3" ht="14.25" customHeight="1">
      <c r="A55" s="1"/>
      <c r="B55" s="1"/>
      <c r="C55" s="1"/>
    </row>
    <row r="56" spans="1:3" ht="14.25" customHeight="1">
      <c r="A56" s="1"/>
      <c r="B56" s="1"/>
      <c r="C56" s="1"/>
    </row>
    <row r="57" spans="1:3" ht="14.25" customHeight="1">
      <c r="A57" s="1"/>
      <c r="B57" s="1"/>
      <c r="C57" s="1"/>
    </row>
    <row r="58" spans="1:3" ht="14.25" customHeight="1">
      <c r="A58" s="1"/>
      <c r="B58" s="1"/>
      <c r="C58" s="1"/>
    </row>
    <row r="59" spans="1:3" ht="14.25" customHeight="1">
      <c r="A59" s="1"/>
      <c r="B59" s="1"/>
      <c r="C59" s="1"/>
    </row>
    <row r="60" spans="1:3" ht="14.25" customHeight="1">
      <c r="A60" s="1"/>
      <c r="B60" s="1"/>
      <c r="C60" s="1"/>
    </row>
    <row r="61" spans="1:3" ht="14.25" customHeight="1">
      <c r="A61" s="1"/>
      <c r="B61" s="1"/>
      <c r="C61" s="1"/>
    </row>
    <row r="62" spans="1:3" ht="14.25" customHeight="1">
      <c r="A62" s="1"/>
      <c r="B62" s="1"/>
      <c r="C62" s="1"/>
    </row>
    <row r="63" spans="1:3" ht="14.25" customHeight="1">
      <c r="A63" s="1"/>
      <c r="B63" s="1"/>
      <c r="C63" s="1"/>
    </row>
    <row r="64" spans="1:3" ht="14.25" customHeight="1">
      <c r="A64" s="1"/>
      <c r="B64" s="1"/>
      <c r="C64" s="1"/>
    </row>
    <row r="65" spans="1:3" ht="14.25" customHeight="1">
      <c r="A65" s="1"/>
      <c r="B65" s="1"/>
      <c r="C65" s="1"/>
    </row>
    <row r="66" spans="1:3" ht="14.25" customHeight="1">
      <c r="A66" s="1"/>
      <c r="B66" s="1"/>
      <c r="C66" s="1"/>
    </row>
    <row r="67" spans="1:3" ht="14.25" customHeight="1">
      <c r="A67" s="1"/>
      <c r="B67" s="1"/>
      <c r="C67" s="1"/>
    </row>
    <row r="68" spans="1:3" ht="14.25" customHeight="1">
      <c r="A68" s="1"/>
      <c r="B68" s="1"/>
      <c r="C68" s="1"/>
    </row>
    <row r="69" spans="1:3" ht="14.25" customHeight="1">
      <c r="A69" s="1"/>
      <c r="B69" s="1"/>
      <c r="C69" s="1"/>
    </row>
    <row r="70" spans="1:3" ht="14.25" customHeight="1">
      <c r="A70" s="1"/>
      <c r="B70" s="1"/>
      <c r="C70" s="1"/>
    </row>
    <row r="71" spans="1:3" ht="14.25" customHeight="1">
      <c r="A71" s="1"/>
      <c r="B71" s="1"/>
      <c r="C71" s="1"/>
    </row>
    <row r="72" spans="1:3" ht="14.25" customHeight="1">
      <c r="A72" s="1"/>
      <c r="B72" s="1"/>
      <c r="C72" s="1"/>
    </row>
    <row r="73" spans="1:3" ht="14.25" customHeight="1">
      <c r="A73" s="1"/>
      <c r="B73" s="1"/>
      <c r="C73" s="1"/>
    </row>
    <row r="74" spans="1:3" ht="14.25" customHeight="1">
      <c r="A74" s="1"/>
      <c r="B74" s="1"/>
      <c r="C74" s="1"/>
    </row>
    <row r="75" spans="1:3" ht="14.25" customHeight="1">
      <c r="A75" s="1"/>
      <c r="B75" s="1"/>
      <c r="C75" s="1"/>
    </row>
    <row r="76" spans="1:3" ht="14.25" customHeight="1">
      <c r="A76" s="1"/>
      <c r="B76" s="1"/>
      <c r="C76" s="1"/>
    </row>
    <row r="77" spans="1:3" ht="14.25" customHeight="1">
      <c r="A77" s="1"/>
      <c r="B77" s="1"/>
      <c r="C77" s="1"/>
    </row>
    <row r="78" spans="1:3" ht="14.25" customHeight="1">
      <c r="A78" s="1"/>
      <c r="B78" s="1"/>
      <c r="C78" s="1"/>
    </row>
    <row r="79" spans="1:3" ht="14.25" customHeight="1">
      <c r="A79" s="1"/>
      <c r="B79" s="1"/>
      <c r="C79" s="1"/>
    </row>
    <row r="80" spans="1:3" ht="14.25" customHeight="1">
      <c r="A80" s="1"/>
      <c r="B80" s="1"/>
      <c r="C80" s="1"/>
    </row>
    <row r="81" spans="1:3" ht="14.25" customHeight="1">
      <c r="A81" s="1"/>
      <c r="B81" s="1"/>
      <c r="C81" s="1"/>
    </row>
    <row r="82" spans="1:3" ht="14.25" customHeight="1">
      <c r="A82" s="1"/>
      <c r="B82" s="1"/>
      <c r="C82" s="1"/>
    </row>
    <row r="83" spans="1:3" ht="14.25" customHeight="1">
      <c r="A83" s="1"/>
      <c r="B83" s="1"/>
      <c r="C83" s="1"/>
    </row>
    <row r="84" spans="1:3" ht="14.25" customHeight="1">
      <c r="A84" s="1"/>
      <c r="B84" s="1"/>
      <c r="C84" s="1"/>
    </row>
    <row r="85" spans="1:3" ht="14.25" customHeight="1">
      <c r="A85" s="1"/>
      <c r="B85" s="1"/>
      <c r="C85" s="1"/>
    </row>
    <row r="86" spans="1:3" ht="14.25" customHeight="1">
      <c r="A86" s="1"/>
      <c r="B86" s="1"/>
      <c r="C86" s="1"/>
    </row>
    <row r="87" spans="1:3" ht="14.25" customHeight="1">
      <c r="A87" s="1"/>
      <c r="B87" s="1"/>
      <c r="C87" s="1"/>
    </row>
    <row r="88" spans="1:3" ht="14.25" customHeight="1">
      <c r="A88" s="1"/>
      <c r="B88" s="1"/>
      <c r="C88" s="1"/>
    </row>
    <row r="89" spans="1:3" ht="14.25" customHeight="1">
      <c r="A89" s="1"/>
      <c r="B89" s="1"/>
      <c r="C89" s="1"/>
    </row>
    <row r="90" spans="1:3" ht="14.25" customHeight="1">
      <c r="A90" s="1"/>
      <c r="B90" s="1"/>
      <c r="C90" s="1"/>
    </row>
    <row r="91" spans="1:3" ht="14.25" customHeight="1">
      <c r="A91" s="1"/>
      <c r="B91" s="1"/>
      <c r="C91" s="1"/>
    </row>
    <row r="92" spans="1:3" ht="14.25" customHeight="1">
      <c r="A92" s="1"/>
      <c r="B92" s="1"/>
      <c r="C92" s="1"/>
    </row>
    <row r="93" spans="1:3" ht="14.25" customHeight="1">
      <c r="A93" s="1"/>
      <c r="B93" s="1"/>
      <c r="C93" s="1"/>
    </row>
    <row r="94" spans="1:3" ht="14.25" customHeight="1">
      <c r="A94" s="1"/>
      <c r="B94" s="1"/>
      <c r="C94" s="1"/>
    </row>
    <row r="95" spans="1:3" ht="14.25" customHeight="1">
      <c r="A95" s="1"/>
      <c r="B95" s="1"/>
      <c r="C95" s="1"/>
    </row>
    <row r="96" spans="1:3" ht="14.25" customHeight="1">
      <c r="A96" s="1"/>
      <c r="B96" s="1"/>
      <c r="C96" s="1"/>
    </row>
    <row r="97" spans="1:3" ht="14.25" customHeight="1">
      <c r="A97" s="1"/>
      <c r="B97" s="1"/>
      <c r="C97" s="1"/>
    </row>
    <row r="98" spans="1:3" ht="14.25" customHeight="1">
      <c r="A98" s="1"/>
      <c r="B98" s="1"/>
      <c r="C98" s="1"/>
    </row>
    <row r="99" spans="1:3" ht="14.25" customHeight="1">
      <c r="A99" s="1"/>
      <c r="B99" s="1"/>
      <c r="C99" s="1"/>
    </row>
    <row r="100" spans="1:3" ht="14.25" customHeight="1">
      <c r="A100" s="1"/>
      <c r="B100" s="1"/>
      <c r="C100" s="1"/>
    </row>
    <row r="101" spans="1:3" ht="14.25" customHeight="1">
      <c r="A101" s="1"/>
      <c r="B101" s="1"/>
      <c r="C101" s="1"/>
    </row>
    <row r="102" spans="1:3" ht="14.25" customHeight="1">
      <c r="A102" s="1"/>
      <c r="B102" s="1"/>
      <c r="C102" s="1"/>
    </row>
    <row r="103" spans="1:3" ht="14.25" customHeight="1">
      <c r="A103" s="1"/>
      <c r="B103" s="1"/>
      <c r="C103" s="1"/>
    </row>
    <row r="104" spans="1:3" ht="14.25" customHeight="1">
      <c r="A104" s="1"/>
      <c r="B104" s="1"/>
      <c r="C104" s="1"/>
    </row>
    <row r="105" spans="1:3" ht="14.25" customHeight="1">
      <c r="A105" s="1"/>
      <c r="B105" s="1"/>
      <c r="C105" s="1"/>
    </row>
    <row r="106" spans="1:3" ht="14.25" customHeight="1">
      <c r="A106" s="1"/>
      <c r="B106" s="1"/>
      <c r="C106" s="1"/>
    </row>
    <row r="107" spans="1:3" ht="14.25" customHeight="1">
      <c r="A107" s="1"/>
      <c r="B107" s="1"/>
      <c r="C107" s="1"/>
    </row>
    <row r="108" spans="1:3" ht="14.25" customHeight="1">
      <c r="A108" s="1"/>
      <c r="B108" s="1"/>
      <c r="C108" s="1"/>
    </row>
    <row r="109" spans="1:3" ht="14.25" customHeight="1">
      <c r="A109" s="1"/>
      <c r="B109" s="1"/>
      <c r="C109" s="1"/>
    </row>
    <row r="110" spans="1:3" ht="14.25" customHeight="1">
      <c r="A110" s="1"/>
      <c r="B110" s="1"/>
      <c r="C110" s="1"/>
    </row>
    <row r="111" spans="1:3" ht="14.25" customHeight="1">
      <c r="A111" s="1"/>
      <c r="B111" s="1"/>
      <c r="C111" s="1"/>
    </row>
    <row r="112" spans="1:3" ht="14.25" customHeight="1">
      <c r="A112" s="1"/>
      <c r="B112" s="1"/>
      <c r="C112" s="1"/>
    </row>
    <row r="113" spans="1:3" ht="14.25" customHeight="1">
      <c r="A113" s="1"/>
      <c r="B113" s="1"/>
      <c r="C113" s="1"/>
    </row>
    <row r="114" spans="1:3" ht="14.25" customHeight="1">
      <c r="A114" s="1"/>
      <c r="B114" s="1"/>
      <c r="C114" s="1"/>
    </row>
    <row r="115" spans="1:3" ht="14.25" customHeight="1">
      <c r="A115" s="1"/>
      <c r="B115" s="1"/>
      <c r="C115" s="1"/>
    </row>
    <row r="116" spans="1:3" ht="14.25" customHeight="1">
      <c r="A116" s="1"/>
      <c r="B116" s="1"/>
      <c r="C116" s="1"/>
    </row>
    <row r="117" spans="1:3" ht="14.25" customHeight="1">
      <c r="A117" s="1"/>
      <c r="B117" s="1"/>
      <c r="C117" s="1"/>
    </row>
    <row r="118" spans="1:3" ht="14.25" customHeight="1">
      <c r="A118" s="1"/>
      <c r="B118" s="1"/>
      <c r="C118" s="1"/>
    </row>
    <row r="119" spans="1:3" ht="14.25" customHeight="1">
      <c r="A119" s="1"/>
      <c r="B119" s="1"/>
      <c r="C119" s="1"/>
    </row>
    <row r="120" spans="1:3" ht="14.25" customHeight="1">
      <c r="A120" s="1"/>
      <c r="B120" s="1"/>
      <c r="C120" s="1"/>
    </row>
    <row r="121" spans="1:3" ht="14.25" customHeight="1">
      <c r="A121" s="1"/>
      <c r="B121" s="1"/>
      <c r="C121" s="1"/>
    </row>
    <row r="122" spans="1:3" ht="14.25" customHeight="1">
      <c r="A122" s="1"/>
      <c r="B122" s="1"/>
      <c r="C122" s="1"/>
    </row>
    <row r="123" spans="1:3" ht="14.25" customHeight="1">
      <c r="A123" s="1"/>
      <c r="B123" s="1"/>
      <c r="C123" s="1"/>
    </row>
    <row r="124" spans="1:3" ht="14.25" customHeight="1">
      <c r="A124" s="1"/>
      <c r="B124" s="1"/>
      <c r="C124" s="1"/>
    </row>
    <row r="125" spans="1:3" ht="14.25" customHeight="1">
      <c r="A125" s="1"/>
      <c r="B125" s="1"/>
      <c r="C125" s="1"/>
    </row>
    <row r="126" spans="1:3" ht="14.25" customHeight="1">
      <c r="A126" s="1"/>
      <c r="B126" s="1"/>
      <c r="C126" s="1"/>
    </row>
    <row r="127" spans="1:3" ht="14.25" customHeight="1">
      <c r="A127" s="1"/>
      <c r="B127" s="1"/>
      <c r="C127" s="1"/>
    </row>
    <row r="128" spans="1:3" ht="14.25" customHeight="1">
      <c r="A128" s="1"/>
      <c r="B128" s="1"/>
      <c r="C128" s="1"/>
    </row>
    <row r="129" spans="1:3" ht="14.25" customHeight="1">
      <c r="A129" s="1"/>
      <c r="B129" s="1"/>
      <c r="C129" s="1"/>
    </row>
    <row r="130" spans="1:3" ht="14.25" customHeight="1">
      <c r="A130" s="1"/>
      <c r="B130" s="1"/>
      <c r="C130" s="1"/>
    </row>
    <row r="131" spans="1:3" ht="14.25" customHeight="1">
      <c r="A131" s="1"/>
      <c r="B131" s="1"/>
      <c r="C131" s="1"/>
    </row>
    <row r="132" spans="1:3" ht="14.25" customHeight="1">
      <c r="A132" s="1"/>
      <c r="B132" s="1"/>
      <c r="C132" s="1"/>
    </row>
    <row r="133" spans="1:3" ht="14.25" customHeight="1">
      <c r="A133" s="1"/>
      <c r="B133" s="1"/>
      <c r="C133" s="1"/>
    </row>
    <row r="134" spans="1:3" ht="14.25" customHeight="1">
      <c r="A134" s="1"/>
      <c r="B134" s="1"/>
      <c r="C134" s="1"/>
    </row>
    <row r="135" spans="1:3" ht="14.25" customHeight="1">
      <c r="A135" s="1"/>
      <c r="B135" s="1"/>
      <c r="C135" s="1"/>
    </row>
    <row r="136" spans="1:3" ht="14.25" customHeight="1">
      <c r="A136" s="1"/>
      <c r="B136" s="1"/>
      <c r="C136" s="1"/>
    </row>
    <row r="137" spans="1:3" ht="14.25" customHeight="1">
      <c r="A137" s="1"/>
      <c r="B137" s="1"/>
      <c r="C137" s="1"/>
    </row>
    <row r="138" spans="1:3" ht="14.25" customHeight="1">
      <c r="A138" s="1"/>
      <c r="B138" s="1"/>
      <c r="C138" s="1"/>
    </row>
    <row r="139" spans="1:3" ht="14.25" customHeight="1">
      <c r="A139" s="1"/>
      <c r="B139" s="1"/>
      <c r="C139" s="1"/>
    </row>
    <row r="140" spans="1:3" ht="14.25" customHeight="1">
      <c r="A140" s="1"/>
      <c r="B140" s="1"/>
      <c r="C140" s="1"/>
    </row>
    <row r="141" spans="1:3" ht="14.25" customHeight="1">
      <c r="A141" s="1"/>
      <c r="B141" s="1"/>
      <c r="C141" s="1"/>
    </row>
    <row r="142" spans="1:3" ht="14.25" customHeight="1">
      <c r="A142" s="1"/>
      <c r="B142" s="1"/>
      <c r="C142" s="1"/>
    </row>
    <row r="143" spans="1:3" ht="14.25" customHeight="1">
      <c r="A143" s="1"/>
      <c r="B143" s="1"/>
      <c r="C143" s="1"/>
    </row>
    <row r="144" spans="1:3" ht="14.25" customHeight="1">
      <c r="A144" s="1"/>
      <c r="B144" s="1"/>
      <c r="C144" s="1"/>
    </row>
    <row r="145" spans="1:3" ht="14.25" customHeight="1">
      <c r="A145" s="1"/>
      <c r="B145" s="1"/>
      <c r="C145" s="1"/>
    </row>
    <row r="146" spans="1:3" ht="14.25" customHeight="1">
      <c r="A146" s="1"/>
      <c r="B146" s="1"/>
      <c r="C146" s="1"/>
    </row>
    <row r="147" spans="1:3" ht="14.25" customHeight="1">
      <c r="A147" s="1"/>
      <c r="B147" s="1"/>
      <c r="C147" s="1"/>
    </row>
    <row r="148" spans="1:3" ht="14.25" customHeight="1">
      <c r="A148" s="1"/>
      <c r="B148" s="1"/>
      <c r="C148" s="1"/>
    </row>
    <row r="149" spans="1:3" ht="14.25" customHeight="1">
      <c r="A149" s="1"/>
      <c r="B149" s="1"/>
      <c r="C149" s="1"/>
    </row>
    <row r="150" spans="1:3" ht="14.25" customHeight="1">
      <c r="A150" s="1"/>
      <c r="B150" s="1"/>
      <c r="C150" s="1"/>
    </row>
    <row r="151" spans="1:3" ht="14.25" customHeight="1">
      <c r="A151" s="1"/>
      <c r="B151" s="1"/>
      <c r="C151" s="1"/>
    </row>
    <row r="152" spans="1:3" ht="14.25" customHeight="1">
      <c r="A152" s="1"/>
      <c r="B152" s="1"/>
      <c r="C152" s="1"/>
    </row>
    <row r="153" spans="1:3" ht="14.25" customHeight="1">
      <c r="A153" s="1"/>
      <c r="B153" s="1"/>
      <c r="C153" s="1"/>
    </row>
    <row r="154" spans="1:3" ht="14.25" customHeight="1">
      <c r="A154" s="1"/>
      <c r="B154" s="1"/>
      <c r="C154" s="1"/>
    </row>
    <row r="155" spans="1:3" ht="14.25" customHeight="1">
      <c r="A155" s="1"/>
      <c r="B155" s="1"/>
      <c r="C155" s="1"/>
    </row>
    <row r="156" spans="1:3" ht="14.25" customHeight="1">
      <c r="A156" s="1"/>
      <c r="B156" s="1"/>
      <c r="C156" s="1"/>
    </row>
    <row r="157" spans="1:3" ht="14.25" customHeight="1">
      <c r="A157" s="1"/>
      <c r="B157" s="1"/>
      <c r="C157" s="1"/>
    </row>
    <row r="158" spans="1:3" ht="14.25" customHeight="1">
      <c r="A158" s="1"/>
      <c r="B158" s="1"/>
      <c r="C158" s="1"/>
    </row>
    <row r="159" spans="1:3" ht="14.25" customHeight="1">
      <c r="A159" s="1"/>
      <c r="B159" s="1"/>
      <c r="C159" s="1"/>
    </row>
    <row r="160" spans="1:3" ht="14.25" customHeight="1">
      <c r="A160" s="1"/>
      <c r="B160" s="1"/>
      <c r="C160" s="1"/>
    </row>
    <row r="161" spans="1:3" ht="14.25" customHeight="1">
      <c r="A161" s="1"/>
      <c r="B161" s="1"/>
      <c r="C161" s="1"/>
    </row>
    <row r="162" spans="1:3" ht="14.25" customHeight="1">
      <c r="A162" s="1"/>
      <c r="B162" s="1"/>
      <c r="C162" s="1"/>
    </row>
    <row r="163" spans="1:3" ht="14.25" customHeight="1">
      <c r="A163" s="1"/>
      <c r="B163" s="1"/>
      <c r="C163" s="1"/>
    </row>
    <row r="164" spans="1:3" ht="14.25" customHeight="1">
      <c r="A164" s="1"/>
      <c r="B164" s="1"/>
      <c r="C164" s="1"/>
    </row>
    <row r="165" spans="1:3" ht="14.25" customHeight="1">
      <c r="A165" s="1"/>
      <c r="B165" s="1"/>
      <c r="C165" s="1"/>
    </row>
    <row r="166" spans="1:3" ht="14.25" customHeight="1">
      <c r="A166" s="1"/>
      <c r="B166" s="1"/>
      <c r="C166" s="1"/>
    </row>
    <row r="167" spans="1:3" ht="14.25" customHeight="1">
      <c r="A167" s="1"/>
      <c r="B167" s="1"/>
      <c r="C167" s="1"/>
    </row>
    <row r="168" spans="1:3" ht="14.25" customHeight="1">
      <c r="A168" s="1"/>
      <c r="B168" s="1"/>
      <c r="C168" s="1"/>
    </row>
    <row r="169" spans="1:3" ht="14.25" customHeight="1">
      <c r="A169" s="1"/>
      <c r="B169" s="1"/>
      <c r="C169" s="1"/>
    </row>
    <row r="170" spans="1:3" ht="14.25" customHeight="1">
      <c r="A170" s="1"/>
      <c r="B170" s="1"/>
      <c r="C170" s="1"/>
    </row>
    <row r="171" spans="1:3" ht="14.25" customHeight="1">
      <c r="A171" s="1"/>
      <c r="B171" s="1"/>
      <c r="C171" s="1"/>
    </row>
    <row r="172" spans="1:3" ht="14.25" customHeight="1">
      <c r="A172" s="1"/>
      <c r="B172" s="1"/>
      <c r="C172" s="1"/>
    </row>
    <row r="173" spans="1:3" ht="14.25" customHeight="1">
      <c r="A173" s="1"/>
      <c r="B173" s="1"/>
      <c r="C173" s="1"/>
    </row>
    <row r="174" spans="1:3" ht="14.25" customHeight="1">
      <c r="A174" s="1"/>
      <c r="B174" s="1"/>
      <c r="C174" s="1"/>
    </row>
    <row r="175" spans="1:3" ht="14.25" customHeight="1">
      <c r="A175" s="1"/>
      <c r="B175" s="1"/>
      <c r="C175" s="1"/>
    </row>
    <row r="176" spans="1:3" ht="14.25" customHeight="1">
      <c r="A176" s="1"/>
      <c r="B176" s="1"/>
      <c r="C176" s="1"/>
    </row>
    <row r="177" spans="1:3" ht="14.25" customHeight="1">
      <c r="A177" s="1"/>
      <c r="B177" s="1"/>
      <c r="C177" s="1"/>
    </row>
    <row r="178" spans="1:3" ht="14.25" customHeight="1">
      <c r="A178" s="1"/>
      <c r="B178" s="1"/>
      <c r="C178" s="1"/>
    </row>
    <row r="179" spans="1:3" ht="14.25" customHeight="1">
      <c r="A179" s="1"/>
      <c r="B179" s="1"/>
      <c r="C179" s="1"/>
    </row>
    <row r="180" spans="1:3" ht="14.25" customHeight="1">
      <c r="A180" s="1"/>
      <c r="B180" s="1"/>
      <c r="C180" s="1"/>
    </row>
    <row r="181" spans="1:3" ht="14.25" customHeight="1">
      <c r="A181" s="1"/>
      <c r="B181" s="1"/>
      <c r="C181" s="1"/>
    </row>
    <row r="182" spans="1:3" ht="14.25" customHeight="1">
      <c r="A182" s="1"/>
      <c r="B182" s="1"/>
      <c r="C182" s="1"/>
    </row>
    <row r="183" spans="1:3" ht="14.25" customHeight="1">
      <c r="A183" s="1"/>
      <c r="B183" s="1"/>
      <c r="C183" s="1"/>
    </row>
    <row r="184" spans="1:3" ht="14.25" customHeight="1">
      <c r="A184" s="1"/>
      <c r="B184" s="1"/>
      <c r="C184" s="1"/>
    </row>
    <row r="185" spans="1:3" ht="14.25" customHeight="1">
      <c r="A185" s="1"/>
      <c r="B185" s="1"/>
      <c r="C185" s="1"/>
    </row>
    <row r="186" spans="1:3" ht="14.25" customHeight="1">
      <c r="A186" s="1"/>
      <c r="B186" s="1"/>
      <c r="C186" s="1"/>
    </row>
    <row r="187" spans="1:3" ht="14.25" customHeight="1">
      <c r="A187" s="1"/>
      <c r="B187" s="1"/>
      <c r="C187" s="1"/>
    </row>
    <row r="188" spans="1:3" ht="14.25" customHeight="1">
      <c r="A188" s="1"/>
      <c r="B188" s="1"/>
      <c r="C188" s="1"/>
    </row>
    <row r="189" spans="1:3" ht="14.25" customHeight="1">
      <c r="A189" s="1"/>
      <c r="B189" s="1"/>
      <c r="C189" s="1"/>
    </row>
    <row r="190" spans="1:3" ht="14.25" customHeight="1">
      <c r="A190" s="1"/>
      <c r="B190" s="1"/>
      <c r="C190" s="1"/>
    </row>
    <row r="191" spans="1:3" ht="14.25" customHeight="1">
      <c r="A191" s="1"/>
      <c r="B191" s="1"/>
      <c r="C191" s="1"/>
    </row>
    <row r="192" spans="1:3" ht="14.25" customHeight="1">
      <c r="A192" s="1"/>
      <c r="B192" s="1"/>
      <c r="C192" s="1"/>
    </row>
    <row r="193" spans="1:3" ht="14.25" customHeight="1">
      <c r="A193" s="1"/>
      <c r="B193" s="1"/>
      <c r="C193" s="1"/>
    </row>
    <row r="194" spans="1:3" ht="14.25" customHeight="1">
      <c r="A194" s="1"/>
      <c r="B194" s="1"/>
      <c r="C194" s="1"/>
    </row>
    <row r="195" spans="1:3" ht="14.25" customHeight="1">
      <c r="A195" s="1"/>
      <c r="B195" s="1"/>
      <c r="C195" s="1"/>
    </row>
    <row r="196" spans="1:3" ht="14.25" customHeight="1">
      <c r="A196" s="1"/>
      <c r="B196" s="1"/>
      <c r="C196" s="1"/>
    </row>
    <row r="197" spans="1:3" ht="14.25" customHeight="1">
      <c r="A197" s="1"/>
      <c r="B197" s="1"/>
      <c r="C197" s="1"/>
    </row>
    <row r="198" spans="1:3" ht="14.25" customHeight="1">
      <c r="A198" s="1"/>
      <c r="B198" s="1"/>
      <c r="C198" s="1"/>
    </row>
    <row r="199" spans="1:3" ht="14.25" customHeight="1">
      <c r="A199" s="1"/>
      <c r="B199" s="1"/>
      <c r="C199" s="1"/>
    </row>
    <row r="200" spans="1:3" ht="14.25" customHeight="1">
      <c r="A200" s="1"/>
      <c r="B200" s="1"/>
      <c r="C200" s="1"/>
    </row>
    <row r="201" spans="1:3" ht="14.25" customHeight="1">
      <c r="A201" s="1"/>
      <c r="B201" s="1"/>
      <c r="C201" s="1"/>
    </row>
    <row r="202" spans="1:3" ht="14.25" customHeight="1">
      <c r="A202" s="1"/>
      <c r="B202" s="1"/>
      <c r="C202" s="1"/>
    </row>
    <row r="203" spans="1:3" ht="14.25" customHeight="1">
      <c r="A203" s="1"/>
      <c r="B203" s="1"/>
      <c r="C203" s="1"/>
    </row>
    <row r="204" spans="1:3" ht="14.25" customHeight="1">
      <c r="A204" s="1"/>
      <c r="B204" s="1"/>
      <c r="C204" s="1"/>
    </row>
    <row r="205" spans="1:3" ht="14.25" customHeight="1">
      <c r="A205" s="1"/>
      <c r="B205" s="1"/>
      <c r="C205" s="1"/>
    </row>
    <row r="206" spans="1:3" ht="14.25" customHeight="1">
      <c r="A206" s="1"/>
      <c r="B206" s="1"/>
      <c r="C206" s="1"/>
    </row>
    <row r="207" spans="1:3" ht="14.25" customHeight="1">
      <c r="A207" s="1"/>
      <c r="B207" s="1"/>
      <c r="C207" s="1"/>
    </row>
    <row r="208" spans="1:3" ht="14.25" customHeight="1">
      <c r="A208" s="1"/>
      <c r="B208" s="1"/>
      <c r="C208" s="1"/>
    </row>
    <row r="209" spans="1:3" ht="14.25" customHeight="1">
      <c r="A209" s="1"/>
      <c r="B209" s="1"/>
      <c r="C209" s="1"/>
    </row>
    <row r="210" spans="1:3" ht="14.25" customHeight="1">
      <c r="A210" s="1"/>
      <c r="B210" s="1"/>
      <c r="C210" s="1"/>
    </row>
    <row r="211" spans="1:3" ht="14.25" customHeight="1">
      <c r="A211" s="1"/>
      <c r="B211" s="1"/>
      <c r="C211" s="1"/>
    </row>
    <row r="212" spans="1:3" ht="14.25" customHeight="1">
      <c r="A212" s="1"/>
      <c r="B212" s="1"/>
      <c r="C212" s="1"/>
    </row>
    <row r="213" spans="1:3" ht="14.25" customHeight="1">
      <c r="A213" s="1"/>
      <c r="B213" s="1"/>
      <c r="C213" s="1"/>
    </row>
    <row r="214" spans="1:3" ht="14.25" customHeight="1">
      <c r="A214" s="1"/>
      <c r="B214" s="1"/>
      <c r="C214" s="1"/>
    </row>
    <row r="215" spans="1:3" ht="14.25" customHeight="1">
      <c r="A215" s="1"/>
      <c r="B215" s="1"/>
      <c r="C215" s="1"/>
    </row>
    <row r="216" spans="1:3" ht="14.25" customHeight="1">
      <c r="A216" s="1"/>
      <c r="B216" s="1"/>
      <c r="C216" s="1"/>
    </row>
    <row r="217" spans="1:3" ht="14.25" customHeight="1">
      <c r="A217" s="1"/>
      <c r="B217" s="1"/>
      <c r="C217" s="1"/>
    </row>
    <row r="218" spans="1:3" ht="14.25" customHeight="1">
      <c r="A218" s="1"/>
      <c r="B218" s="1"/>
      <c r="C218" s="1"/>
    </row>
    <row r="219" spans="1:3" ht="14.25" customHeight="1">
      <c r="A219" s="1"/>
      <c r="B219" s="1"/>
      <c r="C219" s="1"/>
    </row>
    <row r="220" spans="1:3" ht="14.25" customHeight="1">
      <c r="A220" s="1"/>
      <c r="B220" s="1"/>
      <c r="C220" s="1"/>
    </row>
    <row r="221" spans="1:3" ht="14.25" customHeight="1">
      <c r="A221" s="1"/>
      <c r="B221" s="1"/>
      <c r="C221" s="1"/>
    </row>
    <row r="222" spans="1:3" ht="14.25" customHeight="1">
      <c r="A222" s="1"/>
      <c r="B222" s="1"/>
      <c r="C222" s="1"/>
    </row>
    <row r="223" spans="1:3" ht="14.25" customHeight="1">
      <c r="A223" s="1"/>
      <c r="B223" s="1"/>
      <c r="C223" s="1"/>
    </row>
    <row r="224" spans="1:3" ht="14.25" customHeight="1">
      <c r="A224" s="1"/>
      <c r="B224" s="1"/>
      <c r="C224" s="1"/>
    </row>
    <row r="225" spans="1:3" ht="14.25" customHeight="1">
      <c r="A225" s="1"/>
      <c r="B225" s="1"/>
      <c r="C225" s="1"/>
    </row>
    <row r="226" spans="1:3" ht="14.25" customHeight="1">
      <c r="A226" s="1"/>
      <c r="B226" s="1"/>
      <c r="C226" s="1"/>
    </row>
    <row r="227" spans="1:3" ht="14.25" customHeight="1">
      <c r="A227" s="1"/>
      <c r="B227" s="1"/>
      <c r="C227" s="1"/>
    </row>
    <row r="228" spans="1:3" ht="14.25" customHeight="1">
      <c r="A228" s="1"/>
      <c r="B228" s="1"/>
      <c r="C228" s="1"/>
    </row>
    <row r="229" spans="1:3" ht="14.25" customHeight="1">
      <c r="A229" s="1"/>
      <c r="B229" s="1"/>
      <c r="C229" s="1"/>
    </row>
    <row r="230" spans="1:3" ht="14.25" customHeight="1">
      <c r="A230" s="1"/>
      <c r="B230" s="1"/>
      <c r="C230" s="1"/>
    </row>
    <row r="231" spans="1:3" ht="14.25" customHeight="1">
      <c r="A231" s="1"/>
      <c r="B231" s="1"/>
      <c r="C231" s="1"/>
    </row>
    <row r="232" spans="1:3" ht="14.25" customHeight="1">
      <c r="A232" s="1"/>
      <c r="B232" s="1"/>
      <c r="C232" s="1"/>
    </row>
    <row r="233" spans="1:3" ht="14.25" customHeight="1">
      <c r="A233" s="1"/>
      <c r="B233" s="1"/>
      <c r="C233" s="1"/>
    </row>
    <row r="234" spans="1:3" ht="14.25" customHeight="1">
      <c r="A234" s="1"/>
      <c r="B234" s="1"/>
      <c r="C234" s="1"/>
    </row>
    <row r="235" spans="1:3" ht="14.25" customHeight="1">
      <c r="A235" s="1"/>
      <c r="B235" s="1"/>
      <c r="C235" s="1"/>
    </row>
    <row r="236" spans="1:3" ht="14.25" customHeight="1">
      <c r="A236" s="1"/>
      <c r="B236" s="1"/>
      <c r="C236" s="1"/>
    </row>
    <row r="237" spans="1:3" ht="14.25" customHeight="1">
      <c r="A237" s="1"/>
      <c r="B237" s="1"/>
      <c r="C237" s="1"/>
    </row>
    <row r="238" spans="1:3" ht="14.25" customHeight="1">
      <c r="A238" s="1"/>
      <c r="B238" s="1"/>
      <c r="C238" s="1"/>
    </row>
    <row r="239" spans="1:3" ht="14.25" customHeight="1">
      <c r="A239" s="1"/>
      <c r="B239" s="1"/>
      <c r="C239" s="1"/>
    </row>
    <row r="240" spans="1:3" ht="14.25" customHeight="1">
      <c r="A240" s="1"/>
      <c r="B240" s="1"/>
      <c r="C240" s="1"/>
    </row>
    <row r="241" spans="1:3" ht="14.25" customHeight="1">
      <c r="A241" s="1"/>
      <c r="B241" s="1"/>
      <c r="C241" s="1"/>
    </row>
    <row r="242" spans="1:3" ht="14.25" customHeight="1">
      <c r="A242" s="1"/>
      <c r="B242" s="1"/>
      <c r="C242" s="1"/>
    </row>
    <row r="243" spans="1:3" ht="14.25" customHeight="1">
      <c r="A243" s="1"/>
      <c r="B243" s="1"/>
      <c r="C243" s="1"/>
    </row>
    <row r="244" spans="1:3" ht="14.25" customHeight="1">
      <c r="A244" s="1"/>
      <c r="B244" s="1"/>
      <c r="C244" s="1"/>
    </row>
    <row r="245" spans="1:3" ht="14.25" customHeight="1">
      <c r="A245" s="1"/>
      <c r="B245" s="1"/>
      <c r="C245" s="1"/>
    </row>
    <row r="246" spans="1:3" ht="14.25" customHeight="1">
      <c r="A246" s="1"/>
      <c r="B246" s="1"/>
      <c r="C246" s="1"/>
    </row>
    <row r="247" spans="1:3" ht="14.25" customHeight="1">
      <c r="A247" s="1"/>
      <c r="B247" s="1"/>
      <c r="C247" s="1"/>
    </row>
    <row r="248" spans="1:3" ht="14.25" customHeight="1">
      <c r="A248" s="1"/>
      <c r="B248" s="1"/>
      <c r="C248" s="1"/>
    </row>
    <row r="249" spans="1:3" ht="14.25" customHeight="1">
      <c r="A249" s="1"/>
      <c r="B249" s="1"/>
      <c r="C249" s="1"/>
    </row>
    <row r="250" spans="1:3" ht="14.25" customHeight="1">
      <c r="A250" s="1"/>
      <c r="B250" s="1"/>
      <c r="C250" s="1"/>
    </row>
    <row r="251" spans="1:3" ht="14.25" customHeight="1">
      <c r="A251" s="1"/>
      <c r="B251" s="1"/>
      <c r="C251" s="1"/>
    </row>
    <row r="252" spans="1:3" ht="14.25" customHeight="1">
      <c r="A252" s="1"/>
      <c r="B252" s="1"/>
      <c r="C252" s="1"/>
    </row>
    <row r="253" spans="1:3" ht="14.25" customHeight="1">
      <c r="A253" s="1"/>
      <c r="B253" s="1"/>
      <c r="C253" s="1"/>
    </row>
    <row r="254" spans="1:3" ht="14.25" customHeight="1">
      <c r="A254" s="1"/>
      <c r="B254" s="1"/>
      <c r="C254" s="1"/>
    </row>
    <row r="255" spans="1:3" ht="14.25" customHeight="1">
      <c r="A255" s="1"/>
      <c r="B255" s="1"/>
      <c r="C255" s="1"/>
    </row>
    <row r="256" spans="1:3" ht="14.25" customHeight="1">
      <c r="A256" s="1"/>
      <c r="B256" s="1"/>
      <c r="C256" s="1"/>
    </row>
    <row r="257" spans="1:3" ht="14.25" customHeight="1">
      <c r="A257" s="1"/>
      <c r="B257" s="1"/>
      <c r="C257" s="1"/>
    </row>
    <row r="258" spans="1:3" ht="14.25" customHeight="1">
      <c r="A258" s="1"/>
      <c r="B258" s="1"/>
      <c r="C258" s="1"/>
    </row>
    <row r="259" spans="1:3" ht="14.25" customHeight="1">
      <c r="A259" s="1"/>
      <c r="B259" s="1"/>
      <c r="C259" s="1"/>
    </row>
    <row r="260" spans="1:3" ht="14.25" customHeight="1">
      <c r="A260" s="1"/>
      <c r="B260" s="1"/>
      <c r="C260" s="1"/>
    </row>
    <row r="261" spans="1:3" ht="14.25" customHeight="1">
      <c r="A261" s="1"/>
      <c r="B261" s="1"/>
      <c r="C261" s="1"/>
    </row>
    <row r="262" spans="1:3" ht="14.25" customHeight="1">
      <c r="A262" s="1"/>
      <c r="B262" s="1"/>
      <c r="C262" s="1"/>
    </row>
    <row r="263" spans="1:3" ht="14.25" customHeight="1">
      <c r="A263" s="1"/>
      <c r="B263" s="1"/>
      <c r="C263" s="1"/>
    </row>
    <row r="264" spans="1:3" ht="14.25" customHeight="1">
      <c r="A264" s="1"/>
      <c r="B264" s="1"/>
      <c r="C264" s="1"/>
    </row>
    <row r="265" spans="1:3" ht="14.25" customHeight="1">
      <c r="A265" s="1"/>
      <c r="B265" s="1"/>
      <c r="C265" s="1"/>
    </row>
    <row r="266" spans="1:3" ht="14.25" customHeight="1">
      <c r="A266" s="1"/>
      <c r="B266" s="1"/>
      <c r="C266" s="1"/>
    </row>
    <row r="267" spans="1:3" ht="14.25" customHeight="1">
      <c r="A267" s="1"/>
      <c r="B267" s="1"/>
      <c r="C267" s="1"/>
    </row>
    <row r="268" spans="1:3" ht="14.25" customHeight="1">
      <c r="A268" s="1"/>
      <c r="B268" s="1"/>
      <c r="C268" s="1"/>
    </row>
    <row r="269" spans="1:3" ht="14.25" customHeight="1">
      <c r="A269" s="1"/>
      <c r="B269" s="1"/>
      <c r="C269" s="1"/>
    </row>
    <row r="270" spans="1:3" ht="14.25" customHeight="1">
      <c r="A270" s="1"/>
      <c r="B270" s="1"/>
      <c r="C270" s="1"/>
    </row>
    <row r="271" spans="1:3" ht="14.25" customHeight="1">
      <c r="A271" s="1"/>
      <c r="B271" s="1"/>
      <c r="C271" s="1"/>
    </row>
    <row r="272" spans="1:3" ht="14.25" customHeight="1">
      <c r="A272" s="1"/>
      <c r="B272" s="1"/>
      <c r="C272" s="1"/>
    </row>
    <row r="273" spans="1:3" ht="14.25" customHeight="1">
      <c r="A273" s="1"/>
      <c r="B273" s="1"/>
      <c r="C273" s="1"/>
    </row>
    <row r="274" spans="1:3" ht="14.25" customHeight="1">
      <c r="A274" s="1"/>
      <c r="B274" s="1"/>
      <c r="C274" s="1"/>
    </row>
    <row r="275" spans="1:3" ht="14.25" customHeight="1">
      <c r="A275" s="1"/>
      <c r="B275" s="1"/>
      <c r="C275" s="1"/>
    </row>
    <row r="276" spans="1:3" ht="14.25" customHeight="1">
      <c r="A276" s="1"/>
      <c r="B276" s="1"/>
      <c r="C276" s="1"/>
    </row>
    <row r="277" spans="1:3" ht="14.25" customHeight="1">
      <c r="A277" s="1"/>
      <c r="B277" s="1"/>
      <c r="C277" s="1"/>
    </row>
    <row r="278" spans="1:3" ht="14.25" customHeight="1">
      <c r="A278" s="1"/>
      <c r="B278" s="1"/>
      <c r="C278" s="1"/>
    </row>
    <row r="279" spans="1:3" ht="14.25" customHeight="1">
      <c r="A279" s="1"/>
      <c r="B279" s="1"/>
      <c r="C279" s="1"/>
    </row>
    <row r="280" spans="1:3" ht="14.25" customHeight="1">
      <c r="A280" s="1"/>
      <c r="B280" s="1"/>
      <c r="C280" s="1"/>
    </row>
    <row r="281" spans="1:3" ht="14.25" customHeight="1">
      <c r="A281" s="1"/>
      <c r="B281" s="1"/>
      <c r="C281" s="1"/>
    </row>
    <row r="282" spans="1:3" ht="14.25" customHeight="1">
      <c r="A282" s="1"/>
      <c r="B282" s="1"/>
      <c r="C282" s="1"/>
    </row>
    <row r="283" spans="1:3" ht="14.25" customHeight="1">
      <c r="A283" s="1"/>
      <c r="B283" s="1"/>
      <c r="C283" s="1"/>
    </row>
    <row r="284" spans="1:3" ht="14.25" customHeight="1">
      <c r="A284" s="1"/>
      <c r="B284" s="1"/>
      <c r="C284" s="1"/>
    </row>
    <row r="285" spans="1:3" ht="14.25" customHeight="1">
      <c r="A285" s="1"/>
      <c r="B285" s="1"/>
      <c r="C285" s="1"/>
    </row>
    <row r="286" spans="1:3" ht="14.25" customHeight="1">
      <c r="A286" s="1"/>
      <c r="B286" s="1"/>
      <c r="C286" s="1"/>
    </row>
    <row r="287" spans="1:3" ht="14.25" customHeight="1">
      <c r="A287" s="1"/>
      <c r="B287" s="1"/>
      <c r="C287" s="1"/>
    </row>
    <row r="288" spans="1:3" ht="14.25" customHeight="1">
      <c r="A288" s="1"/>
      <c r="B288" s="1"/>
      <c r="C288" s="1"/>
    </row>
    <row r="289" spans="1:3" ht="14.25" customHeight="1">
      <c r="A289" s="1"/>
      <c r="B289" s="1"/>
      <c r="C289" s="1"/>
    </row>
    <row r="290" spans="1:3" ht="14.25" customHeight="1">
      <c r="A290" s="1"/>
      <c r="B290" s="1"/>
      <c r="C290" s="1"/>
    </row>
    <row r="291" spans="1:3" ht="14.25" customHeight="1">
      <c r="A291" s="1"/>
      <c r="B291" s="1"/>
      <c r="C291" s="1"/>
    </row>
    <row r="292" spans="1:3" ht="14.25" customHeight="1">
      <c r="A292" s="1"/>
      <c r="B292" s="1"/>
      <c r="C292" s="1"/>
    </row>
    <row r="293" spans="1:3" ht="14.25" customHeight="1">
      <c r="A293" s="1"/>
      <c r="B293" s="1"/>
      <c r="C293" s="1"/>
    </row>
    <row r="294" spans="1:3" ht="14.25" customHeight="1">
      <c r="A294" s="1"/>
      <c r="B294" s="1"/>
      <c r="C294" s="1"/>
    </row>
    <row r="295" spans="1:3" ht="14.25" customHeight="1">
      <c r="A295" s="1"/>
      <c r="B295" s="1"/>
      <c r="C295" s="1"/>
    </row>
    <row r="296" spans="1:3" ht="14.25" customHeight="1">
      <c r="A296" s="1"/>
      <c r="B296" s="1"/>
      <c r="C296" s="1"/>
    </row>
    <row r="297" spans="1:3" ht="14.25" customHeight="1">
      <c r="A297" s="1"/>
      <c r="B297" s="1"/>
      <c r="C297" s="1"/>
    </row>
    <row r="298" spans="1:3" ht="14.25" customHeight="1">
      <c r="A298" s="1"/>
      <c r="B298" s="1"/>
      <c r="C298" s="1"/>
    </row>
    <row r="299" spans="1:3" ht="14.25" customHeight="1">
      <c r="A299" s="1"/>
      <c r="B299" s="1"/>
      <c r="C299" s="1"/>
    </row>
    <row r="300" spans="1:3" ht="14.25" customHeight="1">
      <c r="A300" s="1"/>
      <c r="B300" s="1"/>
      <c r="C300" s="1"/>
    </row>
    <row r="301" spans="1:3" ht="14.25" customHeight="1">
      <c r="A301" s="1"/>
      <c r="B301" s="1"/>
      <c r="C301" s="1"/>
    </row>
    <row r="302" spans="1:3" ht="14.25" customHeight="1">
      <c r="A302" s="1"/>
      <c r="B302" s="1"/>
      <c r="C302" s="1"/>
    </row>
    <row r="303" spans="1:3" ht="14.25" customHeight="1">
      <c r="A303" s="1"/>
      <c r="B303" s="1"/>
      <c r="C303" s="1"/>
    </row>
    <row r="304" spans="1:3" ht="14.25" customHeight="1">
      <c r="A304" s="1"/>
      <c r="B304" s="1"/>
      <c r="C304" s="1"/>
    </row>
    <row r="305" spans="1:3" ht="14.25" customHeight="1">
      <c r="A305" s="1"/>
      <c r="B305" s="1"/>
      <c r="C305" s="1"/>
    </row>
    <row r="306" spans="1:3" ht="14.25" customHeight="1">
      <c r="A306" s="1"/>
      <c r="B306" s="1"/>
      <c r="C306" s="1"/>
    </row>
    <row r="307" spans="1:3" ht="14.25" customHeight="1">
      <c r="A307" s="1"/>
      <c r="B307" s="1"/>
      <c r="C307" s="1"/>
    </row>
    <row r="308" spans="1:3" ht="14.25" customHeight="1">
      <c r="A308" s="1"/>
      <c r="B308" s="1"/>
      <c r="C308" s="1"/>
    </row>
    <row r="309" spans="1:3" ht="14.25" customHeight="1">
      <c r="A309" s="1"/>
      <c r="B309" s="1"/>
      <c r="C309" s="1"/>
    </row>
    <row r="310" spans="1:3" ht="14.25" customHeight="1">
      <c r="A310" s="1"/>
      <c r="B310" s="1"/>
      <c r="C310" s="1"/>
    </row>
    <row r="311" spans="1:3" ht="14.25" customHeight="1">
      <c r="A311" s="1"/>
      <c r="B311" s="1"/>
      <c r="C311" s="1"/>
    </row>
    <row r="312" spans="1:3" ht="14.25" customHeight="1">
      <c r="A312" s="1"/>
      <c r="B312" s="1"/>
      <c r="C312" s="1"/>
    </row>
    <row r="313" spans="1:3" ht="14.25" customHeight="1">
      <c r="A313" s="1"/>
      <c r="B313" s="1"/>
      <c r="C313" s="1"/>
    </row>
    <row r="314" spans="1:3" ht="14.25" customHeight="1">
      <c r="A314" s="1"/>
      <c r="B314" s="1"/>
      <c r="C314" s="1"/>
    </row>
    <row r="315" spans="1:3" ht="14.25" customHeight="1">
      <c r="A315" s="1"/>
      <c r="B315" s="1"/>
      <c r="C315" s="1"/>
    </row>
    <row r="316" spans="1:3" ht="14.25" customHeight="1">
      <c r="A316" s="1"/>
      <c r="B316" s="1"/>
      <c r="C316" s="1"/>
    </row>
    <row r="317" spans="1:3" ht="14.25" customHeight="1">
      <c r="A317" s="1"/>
      <c r="B317" s="1"/>
      <c r="C317" s="1"/>
    </row>
    <row r="318" spans="1:3" ht="14.25" customHeight="1">
      <c r="A318" s="1"/>
      <c r="B318" s="1"/>
      <c r="C318" s="1"/>
    </row>
    <row r="319" spans="1:3" ht="14.25" customHeight="1">
      <c r="A319" s="1"/>
      <c r="B319" s="1"/>
      <c r="C319" s="1"/>
    </row>
    <row r="320" spans="1:3" ht="14.25" customHeight="1">
      <c r="A320" s="1"/>
      <c r="B320" s="1"/>
      <c r="C320" s="1"/>
    </row>
    <row r="321" spans="1:3" ht="14.25" customHeight="1">
      <c r="A321" s="1"/>
      <c r="B321" s="1"/>
      <c r="C321" s="1"/>
    </row>
    <row r="322" spans="1:3" ht="14.25" customHeight="1">
      <c r="A322" s="1"/>
      <c r="B322" s="1"/>
      <c r="C322" s="1"/>
    </row>
    <row r="323" spans="1:3" ht="14.25" customHeight="1">
      <c r="A323" s="1"/>
      <c r="B323" s="1"/>
      <c r="C323" s="1"/>
    </row>
    <row r="324" spans="1:3" ht="14.25" customHeight="1">
      <c r="A324" s="1"/>
      <c r="B324" s="1"/>
      <c r="C324" s="1"/>
    </row>
    <row r="325" spans="1:3" ht="14.25" customHeight="1">
      <c r="A325" s="1"/>
      <c r="B325" s="1"/>
      <c r="C325" s="1"/>
    </row>
    <row r="326" spans="1:3" ht="14.25" customHeight="1">
      <c r="A326" s="1"/>
      <c r="B326" s="1"/>
      <c r="C326" s="1"/>
    </row>
    <row r="327" spans="1:3" ht="14.25" customHeight="1">
      <c r="A327" s="1"/>
      <c r="B327" s="1"/>
      <c r="C327" s="1"/>
    </row>
    <row r="328" spans="1:3" ht="14.25" customHeight="1">
      <c r="A328" s="1"/>
      <c r="B328" s="1"/>
      <c r="C328" s="1"/>
    </row>
    <row r="329" spans="1:3" ht="14.25" customHeight="1">
      <c r="A329" s="1"/>
      <c r="B329" s="1"/>
      <c r="C329" s="1"/>
    </row>
    <row r="330" spans="1:3" ht="14.25" customHeight="1">
      <c r="A330" s="1"/>
      <c r="B330" s="1"/>
      <c r="C330" s="1"/>
    </row>
    <row r="331" spans="1:3" ht="14.25" customHeight="1">
      <c r="A331" s="1"/>
      <c r="B331" s="1"/>
      <c r="C331" s="1"/>
    </row>
    <row r="332" spans="1:3" ht="14.25" customHeight="1">
      <c r="A332" s="1"/>
      <c r="B332" s="1"/>
      <c r="C332" s="1"/>
    </row>
    <row r="333" spans="1:3" ht="14.25" customHeight="1">
      <c r="A333" s="1"/>
      <c r="B333" s="1"/>
      <c r="C333" s="1"/>
    </row>
    <row r="334" spans="1:3" ht="14.25" customHeight="1">
      <c r="A334" s="1"/>
      <c r="B334" s="1"/>
      <c r="C334" s="1"/>
    </row>
    <row r="335" spans="1:3" ht="14.25" customHeight="1">
      <c r="A335" s="1"/>
      <c r="B335" s="1"/>
      <c r="C335" s="1"/>
    </row>
    <row r="336" spans="1:3" ht="14.25" customHeight="1">
      <c r="A336" s="1"/>
      <c r="B336" s="1"/>
      <c r="C336" s="1"/>
    </row>
    <row r="337" spans="1:3" ht="14.25" customHeight="1">
      <c r="A337" s="1"/>
      <c r="B337" s="1"/>
      <c r="C337" s="1"/>
    </row>
    <row r="338" spans="1:3" ht="14.25" customHeight="1">
      <c r="A338" s="1"/>
      <c r="B338" s="1"/>
      <c r="C338" s="1"/>
    </row>
    <row r="339" spans="1:3" ht="14.25" customHeight="1">
      <c r="A339" s="1"/>
      <c r="B339" s="1"/>
      <c r="C339" s="1"/>
    </row>
    <row r="340" spans="1:3" ht="14.25" customHeight="1">
      <c r="A340" s="1"/>
      <c r="B340" s="1"/>
      <c r="C340" s="1"/>
    </row>
    <row r="341" spans="1:3" ht="14.25" customHeight="1">
      <c r="A341" s="1"/>
      <c r="B341" s="1"/>
      <c r="C341" s="1"/>
    </row>
    <row r="342" spans="1:3" ht="14.25" customHeight="1">
      <c r="A342" s="1"/>
      <c r="B342" s="1"/>
      <c r="C342" s="1"/>
    </row>
    <row r="343" spans="1:3" ht="14.25" customHeight="1">
      <c r="A343" s="1"/>
      <c r="B343" s="1"/>
      <c r="C343" s="1"/>
    </row>
    <row r="344" spans="1:3" ht="14.25" customHeight="1">
      <c r="A344" s="1"/>
      <c r="B344" s="1"/>
      <c r="C344" s="1"/>
    </row>
    <row r="345" spans="1:3" ht="14.25" customHeight="1">
      <c r="A345" s="1"/>
      <c r="B345" s="1"/>
      <c r="C345" s="1"/>
    </row>
    <row r="346" spans="1:3" ht="14.25" customHeight="1">
      <c r="A346" s="1"/>
      <c r="B346" s="1"/>
      <c r="C346" s="1"/>
    </row>
    <row r="347" spans="1:3" ht="14.25" customHeight="1">
      <c r="A347" s="1"/>
      <c r="B347" s="1"/>
      <c r="C347" s="1"/>
    </row>
    <row r="348" spans="1:3" ht="14.25" customHeight="1">
      <c r="A348" s="1"/>
      <c r="B348" s="1"/>
      <c r="C348" s="1"/>
    </row>
    <row r="349" spans="1:3" ht="14.25" customHeight="1">
      <c r="A349" s="1"/>
      <c r="B349" s="1"/>
      <c r="C349" s="1"/>
    </row>
    <row r="350" spans="1:3" ht="14.25" customHeight="1">
      <c r="A350" s="1"/>
      <c r="B350" s="1"/>
      <c r="C350" s="1"/>
    </row>
    <row r="351" spans="1:3" ht="14.25" customHeight="1">
      <c r="A351" s="1"/>
      <c r="B351" s="1"/>
      <c r="C351" s="1"/>
    </row>
    <row r="352" spans="1:3" ht="14.25" customHeight="1">
      <c r="A352" s="1"/>
      <c r="B352" s="1"/>
      <c r="C352" s="1"/>
    </row>
    <row r="353" spans="1:3" ht="14.25" customHeight="1">
      <c r="A353" s="1"/>
      <c r="B353" s="1"/>
      <c r="C353" s="1"/>
    </row>
    <row r="354" spans="1:3" ht="14.25" customHeight="1">
      <c r="A354" s="1"/>
      <c r="B354" s="1"/>
      <c r="C354" s="1"/>
    </row>
    <row r="355" spans="1:3" ht="14.25" customHeight="1">
      <c r="A355" s="1"/>
      <c r="B355" s="1"/>
      <c r="C355" s="1"/>
    </row>
    <row r="356" spans="1:3" ht="14.25" customHeight="1">
      <c r="A356" s="1"/>
      <c r="B356" s="1"/>
      <c r="C356" s="1"/>
    </row>
    <row r="357" spans="1:3" ht="14.25" customHeight="1">
      <c r="A357" s="1"/>
      <c r="B357" s="1"/>
      <c r="C357" s="1"/>
    </row>
    <row r="358" spans="1:3" ht="14.25" customHeight="1">
      <c r="A358" s="1"/>
      <c r="B358" s="1"/>
      <c r="C358" s="1"/>
    </row>
    <row r="359" spans="1:3" ht="14.25" customHeight="1">
      <c r="A359" s="1"/>
      <c r="B359" s="1"/>
      <c r="C359" s="1"/>
    </row>
    <row r="360" spans="1:3" ht="14.25" customHeight="1">
      <c r="A360" s="1"/>
      <c r="B360" s="1"/>
      <c r="C360" s="1"/>
    </row>
    <row r="361" spans="1:3" ht="14.25" customHeight="1">
      <c r="A361" s="1"/>
      <c r="B361" s="1"/>
      <c r="C361" s="1"/>
    </row>
    <row r="362" spans="1:3" ht="14.25" customHeight="1">
      <c r="A362" s="1"/>
      <c r="B362" s="1"/>
      <c r="C362" s="1"/>
    </row>
    <row r="363" spans="1:3" ht="14.25" customHeight="1">
      <c r="A363" s="1"/>
      <c r="B363" s="1"/>
      <c r="C363" s="1"/>
    </row>
    <row r="364" spans="1:3" ht="14.25" customHeight="1">
      <c r="A364" s="1"/>
      <c r="B364" s="1"/>
      <c r="C364" s="1"/>
    </row>
    <row r="365" spans="1:3" ht="14.25" customHeight="1">
      <c r="A365" s="1"/>
      <c r="B365" s="1"/>
      <c r="C365" s="1"/>
    </row>
    <row r="366" spans="1:3" ht="14.25" customHeight="1">
      <c r="A366" s="1"/>
      <c r="B366" s="1"/>
      <c r="C366" s="1"/>
    </row>
    <row r="367" spans="1:3" ht="14.25" customHeight="1">
      <c r="A367" s="1"/>
      <c r="B367" s="1"/>
      <c r="C367" s="1"/>
    </row>
    <row r="368" spans="1:3" ht="14.25" customHeight="1">
      <c r="A368" s="1"/>
      <c r="B368" s="1"/>
      <c r="C368" s="1"/>
    </row>
    <row r="369" spans="1:3" ht="14.25" customHeight="1">
      <c r="A369" s="1"/>
      <c r="B369" s="1"/>
      <c r="C369" s="1"/>
    </row>
    <row r="370" spans="1:3" ht="14.25" customHeight="1">
      <c r="A370" s="1"/>
      <c r="B370" s="1"/>
      <c r="C370" s="1"/>
    </row>
    <row r="371" spans="1:3" ht="14.25" customHeight="1">
      <c r="A371" s="1"/>
      <c r="B371" s="1"/>
      <c r="C371" s="1"/>
    </row>
    <row r="372" spans="1:3" ht="14.25" customHeight="1">
      <c r="A372" s="1"/>
      <c r="B372" s="1"/>
      <c r="C372" s="1"/>
    </row>
    <row r="373" spans="1:3" ht="14.25" customHeight="1">
      <c r="A373" s="1"/>
      <c r="B373" s="1"/>
      <c r="C373" s="1"/>
    </row>
    <row r="374" spans="1:3" ht="14.25" customHeight="1">
      <c r="A374" s="1"/>
      <c r="B374" s="1"/>
      <c r="C374" s="1"/>
    </row>
    <row r="375" spans="1:3" ht="14.25" customHeight="1">
      <c r="A375" s="1"/>
      <c r="B375" s="1"/>
      <c r="C375" s="1"/>
    </row>
    <row r="376" spans="1:3" ht="14.25" customHeight="1">
      <c r="A376" s="1"/>
      <c r="B376" s="1"/>
      <c r="C376" s="1"/>
    </row>
    <row r="377" spans="1:3" ht="14.25" customHeight="1">
      <c r="A377" s="1"/>
      <c r="B377" s="1"/>
      <c r="C377" s="1"/>
    </row>
    <row r="378" spans="1:3" ht="14.25" customHeight="1">
      <c r="A378" s="1"/>
      <c r="B378" s="1"/>
      <c r="C378" s="1"/>
    </row>
    <row r="379" spans="1:3" ht="14.25" customHeight="1">
      <c r="A379" s="1"/>
      <c r="B379" s="1"/>
      <c r="C379" s="1"/>
    </row>
    <row r="380" spans="1:3" ht="14.25" customHeight="1">
      <c r="A380" s="1"/>
      <c r="B380" s="1"/>
      <c r="C380" s="1"/>
    </row>
    <row r="381" spans="1:3" ht="14.25" customHeight="1">
      <c r="A381" s="1"/>
      <c r="B381" s="1"/>
      <c r="C381" s="1"/>
    </row>
    <row r="382" spans="1:3" ht="14.25" customHeight="1">
      <c r="A382" s="1"/>
      <c r="B382" s="1"/>
      <c r="C382" s="1"/>
    </row>
    <row r="383" spans="1:3" ht="14.25" customHeight="1">
      <c r="A383" s="1"/>
      <c r="B383" s="1"/>
      <c r="C383" s="1"/>
    </row>
    <row r="384" spans="1:3" ht="14.25" customHeight="1">
      <c r="A384" s="1"/>
      <c r="B384" s="1"/>
      <c r="C384" s="1"/>
    </row>
    <row r="385" spans="1:3" ht="14.25" customHeight="1">
      <c r="A385" s="1"/>
      <c r="B385" s="1"/>
      <c r="C385" s="1"/>
    </row>
    <row r="386" spans="1:3" ht="14.25" customHeight="1">
      <c r="A386" s="1"/>
      <c r="B386" s="1"/>
      <c r="C386" s="1"/>
    </row>
    <row r="387" spans="1:3" ht="14.25" customHeight="1">
      <c r="A387" s="1"/>
      <c r="B387" s="1"/>
      <c r="C387" s="1"/>
    </row>
    <row r="388" spans="1:3" ht="14.25" customHeight="1">
      <c r="A388" s="1"/>
      <c r="B388" s="1"/>
      <c r="C388" s="1"/>
    </row>
    <row r="389" spans="1:3" ht="14.25" customHeight="1">
      <c r="A389" s="1"/>
      <c r="B389" s="1"/>
      <c r="C389" s="1"/>
    </row>
    <row r="390" spans="1:3" ht="14.25" customHeight="1">
      <c r="A390" s="1"/>
      <c r="B390" s="1"/>
      <c r="C390" s="1"/>
    </row>
    <row r="391" spans="1:3" ht="14.25" customHeight="1">
      <c r="A391" s="1"/>
      <c r="B391" s="1"/>
      <c r="C391" s="1"/>
    </row>
    <row r="392" spans="1:3" ht="14.25" customHeight="1">
      <c r="A392" s="1"/>
      <c r="B392" s="1"/>
      <c r="C392" s="1"/>
    </row>
    <row r="393" spans="1:3" ht="14.25" customHeight="1">
      <c r="A393" s="1"/>
      <c r="B393" s="1"/>
      <c r="C393" s="1"/>
    </row>
    <row r="394" spans="1:3" ht="14.25" customHeight="1">
      <c r="A394" s="1"/>
      <c r="B394" s="1"/>
      <c r="C394" s="1"/>
    </row>
    <row r="395" spans="1:3" ht="14.25" customHeight="1">
      <c r="A395" s="1"/>
      <c r="B395" s="1"/>
      <c r="C395" s="1"/>
    </row>
    <row r="396" spans="1:3" ht="14.25" customHeight="1">
      <c r="A396" s="1"/>
      <c r="B396" s="1"/>
      <c r="C396" s="1"/>
    </row>
    <row r="397" spans="1:3" ht="14.25" customHeight="1">
      <c r="A397" s="1"/>
      <c r="B397" s="1"/>
      <c r="C397" s="1"/>
    </row>
    <row r="398" spans="1:3" ht="14.25" customHeight="1">
      <c r="A398" s="1"/>
      <c r="B398" s="1"/>
      <c r="C398" s="1"/>
    </row>
    <row r="399" spans="1:3" ht="14.25" customHeight="1">
      <c r="A399" s="1"/>
      <c r="B399" s="1"/>
      <c r="C399" s="1"/>
    </row>
    <row r="400" spans="1:3" ht="14.25" customHeight="1">
      <c r="A400" s="1"/>
      <c r="B400" s="1"/>
      <c r="C400" s="1"/>
    </row>
    <row r="401" spans="1:3" ht="14.25" customHeight="1">
      <c r="A401" s="1"/>
      <c r="B401" s="1"/>
      <c r="C401" s="1"/>
    </row>
    <row r="402" spans="1:3" ht="14.25" customHeight="1">
      <c r="A402" s="1"/>
      <c r="B402" s="1"/>
      <c r="C402" s="1"/>
    </row>
    <row r="403" spans="1:3" ht="14.25" customHeight="1">
      <c r="A403" s="1"/>
      <c r="B403" s="1"/>
      <c r="C403" s="1"/>
    </row>
    <row r="404" spans="1:3" ht="14.25" customHeight="1">
      <c r="A404" s="1"/>
      <c r="B404" s="1"/>
      <c r="C404" s="1"/>
    </row>
    <row r="405" spans="1:3" ht="14.25" customHeight="1">
      <c r="A405" s="1"/>
      <c r="B405" s="1"/>
      <c r="C405" s="1"/>
    </row>
    <row r="406" spans="1:3" ht="14.25" customHeight="1">
      <c r="A406" s="1"/>
      <c r="B406" s="1"/>
      <c r="C406" s="1"/>
    </row>
    <row r="407" spans="1:3" ht="14.25" customHeight="1">
      <c r="A407" s="1"/>
      <c r="B407" s="1"/>
      <c r="C407" s="1"/>
    </row>
    <row r="408" spans="1:3" ht="14.25" customHeight="1">
      <c r="A408" s="1"/>
      <c r="B408" s="1"/>
      <c r="C408" s="1"/>
    </row>
    <row r="409" spans="1:3" ht="14.25" customHeight="1">
      <c r="A409" s="1"/>
      <c r="B409" s="1"/>
      <c r="C409" s="1"/>
    </row>
    <row r="410" spans="1:3" ht="14.25" customHeight="1">
      <c r="A410" s="1"/>
      <c r="B410" s="1"/>
      <c r="C410" s="1"/>
    </row>
    <row r="411" spans="1:3" ht="14.25" customHeight="1">
      <c r="A411" s="1"/>
      <c r="B411" s="1"/>
      <c r="C411" s="1"/>
    </row>
    <row r="412" spans="1:3" ht="14.25" customHeight="1">
      <c r="A412" s="1"/>
      <c r="B412" s="1"/>
      <c r="C412" s="1"/>
    </row>
    <row r="413" spans="1:3" ht="14.25" customHeight="1">
      <c r="A413" s="1"/>
      <c r="B413" s="1"/>
      <c r="C413" s="1"/>
    </row>
    <row r="414" spans="1:3" ht="14.25" customHeight="1">
      <c r="A414" s="1"/>
      <c r="B414" s="1"/>
      <c r="C414" s="1"/>
    </row>
    <row r="415" spans="1:3" ht="14.25" customHeight="1">
      <c r="A415" s="1"/>
      <c r="B415" s="1"/>
      <c r="C415" s="1"/>
    </row>
    <row r="416" spans="1:3" ht="14.25" customHeight="1">
      <c r="A416" s="1"/>
      <c r="B416" s="1"/>
      <c r="C416" s="1"/>
    </row>
    <row r="417" spans="1:3" ht="14.25" customHeight="1">
      <c r="A417" s="1"/>
      <c r="B417" s="1"/>
      <c r="C417" s="1"/>
    </row>
    <row r="418" spans="1:3" ht="14.25" customHeight="1">
      <c r="A418" s="1"/>
      <c r="B418" s="1"/>
      <c r="C418" s="1"/>
    </row>
    <row r="419" spans="1:3" ht="14.25" customHeight="1">
      <c r="A419" s="1"/>
      <c r="B419" s="1"/>
      <c r="C419" s="1"/>
    </row>
    <row r="420" spans="1:3" ht="14.25" customHeight="1">
      <c r="A420" s="1"/>
      <c r="B420" s="1"/>
      <c r="C420" s="1"/>
    </row>
    <row r="421" spans="1:3" ht="14.25" customHeight="1">
      <c r="A421" s="1"/>
      <c r="B421" s="1"/>
      <c r="C421" s="1"/>
    </row>
    <row r="422" spans="1:3" ht="14.25" customHeight="1">
      <c r="A422" s="1"/>
      <c r="B422" s="1"/>
      <c r="C422" s="1"/>
    </row>
    <row r="423" spans="1:3" ht="14.25" customHeight="1">
      <c r="A423" s="1"/>
      <c r="B423" s="1"/>
      <c r="C423" s="1"/>
    </row>
    <row r="424" spans="1:3" ht="14.25" customHeight="1">
      <c r="A424" s="1"/>
      <c r="B424" s="1"/>
      <c r="C424" s="1"/>
    </row>
    <row r="425" spans="1:3" ht="14.25" customHeight="1">
      <c r="A425" s="1"/>
      <c r="B425" s="1"/>
      <c r="C425" s="1"/>
    </row>
    <row r="426" spans="1:3" ht="14.25" customHeight="1">
      <c r="A426" s="1"/>
      <c r="B426" s="1"/>
      <c r="C426" s="1"/>
    </row>
    <row r="427" spans="1:3" ht="14.25" customHeight="1">
      <c r="A427" s="1"/>
      <c r="B427" s="1"/>
      <c r="C427" s="1"/>
    </row>
    <row r="428" spans="1:3" ht="14.25" customHeight="1">
      <c r="A428" s="1"/>
      <c r="B428" s="1"/>
      <c r="C428" s="1"/>
    </row>
    <row r="429" spans="1:3" ht="14.25" customHeight="1">
      <c r="A429" s="1"/>
      <c r="B429" s="1"/>
      <c r="C429" s="1"/>
    </row>
    <row r="430" spans="1:3" ht="14.25" customHeight="1">
      <c r="A430" s="1"/>
      <c r="B430" s="1"/>
      <c r="C430" s="1"/>
    </row>
    <row r="431" spans="1:3" ht="14.25" customHeight="1">
      <c r="A431" s="1"/>
      <c r="B431" s="1"/>
      <c r="C431" s="1"/>
    </row>
    <row r="432" spans="1:3" ht="14.25" customHeight="1">
      <c r="A432" s="1"/>
      <c r="B432" s="1"/>
      <c r="C432" s="1"/>
    </row>
    <row r="433" spans="1:3" ht="14.25" customHeight="1">
      <c r="A433" s="1"/>
      <c r="B433" s="1"/>
      <c r="C433" s="1"/>
    </row>
    <row r="434" spans="1:3" ht="14.25" customHeight="1">
      <c r="A434" s="1"/>
      <c r="B434" s="1"/>
      <c r="C434" s="1"/>
    </row>
    <row r="435" spans="1:3" ht="14.25" customHeight="1">
      <c r="A435" s="1"/>
      <c r="B435" s="1"/>
      <c r="C435" s="1"/>
    </row>
    <row r="436" spans="1:3" ht="14.25" customHeight="1">
      <c r="A436" s="1"/>
      <c r="B436" s="1"/>
      <c r="C436" s="1"/>
    </row>
    <row r="437" spans="1:3" ht="14.25" customHeight="1">
      <c r="A437" s="1"/>
      <c r="B437" s="1"/>
      <c r="C437" s="1"/>
    </row>
    <row r="438" spans="1:3" ht="14.25" customHeight="1">
      <c r="A438" s="1"/>
      <c r="B438" s="1"/>
      <c r="C438" s="1"/>
    </row>
    <row r="439" spans="1:3" ht="14.25" customHeight="1">
      <c r="A439" s="1"/>
      <c r="B439" s="1"/>
      <c r="C439" s="1"/>
    </row>
    <row r="440" spans="1:3" ht="14.25" customHeight="1">
      <c r="A440" s="1"/>
      <c r="B440" s="1"/>
      <c r="C440" s="1"/>
    </row>
    <row r="441" spans="1:3" ht="14.25" customHeight="1">
      <c r="A441" s="1"/>
      <c r="B441" s="1"/>
      <c r="C441" s="1"/>
    </row>
    <row r="442" spans="1:3" ht="14.25" customHeight="1">
      <c r="A442" s="1"/>
      <c r="B442" s="1"/>
      <c r="C442" s="1"/>
    </row>
    <row r="443" spans="1:3" ht="14.25" customHeight="1">
      <c r="A443" s="1"/>
      <c r="B443" s="1"/>
      <c r="C443" s="1"/>
    </row>
    <row r="444" spans="1:3" ht="14.25" customHeight="1">
      <c r="A444" s="1"/>
      <c r="B444" s="1"/>
      <c r="C444" s="1"/>
    </row>
    <row r="445" spans="1:3" ht="14.25" customHeight="1">
      <c r="A445" s="1"/>
      <c r="B445" s="1"/>
      <c r="C445" s="1"/>
    </row>
    <row r="446" spans="1:3" ht="14.25" customHeight="1">
      <c r="A446" s="1"/>
      <c r="B446" s="1"/>
      <c r="C446" s="1"/>
    </row>
    <row r="447" spans="1:3" ht="14.25" customHeight="1">
      <c r="A447" s="1"/>
      <c r="B447" s="1"/>
      <c r="C447" s="1"/>
    </row>
    <row r="448" spans="1:3" ht="14.25" customHeight="1">
      <c r="A448" s="1"/>
      <c r="B448" s="1"/>
      <c r="C448" s="1"/>
    </row>
    <row r="449" spans="1:3" ht="14.25" customHeight="1">
      <c r="A449" s="1"/>
      <c r="B449" s="1"/>
      <c r="C449" s="1"/>
    </row>
    <row r="450" spans="1:3" ht="14.25" customHeight="1">
      <c r="A450" s="1"/>
      <c r="B450" s="1"/>
      <c r="C450" s="1"/>
    </row>
    <row r="451" spans="1:3" ht="14.25" customHeight="1">
      <c r="A451" s="1"/>
      <c r="B451" s="1"/>
      <c r="C451" s="1"/>
    </row>
    <row r="452" spans="1:3" ht="14.25" customHeight="1">
      <c r="A452" s="1"/>
      <c r="B452" s="1"/>
      <c r="C452" s="1"/>
    </row>
    <row r="453" spans="1:3" ht="14.25" customHeight="1">
      <c r="A453" s="1"/>
      <c r="B453" s="1"/>
      <c r="C453" s="1"/>
    </row>
    <row r="454" spans="1:3" ht="14.25" customHeight="1">
      <c r="A454" s="1"/>
      <c r="B454" s="1"/>
      <c r="C454" s="1"/>
    </row>
    <row r="455" spans="1:3" ht="14.25" customHeight="1">
      <c r="A455" s="1"/>
      <c r="B455" s="1"/>
      <c r="C455" s="1"/>
    </row>
    <row r="456" spans="1:3" ht="14.25" customHeight="1">
      <c r="A456" s="1"/>
      <c r="B456" s="1"/>
      <c r="C456" s="1"/>
    </row>
    <row r="457" spans="1:3" ht="14.25" customHeight="1">
      <c r="A457" s="1"/>
      <c r="B457" s="1"/>
      <c r="C457" s="1"/>
    </row>
    <row r="458" spans="1:3" ht="14.25" customHeight="1">
      <c r="A458" s="1"/>
      <c r="B458" s="1"/>
      <c r="C458" s="1"/>
    </row>
    <row r="459" spans="1:3" ht="14.25" customHeight="1">
      <c r="A459" s="1"/>
      <c r="B459" s="1"/>
      <c r="C459" s="1"/>
    </row>
    <row r="460" spans="1:3" ht="14.25" customHeight="1">
      <c r="A460" s="1"/>
      <c r="B460" s="1"/>
      <c r="C460" s="1"/>
    </row>
    <row r="461" spans="1:3" ht="14.25" customHeight="1">
      <c r="A461" s="1"/>
      <c r="B461" s="1"/>
      <c r="C461" s="1"/>
    </row>
    <row r="462" spans="1:3" ht="14.25" customHeight="1">
      <c r="A462" s="1"/>
      <c r="B462" s="1"/>
      <c r="C462" s="1"/>
    </row>
    <row r="463" spans="1:3" ht="14.25" customHeight="1">
      <c r="A463" s="1"/>
      <c r="B463" s="1"/>
      <c r="C463" s="1"/>
    </row>
    <row r="464" spans="1:3" ht="14.25" customHeight="1">
      <c r="A464" s="1"/>
      <c r="B464" s="1"/>
      <c r="C464" s="1"/>
    </row>
    <row r="465" spans="1:3" ht="14.25" customHeight="1">
      <c r="A465" s="1"/>
      <c r="B465" s="1"/>
      <c r="C465" s="1"/>
    </row>
    <row r="466" spans="1:3" ht="14.25" customHeight="1">
      <c r="A466" s="1"/>
      <c r="B466" s="1"/>
      <c r="C466" s="1"/>
    </row>
    <row r="467" spans="1:3" ht="14.25" customHeight="1">
      <c r="A467" s="1"/>
      <c r="B467" s="1"/>
      <c r="C467" s="1"/>
    </row>
    <row r="468" spans="1:3" ht="14.25" customHeight="1">
      <c r="A468" s="1"/>
      <c r="B468" s="1"/>
      <c r="C468" s="1"/>
    </row>
    <row r="469" spans="1:3" ht="14.25" customHeight="1">
      <c r="A469" s="1"/>
      <c r="B469" s="1"/>
      <c r="C469" s="1"/>
    </row>
    <row r="470" spans="1:3" ht="14.25" customHeight="1">
      <c r="A470" s="1"/>
      <c r="B470" s="1"/>
      <c r="C470" s="1"/>
    </row>
    <row r="471" spans="1:3" ht="14.25" customHeight="1">
      <c r="A471" s="1"/>
      <c r="B471" s="1"/>
      <c r="C471" s="1"/>
    </row>
    <row r="472" spans="1:3" ht="14.25" customHeight="1">
      <c r="A472" s="1"/>
      <c r="B472" s="1"/>
      <c r="C472" s="1"/>
    </row>
    <row r="473" spans="1:3" ht="14.25" customHeight="1">
      <c r="A473" s="1"/>
      <c r="B473" s="1"/>
      <c r="C473" s="1"/>
    </row>
    <row r="474" spans="1:3" ht="14.25" customHeight="1">
      <c r="A474" s="1"/>
      <c r="B474" s="1"/>
      <c r="C474" s="1"/>
    </row>
    <row r="475" spans="1:3" ht="14.25" customHeight="1">
      <c r="A475" s="1"/>
      <c r="B475" s="1"/>
      <c r="C475" s="1"/>
    </row>
    <row r="476" spans="1:3" ht="14.25" customHeight="1">
      <c r="A476" s="1"/>
      <c r="B476" s="1"/>
      <c r="C476" s="1"/>
    </row>
    <row r="477" spans="1:3" ht="14.25" customHeight="1">
      <c r="A477" s="1"/>
      <c r="B477" s="1"/>
      <c r="C477" s="1"/>
    </row>
    <row r="478" spans="1:3" ht="14.25" customHeight="1">
      <c r="A478" s="1"/>
      <c r="B478" s="1"/>
      <c r="C478" s="1"/>
    </row>
    <row r="479" spans="1:3" ht="14.25" customHeight="1">
      <c r="A479" s="1"/>
      <c r="B479" s="1"/>
      <c r="C479" s="1"/>
    </row>
    <row r="480" spans="1:3" ht="14.25" customHeight="1">
      <c r="A480" s="1"/>
      <c r="B480" s="1"/>
      <c r="C480" s="1"/>
    </row>
    <row r="481" spans="1:3" ht="14.25" customHeight="1">
      <c r="A481" s="1"/>
      <c r="B481" s="1"/>
      <c r="C481" s="1"/>
    </row>
    <row r="482" spans="1:3" ht="14.25" customHeight="1">
      <c r="A482" s="1"/>
      <c r="B482" s="1"/>
      <c r="C482" s="1"/>
    </row>
    <row r="483" spans="1:3" ht="14.25" customHeight="1">
      <c r="A483" s="1"/>
      <c r="B483" s="1"/>
      <c r="C483" s="1"/>
    </row>
    <row r="484" spans="1:3" ht="14.25" customHeight="1">
      <c r="A484" s="1"/>
      <c r="B484" s="1"/>
      <c r="C484" s="1"/>
    </row>
    <row r="485" spans="1:3" ht="14.25" customHeight="1">
      <c r="A485" s="1"/>
      <c r="B485" s="1"/>
      <c r="C485" s="1"/>
    </row>
    <row r="486" spans="1:3" ht="14.25" customHeight="1">
      <c r="A486" s="1"/>
      <c r="B486" s="1"/>
      <c r="C486" s="1"/>
    </row>
    <row r="487" spans="1:3" ht="14.25" customHeight="1">
      <c r="A487" s="1"/>
      <c r="B487" s="1"/>
      <c r="C487" s="1"/>
    </row>
    <row r="488" spans="1:3" ht="14.25" customHeight="1">
      <c r="A488" s="1"/>
      <c r="B488" s="1"/>
      <c r="C488" s="1"/>
    </row>
    <row r="489" spans="1:3" ht="14.25" customHeight="1">
      <c r="A489" s="1"/>
      <c r="B489" s="1"/>
      <c r="C489" s="1"/>
    </row>
    <row r="490" spans="1:3" ht="14.25" customHeight="1">
      <c r="A490" s="1"/>
      <c r="B490" s="1"/>
      <c r="C490" s="1"/>
    </row>
    <row r="491" spans="1:3" ht="14.25" customHeight="1">
      <c r="A491" s="1"/>
      <c r="B491" s="1"/>
      <c r="C491" s="1"/>
    </row>
    <row r="492" spans="1:3" ht="14.25" customHeight="1">
      <c r="A492" s="1"/>
      <c r="B492" s="1"/>
      <c r="C492" s="1"/>
    </row>
    <row r="493" spans="1:3" ht="14.25" customHeight="1">
      <c r="A493" s="1"/>
      <c r="B493" s="1"/>
      <c r="C493" s="1"/>
    </row>
    <row r="494" spans="1:3" ht="14.25" customHeight="1">
      <c r="A494" s="1"/>
      <c r="B494" s="1"/>
      <c r="C494" s="1"/>
    </row>
    <row r="495" spans="1:3" ht="14.25" customHeight="1">
      <c r="A495" s="1"/>
      <c r="B495" s="1"/>
      <c r="C495" s="1"/>
    </row>
    <row r="496" spans="1:3" ht="14.25" customHeight="1">
      <c r="A496" s="1"/>
      <c r="B496" s="1"/>
      <c r="C496" s="1"/>
    </row>
    <row r="497" spans="1:3" ht="14.25" customHeight="1">
      <c r="A497" s="1"/>
      <c r="B497" s="1"/>
      <c r="C497" s="1"/>
    </row>
    <row r="498" spans="1:3" ht="14.25" customHeight="1">
      <c r="A498" s="1"/>
      <c r="B498" s="1"/>
      <c r="C498" s="1"/>
    </row>
    <row r="499" spans="1:3" ht="14.25" customHeight="1">
      <c r="A499" s="1"/>
      <c r="B499" s="1"/>
      <c r="C499" s="1"/>
    </row>
    <row r="500" spans="1:3" ht="14.25" customHeight="1">
      <c r="A500" s="1"/>
      <c r="B500" s="1"/>
      <c r="C500" s="1"/>
    </row>
    <row r="501" spans="1:3" ht="14.25" customHeight="1">
      <c r="A501" s="1"/>
      <c r="B501" s="1"/>
      <c r="C501" s="1"/>
    </row>
    <row r="502" spans="1:3" ht="14.25" customHeight="1">
      <c r="A502" s="1"/>
      <c r="B502" s="1"/>
      <c r="C502" s="1"/>
    </row>
    <row r="503" spans="1:3" ht="14.25" customHeight="1">
      <c r="A503" s="1"/>
      <c r="B503" s="1"/>
      <c r="C503" s="1"/>
    </row>
    <row r="504" spans="1:3" ht="14.25" customHeight="1">
      <c r="A504" s="1"/>
      <c r="B504" s="1"/>
      <c r="C504" s="1"/>
    </row>
    <row r="505" spans="1:3" ht="14.25" customHeight="1">
      <c r="A505" s="1"/>
      <c r="B505" s="1"/>
      <c r="C505" s="1"/>
    </row>
    <row r="506" spans="1:3" ht="14.25" customHeight="1">
      <c r="A506" s="1"/>
      <c r="B506" s="1"/>
      <c r="C506" s="1"/>
    </row>
    <row r="507" spans="1:3" ht="14.25" customHeight="1">
      <c r="A507" s="1"/>
      <c r="B507" s="1"/>
      <c r="C507" s="1"/>
    </row>
    <row r="508" spans="1:3" ht="14.25" customHeight="1">
      <c r="A508" s="1"/>
      <c r="B508" s="1"/>
      <c r="C508" s="1"/>
    </row>
    <row r="509" spans="1:3" ht="14.25" customHeight="1">
      <c r="A509" s="1"/>
      <c r="B509" s="1"/>
      <c r="C509" s="1"/>
    </row>
    <row r="510" spans="1:3" ht="14.25" customHeight="1">
      <c r="A510" s="1"/>
      <c r="B510" s="1"/>
      <c r="C510" s="1"/>
    </row>
    <row r="511" spans="1:3" ht="14.25" customHeight="1">
      <c r="A511" s="1"/>
      <c r="B511" s="1"/>
      <c r="C511" s="1"/>
    </row>
    <row r="512" spans="1:3" ht="14.25" customHeight="1">
      <c r="A512" s="1"/>
      <c r="B512" s="1"/>
      <c r="C512" s="1"/>
    </row>
    <row r="513" spans="1:3" ht="14.25" customHeight="1">
      <c r="A513" s="1"/>
      <c r="B513" s="1"/>
      <c r="C513" s="1"/>
    </row>
    <row r="514" spans="1:3" ht="14.25" customHeight="1">
      <c r="A514" s="1"/>
      <c r="B514" s="1"/>
      <c r="C514" s="1"/>
    </row>
    <row r="515" spans="1:3" ht="14.25" customHeight="1">
      <c r="A515" s="1"/>
      <c r="B515" s="1"/>
      <c r="C515" s="1"/>
    </row>
    <row r="516" spans="1:3" ht="14.25" customHeight="1">
      <c r="A516" s="1"/>
      <c r="B516" s="1"/>
      <c r="C516" s="1"/>
    </row>
    <row r="517" spans="1:3" ht="14.25" customHeight="1">
      <c r="A517" s="1"/>
      <c r="B517" s="1"/>
      <c r="C517" s="1"/>
    </row>
    <row r="518" spans="1:3" ht="14.25" customHeight="1">
      <c r="A518" s="1"/>
      <c r="B518" s="1"/>
      <c r="C518" s="1"/>
    </row>
    <row r="519" spans="1:3" ht="14.25" customHeight="1">
      <c r="A519" s="1"/>
      <c r="B519" s="1"/>
      <c r="C519" s="1"/>
    </row>
    <row r="520" spans="1:3" ht="14.25" customHeight="1">
      <c r="A520" s="1"/>
      <c r="B520" s="1"/>
      <c r="C520" s="1"/>
    </row>
    <row r="521" spans="1:3" ht="14.25" customHeight="1">
      <c r="A521" s="1"/>
      <c r="B521" s="1"/>
      <c r="C521" s="1"/>
    </row>
    <row r="522" spans="1:3" ht="14.25" customHeight="1">
      <c r="A522" s="1"/>
      <c r="B522" s="1"/>
      <c r="C522" s="1"/>
    </row>
    <row r="523" spans="1:3" ht="14.25" customHeight="1">
      <c r="A523" s="1"/>
      <c r="B523" s="1"/>
      <c r="C523" s="1"/>
    </row>
    <row r="524" spans="1:3" ht="14.25" customHeight="1">
      <c r="A524" s="1"/>
      <c r="B524" s="1"/>
      <c r="C524" s="1"/>
    </row>
    <row r="525" spans="1:3" ht="14.25" customHeight="1">
      <c r="A525" s="1"/>
      <c r="B525" s="1"/>
      <c r="C525" s="1"/>
    </row>
    <row r="526" spans="1:3" ht="14.25" customHeight="1">
      <c r="A526" s="1"/>
      <c r="B526" s="1"/>
      <c r="C526" s="1"/>
    </row>
    <row r="527" spans="1:3" ht="14.25" customHeight="1">
      <c r="A527" s="1"/>
      <c r="B527" s="1"/>
      <c r="C527" s="1"/>
    </row>
    <row r="528" spans="1:3" ht="14.25" customHeight="1">
      <c r="A528" s="1"/>
      <c r="B528" s="1"/>
      <c r="C528" s="1"/>
    </row>
    <row r="529" spans="1:3" ht="14.25" customHeight="1">
      <c r="A529" s="1"/>
      <c r="B529" s="1"/>
      <c r="C529" s="1"/>
    </row>
    <row r="530" spans="1:3" ht="14.25" customHeight="1">
      <c r="A530" s="1"/>
      <c r="B530" s="1"/>
      <c r="C530" s="1"/>
    </row>
    <row r="531" spans="1:3" ht="14.25" customHeight="1">
      <c r="A531" s="1"/>
      <c r="B531" s="1"/>
      <c r="C531" s="1"/>
    </row>
    <row r="532" spans="1:3" ht="14.25" customHeight="1">
      <c r="A532" s="1"/>
      <c r="B532" s="1"/>
      <c r="C532" s="1"/>
    </row>
    <row r="533" spans="1:3" ht="14.25" customHeight="1">
      <c r="A533" s="1"/>
      <c r="B533" s="1"/>
      <c r="C533" s="1"/>
    </row>
    <row r="534" spans="1:3" ht="14.25" customHeight="1">
      <c r="A534" s="1"/>
      <c r="B534" s="1"/>
      <c r="C534" s="1"/>
    </row>
    <row r="535" spans="1:3" ht="14.25" customHeight="1">
      <c r="A535" s="1"/>
      <c r="B535" s="1"/>
      <c r="C535" s="1"/>
    </row>
    <row r="536" spans="1:3" ht="14.25" customHeight="1">
      <c r="A536" s="1"/>
      <c r="B536" s="1"/>
      <c r="C536" s="1"/>
    </row>
    <row r="537" spans="1:3" ht="14.25" customHeight="1">
      <c r="A537" s="1"/>
      <c r="B537" s="1"/>
      <c r="C537" s="1"/>
    </row>
    <row r="538" spans="1:3" ht="14.25" customHeight="1">
      <c r="A538" s="1"/>
      <c r="B538" s="1"/>
      <c r="C538" s="1"/>
    </row>
    <row r="539" spans="1:3" ht="14.25" customHeight="1">
      <c r="A539" s="1"/>
      <c r="B539" s="1"/>
      <c r="C539" s="1"/>
    </row>
    <row r="540" spans="1:3" ht="14.25" customHeight="1">
      <c r="A540" s="1"/>
      <c r="B540" s="1"/>
      <c r="C540" s="1"/>
    </row>
    <row r="541" spans="1:3" ht="14.25" customHeight="1">
      <c r="A541" s="1"/>
      <c r="B541" s="1"/>
      <c r="C541" s="1"/>
    </row>
    <row r="542" spans="1:3" ht="14.25" customHeight="1">
      <c r="A542" s="1"/>
      <c r="B542" s="1"/>
      <c r="C542" s="1"/>
    </row>
    <row r="543" spans="1:3" ht="14.25" customHeight="1">
      <c r="A543" s="1"/>
      <c r="B543" s="1"/>
      <c r="C543" s="1"/>
    </row>
    <row r="544" spans="1:3" ht="14.25" customHeight="1">
      <c r="A544" s="1"/>
      <c r="B544" s="1"/>
      <c r="C544" s="1"/>
    </row>
    <row r="545" spans="1:3" ht="14.25" customHeight="1">
      <c r="A545" s="1"/>
      <c r="B545" s="1"/>
      <c r="C545" s="1"/>
    </row>
    <row r="546" spans="1:3" ht="14.25" customHeight="1">
      <c r="A546" s="1"/>
      <c r="B546" s="1"/>
      <c r="C546" s="1"/>
    </row>
    <row r="547" spans="1:3" ht="14.25" customHeight="1">
      <c r="A547" s="1"/>
      <c r="B547" s="1"/>
      <c r="C547" s="1"/>
    </row>
    <row r="548" spans="1:3" ht="14.25" customHeight="1">
      <c r="A548" s="1"/>
      <c r="B548" s="1"/>
      <c r="C548" s="1"/>
    </row>
    <row r="549" spans="1:3" ht="14.25" customHeight="1">
      <c r="A549" s="1"/>
      <c r="B549" s="1"/>
      <c r="C549" s="1"/>
    </row>
    <row r="550" spans="1:3" ht="14.25" customHeight="1">
      <c r="A550" s="1"/>
      <c r="B550" s="1"/>
      <c r="C550" s="1"/>
    </row>
    <row r="551" spans="1:3" ht="14.25" customHeight="1">
      <c r="A551" s="1"/>
      <c r="B551" s="1"/>
      <c r="C551" s="1"/>
    </row>
    <row r="552" spans="1:3" ht="14.25" customHeight="1">
      <c r="A552" s="1"/>
      <c r="B552" s="1"/>
      <c r="C552" s="1"/>
    </row>
    <row r="553" spans="1:3" ht="14.25" customHeight="1">
      <c r="A553" s="1"/>
      <c r="B553" s="1"/>
      <c r="C553" s="1"/>
    </row>
    <row r="554" spans="1:3" ht="14.25" customHeight="1">
      <c r="A554" s="1"/>
      <c r="B554" s="1"/>
      <c r="C554" s="1"/>
    </row>
    <row r="555" spans="1:3" ht="14.25" customHeight="1">
      <c r="A555" s="1"/>
      <c r="B555" s="1"/>
      <c r="C555" s="1"/>
    </row>
    <row r="556" spans="1:3" ht="14.25" customHeight="1">
      <c r="A556" s="1"/>
      <c r="B556" s="1"/>
      <c r="C556" s="1"/>
    </row>
    <row r="557" spans="1:3" ht="14.25" customHeight="1">
      <c r="A557" s="1"/>
      <c r="B557" s="1"/>
      <c r="C557" s="1"/>
    </row>
    <row r="558" spans="1:3" ht="14.25" customHeight="1">
      <c r="A558" s="1"/>
      <c r="B558" s="1"/>
      <c r="C558" s="1"/>
    </row>
    <row r="559" spans="1:3" ht="14.25" customHeight="1">
      <c r="A559" s="1"/>
      <c r="B559" s="1"/>
      <c r="C559" s="1"/>
    </row>
    <row r="560" spans="1:3" ht="14.25" customHeight="1">
      <c r="A560" s="1"/>
      <c r="B560" s="1"/>
      <c r="C560" s="1"/>
    </row>
    <row r="561" spans="1:3" ht="14.25" customHeight="1">
      <c r="A561" s="1"/>
      <c r="B561" s="1"/>
      <c r="C561" s="1"/>
    </row>
    <row r="562" spans="1:3" ht="14.25" customHeight="1">
      <c r="A562" s="1"/>
      <c r="B562" s="1"/>
      <c r="C562" s="1"/>
    </row>
    <row r="563" spans="1:3" ht="14.25" customHeight="1">
      <c r="A563" s="1"/>
      <c r="B563" s="1"/>
      <c r="C563" s="1"/>
    </row>
    <row r="564" spans="1:3" ht="14.25" customHeight="1">
      <c r="A564" s="1"/>
      <c r="B564" s="1"/>
      <c r="C564" s="1"/>
    </row>
    <row r="565" spans="1:3" ht="14.25" customHeight="1">
      <c r="A565" s="1"/>
      <c r="B565" s="1"/>
      <c r="C565" s="1"/>
    </row>
    <row r="566" spans="1:3" ht="14.25" customHeight="1">
      <c r="A566" s="1"/>
      <c r="B566" s="1"/>
      <c r="C566" s="1"/>
    </row>
    <row r="567" spans="1:3" ht="14.25" customHeight="1">
      <c r="A567" s="1"/>
      <c r="B567" s="1"/>
      <c r="C567" s="1"/>
    </row>
    <row r="568" spans="1:3" ht="14.25" customHeight="1">
      <c r="A568" s="1"/>
      <c r="B568" s="1"/>
      <c r="C568" s="1"/>
    </row>
    <row r="569" spans="1:3" ht="14.25" customHeight="1">
      <c r="A569" s="1"/>
      <c r="B569" s="1"/>
      <c r="C569" s="1"/>
    </row>
    <row r="570" spans="1:3" ht="14.25" customHeight="1">
      <c r="A570" s="1"/>
      <c r="B570" s="1"/>
      <c r="C570" s="1"/>
    </row>
    <row r="571" spans="1:3" ht="14.25" customHeight="1">
      <c r="A571" s="1"/>
      <c r="B571" s="1"/>
      <c r="C571" s="1"/>
    </row>
    <row r="572" spans="1:3" ht="14.25" customHeight="1">
      <c r="A572" s="1"/>
      <c r="B572" s="1"/>
      <c r="C572" s="1"/>
    </row>
    <row r="573" spans="1:3" ht="14.25" customHeight="1">
      <c r="A573" s="1"/>
      <c r="B573" s="1"/>
      <c r="C573" s="1"/>
    </row>
    <row r="574" spans="1:3" ht="14.25" customHeight="1">
      <c r="A574" s="1"/>
      <c r="B574" s="1"/>
      <c r="C574" s="1"/>
    </row>
    <row r="575" spans="1:3" ht="14.25" customHeight="1">
      <c r="A575" s="1"/>
      <c r="B575" s="1"/>
      <c r="C575" s="1"/>
    </row>
    <row r="576" spans="1:3" ht="14.25" customHeight="1">
      <c r="A576" s="1"/>
      <c r="B576" s="1"/>
      <c r="C576" s="1"/>
    </row>
    <row r="577" spans="1:3" ht="14.25" customHeight="1">
      <c r="A577" s="1"/>
      <c r="B577" s="1"/>
      <c r="C577" s="1"/>
    </row>
    <row r="578" spans="1:3" ht="14.25" customHeight="1">
      <c r="A578" s="1"/>
      <c r="B578" s="1"/>
      <c r="C578" s="1"/>
    </row>
    <row r="579" spans="1:3" ht="14.25" customHeight="1">
      <c r="A579" s="1"/>
      <c r="B579" s="1"/>
      <c r="C579" s="1"/>
    </row>
    <row r="580" spans="1:3" ht="14.25" customHeight="1">
      <c r="A580" s="1"/>
      <c r="B580" s="1"/>
      <c r="C580" s="1"/>
    </row>
    <row r="581" spans="1:3" ht="14.25" customHeight="1">
      <c r="A581" s="1"/>
      <c r="B581" s="1"/>
      <c r="C581" s="1"/>
    </row>
    <row r="582" spans="1:3" ht="14.25" customHeight="1">
      <c r="A582" s="1"/>
      <c r="B582" s="1"/>
      <c r="C582" s="1"/>
    </row>
    <row r="583" spans="1:3" ht="14.25" customHeight="1">
      <c r="A583" s="1"/>
      <c r="B583" s="1"/>
      <c r="C583" s="1"/>
    </row>
    <row r="584" spans="1:3" ht="14.25" customHeight="1">
      <c r="A584" s="1"/>
      <c r="B584" s="1"/>
      <c r="C584" s="1"/>
    </row>
    <row r="585" spans="1:3" ht="14.25" customHeight="1">
      <c r="A585" s="1"/>
      <c r="B585" s="1"/>
      <c r="C585" s="1"/>
    </row>
    <row r="586" spans="1:3" ht="14.25" customHeight="1">
      <c r="A586" s="1"/>
      <c r="B586" s="1"/>
      <c r="C586" s="1"/>
    </row>
    <row r="587" spans="1:3" ht="14.25" customHeight="1">
      <c r="A587" s="1"/>
      <c r="B587" s="1"/>
      <c r="C587" s="1"/>
    </row>
    <row r="588" spans="1:3" ht="14.25" customHeight="1">
      <c r="A588" s="1"/>
      <c r="B588" s="1"/>
      <c r="C588" s="1"/>
    </row>
    <row r="589" spans="1:3" ht="14.25" customHeight="1">
      <c r="A589" s="1"/>
      <c r="B589" s="1"/>
      <c r="C589" s="1"/>
    </row>
    <row r="590" spans="1:3" ht="14.25" customHeight="1">
      <c r="A590" s="1"/>
      <c r="B590" s="1"/>
      <c r="C590" s="1"/>
    </row>
    <row r="591" spans="1:3" ht="14.25" customHeight="1">
      <c r="A591" s="1"/>
      <c r="B591" s="1"/>
      <c r="C591" s="1"/>
    </row>
    <row r="592" spans="1:3" ht="14.25" customHeight="1">
      <c r="A592" s="1"/>
      <c r="B592" s="1"/>
      <c r="C592" s="1"/>
    </row>
    <row r="593" spans="1:3" ht="14.25" customHeight="1">
      <c r="A593" s="1"/>
      <c r="B593" s="1"/>
      <c r="C593" s="1"/>
    </row>
    <row r="594" spans="1:3" ht="14.25" customHeight="1">
      <c r="A594" s="1"/>
      <c r="B594" s="1"/>
      <c r="C594" s="1"/>
    </row>
    <row r="595" spans="1:3" ht="14.25" customHeight="1">
      <c r="A595" s="1"/>
      <c r="B595" s="1"/>
      <c r="C595" s="1"/>
    </row>
    <row r="596" spans="1:3" ht="14.25" customHeight="1">
      <c r="A596" s="1"/>
      <c r="B596" s="1"/>
      <c r="C596" s="1"/>
    </row>
    <row r="597" spans="1:3" ht="14.25" customHeight="1">
      <c r="A597" s="1"/>
      <c r="B597" s="1"/>
      <c r="C597" s="1"/>
    </row>
    <row r="598" spans="1:3" ht="14.25" customHeight="1">
      <c r="A598" s="1"/>
      <c r="B598" s="1"/>
      <c r="C598" s="1"/>
    </row>
    <row r="599" spans="1:3" ht="14.25" customHeight="1">
      <c r="A599" s="1"/>
      <c r="B599" s="1"/>
      <c r="C599" s="1"/>
    </row>
    <row r="600" spans="1:3" ht="14.25" customHeight="1">
      <c r="A600" s="1"/>
      <c r="B600" s="1"/>
      <c r="C600" s="1"/>
    </row>
    <row r="601" spans="1:3" ht="14.25" customHeight="1">
      <c r="A601" s="1"/>
      <c r="B601" s="1"/>
      <c r="C601" s="1"/>
    </row>
    <row r="602" spans="1:3" ht="14.25" customHeight="1">
      <c r="A602" s="1"/>
      <c r="B602" s="1"/>
      <c r="C602" s="1"/>
    </row>
    <row r="603" spans="1:3" ht="14.25" customHeight="1">
      <c r="A603" s="1"/>
      <c r="B603" s="1"/>
      <c r="C603" s="1"/>
    </row>
    <row r="604" spans="1:3" ht="14.25" customHeight="1">
      <c r="A604" s="1"/>
      <c r="B604" s="1"/>
      <c r="C604" s="1"/>
    </row>
    <row r="605" spans="1:3" ht="14.25" customHeight="1">
      <c r="A605" s="1"/>
      <c r="B605" s="1"/>
      <c r="C605" s="1"/>
    </row>
    <row r="606" spans="1:3" ht="14.25" customHeight="1">
      <c r="A606" s="1"/>
      <c r="B606" s="1"/>
      <c r="C606" s="1"/>
    </row>
    <row r="607" spans="1:3" ht="14.25" customHeight="1">
      <c r="A607" s="1"/>
      <c r="B607" s="1"/>
      <c r="C607" s="1"/>
    </row>
    <row r="608" spans="1:3" ht="14.25" customHeight="1">
      <c r="A608" s="1"/>
      <c r="B608" s="1"/>
      <c r="C608" s="1"/>
    </row>
    <row r="609" spans="1:3" ht="14.25" customHeight="1">
      <c r="A609" s="1"/>
      <c r="B609" s="1"/>
      <c r="C609" s="1"/>
    </row>
    <row r="610" spans="1:3" ht="14.25" customHeight="1">
      <c r="A610" s="1"/>
      <c r="B610" s="1"/>
      <c r="C610" s="1"/>
    </row>
    <row r="611" spans="1:3" ht="14.25" customHeight="1">
      <c r="A611" s="1"/>
      <c r="B611" s="1"/>
      <c r="C611" s="1"/>
    </row>
    <row r="612" spans="1:3" ht="14.25" customHeight="1">
      <c r="A612" s="1"/>
      <c r="B612" s="1"/>
      <c r="C612" s="1"/>
    </row>
    <row r="613" spans="1:3" ht="14.25" customHeight="1">
      <c r="A613" s="1"/>
      <c r="B613" s="1"/>
      <c r="C613" s="1"/>
    </row>
    <row r="614" spans="1:3" ht="14.25" customHeight="1">
      <c r="A614" s="1"/>
      <c r="B614" s="1"/>
      <c r="C614" s="1"/>
    </row>
    <row r="615" spans="1:3" ht="14.25" customHeight="1">
      <c r="A615" s="1"/>
      <c r="B615" s="1"/>
      <c r="C615" s="1"/>
    </row>
    <row r="616" spans="1:3" ht="14.25" customHeight="1">
      <c r="A616" s="1"/>
      <c r="B616" s="1"/>
      <c r="C616" s="1"/>
    </row>
    <row r="617" spans="1:3" ht="14.25" customHeight="1">
      <c r="A617" s="1"/>
      <c r="B617" s="1"/>
      <c r="C617" s="1"/>
    </row>
    <row r="618" spans="1:3" ht="14.25" customHeight="1">
      <c r="A618" s="1"/>
      <c r="B618" s="1"/>
      <c r="C618" s="1"/>
    </row>
    <row r="619" spans="1:3" ht="14.25" customHeight="1">
      <c r="A619" s="1"/>
      <c r="B619" s="1"/>
      <c r="C619" s="1"/>
    </row>
    <row r="620" spans="1:3" ht="14.25" customHeight="1">
      <c r="A620" s="1"/>
      <c r="B620" s="1"/>
      <c r="C620" s="1"/>
    </row>
    <row r="621" spans="1:3" ht="14.25" customHeight="1">
      <c r="A621" s="1"/>
      <c r="B621" s="1"/>
      <c r="C621" s="1"/>
    </row>
    <row r="622" spans="1:3" ht="14.25" customHeight="1">
      <c r="A622" s="1"/>
      <c r="B622" s="1"/>
      <c r="C622" s="1"/>
    </row>
    <row r="623" spans="1:3" ht="14.25" customHeight="1">
      <c r="A623" s="1"/>
      <c r="B623" s="1"/>
      <c r="C623" s="1"/>
    </row>
    <row r="624" spans="1:3" ht="14.25" customHeight="1">
      <c r="A624" s="1"/>
      <c r="B624" s="1"/>
      <c r="C624" s="1"/>
    </row>
    <row r="625" spans="1:3" ht="14.25" customHeight="1">
      <c r="A625" s="1"/>
      <c r="B625" s="1"/>
      <c r="C625" s="1"/>
    </row>
    <row r="626" spans="1:3" ht="14.25" customHeight="1">
      <c r="A626" s="1"/>
      <c r="B626" s="1"/>
      <c r="C626" s="1"/>
    </row>
    <row r="627" spans="1:3" ht="14.25" customHeight="1">
      <c r="A627" s="1"/>
      <c r="B627" s="1"/>
      <c r="C627" s="1"/>
    </row>
    <row r="628" spans="1:3" ht="14.25" customHeight="1">
      <c r="A628" s="1"/>
      <c r="B628" s="1"/>
      <c r="C628" s="1"/>
    </row>
    <row r="629" spans="1:3" ht="14.25" customHeight="1">
      <c r="A629" s="1"/>
      <c r="B629" s="1"/>
      <c r="C629" s="1"/>
    </row>
    <row r="630" spans="1:3" ht="14.25" customHeight="1">
      <c r="A630" s="1"/>
      <c r="B630" s="1"/>
      <c r="C630" s="1"/>
    </row>
    <row r="631" spans="1:3" ht="14.25" customHeight="1">
      <c r="A631" s="1"/>
      <c r="B631" s="1"/>
      <c r="C631" s="1"/>
    </row>
    <row r="632" spans="1:3" ht="14.25" customHeight="1">
      <c r="A632" s="1"/>
      <c r="B632" s="1"/>
      <c r="C632" s="1"/>
    </row>
    <row r="633" spans="1:3" ht="14.25" customHeight="1">
      <c r="A633" s="1"/>
      <c r="B633" s="1"/>
      <c r="C633" s="1"/>
    </row>
    <row r="634" spans="1:3" ht="14.25" customHeight="1">
      <c r="A634" s="1"/>
      <c r="B634" s="1"/>
      <c r="C634" s="1"/>
    </row>
    <row r="635" spans="1:3" ht="14.25" customHeight="1">
      <c r="A635" s="1"/>
      <c r="B635" s="1"/>
      <c r="C635" s="1"/>
    </row>
    <row r="636" spans="1:3" ht="14.25" customHeight="1">
      <c r="A636" s="1"/>
      <c r="B636" s="1"/>
      <c r="C636" s="1"/>
    </row>
    <row r="637" spans="1:3" ht="14.25" customHeight="1">
      <c r="A637" s="1"/>
      <c r="B637" s="1"/>
      <c r="C637" s="1"/>
    </row>
    <row r="638" spans="1:3" ht="14.25" customHeight="1">
      <c r="A638" s="1"/>
      <c r="B638" s="1"/>
      <c r="C638" s="1"/>
    </row>
    <row r="639" spans="1:3" ht="14.25" customHeight="1">
      <c r="A639" s="1"/>
      <c r="B639" s="1"/>
      <c r="C639" s="1"/>
    </row>
    <row r="640" spans="1:3" ht="14.25" customHeight="1">
      <c r="A640" s="1"/>
      <c r="B640" s="1"/>
      <c r="C640" s="1"/>
    </row>
    <row r="641" spans="1:3" ht="14.25" customHeight="1">
      <c r="A641" s="1"/>
      <c r="B641" s="1"/>
      <c r="C641" s="1"/>
    </row>
    <row r="642" spans="1:3" ht="14.25" customHeight="1">
      <c r="A642" s="1"/>
      <c r="B642" s="1"/>
      <c r="C642" s="1"/>
    </row>
    <row r="643" spans="1:3" ht="14.25" customHeight="1">
      <c r="A643" s="1"/>
      <c r="B643" s="1"/>
      <c r="C643" s="1"/>
    </row>
    <row r="644" spans="1:3" ht="14.25" customHeight="1">
      <c r="A644" s="1"/>
      <c r="B644" s="1"/>
      <c r="C644" s="1"/>
    </row>
    <row r="645" spans="1:3" ht="14.25" customHeight="1">
      <c r="A645" s="1"/>
      <c r="B645" s="1"/>
      <c r="C645" s="1"/>
    </row>
    <row r="646" spans="1:3" ht="14.25" customHeight="1">
      <c r="A646" s="1"/>
      <c r="B646" s="1"/>
      <c r="C646" s="1"/>
    </row>
    <row r="647" spans="1:3" ht="14.25" customHeight="1">
      <c r="A647" s="1"/>
      <c r="B647" s="1"/>
      <c r="C647" s="1"/>
    </row>
    <row r="648" spans="1:3" ht="14.25" customHeight="1">
      <c r="A648" s="1"/>
      <c r="B648" s="1"/>
      <c r="C648" s="1"/>
    </row>
    <row r="649" spans="1:3" ht="14.25" customHeight="1">
      <c r="A649" s="1"/>
      <c r="B649" s="1"/>
      <c r="C649" s="1"/>
    </row>
    <row r="650" spans="1:3" ht="14.25" customHeight="1">
      <c r="A650" s="1"/>
      <c r="B650" s="1"/>
      <c r="C650" s="1"/>
    </row>
    <row r="651" spans="1:3" ht="14.25" customHeight="1">
      <c r="A651" s="1"/>
      <c r="B651" s="1"/>
      <c r="C651" s="1"/>
    </row>
    <row r="652" spans="1:3" ht="14.25" customHeight="1">
      <c r="A652" s="1"/>
      <c r="B652" s="1"/>
      <c r="C652" s="1"/>
    </row>
    <row r="653" spans="1:3" ht="14.25" customHeight="1">
      <c r="A653" s="1"/>
      <c r="B653" s="1"/>
      <c r="C653" s="1"/>
    </row>
    <row r="654" spans="1:3" ht="14.25" customHeight="1">
      <c r="A654" s="1"/>
      <c r="B654" s="1"/>
      <c r="C654" s="1"/>
    </row>
    <row r="655" spans="1:3" ht="14.25" customHeight="1">
      <c r="A655" s="1"/>
      <c r="B655" s="1"/>
      <c r="C655" s="1"/>
    </row>
    <row r="656" spans="1:3" ht="14.25" customHeight="1">
      <c r="A656" s="1"/>
      <c r="B656" s="1"/>
      <c r="C656" s="1"/>
    </row>
    <row r="657" spans="1:3" ht="14.25" customHeight="1">
      <c r="A657" s="1"/>
      <c r="B657" s="1"/>
      <c r="C657" s="1"/>
    </row>
    <row r="658" spans="1:3" ht="14.25" customHeight="1">
      <c r="A658" s="1"/>
      <c r="B658" s="1"/>
      <c r="C658" s="1"/>
    </row>
    <row r="659" spans="1:3" ht="14.25" customHeight="1">
      <c r="A659" s="1"/>
      <c r="B659" s="1"/>
      <c r="C659" s="1"/>
    </row>
    <row r="660" spans="1:3" ht="14.25" customHeight="1">
      <c r="A660" s="1"/>
      <c r="B660" s="1"/>
      <c r="C660" s="1"/>
    </row>
    <row r="661" spans="1:3" ht="14.25" customHeight="1">
      <c r="A661" s="1"/>
      <c r="B661" s="1"/>
      <c r="C661" s="1"/>
    </row>
    <row r="662" spans="1:3" ht="14.25" customHeight="1">
      <c r="A662" s="1"/>
      <c r="B662" s="1"/>
      <c r="C662" s="1"/>
    </row>
    <row r="663" spans="1:3" ht="14.25" customHeight="1">
      <c r="A663" s="1"/>
      <c r="B663" s="1"/>
      <c r="C663" s="1"/>
    </row>
    <row r="664" spans="1:3" ht="14.25" customHeight="1">
      <c r="A664" s="1"/>
      <c r="B664" s="1"/>
      <c r="C664" s="1"/>
    </row>
    <row r="665" spans="1:3" ht="14.25" customHeight="1">
      <c r="A665" s="1"/>
      <c r="B665" s="1"/>
      <c r="C665" s="1"/>
    </row>
    <row r="666" spans="1:3" ht="14.25" customHeight="1">
      <c r="A666" s="1"/>
      <c r="B666" s="1"/>
      <c r="C666" s="1"/>
    </row>
    <row r="667" spans="1:3" ht="14.25" customHeight="1">
      <c r="A667" s="1"/>
      <c r="B667" s="1"/>
      <c r="C667" s="1"/>
    </row>
    <row r="668" spans="1:3" ht="14.25" customHeight="1">
      <c r="A668" s="1"/>
      <c r="B668" s="1"/>
      <c r="C668" s="1"/>
    </row>
    <row r="669" spans="1:3" ht="14.25" customHeight="1">
      <c r="A669" s="1"/>
      <c r="B669" s="1"/>
      <c r="C669" s="1"/>
    </row>
    <row r="670" spans="1:3" ht="14.25" customHeight="1">
      <c r="A670" s="1"/>
      <c r="B670" s="1"/>
      <c r="C670" s="1"/>
    </row>
    <row r="671" spans="1:3" ht="14.25" customHeight="1">
      <c r="A671" s="1"/>
      <c r="B671" s="1"/>
      <c r="C671" s="1"/>
    </row>
    <row r="672" spans="1:3" ht="14.25" customHeight="1">
      <c r="A672" s="1"/>
      <c r="B672" s="1"/>
      <c r="C672" s="1"/>
    </row>
    <row r="673" spans="1:3" ht="14.25" customHeight="1">
      <c r="A673" s="1"/>
      <c r="B673" s="1"/>
      <c r="C673" s="1"/>
    </row>
    <row r="674" spans="1:3" ht="14.25" customHeight="1">
      <c r="A674" s="1"/>
      <c r="B674" s="1"/>
      <c r="C674" s="1"/>
    </row>
    <row r="675" spans="1:3" ht="14.25" customHeight="1">
      <c r="A675" s="1"/>
      <c r="B675" s="1"/>
      <c r="C675" s="1"/>
    </row>
    <row r="676" spans="1:3" ht="14.25" customHeight="1">
      <c r="A676" s="1"/>
      <c r="B676" s="1"/>
      <c r="C676" s="1"/>
    </row>
    <row r="677" spans="1:3" ht="14.25" customHeight="1">
      <c r="A677" s="1"/>
      <c r="B677" s="1"/>
      <c r="C677" s="1"/>
    </row>
    <row r="678" spans="1:3" ht="14.25" customHeight="1">
      <c r="A678" s="1"/>
      <c r="B678" s="1"/>
      <c r="C678" s="1"/>
    </row>
    <row r="679" spans="1:3" ht="14.25" customHeight="1">
      <c r="A679" s="1"/>
      <c r="B679" s="1"/>
      <c r="C679" s="1"/>
    </row>
    <row r="680" spans="1:3" ht="14.25" customHeight="1">
      <c r="A680" s="1"/>
      <c r="B680" s="1"/>
      <c r="C680" s="1"/>
    </row>
    <row r="681" spans="1:3" ht="14.25" customHeight="1">
      <c r="A681" s="1"/>
      <c r="B681" s="1"/>
      <c r="C681" s="1"/>
    </row>
    <row r="682" spans="1:3" ht="14.25" customHeight="1">
      <c r="A682" s="1"/>
      <c r="B682" s="1"/>
      <c r="C682" s="1"/>
    </row>
    <row r="683" spans="1:3" ht="14.25" customHeight="1">
      <c r="A683" s="1"/>
      <c r="B683" s="1"/>
      <c r="C683" s="1"/>
    </row>
    <row r="684" spans="1:3" ht="14.25" customHeight="1">
      <c r="A684" s="1"/>
      <c r="B684" s="1"/>
      <c r="C684" s="1"/>
    </row>
    <row r="685" spans="1:3" ht="14.25" customHeight="1">
      <c r="A685" s="1"/>
      <c r="B685" s="1"/>
      <c r="C685" s="1"/>
    </row>
    <row r="686" spans="1:3" ht="14.25" customHeight="1">
      <c r="A686" s="1"/>
      <c r="B686" s="1"/>
      <c r="C686" s="1"/>
    </row>
    <row r="687" spans="1:3" ht="14.25" customHeight="1">
      <c r="A687" s="1"/>
      <c r="B687" s="1"/>
      <c r="C687" s="1"/>
    </row>
    <row r="688" spans="1:3" ht="14.25" customHeight="1">
      <c r="A688" s="1"/>
      <c r="B688" s="1"/>
      <c r="C688" s="1"/>
    </row>
    <row r="689" spans="1:3" ht="14.25" customHeight="1">
      <c r="A689" s="1"/>
      <c r="B689" s="1"/>
      <c r="C689" s="1"/>
    </row>
    <row r="690" spans="1:3" ht="14.25" customHeight="1">
      <c r="A690" s="1"/>
      <c r="B690" s="1"/>
      <c r="C690" s="1"/>
    </row>
    <row r="691" spans="1:3" ht="14.25" customHeight="1">
      <c r="A691" s="1"/>
      <c r="B691" s="1"/>
      <c r="C691" s="1"/>
    </row>
    <row r="692" spans="1:3" ht="14.25" customHeight="1">
      <c r="A692" s="1"/>
      <c r="B692" s="1"/>
      <c r="C692" s="1"/>
    </row>
    <row r="693" spans="1:3" ht="14.25" customHeight="1">
      <c r="A693" s="1"/>
      <c r="B693" s="1"/>
      <c r="C693" s="1"/>
    </row>
    <row r="694" spans="1:3" ht="14.25" customHeight="1">
      <c r="A694" s="1"/>
      <c r="B694" s="1"/>
      <c r="C694" s="1"/>
    </row>
    <row r="695" spans="1:3" ht="14.25" customHeight="1">
      <c r="A695" s="1"/>
      <c r="B695" s="1"/>
      <c r="C695" s="1"/>
    </row>
    <row r="696" spans="1:3" ht="14.25" customHeight="1">
      <c r="A696" s="1"/>
      <c r="B696" s="1"/>
      <c r="C696" s="1"/>
    </row>
    <row r="697" spans="1:3" ht="14.25" customHeight="1">
      <c r="A697" s="1"/>
      <c r="B697" s="1"/>
      <c r="C697" s="1"/>
    </row>
    <row r="698" spans="1:3" ht="14.25" customHeight="1">
      <c r="A698" s="1"/>
      <c r="B698" s="1"/>
      <c r="C698" s="1"/>
    </row>
    <row r="699" spans="1:3" ht="14.25" customHeight="1">
      <c r="A699" s="1"/>
      <c r="B699" s="1"/>
      <c r="C699" s="1"/>
    </row>
    <row r="700" spans="1:3" ht="14.25" customHeight="1">
      <c r="A700" s="1"/>
      <c r="B700" s="1"/>
      <c r="C700" s="1"/>
    </row>
    <row r="701" spans="1:3" ht="14.25" customHeight="1">
      <c r="A701" s="1"/>
      <c r="B701" s="1"/>
      <c r="C701" s="1"/>
    </row>
    <row r="702" spans="1:3" ht="14.25" customHeight="1">
      <c r="A702" s="1"/>
      <c r="B702" s="1"/>
      <c r="C702" s="1"/>
    </row>
    <row r="703" spans="1:3" ht="14.25" customHeight="1">
      <c r="A703" s="1"/>
      <c r="B703" s="1"/>
      <c r="C703" s="1"/>
    </row>
    <row r="704" spans="1:3" ht="14.25" customHeight="1">
      <c r="A704" s="1"/>
      <c r="B704" s="1"/>
      <c r="C704" s="1"/>
    </row>
    <row r="705" spans="1:3" ht="14.25" customHeight="1">
      <c r="A705" s="1"/>
      <c r="B705" s="1"/>
      <c r="C705" s="1"/>
    </row>
    <row r="706" spans="1:3" ht="14.25" customHeight="1">
      <c r="A706" s="1"/>
      <c r="B706" s="1"/>
      <c r="C706" s="1"/>
    </row>
    <row r="707" spans="1:3" ht="14.25" customHeight="1">
      <c r="A707" s="1"/>
      <c r="B707" s="1"/>
      <c r="C707" s="1"/>
    </row>
    <row r="708" spans="1:3" ht="14.25" customHeight="1">
      <c r="A708" s="1"/>
      <c r="B708" s="1"/>
      <c r="C708" s="1"/>
    </row>
    <row r="709" spans="1:3" ht="14.25" customHeight="1">
      <c r="A709" s="1"/>
      <c r="B709" s="1"/>
      <c r="C709" s="1"/>
    </row>
    <row r="710" spans="1:3" ht="14.25" customHeight="1">
      <c r="A710" s="1"/>
      <c r="B710" s="1"/>
      <c r="C710" s="1"/>
    </row>
    <row r="711" spans="1:3" ht="14.25" customHeight="1">
      <c r="A711" s="1"/>
      <c r="B711" s="1"/>
      <c r="C711" s="1"/>
    </row>
    <row r="712" spans="1:3" ht="14.25" customHeight="1">
      <c r="A712" s="1"/>
      <c r="B712" s="1"/>
      <c r="C712" s="1"/>
    </row>
    <row r="713" spans="1:3" ht="14.25" customHeight="1">
      <c r="A713" s="1"/>
      <c r="B713" s="1"/>
      <c r="C713" s="1"/>
    </row>
    <row r="714" spans="1:3" ht="14.25" customHeight="1">
      <c r="A714" s="1"/>
      <c r="B714" s="1"/>
      <c r="C714" s="1"/>
    </row>
    <row r="715" spans="1:3" ht="14.25" customHeight="1">
      <c r="A715" s="1"/>
      <c r="B715" s="1"/>
      <c r="C715" s="1"/>
    </row>
    <row r="716" spans="1:3" ht="14.25" customHeight="1">
      <c r="A716" s="1"/>
      <c r="B716" s="1"/>
      <c r="C716" s="1"/>
    </row>
    <row r="717" spans="1:3" ht="14.25" customHeight="1">
      <c r="A717" s="1"/>
      <c r="B717" s="1"/>
      <c r="C717" s="1"/>
    </row>
    <row r="718" spans="1:3" ht="14.25" customHeight="1">
      <c r="A718" s="1"/>
      <c r="B718" s="1"/>
      <c r="C718" s="1"/>
    </row>
    <row r="719" spans="1:3" ht="14.25" customHeight="1">
      <c r="A719" s="1"/>
      <c r="B719" s="1"/>
      <c r="C719" s="1"/>
    </row>
    <row r="720" spans="1:3" ht="14.25" customHeight="1">
      <c r="A720" s="1"/>
      <c r="B720" s="1"/>
      <c r="C720" s="1"/>
    </row>
    <row r="721" spans="1:3" ht="14.25" customHeight="1">
      <c r="A721" s="1"/>
      <c r="B721" s="1"/>
      <c r="C721" s="1"/>
    </row>
    <row r="722" spans="1:3" ht="14.25" customHeight="1">
      <c r="A722" s="1"/>
      <c r="B722" s="1"/>
      <c r="C722" s="1"/>
    </row>
    <row r="723" spans="1:3" ht="14.25" customHeight="1">
      <c r="A723" s="1"/>
      <c r="B723" s="1"/>
      <c r="C723" s="1"/>
    </row>
    <row r="724" spans="1:3" ht="14.25" customHeight="1">
      <c r="A724" s="1"/>
      <c r="B724" s="1"/>
      <c r="C724" s="1"/>
    </row>
    <row r="725" spans="1:3" ht="14.25" customHeight="1">
      <c r="A725" s="1"/>
      <c r="B725" s="1"/>
      <c r="C725" s="1"/>
    </row>
    <row r="726" spans="1:3" ht="14.25" customHeight="1">
      <c r="A726" s="1"/>
      <c r="B726" s="1"/>
      <c r="C726" s="1"/>
    </row>
    <row r="727" spans="1:3" ht="14.25" customHeight="1">
      <c r="A727" s="1"/>
      <c r="B727" s="1"/>
      <c r="C727" s="1"/>
    </row>
    <row r="728" spans="1:3" ht="14.25" customHeight="1">
      <c r="A728" s="1"/>
      <c r="B728" s="1"/>
      <c r="C728" s="1"/>
    </row>
    <row r="729" spans="1:3" ht="14.25" customHeight="1">
      <c r="A729" s="1"/>
      <c r="B729" s="1"/>
      <c r="C729" s="1"/>
    </row>
    <row r="730" spans="1:3" ht="14.25" customHeight="1">
      <c r="A730" s="1"/>
      <c r="B730" s="1"/>
      <c r="C730" s="1"/>
    </row>
    <row r="731" spans="1:3" ht="14.25" customHeight="1">
      <c r="A731" s="1"/>
      <c r="B731" s="1"/>
      <c r="C731" s="1"/>
    </row>
    <row r="732" spans="1:3" ht="14.25" customHeight="1">
      <c r="A732" s="1"/>
      <c r="B732" s="1"/>
      <c r="C732" s="1"/>
    </row>
    <row r="733" spans="1:3" ht="14.25" customHeight="1">
      <c r="A733" s="1"/>
      <c r="B733" s="1"/>
      <c r="C733" s="1"/>
    </row>
    <row r="734" spans="1:3" ht="14.25" customHeight="1">
      <c r="A734" s="1"/>
      <c r="B734" s="1"/>
      <c r="C734" s="1"/>
    </row>
    <row r="735" spans="1:3" ht="14.25" customHeight="1">
      <c r="A735" s="1"/>
      <c r="B735" s="1"/>
      <c r="C735" s="1"/>
    </row>
    <row r="736" spans="1:3" ht="14.25" customHeight="1">
      <c r="A736" s="1"/>
      <c r="B736" s="1"/>
      <c r="C736" s="1"/>
    </row>
    <row r="737" spans="1:3" ht="14.25" customHeight="1">
      <c r="A737" s="1"/>
      <c r="B737" s="1"/>
      <c r="C737" s="1"/>
    </row>
    <row r="738" spans="1:3" ht="14.25" customHeight="1">
      <c r="A738" s="1"/>
      <c r="B738" s="1"/>
      <c r="C738" s="1"/>
    </row>
    <row r="739" spans="1:3" ht="14.25" customHeight="1">
      <c r="A739" s="1"/>
      <c r="B739" s="1"/>
      <c r="C739" s="1"/>
    </row>
    <row r="740" spans="1:3" ht="14.25" customHeight="1">
      <c r="A740" s="1"/>
      <c r="B740" s="1"/>
      <c r="C740" s="1"/>
    </row>
    <row r="741" spans="1:3" ht="14.25" customHeight="1">
      <c r="A741" s="1"/>
      <c r="B741" s="1"/>
      <c r="C741" s="1"/>
    </row>
    <row r="742" spans="1:3" ht="14.25" customHeight="1">
      <c r="A742" s="1"/>
      <c r="B742" s="1"/>
      <c r="C742" s="1"/>
    </row>
    <row r="743" spans="1:3" ht="14.25" customHeight="1">
      <c r="A743" s="1"/>
      <c r="B743" s="1"/>
      <c r="C743" s="1"/>
    </row>
    <row r="744" spans="1:3" ht="14.25" customHeight="1">
      <c r="A744" s="1"/>
      <c r="B744" s="1"/>
      <c r="C744" s="1"/>
    </row>
    <row r="745" spans="1:3" ht="14.25" customHeight="1">
      <c r="A745" s="1"/>
      <c r="B745" s="1"/>
      <c r="C745" s="1"/>
    </row>
    <row r="746" spans="1:3" ht="14.25" customHeight="1">
      <c r="A746" s="1"/>
      <c r="B746" s="1"/>
      <c r="C746" s="1"/>
    </row>
    <row r="747" spans="1:3" ht="14.25" customHeight="1">
      <c r="A747" s="1"/>
      <c r="B747" s="1"/>
      <c r="C747" s="1"/>
    </row>
    <row r="748" spans="1:3" ht="14.25" customHeight="1">
      <c r="A748" s="1"/>
      <c r="B748" s="1"/>
      <c r="C748" s="1"/>
    </row>
    <row r="749" spans="1:3" ht="14.25" customHeight="1">
      <c r="A749" s="1"/>
      <c r="B749" s="1"/>
      <c r="C749" s="1"/>
    </row>
    <row r="750" spans="1:3" ht="14.25" customHeight="1">
      <c r="A750" s="1"/>
      <c r="B750" s="1"/>
      <c r="C750" s="1"/>
    </row>
    <row r="751" spans="1:3" ht="14.25" customHeight="1">
      <c r="A751" s="1"/>
      <c r="B751" s="1"/>
      <c r="C751" s="1"/>
    </row>
    <row r="752" spans="1:3" ht="14.25" customHeight="1">
      <c r="A752" s="1"/>
      <c r="B752" s="1"/>
      <c r="C752" s="1"/>
    </row>
    <row r="753" spans="1:3" ht="14.25" customHeight="1">
      <c r="A753" s="1"/>
      <c r="B753" s="1"/>
      <c r="C753" s="1"/>
    </row>
    <row r="754" spans="1:3" ht="14.25" customHeight="1">
      <c r="A754" s="1"/>
      <c r="B754" s="1"/>
      <c r="C754" s="1"/>
    </row>
    <row r="755" spans="1:3" ht="14.25" customHeight="1">
      <c r="A755" s="1"/>
      <c r="B755" s="1"/>
      <c r="C755" s="1"/>
    </row>
    <row r="756" spans="1:3" ht="14.25" customHeight="1">
      <c r="A756" s="1"/>
      <c r="B756" s="1"/>
      <c r="C756" s="1"/>
    </row>
    <row r="757" spans="1:3" ht="14.25" customHeight="1">
      <c r="A757" s="1"/>
      <c r="B757" s="1"/>
      <c r="C757" s="1"/>
    </row>
    <row r="758" spans="1:3" ht="14.25" customHeight="1">
      <c r="A758" s="1"/>
      <c r="B758" s="1"/>
      <c r="C758" s="1"/>
    </row>
    <row r="759" spans="1:3" ht="14.25" customHeight="1">
      <c r="A759" s="1"/>
      <c r="B759" s="1"/>
      <c r="C759" s="1"/>
    </row>
    <row r="760" spans="1:3" ht="14.25" customHeight="1">
      <c r="A760" s="1"/>
      <c r="B760" s="1"/>
      <c r="C760" s="1"/>
    </row>
    <row r="761" spans="1:3" ht="14.25" customHeight="1">
      <c r="A761" s="1"/>
      <c r="B761" s="1"/>
      <c r="C761" s="1"/>
    </row>
    <row r="762" spans="1:3" ht="14.25" customHeight="1">
      <c r="A762" s="1"/>
      <c r="B762" s="1"/>
      <c r="C762" s="1"/>
    </row>
    <row r="763" spans="1:3" ht="14.25" customHeight="1">
      <c r="A763" s="1"/>
      <c r="B763" s="1"/>
      <c r="C763" s="1"/>
    </row>
    <row r="764" spans="1:3" ht="14.25" customHeight="1">
      <c r="A764" s="1"/>
      <c r="B764" s="1"/>
      <c r="C764" s="1"/>
    </row>
    <row r="765" spans="1:3" ht="14.25" customHeight="1">
      <c r="A765" s="1"/>
      <c r="B765" s="1"/>
      <c r="C765" s="1"/>
    </row>
    <row r="766" spans="1:3" ht="14.25" customHeight="1">
      <c r="A766" s="1"/>
      <c r="B766" s="1"/>
      <c r="C766" s="1"/>
    </row>
    <row r="767" spans="1:3" ht="14.25" customHeight="1">
      <c r="A767" s="1"/>
      <c r="B767" s="1"/>
      <c r="C767" s="1"/>
    </row>
    <row r="768" spans="1:3" ht="14.25" customHeight="1">
      <c r="A768" s="1"/>
      <c r="B768" s="1"/>
      <c r="C768" s="1"/>
    </row>
    <row r="769" spans="1:3" ht="14.25" customHeight="1">
      <c r="A769" s="1"/>
      <c r="B769" s="1"/>
      <c r="C769" s="1"/>
    </row>
    <row r="770" spans="1:3" ht="14.25" customHeight="1">
      <c r="A770" s="1"/>
      <c r="B770" s="1"/>
      <c r="C770" s="1"/>
    </row>
    <row r="771" spans="1:3" ht="14.25" customHeight="1">
      <c r="A771" s="1"/>
      <c r="B771" s="1"/>
      <c r="C771" s="1"/>
    </row>
    <row r="772" spans="1:3" ht="14.25" customHeight="1">
      <c r="A772" s="1"/>
      <c r="B772" s="1"/>
      <c r="C772" s="1"/>
    </row>
    <row r="773" spans="1:3" ht="14.25" customHeight="1">
      <c r="A773" s="1"/>
      <c r="B773" s="1"/>
      <c r="C773" s="1"/>
    </row>
    <row r="774" spans="1:3" ht="14.25" customHeight="1">
      <c r="A774" s="1"/>
      <c r="B774" s="1"/>
      <c r="C774" s="1"/>
    </row>
    <row r="775" spans="1:3" ht="14.25" customHeight="1">
      <c r="A775" s="1"/>
      <c r="B775" s="1"/>
      <c r="C775" s="1"/>
    </row>
    <row r="776" spans="1:3" ht="14.25" customHeight="1">
      <c r="A776" s="1"/>
      <c r="B776" s="1"/>
      <c r="C776" s="1"/>
    </row>
    <row r="777" spans="1:3" ht="14.25" customHeight="1">
      <c r="A777" s="1"/>
      <c r="B777" s="1"/>
      <c r="C777" s="1"/>
    </row>
    <row r="778" spans="1:3" ht="14.25" customHeight="1">
      <c r="A778" s="1"/>
      <c r="B778" s="1"/>
      <c r="C778" s="1"/>
    </row>
    <row r="779" spans="1:3" ht="14.25" customHeight="1">
      <c r="A779" s="1"/>
      <c r="B779" s="1"/>
      <c r="C779" s="1"/>
    </row>
    <row r="780" spans="1:3" ht="14.25" customHeight="1">
      <c r="A780" s="1"/>
      <c r="B780" s="1"/>
      <c r="C780" s="1"/>
    </row>
    <row r="781" spans="1:3" ht="14.25" customHeight="1">
      <c r="A781" s="1"/>
      <c r="B781" s="1"/>
      <c r="C781" s="1"/>
    </row>
    <row r="782" spans="1:3" ht="14.25" customHeight="1">
      <c r="A782" s="1"/>
      <c r="B782" s="1"/>
      <c r="C782" s="1"/>
    </row>
    <row r="783" spans="1:3" ht="14.25" customHeight="1">
      <c r="A783" s="1"/>
      <c r="B783" s="1"/>
      <c r="C783" s="1"/>
    </row>
    <row r="784" spans="1:3" ht="14.25" customHeight="1">
      <c r="A784" s="1"/>
      <c r="B784" s="1"/>
      <c r="C784" s="1"/>
    </row>
    <row r="785" spans="1:3" ht="14.25" customHeight="1">
      <c r="A785" s="1"/>
      <c r="B785" s="1"/>
      <c r="C785" s="1"/>
    </row>
    <row r="786" spans="1:3" ht="14.25" customHeight="1">
      <c r="A786" s="1"/>
      <c r="B786" s="1"/>
      <c r="C786" s="1"/>
    </row>
    <row r="787" spans="1:3" ht="14.25" customHeight="1">
      <c r="A787" s="1"/>
      <c r="B787" s="1"/>
      <c r="C787" s="1"/>
    </row>
    <row r="788" spans="1:3" ht="14.25" customHeight="1">
      <c r="A788" s="1"/>
      <c r="B788" s="1"/>
      <c r="C788" s="1"/>
    </row>
    <row r="789" spans="1:3" ht="14.25" customHeight="1">
      <c r="A789" s="1"/>
      <c r="B789" s="1"/>
      <c r="C789" s="1"/>
    </row>
    <row r="790" spans="1:3" ht="14.25" customHeight="1">
      <c r="A790" s="1"/>
      <c r="B790" s="1"/>
      <c r="C790" s="1"/>
    </row>
    <row r="791" spans="1:3" ht="14.25" customHeight="1">
      <c r="A791" s="1"/>
      <c r="B791" s="1"/>
      <c r="C791" s="1"/>
    </row>
    <row r="792" spans="1:3" ht="14.25" customHeight="1">
      <c r="A792" s="1"/>
      <c r="B792" s="1"/>
      <c r="C792" s="1"/>
    </row>
    <row r="793" spans="1:3" ht="14.25" customHeight="1">
      <c r="A793" s="1"/>
      <c r="B793" s="1"/>
      <c r="C793" s="1"/>
    </row>
    <row r="794" spans="1:3" ht="14.25" customHeight="1">
      <c r="A794" s="1"/>
      <c r="B794" s="1"/>
      <c r="C794" s="1"/>
    </row>
    <row r="795" spans="1:3" ht="14.25" customHeight="1">
      <c r="A795" s="1"/>
      <c r="B795" s="1"/>
      <c r="C795" s="1"/>
    </row>
    <row r="796" spans="1:3" ht="14.25" customHeight="1">
      <c r="A796" s="1"/>
      <c r="B796" s="1"/>
      <c r="C796" s="1"/>
    </row>
    <row r="797" spans="1:3" ht="14.25" customHeight="1">
      <c r="A797" s="1"/>
      <c r="B797" s="1"/>
      <c r="C797" s="1"/>
    </row>
    <row r="798" spans="1:3" ht="14.25" customHeight="1">
      <c r="A798" s="1"/>
      <c r="B798" s="1"/>
      <c r="C798" s="1"/>
    </row>
    <row r="799" spans="1:3" ht="14.25" customHeight="1">
      <c r="A799" s="1"/>
      <c r="B799" s="1"/>
      <c r="C799" s="1"/>
    </row>
    <row r="800" spans="1:3" ht="14.25" customHeight="1">
      <c r="A800" s="1"/>
      <c r="B800" s="1"/>
      <c r="C800" s="1"/>
    </row>
    <row r="801" spans="1:3" ht="14.25" customHeight="1">
      <c r="A801" s="1"/>
      <c r="B801" s="1"/>
      <c r="C801" s="1"/>
    </row>
    <row r="802" spans="1:3" ht="14.25" customHeight="1">
      <c r="A802" s="1"/>
      <c r="B802" s="1"/>
      <c r="C802" s="1"/>
    </row>
    <row r="803" spans="1:3" ht="14.25" customHeight="1">
      <c r="A803" s="1"/>
      <c r="B803" s="1"/>
      <c r="C803" s="1"/>
    </row>
    <row r="804" spans="1:3" ht="14.25" customHeight="1">
      <c r="A804" s="1"/>
      <c r="B804" s="1"/>
      <c r="C804" s="1"/>
    </row>
    <row r="805" spans="1:3" ht="14.25" customHeight="1">
      <c r="A805" s="1"/>
      <c r="B805" s="1"/>
      <c r="C805" s="1"/>
    </row>
    <row r="806" spans="1:3" ht="14.25" customHeight="1">
      <c r="A806" s="1"/>
      <c r="B806" s="1"/>
      <c r="C806" s="1"/>
    </row>
    <row r="807" spans="1:3" ht="14.25" customHeight="1">
      <c r="A807" s="1"/>
      <c r="B807" s="1"/>
      <c r="C807" s="1"/>
    </row>
    <row r="808" spans="1:3" ht="14.25" customHeight="1">
      <c r="A808" s="1"/>
      <c r="B808" s="1"/>
      <c r="C808" s="1"/>
    </row>
    <row r="809" spans="1:3" ht="14.25" customHeight="1">
      <c r="A809" s="1"/>
      <c r="B809" s="1"/>
      <c r="C809" s="1"/>
    </row>
    <row r="810" spans="1:3" ht="14.25" customHeight="1">
      <c r="A810" s="1"/>
      <c r="B810" s="1"/>
      <c r="C810" s="1"/>
    </row>
    <row r="811" spans="1:3" ht="14.25" customHeight="1">
      <c r="A811" s="1"/>
      <c r="B811" s="1"/>
      <c r="C811" s="1"/>
    </row>
    <row r="812" spans="1:3" ht="14.25" customHeight="1">
      <c r="A812" s="1"/>
      <c r="B812" s="1"/>
      <c r="C812" s="1"/>
    </row>
    <row r="813" spans="1:3" ht="14.25" customHeight="1">
      <c r="A813" s="1"/>
      <c r="B813" s="1"/>
      <c r="C813" s="1"/>
    </row>
    <row r="814" spans="1:3" ht="14.25" customHeight="1">
      <c r="A814" s="1"/>
      <c r="B814" s="1"/>
      <c r="C814" s="1"/>
    </row>
    <row r="815" spans="1:3" ht="14.25" customHeight="1">
      <c r="A815" s="1"/>
      <c r="B815" s="1"/>
      <c r="C815" s="1"/>
    </row>
    <row r="816" spans="1:3" ht="14.25" customHeight="1">
      <c r="A816" s="1"/>
      <c r="B816" s="1"/>
      <c r="C816" s="1"/>
    </row>
    <row r="817" spans="1:3" ht="14.25" customHeight="1">
      <c r="A817" s="1"/>
      <c r="B817" s="1"/>
      <c r="C817" s="1"/>
    </row>
    <row r="818" spans="1:3" ht="14.25" customHeight="1">
      <c r="A818" s="1"/>
      <c r="B818" s="1"/>
      <c r="C818" s="1"/>
    </row>
    <row r="819" spans="1:3" ht="14.25" customHeight="1">
      <c r="A819" s="1"/>
      <c r="B819" s="1"/>
      <c r="C819" s="1"/>
    </row>
    <row r="820" spans="1:3" ht="14.25" customHeight="1">
      <c r="A820" s="1"/>
      <c r="B820" s="1"/>
      <c r="C820" s="1"/>
    </row>
    <row r="821" spans="1:3" ht="14.25" customHeight="1">
      <c r="A821" s="1"/>
      <c r="B821" s="1"/>
      <c r="C821" s="1"/>
    </row>
    <row r="822" spans="1:3" ht="14.25" customHeight="1">
      <c r="A822" s="1"/>
      <c r="B822" s="1"/>
      <c r="C822" s="1"/>
    </row>
    <row r="823" spans="1:3" ht="14.25" customHeight="1">
      <c r="A823" s="1"/>
      <c r="B823" s="1"/>
      <c r="C823" s="1"/>
    </row>
    <row r="824" spans="1:3" ht="14.25" customHeight="1">
      <c r="A824" s="1"/>
      <c r="B824" s="1"/>
      <c r="C824" s="1"/>
    </row>
    <row r="825" spans="1:3" ht="14.25" customHeight="1">
      <c r="A825" s="1"/>
      <c r="B825" s="1"/>
      <c r="C825" s="1"/>
    </row>
    <row r="826" spans="1:3" ht="14.25" customHeight="1">
      <c r="A826" s="1"/>
      <c r="B826" s="1"/>
      <c r="C826" s="1"/>
    </row>
    <row r="827" spans="1:3" ht="14.25" customHeight="1">
      <c r="A827" s="1"/>
      <c r="B827" s="1"/>
      <c r="C827" s="1"/>
    </row>
    <row r="828" spans="1:3" ht="14.25" customHeight="1">
      <c r="A828" s="1"/>
      <c r="B828" s="1"/>
      <c r="C828" s="1"/>
    </row>
    <row r="829" spans="1:3" ht="14.25" customHeight="1">
      <c r="A829" s="1"/>
      <c r="B829" s="1"/>
      <c r="C829" s="1"/>
    </row>
    <row r="830" spans="1:3" ht="14.25" customHeight="1">
      <c r="A830" s="1"/>
      <c r="B830" s="1"/>
      <c r="C830" s="1"/>
    </row>
    <row r="831" spans="1:3" ht="14.25" customHeight="1">
      <c r="A831" s="1"/>
      <c r="B831" s="1"/>
      <c r="C831" s="1"/>
    </row>
    <row r="832" spans="1:3" ht="14.25" customHeight="1">
      <c r="A832" s="1"/>
      <c r="B832" s="1"/>
      <c r="C832" s="1"/>
    </row>
    <row r="833" spans="1:3" ht="14.25" customHeight="1">
      <c r="A833" s="1"/>
      <c r="B833" s="1"/>
      <c r="C833" s="1"/>
    </row>
    <row r="834" spans="1:3" ht="14.25" customHeight="1">
      <c r="A834" s="1"/>
      <c r="B834" s="1"/>
      <c r="C834" s="1"/>
    </row>
    <row r="835" spans="1:3" ht="14.25" customHeight="1">
      <c r="A835" s="1"/>
      <c r="B835" s="1"/>
      <c r="C835" s="1"/>
    </row>
    <row r="836" spans="1:3" ht="14.25" customHeight="1">
      <c r="A836" s="1"/>
      <c r="B836" s="1"/>
      <c r="C836" s="1"/>
    </row>
    <row r="837" spans="1:3" ht="14.25" customHeight="1">
      <c r="A837" s="1"/>
      <c r="B837" s="1"/>
      <c r="C837" s="1"/>
    </row>
    <row r="838" spans="1:3" ht="14.25" customHeight="1">
      <c r="A838" s="1"/>
      <c r="B838" s="1"/>
      <c r="C838" s="1"/>
    </row>
    <row r="839" spans="1:3" ht="14.25" customHeight="1">
      <c r="A839" s="1"/>
      <c r="B839" s="1"/>
      <c r="C839" s="1"/>
    </row>
    <row r="840" spans="1:3" ht="14.25" customHeight="1">
      <c r="A840" s="1"/>
      <c r="B840" s="1"/>
      <c r="C840" s="1"/>
    </row>
    <row r="841" spans="1:3" ht="14.25" customHeight="1">
      <c r="A841" s="1"/>
      <c r="B841" s="1"/>
      <c r="C841" s="1"/>
    </row>
    <row r="842" spans="1:3" ht="14.25" customHeight="1">
      <c r="A842" s="1"/>
      <c r="B842" s="1"/>
      <c r="C842" s="1"/>
    </row>
    <row r="843" spans="1:3" ht="14.25" customHeight="1">
      <c r="A843" s="1"/>
      <c r="B843" s="1"/>
      <c r="C843" s="1"/>
    </row>
    <row r="844" spans="1:3" ht="14.25" customHeight="1">
      <c r="A844" s="1"/>
      <c r="B844" s="1"/>
      <c r="C844" s="1"/>
    </row>
    <row r="845" spans="1:3" ht="14.25" customHeight="1">
      <c r="A845" s="1"/>
      <c r="B845" s="1"/>
      <c r="C845" s="1"/>
    </row>
    <row r="846" spans="1:3" ht="14.25" customHeight="1">
      <c r="A846" s="1"/>
      <c r="B846" s="1"/>
      <c r="C846" s="1"/>
    </row>
    <row r="847" spans="1:3" ht="14.25" customHeight="1">
      <c r="A847" s="1"/>
      <c r="B847" s="1"/>
      <c r="C847" s="1"/>
    </row>
    <row r="848" spans="1:3" ht="14.25" customHeight="1">
      <c r="A848" s="1"/>
      <c r="B848" s="1"/>
      <c r="C848" s="1"/>
    </row>
    <row r="849" spans="1:3" ht="14.25" customHeight="1">
      <c r="A849" s="1"/>
      <c r="B849" s="1"/>
      <c r="C849" s="1"/>
    </row>
    <row r="850" spans="1:3" ht="14.25" customHeight="1">
      <c r="A850" s="1"/>
      <c r="B850" s="1"/>
      <c r="C850" s="1"/>
    </row>
    <row r="851" spans="1:3" ht="14.25" customHeight="1">
      <c r="A851" s="1"/>
      <c r="B851" s="1"/>
      <c r="C851" s="1"/>
    </row>
    <row r="852" spans="1:3" ht="14.25" customHeight="1">
      <c r="A852" s="1"/>
      <c r="B852" s="1"/>
      <c r="C852" s="1"/>
    </row>
    <row r="853" spans="1:3" ht="14.25" customHeight="1">
      <c r="A853" s="1"/>
      <c r="B853" s="1"/>
      <c r="C853" s="1"/>
    </row>
    <row r="854" spans="1:3" ht="14.25" customHeight="1">
      <c r="A854" s="1"/>
      <c r="B854" s="1"/>
      <c r="C854" s="1"/>
    </row>
    <row r="855" spans="1:3" ht="14.25" customHeight="1">
      <c r="A855" s="1"/>
      <c r="B855" s="1"/>
      <c r="C855" s="1"/>
    </row>
    <row r="856" spans="1:3" ht="14.25" customHeight="1">
      <c r="A856" s="1"/>
      <c r="B856" s="1"/>
      <c r="C856" s="1"/>
    </row>
    <row r="857" spans="1:3" ht="14.25" customHeight="1">
      <c r="A857" s="1"/>
      <c r="B857" s="1"/>
      <c r="C857" s="1"/>
    </row>
    <row r="858" spans="1:3" ht="14.25" customHeight="1">
      <c r="A858" s="1"/>
      <c r="B858" s="1"/>
      <c r="C858" s="1"/>
    </row>
    <row r="859" spans="1:3" ht="14.25" customHeight="1">
      <c r="A859" s="1"/>
      <c r="B859" s="1"/>
      <c r="C859" s="1"/>
    </row>
    <row r="860" spans="1:3" ht="14.25" customHeight="1">
      <c r="A860" s="1"/>
      <c r="B860" s="1"/>
      <c r="C860" s="1"/>
    </row>
    <row r="861" spans="1:3" ht="14.25" customHeight="1">
      <c r="A861" s="1"/>
      <c r="B861" s="1"/>
      <c r="C861" s="1"/>
    </row>
    <row r="862" spans="1:3" ht="14.25" customHeight="1">
      <c r="A862" s="1"/>
      <c r="B862" s="1"/>
      <c r="C862" s="1"/>
    </row>
    <row r="863" spans="1:3" ht="14.25" customHeight="1">
      <c r="A863" s="1"/>
      <c r="B863" s="1"/>
      <c r="C863" s="1"/>
    </row>
    <row r="864" spans="1:3" ht="14.25" customHeight="1">
      <c r="A864" s="1"/>
      <c r="B864" s="1"/>
      <c r="C864" s="1"/>
    </row>
    <row r="865" spans="1:3" ht="14.25" customHeight="1">
      <c r="A865" s="1"/>
      <c r="B865" s="1"/>
      <c r="C865" s="1"/>
    </row>
    <row r="866" spans="1:3" ht="14.25" customHeight="1">
      <c r="A866" s="1"/>
      <c r="B866" s="1"/>
      <c r="C866" s="1"/>
    </row>
    <row r="867" spans="1:3" ht="14.25" customHeight="1">
      <c r="A867" s="1"/>
      <c r="B867" s="1"/>
      <c r="C867" s="1"/>
    </row>
    <row r="868" spans="1:3" ht="14.25" customHeight="1">
      <c r="A868" s="1"/>
      <c r="B868" s="1"/>
      <c r="C868" s="1"/>
    </row>
    <row r="869" spans="1:3" ht="14.25" customHeight="1">
      <c r="A869" s="1"/>
      <c r="B869" s="1"/>
      <c r="C869" s="1"/>
    </row>
    <row r="870" spans="1:3" ht="14.25" customHeight="1">
      <c r="A870" s="1"/>
      <c r="B870" s="1"/>
      <c r="C870" s="1"/>
    </row>
    <row r="871" spans="1:3" ht="14.25" customHeight="1">
      <c r="A871" s="1"/>
      <c r="B871" s="1"/>
      <c r="C871" s="1"/>
    </row>
    <row r="872" spans="1:3" ht="14.25" customHeight="1">
      <c r="A872" s="1"/>
      <c r="B872" s="1"/>
      <c r="C872" s="1"/>
    </row>
    <row r="873" spans="1:3" ht="14.25" customHeight="1">
      <c r="A873" s="1"/>
      <c r="B873" s="1"/>
      <c r="C873" s="1"/>
    </row>
    <row r="874" spans="1:3" ht="14.25" customHeight="1">
      <c r="A874" s="1"/>
      <c r="B874" s="1"/>
      <c r="C874" s="1"/>
    </row>
    <row r="875" spans="1:3" ht="14.25" customHeight="1">
      <c r="A875" s="1"/>
      <c r="B875" s="1"/>
      <c r="C875" s="1"/>
    </row>
    <row r="876" spans="1:3" ht="14.25" customHeight="1">
      <c r="A876" s="1"/>
      <c r="B876" s="1"/>
      <c r="C876" s="1"/>
    </row>
    <row r="877" spans="1:3" ht="14.25" customHeight="1">
      <c r="A877" s="1"/>
      <c r="B877" s="1"/>
      <c r="C877" s="1"/>
    </row>
    <row r="878" spans="1:3" ht="14.25" customHeight="1">
      <c r="A878" s="1"/>
      <c r="B878" s="1"/>
      <c r="C878" s="1"/>
    </row>
    <row r="879" spans="1:3" ht="14.25" customHeight="1">
      <c r="A879" s="1"/>
      <c r="B879" s="1"/>
      <c r="C879" s="1"/>
    </row>
    <row r="880" spans="1:3" ht="14.25" customHeight="1">
      <c r="A880" s="1"/>
      <c r="B880" s="1"/>
      <c r="C880" s="1"/>
    </row>
    <row r="881" spans="1:3" ht="14.25" customHeight="1">
      <c r="A881" s="1"/>
      <c r="B881" s="1"/>
      <c r="C881" s="1"/>
    </row>
    <row r="882" spans="1:3" ht="14.25" customHeight="1">
      <c r="A882" s="1"/>
      <c r="B882" s="1"/>
      <c r="C882" s="1"/>
    </row>
    <row r="883" spans="1:3" ht="14.25" customHeight="1">
      <c r="A883" s="1"/>
      <c r="B883" s="1"/>
      <c r="C883" s="1"/>
    </row>
    <row r="884" spans="1:3" ht="14.25" customHeight="1">
      <c r="A884" s="1"/>
      <c r="B884" s="1"/>
      <c r="C884" s="1"/>
    </row>
    <row r="885" spans="1:3" ht="14.25" customHeight="1">
      <c r="A885" s="1"/>
      <c r="B885" s="1"/>
      <c r="C885" s="1"/>
    </row>
    <row r="886" spans="1:3" ht="14.25" customHeight="1">
      <c r="A886" s="1"/>
      <c r="B886" s="1"/>
      <c r="C886" s="1"/>
    </row>
    <row r="887" spans="1:3" ht="14.25" customHeight="1">
      <c r="A887" s="1"/>
      <c r="B887" s="1"/>
      <c r="C887" s="1"/>
    </row>
    <row r="888" spans="1:3" ht="14.25" customHeight="1">
      <c r="A888" s="1"/>
      <c r="B888" s="1"/>
      <c r="C888" s="1"/>
    </row>
    <row r="889" spans="1:3" ht="14.25" customHeight="1">
      <c r="A889" s="1"/>
      <c r="B889" s="1"/>
      <c r="C889" s="1"/>
    </row>
    <row r="890" spans="1:3" ht="14.25" customHeight="1">
      <c r="A890" s="1"/>
      <c r="B890" s="1"/>
      <c r="C890" s="1"/>
    </row>
    <row r="891" spans="1:3" ht="14.25" customHeight="1">
      <c r="A891" s="1"/>
      <c r="B891" s="1"/>
      <c r="C891" s="1"/>
    </row>
    <row r="892" spans="1:3" ht="14.25" customHeight="1">
      <c r="A892" s="1"/>
      <c r="B892" s="1"/>
      <c r="C892" s="1"/>
    </row>
    <row r="893" spans="1:3" ht="14.25" customHeight="1">
      <c r="A893" s="1"/>
      <c r="B893" s="1"/>
      <c r="C893" s="1"/>
    </row>
    <row r="894" spans="1:3" ht="14.25" customHeight="1">
      <c r="A894" s="1"/>
      <c r="B894" s="1"/>
      <c r="C894" s="1"/>
    </row>
    <row r="895" spans="1:3" ht="14.25" customHeight="1">
      <c r="A895" s="1"/>
      <c r="B895" s="1"/>
      <c r="C895" s="1"/>
    </row>
    <row r="896" spans="1:3" ht="14.25" customHeight="1">
      <c r="A896" s="1"/>
      <c r="B896" s="1"/>
      <c r="C896" s="1"/>
    </row>
    <row r="897" spans="1:3" ht="14.25" customHeight="1">
      <c r="A897" s="1"/>
      <c r="B897" s="1"/>
      <c r="C897" s="1"/>
    </row>
    <row r="898" spans="1:3" ht="14.25" customHeight="1">
      <c r="A898" s="1"/>
      <c r="B898" s="1"/>
      <c r="C898" s="1"/>
    </row>
    <row r="899" spans="1:3" ht="14.25" customHeight="1">
      <c r="A899" s="1"/>
      <c r="B899" s="1"/>
      <c r="C899" s="1"/>
    </row>
    <row r="900" spans="1:3" ht="14.25" customHeight="1">
      <c r="A900" s="1"/>
      <c r="B900" s="1"/>
      <c r="C900" s="1"/>
    </row>
    <row r="901" spans="1:3" ht="14.25" customHeight="1">
      <c r="A901" s="1"/>
      <c r="B901" s="1"/>
      <c r="C901" s="1"/>
    </row>
    <row r="902" spans="1:3" ht="14.25" customHeight="1">
      <c r="A902" s="1"/>
      <c r="B902" s="1"/>
      <c r="C902" s="1"/>
    </row>
    <row r="903" spans="1:3" ht="14.25" customHeight="1">
      <c r="A903" s="1"/>
      <c r="B903" s="1"/>
      <c r="C903" s="1"/>
    </row>
    <row r="904" spans="1:3" ht="14.25" customHeight="1">
      <c r="A904" s="1"/>
      <c r="B904" s="1"/>
      <c r="C904" s="1"/>
    </row>
    <row r="905" spans="1:3" ht="14.25" customHeight="1">
      <c r="A905" s="1"/>
      <c r="B905" s="1"/>
      <c r="C905" s="1"/>
    </row>
    <row r="906" spans="1:3" ht="14.25" customHeight="1">
      <c r="A906" s="1"/>
      <c r="B906" s="1"/>
      <c r="C906" s="1"/>
    </row>
    <row r="907" spans="1:3" ht="14.25" customHeight="1">
      <c r="A907" s="1"/>
      <c r="B907" s="1"/>
      <c r="C907" s="1"/>
    </row>
    <row r="908" spans="1:3" ht="14.25" customHeight="1">
      <c r="A908" s="1"/>
      <c r="B908" s="1"/>
      <c r="C908" s="1"/>
    </row>
    <row r="909" spans="1:3" ht="14.25" customHeight="1">
      <c r="A909" s="1"/>
      <c r="B909" s="1"/>
      <c r="C909" s="1"/>
    </row>
    <row r="910" spans="1:3" ht="14.25" customHeight="1">
      <c r="A910" s="1"/>
      <c r="B910" s="1"/>
      <c r="C910" s="1"/>
    </row>
    <row r="911" spans="1:3" ht="14.25" customHeight="1">
      <c r="A911" s="1"/>
      <c r="B911" s="1"/>
      <c r="C911" s="1"/>
    </row>
    <row r="912" spans="1:3" ht="14.25" customHeight="1">
      <c r="A912" s="1"/>
      <c r="B912" s="1"/>
      <c r="C912" s="1"/>
    </row>
    <row r="913" spans="1:3" ht="14.25" customHeight="1">
      <c r="A913" s="1"/>
      <c r="B913" s="1"/>
      <c r="C913" s="1"/>
    </row>
    <row r="914" spans="1:3" ht="14.25" customHeight="1">
      <c r="A914" s="1"/>
      <c r="B914" s="1"/>
      <c r="C914" s="1"/>
    </row>
    <row r="915" spans="1:3" ht="14.25" customHeight="1">
      <c r="A915" s="1"/>
      <c r="B915" s="1"/>
      <c r="C915" s="1"/>
    </row>
    <row r="916" spans="1:3" ht="14.25" customHeight="1">
      <c r="A916" s="1"/>
      <c r="B916" s="1"/>
      <c r="C916" s="1"/>
    </row>
    <row r="917" spans="1:3" ht="14.25" customHeight="1">
      <c r="A917" s="1"/>
      <c r="B917" s="1"/>
      <c r="C917" s="1"/>
    </row>
    <row r="918" spans="1:3" ht="14.25" customHeight="1">
      <c r="A918" s="1"/>
      <c r="B918" s="1"/>
      <c r="C918" s="1"/>
    </row>
    <row r="919" spans="1:3" ht="14.25" customHeight="1">
      <c r="A919" s="1"/>
      <c r="B919" s="1"/>
      <c r="C919" s="1"/>
    </row>
    <row r="920" spans="1:3" ht="14.25" customHeight="1">
      <c r="A920" s="1"/>
      <c r="B920" s="1"/>
      <c r="C920" s="1"/>
    </row>
    <row r="921" spans="1:3" ht="14.25" customHeight="1">
      <c r="A921" s="1"/>
      <c r="B921" s="1"/>
      <c r="C921" s="1"/>
    </row>
    <row r="922" spans="1:3" ht="14.25" customHeight="1">
      <c r="A922" s="1"/>
      <c r="B922" s="1"/>
      <c r="C922" s="1"/>
    </row>
    <row r="923" spans="1:3" ht="14.25" customHeight="1">
      <c r="A923" s="1"/>
      <c r="B923" s="1"/>
      <c r="C923" s="1"/>
    </row>
    <row r="924" spans="1:3" ht="14.25" customHeight="1">
      <c r="A924" s="1"/>
      <c r="B924" s="1"/>
      <c r="C924" s="1"/>
    </row>
    <row r="925" spans="1:3" ht="14.25" customHeight="1">
      <c r="A925" s="1"/>
      <c r="B925" s="1"/>
      <c r="C925" s="1"/>
    </row>
    <row r="926" spans="1:3" ht="14.25" customHeight="1">
      <c r="A926" s="1"/>
      <c r="B926" s="1"/>
      <c r="C926" s="1"/>
    </row>
    <row r="927" spans="1:3" ht="14.25" customHeight="1">
      <c r="A927" s="1"/>
      <c r="B927" s="1"/>
      <c r="C927" s="1"/>
    </row>
    <row r="928" spans="1:3" ht="14.25" customHeight="1">
      <c r="A928" s="1"/>
      <c r="B928" s="1"/>
      <c r="C928" s="1"/>
    </row>
    <row r="929" spans="1:3" ht="14.25" customHeight="1">
      <c r="A929" s="1"/>
      <c r="B929" s="1"/>
      <c r="C929" s="1"/>
    </row>
    <row r="930" spans="1:3" ht="14.25" customHeight="1">
      <c r="A930" s="1"/>
      <c r="B930" s="1"/>
      <c r="C930" s="1"/>
    </row>
    <row r="931" spans="1:3" ht="14.25" customHeight="1">
      <c r="A931" s="1"/>
      <c r="B931" s="1"/>
      <c r="C931" s="1"/>
    </row>
    <row r="932" spans="1:3" ht="14.25" customHeight="1">
      <c r="A932" s="1"/>
      <c r="B932" s="1"/>
      <c r="C932" s="1"/>
    </row>
    <row r="933" spans="1:3" ht="14.25" customHeight="1">
      <c r="A933" s="1"/>
      <c r="B933" s="1"/>
      <c r="C933" s="1"/>
    </row>
    <row r="934" spans="1:3" ht="14.25" customHeight="1">
      <c r="A934" s="1"/>
      <c r="B934" s="1"/>
      <c r="C934" s="1"/>
    </row>
    <row r="935" spans="1:3" ht="14.25" customHeight="1">
      <c r="A935" s="1"/>
      <c r="B935" s="1"/>
      <c r="C935" s="1"/>
    </row>
    <row r="936" spans="1:3" ht="14.25" customHeight="1">
      <c r="A936" s="1"/>
      <c r="B936" s="1"/>
      <c r="C936" s="1"/>
    </row>
    <row r="937" spans="1:3" ht="14.25" customHeight="1">
      <c r="A937" s="1"/>
      <c r="B937" s="1"/>
      <c r="C937" s="1"/>
    </row>
    <row r="938" spans="1:3" ht="14.25" customHeight="1">
      <c r="A938" s="1"/>
      <c r="B938" s="1"/>
      <c r="C938" s="1"/>
    </row>
    <row r="939" spans="1:3" ht="14.25" customHeight="1">
      <c r="A939" s="1"/>
      <c r="B939" s="1"/>
      <c r="C939" s="1"/>
    </row>
    <row r="940" spans="1:3" ht="14.25" customHeight="1">
      <c r="A940" s="1"/>
      <c r="B940" s="1"/>
      <c r="C940" s="1"/>
    </row>
    <row r="941" spans="1:3" ht="14.25" customHeight="1">
      <c r="A941" s="1"/>
      <c r="B941" s="1"/>
      <c r="C941" s="1"/>
    </row>
    <row r="942" spans="1:3" ht="14.25" customHeight="1">
      <c r="A942" s="1"/>
      <c r="B942" s="1"/>
      <c r="C942" s="1"/>
    </row>
    <row r="943" spans="1:3" ht="14.25" customHeight="1">
      <c r="A943" s="1"/>
      <c r="B943" s="1"/>
      <c r="C943" s="1"/>
    </row>
    <row r="944" spans="1:3" ht="14.25" customHeight="1">
      <c r="A944" s="1"/>
      <c r="B944" s="1"/>
      <c r="C944" s="1"/>
    </row>
    <row r="945" spans="1:3" ht="14.25" customHeight="1">
      <c r="A945" s="1"/>
      <c r="B945" s="1"/>
      <c r="C945" s="1"/>
    </row>
    <row r="946" spans="1:3" ht="14.25" customHeight="1">
      <c r="A946" s="1"/>
      <c r="B946" s="1"/>
      <c r="C946" s="1"/>
    </row>
    <row r="947" spans="1:3" ht="14.25" customHeight="1">
      <c r="A947" s="1"/>
      <c r="B947" s="1"/>
      <c r="C947" s="1"/>
    </row>
    <row r="948" spans="1:3" ht="14.25" customHeight="1">
      <c r="A948" s="1"/>
      <c r="B948" s="1"/>
      <c r="C948" s="1"/>
    </row>
    <row r="949" spans="1:3" ht="14.25" customHeight="1">
      <c r="A949" s="1"/>
      <c r="B949" s="1"/>
      <c r="C949" s="1"/>
    </row>
    <row r="950" spans="1:3" ht="14.25" customHeight="1">
      <c r="A950" s="1"/>
      <c r="B950" s="1"/>
      <c r="C950" s="1"/>
    </row>
    <row r="951" spans="1:3" ht="14.25" customHeight="1">
      <c r="A951" s="1"/>
      <c r="B951" s="1"/>
      <c r="C951" s="1"/>
    </row>
    <row r="952" spans="1:3" ht="14.25" customHeight="1">
      <c r="A952" s="1"/>
      <c r="B952" s="1"/>
      <c r="C952" s="1"/>
    </row>
    <row r="953" spans="1:3" ht="14.25" customHeight="1">
      <c r="A953" s="1"/>
      <c r="B953" s="1"/>
      <c r="C953" s="1"/>
    </row>
    <row r="954" spans="1:3" ht="14.25" customHeight="1">
      <c r="A954" s="1"/>
      <c r="B954" s="1"/>
      <c r="C954" s="1"/>
    </row>
    <row r="955" spans="1:3" ht="14.25" customHeight="1">
      <c r="A955" s="1"/>
      <c r="B955" s="1"/>
      <c r="C955" s="1"/>
    </row>
    <row r="956" spans="1:3" ht="14.25" customHeight="1">
      <c r="A956" s="1"/>
      <c r="B956" s="1"/>
      <c r="C956" s="1"/>
    </row>
    <row r="957" spans="1:3" ht="14.25" customHeight="1">
      <c r="A957" s="1"/>
      <c r="B957" s="1"/>
      <c r="C957" s="1"/>
    </row>
    <row r="958" spans="1:3" ht="14.25" customHeight="1">
      <c r="A958" s="1"/>
      <c r="B958" s="1"/>
      <c r="C958" s="1"/>
    </row>
    <row r="959" spans="1:3" ht="14.25" customHeight="1">
      <c r="A959" s="1"/>
      <c r="B959" s="1"/>
      <c r="C959" s="1"/>
    </row>
    <row r="960" spans="1:3" ht="14.25" customHeight="1">
      <c r="A960" s="1"/>
      <c r="B960" s="1"/>
      <c r="C960" s="1"/>
    </row>
    <row r="961" spans="1:3" ht="14.25" customHeight="1">
      <c r="A961" s="1"/>
      <c r="B961" s="1"/>
      <c r="C961" s="1"/>
    </row>
    <row r="962" spans="1:3" ht="14.25" customHeight="1">
      <c r="A962" s="1"/>
      <c r="B962" s="1"/>
      <c r="C962" s="1"/>
    </row>
    <row r="963" spans="1:3" ht="14.25" customHeight="1">
      <c r="A963" s="1"/>
      <c r="B963" s="1"/>
      <c r="C963" s="1"/>
    </row>
    <row r="964" spans="1:3" ht="14.25" customHeight="1">
      <c r="A964" s="1"/>
      <c r="B964" s="1"/>
      <c r="C964" s="1"/>
    </row>
    <row r="965" spans="1:3" ht="14.25" customHeight="1">
      <c r="A965" s="1"/>
      <c r="B965" s="1"/>
      <c r="C965" s="1"/>
    </row>
    <row r="966" spans="1:3" ht="14.25" customHeight="1">
      <c r="A966" s="1"/>
      <c r="B966" s="1"/>
      <c r="C966" s="1"/>
    </row>
    <row r="967" spans="1:3" ht="14.25" customHeight="1">
      <c r="A967" s="1"/>
      <c r="B967" s="1"/>
      <c r="C967" s="1"/>
    </row>
    <row r="968" spans="1:3" ht="14.25" customHeight="1">
      <c r="A968" s="1"/>
      <c r="B968" s="1"/>
      <c r="C968" s="1"/>
    </row>
    <row r="969" spans="1:3" ht="14.25" customHeight="1">
      <c r="A969" s="1"/>
      <c r="B969" s="1"/>
      <c r="C969" s="1"/>
    </row>
    <row r="970" spans="1:3" ht="14.25" customHeight="1">
      <c r="A970" s="1"/>
      <c r="B970" s="1"/>
      <c r="C970" s="1"/>
    </row>
    <row r="971" spans="1:3" ht="14.25" customHeight="1">
      <c r="A971" s="1"/>
      <c r="B971" s="1"/>
      <c r="C971" s="1"/>
    </row>
    <row r="972" spans="1:3" ht="14.25" customHeight="1">
      <c r="A972" s="1"/>
      <c r="B972" s="1"/>
      <c r="C972" s="1"/>
    </row>
    <row r="973" spans="1:3" ht="14.25" customHeight="1">
      <c r="A973" s="1"/>
      <c r="B973" s="1"/>
      <c r="C973" s="1"/>
    </row>
    <row r="974" spans="1:3" ht="14.25" customHeight="1">
      <c r="A974" s="1"/>
      <c r="B974" s="1"/>
      <c r="C974" s="1"/>
    </row>
    <row r="975" spans="1:3" ht="14.25" customHeight="1">
      <c r="A975" s="1"/>
      <c r="B975" s="1"/>
      <c r="C975" s="1"/>
    </row>
    <row r="976" spans="1:3" ht="14.25" customHeight="1">
      <c r="A976" s="1"/>
      <c r="B976" s="1"/>
      <c r="C976" s="1"/>
    </row>
    <row r="977" spans="1:3" ht="14.25" customHeight="1">
      <c r="A977" s="1"/>
      <c r="B977" s="1"/>
      <c r="C977" s="1"/>
    </row>
    <row r="978" spans="1:3" ht="14.25" customHeight="1">
      <c r="A978" s="1"/>
      <c r="B978" s="1"/>
      <c r="C978" s="1"/>
    </row>
    <row r="979" spans="1:3" ht="14.25" customHeight="1">
      <c r="A979" s="1"/>
      <c r="B979" s="1"/>
      <c r="C979" s="1"/>
    </row>
    <row r="980" spans="1:3" ht="14.25" customHeight="1">
      <c r="A980" s="1"/>
      <c r="B980" s="1"/>
      <c r="C980" s="1"/>
    </row>
    <row r="981" spans="1:3" ht="14.25" customHeight="1">
      <c r="A981" s="1"/>
      <c r="B981" s="1"/>
      <c r="C981" s="1"/>
    </row>
    <row r="982" spans="1:3" ht="14.25" customHeight="1">
      <c r="A982" s="1"/>
      <c r="B982" s="1"/>
      <c r="C982" s="1"/>
    </row>
    <row r="983" spans="1:3" ht="14.25" customHeight="1">
      <c r="A983" s="1"/>
      <c r="B983" s="1"/>
      <c r="C983" s="1"/>
    </row>
    <row r="984" spans="1:3" ht="14.25" customHeight="1">
      <c r="A984" s="1"/>
      <c r="B984" s="1"/>
      <c r="C984" s="1"/>
    </row>
    <row r="985" spans="1:3" ht="14.25" customHeight="1">
      <c r="A985" s="1"/>
      <c r="B985" s="1"/>
      <c r="C985" s="1"/>
    </row>
    <row r="986" spans="1:3" ht="14.25" customHeight="1">
      <c r="A986" s="1"/>
      <c r="B986" s="1"/>
      <c r="C986" s="1"/>
    </row>
    <row r="987" spans="1:3" ht="14.25" customHeight="1">
      <c r="A987" s="1"/>
      <c r="B987" s="1"/>
      <c r="C987" s="1"/>
    </row>
    <row r="988" spans="1:3" ht="14.25" customHeight="1">
      <c r="A988" s="1"/>
      <c r="B988" s="1"/>
      <c r="C988" s="1"/>
    </row>
    <row r="989" spans="1:3" ht="14.25" customHeight="1">
      <c r="A989" s="1"/>
      <c r="B989" s="1"/>
      <c r="C989" s="1"/>
    </row>
    <row r="990" spans="1:3" ht="14.25" customHeight="1">
      <c r="A990" s="1"/>
      <c r="B990" s="1"/>
      <c r="C990" s="1"/>
    </row>
    <row r="991" spans="1:3" ht="14.25" customHeight="1">
      <c r="A991" s="1"/>
      <c r="B991" s="1"/>
      <c r="C991" s="1"/>
    </row>
    <row r="992" spans="1:3" ht="14.25" customHeight="1">
      <c r="A992" s="1"/>
      <c r="B992" s="1"/>
      <c r="C992" s="1"/>
    </row>
    <row r="993" spans="1:3" ht="14.25" customHeight="1">
      <c r="A993" s="1"/>
      <c r="B993" s="1"/>
      <c r="C993" s="1"/>
    </row>
    <row r="994" spans="1:3" ht="14.25" customHeight="1">
      <c r="A994" s="1"/>
      <c r="B994" s="1"/>
      <c r="C994" s="1"/>
    </row>
    <row r="995" spans="1:3" ht="14.25" customHeight="1">
      <c r="A995" s="1"/>
      <c r="B995" s="1"/>
      <c r="C995" s="1"/>
    </row>
    <row r="996" spans="1:3" ht="14.25" customHeight="1">
      <c r="A996" s="1"/>
      <c r="B996" s="1"/>
      <c r="C996" s="1"/>
    </row>
    <row r="997" spans="1:3" ht="14.25" customHeight="1">
      <c r="A997" s="1"/>
      <c r="B997" s="1"/>
      <c r="C997" s="1"/>
    </row>
    <row r="998" spans="1:3" ht="14.25" customHeight="1">
      <c r="A998" s="1"/>
      <c r="B998" s="1"/>
      <c r="C998" s="1"/>
    </row>
    <row r="999" spans="1:3" ht="14.25" customHeight="1">
      <c r="A999" s="1"/>
      <c r="B999" s="1"/>
      <c r="C999" s="1"/>
    </row>
    <row r="1000" spans="1:3" ht="14.25" customHeight="1">
      <c r="A1000" s="1"/>
      <c r="B1000" s="1"/>
      <c r="C1000" s="1"/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 de Treinamentos</vt:lpstr>
      <vt:lpstr>Colaboradores</vt:lpstr>
      <vt:lpstr>Procedimentos</vt:lpstr>
      <vt:lpstr>Aplicabilidade</vt:lpstr>
      <vt:lpstr>Lista suspensa</vt:lpstr>
      <vt:lpstr>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 Socorro Mendes Guignoni</dc:creator>
  <cp:lastModifiedBy>Daniel Elison Gusmão Pereira</cp:lastModifiedBy>
  <dcterms:created xsi:type="dcterms:W3CDTF">2026-03-04T11:52:00Z</dcterms:created>
  <dcterms:modified xsi:type="dcterms:W3CDTF">2026-03-04T20:23:45Z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86679B4F496046778125B1850608DA9F_12</vt:lpwstr>
  </property>
  <property fmtid="{D5CDD505-2E9C-101B-9397-08002B2CF9AE}" pid="3" name="KSOProductBuildVer">
    <vt:lpwstr>1046-12.2.0.23196</vt:lpwstr>
  </property>
</Properties>
</file>